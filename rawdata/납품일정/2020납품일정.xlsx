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서류\납품일정\"/>
    </mc:Choice>
  </mc:AlternateContent>
  <bookViews>
    <workbookView xWindow="0" yWindow="0" windowWidth="28800" windowHeight="12285" activeTab="12"/>
  </bookViews>
  <sheets>
    <sheet name="201912" sheetId="1" r:id="rId1"/>
    <sheet name="202001" sheetId="2" r:id="rId2"/>
    <sheet name="202002" sheetId="3" r:id="rId3"/>
    <sheet name="202003" sheetId="4" r:id="rId4"/>
    <sheet name="202004" sheetId="5" r:id="rId5"/>
    <sheet name="202005" sheetId="6" r:id="rId6"/>
    <sheet name="202006" sheetId="7" r:id="rId7"/>
    <sheet name="202007" sheetId="8" r:id="rId8"/>
    <sheet name="202008" sheetId="9" r:id="rId9"/>
    <sheet name="202009" sheetId="10" r:id="rId10"/>
    <sheet name="202010" sheetId="11" r:id="rId11"/>
    <sheet name="202011" sheetId="12" r:id="rId12"/>
    <sheet name="202012" sheetId="13" r:id="rId13"/>
  </sheets>
  <definedNames>
    <definedName name="_xlnm._FilterDatabase" localSheetId="12" hidden="1">'202012'!$A$1:$J$263</definedName>
    <definedName name="_xlnm.Print_Area" localSheetId="0">'201912'!$A$111:$G$148</definedName>
    <definedName name="_xlnm.Print_Area" localSheetId="1">'202001'!$A$129:$G$159</definedName>
    <definedName name="_xlnm.Print_Area" localSheetId="2">'202002'!$A$96:$G$127</definedName>
    <definedName name="_xlnm.Print_Area" localSheetId="3">'202003'!$A$147:$G$170</definedName>
    <definedName name="_xlnm.Print_Area" localSheetId="4">'202004'!$A$102:$G$127</definedName>
    <definedName name="_xlnm.Print_Area" localSheetId="5">'202005'!$A$100:$G$133</definedName>
    <definedName name="_xlnm.Print_Area" localSheetId="6">'202006'!$A$145:$G$181</definedName>
    <definedName name="_xlnm.Print_Area" localSheetId="7">'202007'!$A$89:$G$120</definedName>
    <definedName name="_xlnm.Print_Area" localSheetId="8">'202008'!$A$94:$G$146</definedName>
    <definedName name="_xlnm.Print_Area" localSheetId="9">'202009'!#REF!</definedName>
    <definedName name="_xlnm.Print_Area" localSheetId="10">'202010'!#REF!</definedName>
    <definedName name="_xlnm.Print_Area" localSheetId="11">'202011'!#REF!</definedName>
    <definedName name="_xlnm.Print_Area" localSheetId="12">'202012'!#REF!</definedName>
  </definedNames>
  <calcPr calcId="162913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4" i="10" l="1"/>
  <c r="E52" i="8"/>
  <c r="E38" i="8"/>
  <c r="E22" i="8"/>
  <c r="E14" i="8"/>
  <c r="E103" i="5"/>
</calcChain>
</file>

<file path=xl/sharedStrings.xml><?xml version="1.0" encoding="utf-8"?>
<sst xmlns="http://schemas.openxmlformats.org/spreadsheetml/2006/main" count="5161" uniqueCount="1583">
  <si>
    <t>납   품   일   정</t>
  </si>
  <si>
    <t>월</t>
  </si>
  <si>
    <t>대영포장</t>
  </si>
  <si>
    <t>12*10*0.8황</t>
  </si>
  <si>
    <t>대진화학</t>
  </si>
  <si>
    <t>7*10백</t>
  </si>
  <si>
    <t>동원팩</t>
  </si>
  <si>
    <t>PE28*2백</t>
  </si>
  <si>
    <t>35박스</t>
  </si>
  <si>
    <t>PE28*2황</t>
  </si>
  <si>
    <t>5박스</t>
  </si>
  <si>
    <t>PE28*6백</t>
  </si>
  <si>
    <t>10박스</t>
  </si>
  <si>
    <t>6*10백</t>
  </si>
  <si>
    <t>12*10황</t>
  </si>
  <si>
    <t>화</t>
  </si>
  <si>
    <t>삼성</t>
  </si>
  <si>
    <t>18*21</t>
  </si>
  <si>
    <t>18*15</t>
  </si>
  <si>
    <t>한솔포장</t>
  </si>
  <si>
    <t>25박스</t>
  </si>
  <si>
    <t>수</t>
  </si>
  <si>
    <t>삼화인쇄</t>
  </si>
  <si>
    <t>10.5*10투</t>
  </si>
  <si>
    <t>평판지하B판</t>
  </si>
  <si>
    <t>12*10백</t>
  </si>
  <si>
    <t>평판지하A판</t>
  </si>
  <si>
    <t>쇼핑백(1층)</t>
  </si>
  <si>
    <t>합동포장</t>
  </si>
  <si>
    <t>12*12.5황</t>
  </si>
  <si>
    <t>오전납품</t>
  </si>
  <si>
    <t>12*12.5투</t>
  </si>
  <si>
    <t>신대한판지</t>
  </si>
  <si>
    <t>8*9.5청</t>
  </si>
  <si>
    <t>진송팩</t>
  </si>
  <si>
    <t>50박스</t>
  </si>
  <si>
    <t>9시 납품</t>
  </si>
  <si>
    <t>고메리</t>
  </si>
  <si>
    <t>15.5*100*0.58녹 외</t>
  </si>
  <si>
    <t>14.17톤</t>
  </si>
  <si>
    <t>40"(오후5시)</t>
  </si>
  <si>
    <t>목</t>
  </si>
  <si>
    <t>18*21무엠보</t>
  </si>
  <si>
    <t>광림파워팩</t>
  </si>
  <si>
    <t>15*13황</t>
  </si>
  <si>
    <t>12*12.5백</t>
  </si>
  <si>
    <t>PE28*2백(24kg)</t>
  </si>
  <si>
    <t>14박스</t>
  </si>
  <si>
    <t>광현페이퍼</t>
  </si>
  <si>
    <t>PE28*2청</t>
  </si>
  <si>
    <t>30박스</t>
  </si>
  <si>
    <t>4시 전에 납품</t>
  </si>
  <si>
    <t>3200원</t>
  </si>
  <si>
    <t>PE28*2적</t>
  </si>
  <si>
    <t>1박스</t>
  </si>
  <si>
    <t>금</t>
  </si>
  <si>
    <t>삼원산업</t>
  </si>
  <si>
    <t>12*12황</t>
  </si>
  <si>
    <t>15*10적</t>
  </si>
  <si>
    <t>15*10황</t>
  </si>
  <si>
    <t>라바인터네셔널</t>
  </si>
  <si>
    <t>서울포장기계</t>
  </si>
  <si>
    <t>20박스</t>
  </si>
  <si>
    <t>삼신</t>
  </si>
  <si>
    <t>100박스</t>
  </si>
  <si>
    <t>디에스아이 사리현동 납품</t>
  </si>
  <si>
    <t>싸이클롭</t>
  </si>
  <si>
    <t>5*7000*0.5블 외</t>
  </si>
  <si>
    <t>19.7톤</t>
  </si>
  <si>
    <t>한서포장</t>
  </si>
  <si>
    <t>12*9.5황</t>
  </si>
  <si>
    <t>오전납품(10시까지 도착요망)</t>
  </si>
  <si>
    <t>9*9.5*0.95청</t>
  </si>
  <si>
    <t>용차</t>
  </si>
  <si>
    <t>경인팩</t>
  </si>
  <si>
    <t>18*21(황)</t>
  </si>
  <si>
    <t>PP클립</t>
  </si>
  <si>
    <t>1000ea</t>
  </si>
  <si>
    <t>에이스팩</t>
  </si>
  <si>
    <t>스트레치필름</t>
  </si>
  <si>
    <t>49박스</t>
  </si>
  <si>
    <t>삼신 용두동 납품</t>
  </si>
  <si>
    <t>신광포장</t>
  </si>
  <si>
    <t>15*10백</t>
  </si>
  <si>
    <t>15*10투</t>
  </si>
  <si>
    <t>제이케이
머티리얼즈</t>
  </si>
  <si>
    <t>18*10황</t>
  </si>
  <si>
    <t>12*3000*0.65투 외</t>
  </si>
  <si>
    <t>16.4톤</t>
  </si>
  <si>
    <t>12*10녹</t>
  </si>
  <si>
    <t>15*10황(솔표식품)</t>
  </si>
  <si>
    <t>12*10황(대흥코리아)</t>
  </si>
  <si>
    <t>동방포장</t>
  </si>
  <si>
    <t>15*10*0.8황</t>
  </si>
  <si>
    <t>제책4층</t>
  </si>
  <si>
    <t>에이원코리아</t>
  </si>
  <si>
    <t>4박스</t>
  </si>
  <si>
    <t>80박스</t>
  </si>
  <si>
    <t>56박스</t>
  </si>
  <si>
    <t>PE50*6백</t>
  </si>
  <si>
    <t>12*12.5적</t>
  </si>
  <si>
    <t>12*12.5녹</t>
  </si>
  <si>
    <t>금산포장</t>
  </si>
  <si>
    <t>12*10황(0.8T)</t>
  </si>
  <si>
    <t>이월</t>
  </si>
  <si>
    <t>12*1000*0.5청 외</t>
  </si>
  <si>
    <t>19.9톤</t>
  </si>
  <si>
    <t>보우팩</t>
  </si>
  <si>
    <t>PE28*2(24kg)백</t>
  </si>
  <si>
    <t>우선산업</t>
  </si>
  <si>
    <t>PE50*5황</t>
  </si>
  <si>
    <t>직접방문</t>
  </si>
  <si>
    <t>RLB</t>
  </si>
  <si>
    <t xml:space="preserve"> 12*1000*0.55청 외</t>
  </si>
  <si>
    <t>8.9톤</t>
  </si>
  <si>
    <t>20"(오후5시)</t>
  </si>
  <si>
    <t>성탄절 휴가</t>
  </si>
  <si>
    <t>대영포장(대구)</t>
  </si>
  <si>
    <t>합화차</t>
  </si>
  <si>
    <t>19*0.55T*5.8청</t>
  </si>
  <si>
    <t>15.5*100녹 외</t>
  </si>
  <si>
    <t>6.1톤</t>
  </si>
  <si>
    <t>김시석부장 연차</t>
  </si>
  <si>
    <t>김형철차장 연차</t>
  </si>
  <si>
    <t>9*10투</t>
  </si>
  <si>
    <t>9*9.5*0.65황</t>
  </si>
  <si>
    <t>12*10*0.65황</t>
  </si>
  <si>
    <t>오전납품 요망</t>
  </si>
  <si>
    <t>72박스</t>
  </si>
  <si>
    <t>15.5*100녹색 외</t>
  </si>
  <si>
    <t>6톤</t>
  </si>
  <si>
    <t>10.5*10청</t>
  </si>
  <si>
    <t>EBS용(1월로 이월)</t>
  </si>
  <si>
    <t>신 정 휴 무</t>
  </si>
  <si>
    <t>18*21(무엠보)</t>
  </si>
  <si>
    <t>노스쇼아</t>
  </si>
  <si>
    <t>9*0.56백 외</t>
  </si>
  <si>
    <t>10.2톤</t>
  </si>
  <si>
    <t>대한테크와 혼적</t>
  </si>
  <si>
    <t>삼보팩</t>
  </si>
  <si>
    <t>직접 방문함</t>
  </si>
  <si>
    <t>대영포장(발안)</t>
  </si>
  <si>
    <t>PE50*5백</t>
  </si>
  <si>
    <t>PE28*6(백)</t>
  </si>
  <si>
    <t>실납 26박스</t>
  </si>
  <si>
    <t>대구한국포장</t>
  </si>
  <si>
    <t>6*10황</t>
  </si>
  <si>
    <t>"</t>
  </si>
  <si>
    <t>PE28*2(24Kg)백</t>
  </si>
  <si>
    <t>콘즈</t>
  </si>
  <si>
    <t>15*2500 청</t>
  </si>
  <si>
    <t>7.5톤</t>
  </si>
  <si>
    <t>신한포장기계</t>
  </si>
  <si>
    <t>방문</t>
  </si>
  <si>
    <t>23박스</t>
  </si>
  <si>
    <t>40박스</t>
  </si>
  <si>
    <t>28박스</t>
  </si>
  <si>
    <t>김민정과장 연차</t>
  </si>
  <si>
    <t>27박스</t>
  </si>
  <si>
    <t>실납 25박스</t>
  </si>
  <si>
    <t>서울포장</t>
  </si>
  <si>
    <t>JH글로벌</t>
  </si>
  <si>
    <t>PE28*2(청)</t>
  </si>
  <si>
    <t>11박스</t>
  </si>
  <si>
    <t>김시석부장 반차</t>
  </si>
  <si>
    <t>PE28*2(황)</t>
  </si>
  <si>
    <t>실납 12박스</t>
  </si>
  <si>
    <t>PE28*2(적)</t>
  </si>
  <si>
    <t>3박스</t>
  </si>
  <si>
    <t>펀치볼</t>
  </si>
  <si>
    <t>19*1000 검정 외</t>
  </si>
  <si>
    <t>13.9톤</t>
  </si>
  <si>
    <t>PE28*2(24Kg)청</t>
  </si>
  <si>
    <t>PE28*2(24Kg)적</t>
  </si>
  <si>
    <t>PE28*2(24Kg)황</t>
  </si>
  <si>
    <t>낙원포장</t>
  </si>
  <si>
    <t>제이케이머티리얼즈</t>
  </si>
  <si>
    <t>자강원료 3포대 가져와야함</t>
  </si>
  <si>
    <t>정종근공장장 연차</t>
  </si>
  <si>
    <t>9*3475백 외</t>
  </si>
  <si>
    <t>15.8톤</t>
  </si>
  <si>
    <t>동원피앤아이</t>
  </si>
  <si>
    <t>19*1219검정 외</t>
  </si>
  <si>
    <t>12.4톤</t>
  </si>
  <si>
    <t>곽동인과장 연차</t>
  </si>
  <si>
    <t>제일포장(김해)</t>
  </si>
  <si>
    <t>10.5*10*0.65청</t>
  </si>
  <si>
    <t>9*10*0.75투</t>
  </si>
  <si>
    <t>엔지세이프티</t>
  </si>
  <si>
    <t>12*3000*0.6 투 명</t>
  </si>
  <si>
    <t>7.8톤</t>
  </si>
  <si>
    <t>8*10백</t>
  </si>
  <si>
    <t>15.5*100 녹 외</t>
  </si>
  <si>
    <t>20"(오전 9시)</t>
  </si>
  <si>
    <t>한제피엔에스</t>
  </si>
  <si>
    <t>12*3000*0.6 청 외</t>
  </si>
  <si>
    <t>8.7톤</t>
  </si>
  <si>
    <t>20"(오후 1시)</t>
  </si>
  <si>
    <t>구 정 휴 무</t>
  </si>
  <si>
    <t>2박스</t>
  </si>
  <si>
    <t>20"(오후 5시)</t>
  </si>
  <si>
    <t>12박스</t>
  </si>
  <si>
    <t>엔더슨</t>
  </si>
  <si>
    <t>심은주과장 반차</t>
  </si>
  <si>
    <t>오익플라스틱</t>
  </si>
  <si>
    <t>파라마운트</t>
  </si>
  <si>
    <t>15*2500*0.65청 외</t>
  </si>
  <si>
    <t>6.6톤</t>
  </si>
  <si>
    <t>하이게이트</t>
  </si>
  <si>
    <t>19*1000*0.95검 외</t>
  </si>
  <si>
    <t>9.6톤</t>
  </si>
  <si>
    <t>9*10*0.75황</t>
  </si>
  <si>
    <t>12*10투</t>
  </si>
  <si>
    <t>신우교역</t>
  </si>
  <si>
    <t>오아시스 직납</t>
  </si>
  <si>
    <t>일산직납</t>
  </si>
  <si>
    <t>엔디세이프티</t>
  </si>
  <si>
    <t>7.9톤</t>
  </si>
  <si>
    <t>오전출고</t>
  </si>
  <si>
    <t>부천경유</t>
  </si>
  <si>
    <t>6박스</t>
  </si>
  <si>
    <t>PE28*2녹</t>
  </si>
  <si>
    <t>정종근 공장장 연차</t>
  </si>
  <si>
    <t>PE28*2백(24Kg)</t>
  </si>
  <si>
    <t>15*10 황</t>
  </si>
  <si>
    <t>10롤</t>
  </si>
  <si>
    <t>pe28*2백</t>
  </si>
  <si>
    <t>인더스트리얼</t>
  </si>
  <si>
    <t>5*5000*0.47 투 외</t>
  </si>
  <si>
    <t>7.3톤</t>
  </si>
  <si>
    <t>15*10*0.95황</t>
  </si>
  <si>
    <t>강원농협</t>
  </si>
  <si>
    <t>12*12.5 황</t>
  </si>
  <si>
    <t>300롤</t>
  </si>
  <si>
    <t>12*0.65*2500 백 외</t>
  </si>
  <si>
    <t>6.4톤</t>
  </si>
  <si>
    <t>18*21 황</t>
  </si>
  <si>
    <t>Pe28*6(24kg)백</t>
  </si>
  <si>
    <t>10.5*10 청</t>
  </si>
  <si>
    <t>제책 4층</t>
  </si>
  <si>
    <t>12*10 청</t>
  </si>
  <si>
    <t>9*9.5청</t>
  </si>
  <si>
    <t>기계 2대 수거(용차)</t>
  </si>
  <si>
    <t>12*3000*0.63투 외</t>
  </si>
  <si>
    <t>18.7톤</t>
  </si>
  <si>
    <t>12*1000*0.5 블루 외</t>
  </si>
  <si>
    <t>용차(오전)</t>
  </si>
  <si>
    <t>동방포장기자재</t>
  </si>
  <si>
    <t>9*10*0.63황</t>
  </si>
  <si>
    <t>15*110청</t>
  </si>
  <si>
    <t>88박스</t>
  </si>
  <si>
    <t>하이테크</t>
  </si>
  <si>
    <t>19*300*0.55청</t>
  </si>
  <si>
    <t>1.6톤</t>
  </si>
  <si>
    <t>2.5톤 트럭</t>
  </si>
  <si>
    <t>9*9.5황</t>
  </si>
  <si>
    <t>9*10황</t>
  </si>
  <si>
    <t>직접 방문</t>
  </si>
  <si>
    <t>12*11청</t>
  </si>
  <si>
    <t>15박스</t>
  </si>
  <si>
    <t>산유</t>
  </si>
  <si>
    <t>15*100*0.55황 외</t>
  </si>
  <si>
    <t>7.1톤</t>
  </si>
  <si>
    <t>제책3층/4층</t>
  </si>
  <si>
    <t>폴리팩</t>
  </si>
  <si>
    <t>PP STRAP</t>
  </si>
  <si>
    <t>5.7톤</t>
  </si>
  <si>
    <t>수작업</t>
  </si>
  <si>
    <t>김부장님 출고</t>
  </si>
  <si>
    <t>플랙서블</t>
  </si>
  <si>
    <t>PP 인쇄밴드</t>
  </si>
  <si>
    <t>6.8톤</t>
  </si>
  <si>
    <t>20"</t>
  </si>
  <si>
    <t>파코팩에서 수작업</t>
  </si>
  <si>
    <t>108박스</t>
  </si>
  <si>
    <t>17.5톤</t>
  </si>
  <si>
    <t>팔레트 작업</t>
  </si>
  <si>
    <t>권영집과장 연차</t>
  </si>
  <si>
    <t>1000 ea</t>
  </si>
  <si>
    <t>12*12*0.63청</t>
  </si>
  <si>
    <t>15*10*0.65황</t>
  </si>
  <si>
    <t>김부장님 오전출고</t>
  </si>
  <si>
    <t>18.4톤</t>
  </si>
  <si>
    <t>김민정 과장 연차</t>
  </si>
  <si>
    <t>일산출고</t>
  </si>
  <si>
    <t>김시석부장 출고</t>
  </si>
  <si>
    <t>15*10청</t>
  </si>
  <si>
    <t>NZ(하비스)</t>
  </si>
  <si>
    <t>7.4톤</t>
  </si>
  <si>
    <t>곽동인 과장 연차</t>
  </si>
  <si>
    <t>18*21황</t>
  </si>
  <si>
    <t>㈜삼신</t>
  </si>
  <si>
    <t>용두동 납품</t>
  </si>
  <si>
    <t>신영글로벌</t>
  </si>
  <si>
    <t>탐스텍</t>
  </si>
  <si>
    <t>2톤</t>
  </si>
  <si>
    <t>WCP</t>
  </si>
  <si>
    <t>17.7톤</t>
  </si>
  <si>
    <t>서울패키지 직납</t>
  </si>
  <si>
    <t>직접 내방</t>
  </si>
  <si>
    <t>김부장님 출고(이월)</t>
  </si>
  <si>
    <t>합화</t>
  </si>
  <si>
    <t>스마트 쉴드</t>
  </si>
  <si>
    <t>13.7톤</t>
  </si>
  <si>
    <t>6*10청</t>
  </si>
  <si>
    <t>진영프라스틱</t>
  </si>
  <si>
    <t>원료 가져오기</t>
  </si>
  <si>
    <t>합동포장기계</t>
  </si>
  <si>
    <t>대복식품 직납</t>
  </si>
  <si>
    <t>신대한판지.대영포장</t>
  </si>
  <si>
    <t>밴딩기 수거 및 납품</t>
  </si>
  <si>
    <t>제일포장</t>
  </si>
  <si>
    <t>기계 납품 후 수거</t>
  </si>
  <si>
    <t>대영포장 기계수거 포함</t>
  </si>
  <si>
    <t>파주㈜토빅스 직납</t>
  </si>
  <si>
    <t>파워엠팩</t>
  </si>
  <si>
    <t>대유위니아</t>
  </si>
  <si>
    <t>18*15(삼성)</t>
  </si>
  <si>
    <t>천안 납품</t>
  </si>
  <si>
    <t>PE28*2(24Kg)</t>
  </si>
  <si>
    <t>파워팩</t>
  </si>
  <si>
    <t>20.2톤</t>
  </si>
  <si>
    <t>40"(오전 8시)</t>
  </si>
  <si>
    <t>60박스</t>
  </si>
  <si>
    <t>PE28*2황(24Kg)</t>
  </si>
  <si>
    <t>대전인재사</t>
  </si>
  <si>
    <t>12*9황</t>
  </si>
  <si>
    <t>한국폼팩</t>
  </si>
  <si>
    <t>서울출고</t>
  </si>
  <si>
    <t>17박스</t>
  </si>
  <si>
    <t>21대 국회의원 선거 휴일</t>
  </si>
  <si>
    <t>12*12.5*0.8T황</t>
  </si>
  <si>
    <t>12*12.5*0.8T백</t>
  </si>
  <si>
    <t>대은산업</t>
  </si>
  <si>
    <t>90박스</t>
  </si>
  <si>
    <t>7*10*0.55백</t>
  </si>
  <si>
    <t>오전</t>
  </si>
  <si>
    <t>덕흥 원료 3T 수거</t>
  </si>
  <si>
    <t>2000 ea</t>
  </si>
  <si>
    <t>48박스</t>
  </si>
  <si>
    <t>원료 3포 수거</t>
  </si>
  <si>
    <t>18.5톤</t>
  </si>
  <si>
    <t>40"(오후 5시)</t>
  </si>
  <si>
    <t>18*10*0.95~1황</t>
  </si>
  <si>
    <t>15*3.8(soft)황</t>
  </si>
  <si>
    <t>52박스</t>
  </si>
  <si>
    <t>결속기 칼날</t>
  </si>
  <si>
    <t>10통</t>
  </si>
  <si>
    <t>타이거팩</t>
  </si>
  <si>
    <t>한국유니콤</t>
  </si>
  <si>
    <t>8박스</t>
  </si>
  <si>
    <t>일산 출고</t>
  </si>
  <si>
    <t>일산주소 변경됨(용차)</t>
  </si>
  <si>
    <t>PE28*2백(20Kg)</t>
  </si>
  <si>
    <t>9톤</t>
  </si>
  <si>
    <t>팔레트 작업(대한테크와 혼적)</t>
  </si>
  <si>
    <t>부처님 오신날 휴무</t>
  </si>
  <si>
    <t>근로자의날 휴무</t>
  </si>
  <si>
    <t>대체휴일</t>
  </si>
  <si>
    <t>어린이날 휴무</t>
  </si>
  <si>
    <t>21박스</t>
  </si>
  <si>
    <t>15*9.5적</t>
  </si>
  <si>
    <t>김시석 부장 출고</t>
  </si>
  <si>
    <t>18박스</t>
  </si>
  <si>
    <t>택배 착불</t>
  </si>
  <si>
    <t>김형철 차장 출고</t>
  </si>
  <si>
    <t>13.6톤</t>
  </si>
  <si>
    <t>택배 발송</t>
  </si>
  <si>
    <t>9*9.5백</t>
  </si>
  <si>
    <t>기계 2대 교환</t>
  </si>
  <si>
    <t>12시 넘어서 출고</t>
  </si>
  <si>
    <t>1롤</t>
  </si>
  <si>
    <t>쇼핑백1층</t>
  </si>
  <si>
    <t>반품 회수</t>
  </si>
  <si>
    <t>고성오 부장</t>
  </si>
  <si>
    <t>24박스</t>
  </si>
  <si>
    <t>32박스</t>
  </si>
  <si>
    <t>10롤은 월욜 논산으로 택배</t>
  </si>
  <si>
    <t>랩25*500*1400</t>
  </si>
  <si>
    <t>랩25*500*300</t>
  </si>
  <si>
    <t>17.6톤</t>
  </si>
  <si>
    <t>인천 납품</t>
  </si>
  <si>
    <t>아주파레트 반납</t>
  </si>
  <si>
    <t>PE(2*12) 박스 30장</t>
  </si>
  <si>
    <t>스트레치필름 샘플 출고</t>
  </si>
  <si>
    <t>PE17*2백</t>
  </si>
  <si>
    <t>18.3톤</t>
  </si>
  <si>
    <t>12*10투(B급)</t>
  </si>
  <si>
    <t>PE28*6백 4박스 반품</t>
  </si>
  <si>
    <t>오후 출고요함 - 용차</t>
  </si>
  <si>
    <t>NZ SAFETY(하비스)</t>
  </si>
  <si>
    <t>6.7톤</t>
  </si>
  <si>
    <t>15*10(솔표인쇄)황</t>
  </si>
  <si>
    <t>음성 택배(케이글로벌)</t>
  </si>
  <si>
    <t>12*12.5*0.8녹</t>
  </si>
  <si>
    <t>12*15황</t>
  </si>
  <si>
    <t xml:space="preserve"> </t>
  </si>
  <si>
    <t>15*10인쇄밴드</t>
  </si>
  <si>
    <t>16.5톤</t>
  </si>
  <si>
    <t>고성오부장 연차</t>
  </si>
  <si>
    <t>19.2톤</t>
  </si>
  <si>
    <t>7.5*10백</t>
  </si>
  <si>
    <t>이엠에스테크</t>
  </si>
  <si>
    <t>7/10백</t>
  </si>
  <si>
    <t>15*10*0.8투</t>
  </si>
  <si>
    <t>WCP(상일교역)</t>
  </si>
  <si>
    <t>17.4톤</t>
  </si>
  <si>
    <t>64박스</t>
  </si>
  <si>
    <t>8.1톤</t>
  </si>
  <si>
    <t>신광포장기계</t>
  </si>
  <si>
    <t>패드갈이</t>
  </si>
  <si>
    <t>96박스</t>
  </si>
  <si>
    <t>오전 납품</t>
  </si>
  <si>
    <t>7.6톤</t>
  </si>
  <si>
    <t>밴딩기 수거</t>
  </si>
  <si>
    <t>12*12.5적(0.8T)</t>
  </si>
  <si>
    <t>나무파레트</t>
  </si>
  <si>
    <t>정옥희주임 연차</t>
  </si>
  <si>
    <t>자양동 오전출고</t>
  </si>
  <si>
    <t>8.5톤</t>
  </si>
  <si>
    <t>내수 포함</t>
  </si>
  <si>
    <t>용차(파워엠팩)</t>
  </si>
  <si>
    <t>오후 납품</t>
  </si>
  <si>
    <t>19.4톤</t>
  </si>
  <si>
    <t>일산출고(이월)</t>
  </si>
  <si>
    <t>7톤</t>
  </si>
  <si>
    <t>하  계  휴  가</t>
  </si>
  <si>
    <t>31박스</t>
  </si>
  <si>
    <t>택배</t>
  </si>
  <si>
    <t>서울페키지</t>
  </si>
  <si>
    <t>오전 8시 출발</t>
  </si>
  <si>
    <t>16박스</t>
  </si>
  <si>
    <t>5.9톤</t>
  </si>
  <si>
    <t>임시 공휴일</t>
  </si>
  <si>
    <t>해부름</t>
  </si>
  <si>
    <t>12*10*0.68황</t>
  </si>
  <si>
    <t>대영포장안산</t>
  </si>
  <si>
    <t>제일산업</t>
  </si>
  <si>
    <t>75박스</t>
  </si>
  <si>
    <t>대신화물_케이글로벌</t>
  </si>
  <si>
    <t>28*2백</t>
  </si>
  <si>
    <t>28*6</t>
  </si>
  <si>
    <t>PE28*2*24KG백</t>
  </si>
  <si>
    <t>105BOX</t>
  </si>
  <si>
    <t>15*10투명</t>
  </si>
  <si>
    <t>PE 28*2백</t>
  </si>
  <si>
    <t>대신 파주 교하</t>
  </si>
  <si>
    <t>PE 28*2청</t>
  </si>
  <si>
    <t>대상산업</t>
  </si>
  <si>
    <t>방문출고</t>
  </si>
  <si>
    <t>주식회사 엠피아이</t>
  </si>
  <si>
    <t>로젠택배</t>
  </si>
  <si>
    <t>한제 P&amp;S</t>
  </si>
  <si>
    <t>17톤</t>
  </si>
  <si>
    <t>팔레트</t>
  </si>
  <si>
    <t>54박스</t>
  </si>
  <si>
    <t>용차 9PL</t>
  </si>
  <si>
    <t>PE 28*6백</t>
  </si>
  <si>
    <t>84박스</t>
  </si>
  <si>
    <t>전주삼신산업</t>
  </si>
  <si>
    <t>12*10 황</t>
  </si>
  <si>
    <t>0.75T</t>
  </si>
  <si>
    <t>대신택배</t>
  </si>
  <si>
    <t>2pl</t>
  </si>
  <si>
    <t>6*10 백</t>
  </si>
  <si>
    <t>PE 28*2 백</t>
  </si>
  <si>
    <t>9*9.5 백</t>
  </si>
  <si>
    <t>아침 용차</t>
  </si>
  <si>
    <t>직납</t>
  </si>
  <si>
    <t>오전9시 도착_직납</t>
  </si>
  <si>
    <t>20*4</t>
  </si>
  <si>
    <t>12*9.5 황</t>
  </si>
  <si>
    <t>사무실(뚝섬)</t>
  </si>
  <si>
    <t>제이케이머터리얼즈</t>
  </si>
  <si>
    <t>2P</t>
  </si>
  <si>
    <t>PE 28*2황</t>
  </si>
  <si>
    <t>power</t>
  </si>
  <si>
    <t xml:space="preserve">대신화물 파주 교하 </t>
  </si>
  <si>
    <t>오전7PL 오후6PL</t>
  </si>
  <si>
    <t>9월초</t>
  </si>
  <si>
    <t>PE 28*2 녹</t>
  </si>
  <si>
    <t>1.5톤</t>
  </si>
  <si>
    <t>월</t>
    <phoneticPr fontId="14" type="noConversion"/>
  </si>
  <si>
    <t>2p 오전용차</t>
    <phoneticPr fontId="14" type="noConversion"/>
  </si>
  <si>
    <t>1P</t>
    <phoneticPr fontId="14" type="noConversion"/>
  </si>
  <si>
    <t>동원팩</t>
    <phoneticPr fontId="14" type="noConversion"/>
  </si>
  <si>
    <t>PE 28*10 백</t>
    <phoneticPr fontId="14" type="noConversion"/>
  </si>
  <si>
    <t>14박스</t>
    <phoneticPr fontId="14" type="noConversion"/>
  </si>
  <si>
    <t>PE 28*10 황</t>
    <phoneticPr fontId="14" type="noConversion"/>
  </si>
  <si>
    <t>10박스</t>
    <phoneticPr fontId="14" type="noConversion"/>
  </si>
  <si>
    <t>오전용차</t>
    <phoneticPr fontId="14" type="noConversion"/>
  </si>
  <si>
    <t>6*10 백</t>
    <phoneticPr fontId="14" type="noConversion"/>
  </si>
  <si>
    <t>천일포장(용차)</t>
  </si>
  <si>
    <t>PE 28*2 황</t>
  </si>
  <si>
    <t>대영포장발안</t>
    <phoneticPr fontId="14" type="noConversion"/>
  </si>
  <si>
    <t>PE 50*5</t>
    <phoneticPr fontId="14" type="noConversion"/>
  </si>
  <si>
    <t>25박스</t>
    <phoneticPr fontId="14" type="noConversion"/>
  </si>
  <si>
    <t>7*10 백</t>
    <phoneticPr fontId="14" type="noConversion"/>
  </si>
  <si>
    <t>CYKLOP</t>
  </si>
  <si>
    <t>20ft</t>
  </si>
  <si>
    <t>서울포장</t>
    <phoneticPr fontId="14" type="noConversion"/>
  </si>
  <si>
    <t>12*10 백</t>
    <phoneticPr fontId="14" type="noConversion"/>
  </si>
  <si>
    <t>이길호 과장 직납</t>
    <phoneticPr fontId="14" type="noConversion"/>
  </si>
  <si>
    <t>진송팩</t>
    <phoneticPr fontId="14" type="noConversion"/>
  </si>
  <si>
    <t>PE 28*2 청</t>
    <phoneticPr fontId="14" type="noConversion"/>
  </si>
  <si>
    <t>20박스</t>
    <phoneticPr fontId="14" type="noConversion"/>
  </si>
  <si>
    <t>수</t>
    <phoneticPr fontId="14" type="noConversion"/>
  </si>
  <si>
    <t>금산포장</t>
    <phoneticPr fontId="14" type="noConversion"/>
  </si>
  <si>
    <t>PP19*0.55T 1000M 청</t>
    <phoneticPr fontId="14" type="noConversion"/>
  </si>
  <si>
    <t>36박스</t>
    <phoneticPr fontId="14" type="noConversion"/>
  </si>
  <si>
    <t>방문</t>
    <phoneticPr fontId="14" type="noConversion"/>
  </si>
  <si>
    <t>신광포장기계</t>
    <phoneticPr fontId="14" type="noConversion"/>
  </si>
  <si>
    <t>15*10 황</t>
    <phoneticPr fontId="14" type="noConversion"/>
  </si>
  <si>
    <t>0.65T</t>
    <phoneticPr fontId="14" type="noConversion"/>
  </si>
  <si>
    <t>0.8T</t>
    <phoneticPr fontId="14" type="noConversion"/>
  </si>
  <si>
    <t>12*10 황</t>
    <phoneticPr fontId="14" type="noConversion"/>
  </si>
  <si>
    <t>14*10 적</t>
    <phoneticPr fontId="14" type="noConversion"/>
  </si>
  <si>
    <t>0.60T 청정원규격</t>
    <phoneticPr fontId="14" type="noConversion"/>
  </si>
  <si>
    <t>합동포장</t>
    <phoneticPr fontId="14" type="noConversion"/>
  </si>
  <si>
    <t>12*12.5 황</t>
    <phoneticPr fontId="14" type="noConversion"/>
  </si>
  <si>
    <t xml:space="preserve"> 수량조절</t>
    <phoneticPr fontId="14" type="noConversion"/>
  </si>
  <si>
    <t>12*12.5 투명</t>
    <phoneticPr fontId="14" type="noConversion"/>
  </si>
  <si>
    <t>15*13 황</t>
    <phoneticPr fontId="14" type="noConversion"/>
  </si>
  <si>
    <t>12*10 황(0.8T)</t>
    <phoneticPr fontId="14" type="noConversion"/>
  </si>
  <si>
    <t>6/10 백</t>
    <phoneticPr fontId="14" type="noConversion"/>
  </si>
  <si>
    <t>PE 28*2 백</t>
    <phoneticPr fontId="14" type="noConversion"/>
  </si>
  <si>
    <t>30박스</t>
    <phoneticPr fontId="14" type="noConversion"/>
  </si>
  <si>
    <t>용차</t>
    <phoneticPr fontId="14" type="noConversion"/>
  </si>
  <si>
    <t>4pl 2.4t</t>
    <phoneticPr fontId="14" type="noConversion"/>
  </si>
  <si>
    <t>파코팩</t>
    <phoneticPr fontId="14" type="noConversion"/>
  </si>
  <si>
    <t>PE 28*2</t>
    <phoneticPr fontId="14" type="noConversion"/>
  </si>
  <si>
    <t>10박스</t>
    <phoneticPr fontId="14" type="noConversion"/>
  </si>
  <si>
    <t>경인팩</t>
    <phoneticPr fontId="14" type="noConversion"/>
  </si>
  <si>
    <t xml:space="preserve"> PE 28*2 (24KG)</t>
    <phoneticPr fontId="14" type="noConversion"/>
  </si>
  <si>
    <t>105박스</t>
    <phoneticPr fontId="14" type="noConversion"/>
  </si>
  <si>
    <t>대구한국포장</t>
    <phoneticPr fontId="14" type="noConversion"/>
  </si>
  <si>
    <t>12*12 청</t>
  </si>
  <si>
    <t>0.63T</t>
    <phoneticPr fontId="14" type="noConversion"/>
  </si>
  <si>
    <t>용차 2P</t>
    <phoneticPr fontId="14" type="noConversion"/>
  </si>
  <si>
    <t>40박스</t>
    <phoneticPr fontId="14" type="noConversion"/>
  </si>
  <si>
    <t>2P</t>
    <phoneticPr fontId="14" type="noConversion"/>
  </si>
  <si>
    <t>PE 28*2 적</t>
    <phoneticPr fontId="14" type="noConversion"/>
  </si>
  <si>
    <t>10박스</t>
    <phoneticPr fontId="14" type="noConversion"/>
  </si>
  <si>
    <t>PE 28*2 황</t>
    <phoneticPr fontId="14" type="noConversion"/>
  </si>
  <si>
    <t>20박스</t>
    <phoneticPr fontId="14" type="noConversion"/>
  </si>
  <si>
    <t>보우팩</t>
    <phoneticPr fontId="14" type="noConversion"/>
  </si>
  <si>
    <t>96박스</t>
    <phoneticPr fontId="14" type="noConversion"/>
  </si>
  <si>
    <t>6*10 백</t>
    <phoneticPr fontId="14" type="noConversion"/>
  </si>
  <si>
    <t>12*10 투명</t>
    <phoneticPr fontId="14" type="noConversion"/>
  </si>
  <si>
    <t>9*10 적</t>
    <phoneticPr fontId="14" type="noConversion"/>
  </si>
  <si>
    <t>12*10 백</t>
    <phoneticPr fontId="14" type="noConversion"/>
  </si>
  <si>
    <t>이길호 과장 직납</t>
    <phoneticPr fontId="14" type="noConversion"/>
  </si>
  <si>
    <t>대일상사</t>
    <phoneticPr fontId="14" type="noConversion"/>
  </si>
  <si>
    <t>PE 28*2 백</t>
    <phoneticPr fontId="14" type="noConversion"/>
  </si>
  <si>
    <t>5박스</t>
    <phoneticPr fontId="14" type="noConversion"/>
  </si>
  <si>
    <t>수출용박스</t>
    <phoneticPr fontId="14" type="noConversion"/>
  </si>
  <si>
    <t>택배</t>
    <phoneticPr fontId="14" type="noConversion"/>
  </si>
  <si>
    <t>ANDERSON</t>
  </si>
  <si>
    <t>40FT</t>
    <phoneticPr fontId="14" type="noConversion"/>
  </si>
  <si>
    <t>수작업</t>
    <phoneticPr fontId="14" type="noConversion"/>
  </si>
  <si>
    <t xml:space="preserve">18*21 </t>
    <phoneticPr fontId="14" type="noConversion"/>
  </si>
  <si>
    <t>18*21 황</t>
    <phoneticPr fontId="14" type="noConversion"/>
  </si>
  <si>
    <t>낙원포장</t>
    <phoneticPr fontId="14" type="noConversion"/>
  </si>
  <si>
    <t>10.5*10 투</t>
    <phoneticPr fontId="14" type="noConversion"/>
  </si>
  <si>
    <t>PP 19*1000*5.8kg 청</t>
    <phoneticPr fontId="14" type="noConversion"/>
  </si>
  <si>
    <t>방문</t>
    <phoneticPr fontId="14" type="noConversion"/>
  </si>
  <si>
    <t>파렛트 1시</t>
    <phoneticPr fontId="14" type="noConversion"/>
  </si>
  <si>
    <t>전주삼신산업</t>
    <phoneticPr fontId="14" type="noConversion"/>
  </si>
  <si>
    <t>15박스</t>
    <phoneticPr fontId="14" type="noConversion"/>
  </si>
  <si>
    <t>power</t>
    <phoneticPr fontId="14" type="noConversion"/>
  </si>
  <si>
    <t>대신택배</t>
    <phoneticPr fontId="14" type="noConversion"/>
  </si>
  <si>
    <t>0.75t</t>
    <phoneticPr fontId="14" type="noConversion"/>
  </si>
  <si>
    <t>삼보팩</t>
    <phoneticPr fontId="14" type="noConversion"/>
  </si>
  <si>
    <t>12*10 황 0.8T</t>
    <phoneticPr fontId="14" type="noConversion"/>
  </si>
  <si>
    <t>㈜삼신</t>
    <phoneticPr fontId="14" type="noConversion"/>
  </si>
  <si>
    <t>100박스</t>
    <phoneticPr fontId="14" type="noConversion"/>
  </si>
  <si>
    <t>4pl</t>
    <phoneticPr fontId="14" type="noConversion"/>
  </si>
  <si>
    <t>용차 덕양구 용두 59-15</t>
    <phoneticPr fontId="14" type="noConversion"/>
  </si>
  <si>
    <t>한서포장</t>
    <phoneticPr fontId="14" type="noConversion"/>
  </si>
  <si>
    <t>12*9.5 황</t>
    <phoneticPr fontId="14" type="noConversion"/>
  </si>
  <si>
    <t>용차_일산 1톤 2pl</t>
    <phoneticPr fontId="14" type="noConversion"/>
  </si>
  <si>
    <t>必</t>
    <phoneticPr fontId="14" type="noConversion"/>
  </si>
  <si>
    <t>택배</t>
    <phoneticPr fontId="14" type="noConversion"/>
  </si>
  <si>
    <t>TIGERPAK</t>
    <phoneticPr fontId="14" type="noConversion"/>
  </si>
  <si>
    <t>40FT</t>
    <phoneticPr fontId="14" type="noConversion"/>
  </si>
  <si>
    <t>20,482kg</t>
    <phoneticPr fontId="14" type="noConversion"/>
  </si>
  <si>
    <t>수작업</t>
    <phoneticPr fontId="14" type="noConversion"/>
  </si>
  <si>
    <t>112박스</t>
    <phoneticPr fontId="14" type="noConversion"/>
  </si>
  <si>
    <t>10롤/1BOX</t>
    <phoneticPr fontId="14" type="noConversion"/>
  </si>
  <si>
    <t>PE  28*6 백</t>
    <phoneticPr fontId="14" type="noConversion"/>
  </si>
  <si>
    <t>56박스</t>
    <phoneticPr fontId="14" type="noConversion"/>
  </si>
  <si>
    <t>4롤/1BOX</t>
    <phoneticPr fontId="14" type="noConversion"/>
  </si>
  <si>
    <t>15*9.5 적</t>
    <phoneticPr fontId="14" type="noConversion"/>
  </si>
  <si>
    <t>6*10 황</t>
    <phoneticPr fontId="14" type="noConversion"/>
  </si>
  <si>
    <t>금산포장</t>
    <phoneticPr fontId="14" type="noConversion"/>
  </si>
  <si>
    <t>12*10 투명</t>
    <phoneticPr fontId="14" type="noConversion"/>
  </si>
  <si>
    <t>power</t>
    <phoneticPr fontId="14" type="noConversion"/>
  </si>
  <si>
    <t>18*15</t>
    <phoneticPr fontId="14" type="noConversion"/>
  </si>
  <si>
    <t>경인팩</t>
    <phoneticPr fontId="14" type="noConversion"/>
  </si>
  <si>
    <t>2PL</t>
    <phoneticPr fontId="14" type="noConversion"/>
  </si>
  <si>
    <t>광림파워팩</t>
    <phoneticPr fontId="14" type="noConversion"/>
  </si>
  <si>
    <t>인쇄밴드 15*10</t>
    <phoneticPr fontId="14" type="noConversion"/>
  </si>
  <si>
    <t>대흥코리아</t>
    <phoneticPr fontId="14" type="noConversion"/>
  </si>
  <si>
    <t>1T 문정섭과장</t>
    <phoneticPr fontId="14" type="noConversion"/>
  </si>
  <si>
    <t>28박스</t>
    <phoneticPr fontId="14" type="noConversion"/>
  </si>
  <si>
    <t>24kg</t>
    <phoneticPr fontId="14" type="noConversion"/>
  </si>
  <si>
    <t>파워엠팩</t>
    <phoneticPr fontId="14" type="noConversion"/>
  </si>
  <si>
    <t>청정원</t>
    <phoneticPr fontId="14" type="noConversion"/>
  </si>
  <si>
    <t>2PL</t>
    <phoneticPr fontId="14" type="noConversion"/>
  </si>
  <si>
    <t>14*10 보라</t>
    <phoneticPr fontId="14" type="noConversion"/>
  </si>
  <si>
    <t>대상산업</t>
    <phoneticPr fontId="14" type="noConversion"/>
  </si>
  <si>
    <t>14*10 보라</t>
    <phoneticPr fontId="14" type="noConversion"/>
  </si>
  <si>
    <t>18*21</t>
    <phoneticPr fontId="14" type="noConversion"/>
  </si>
  <si>
    <t>대영포장 발안</t>
    <phoneticPr fontId="14" type="noConversion"/>
  </si>
  <si>
    <t>12*10 황 0.8T</t>
    <phoneticPr fontId="14" type="noConversion"/>
  </si>
  <si>
    <t>0.8t</t>
    <phoneticPr fontId="14" type="noConversion"/>
  </si>
  <si>
    <t>신대한판지</t>
    <phoneticPr fontId="14" type="noConversion"/>
  </si>
  <si>
    <t>5p/l</t>
    <phoneticPr fontId="14" type="noConversion"/>
  </si>
  <si>
    <t>12*12.5 적</t>
    <phoneticPr fontId="14" type="noConversion"/>
  </si>
  <si>
    <t>12*12.5 백</t>
    <phoneticPr fontId="14" type="noConversion"/>
  </si>
  <si>
    <t>12*12.5 녹</t>
    <phoneticPr fontId="14" type="noConversion"/>
  </si>
  <si>
    <t>18*21</t>
    <phoneticPr fontId="14" type="noConversion"/>
  </si>
  <si>
    <t>이길호과장 배송</t>
    <phoneticPr fontId="14" type="noConversion"/>
  </si>
  <si>
    <t>PE 28*6 백</t>
    <phoneticPr fontId="14" type="noConversion"/>
  </si>
  <si>
    <t>6*10 발주</t>
    <phoneticPr fontId="14" type="noConversion"/>
  </si>
  <si>
    <t>15*10 백  0.65T</t>
    <phoneticPr fontId="14" type="noConversion"/>
  </si>
  <si>
    <t>PE 28*2  백</t>
    <phoneticPr fontId="14" type="noConversion"/>
  </si>
  <si>
    <t>KIC BOX</t>
    <phoneticPr fontId="14" type="noConversion"/>
  </si>
  <si>
    <t>대영포장안산</t>
    <phoneticPr fontId="14" type="noConversion"/>
  </si>
  <si>
    <t>지관회수</t>
    <phoneticPr fontId="14" type="noConversion"/>
  </si>
  <si>
    <t>송탄에이치엘</t>
    <phoneticPr fontId="14" type="noConversion"/>
  </si>
  <si>
    <t>PE 28*2(20K)</t>
    <phoneticPr fontId="14" type="noConversion"/>
  </si>
  <si>
    <t>12박스</t>
    <phoneticPr fontId="14" type="noConversion"/>
  </si>
  <si>
    <t>POWER BOX</t>
    <phoneticPr fontId="14" type="noConversion"/>
  </si>
  <si>
    <t>대신 착불 1PL</t>
    <phoneticPr fontId="14" type="noConversion"/>
  </si>
  <si>
    <t>동방포장기자재</t>
    <phoneticPr fontId="14" type="noConversion"/>
  </si>
  <si>
    <t>0.68T/농협</t>
    <phoneticPr fontId="14" type="noConversion"/>
  </si>
  <si>
    <t>방문출고</t>
    <phoneticPr fontId="14" type="noConversion"/>
  </si>
  <si>
    <t>56박스</t>
    <phoneticPr fontId="14" type="noConversion"/>
  </si>
  <si>
    <t>PE 28*6 백</t>
    <phoneticPr fontId="14" type="noConversion"/>
  </si>
  <si>
    <t>15.9.5 적</t>
    <phoneticPr fontId="14" type="noConversion"/>
  </si>
  <si>
    <t>50롤</t>
    <phoneticPr fontId="14" type="noConversion"/>
  </si>
  <si>
    <t>용차 1t 3p</t>
    <phoneticPr fontId="14" type="noConversion"/>
  </si>
  <si>
    <t>12시</t>
    <phoneticPr fontId="14" type="noConversion"/>
  </si>
  <si>
    <t>9*10   0.75t</t>
    <phoneticPr fontId="14" type="noConversion"/>
  </si>
  <si>
    <t>7*10 백</t>
  </si>
  <si>
    <t>지관회수</t>
  </si>
  <si>
    <t>문정섭</t>
    <phoneticPr fontId="14" type="noConversion"/>
  </si>
  <si>
    <t>전주삼신산업</t>
    <phoneticPr fontId="14" type="noConversion"/>
  </si>
  <si>
    <t>PE 28*2 백</t>
    <phoneticPr fontId="14" type="noConversion"/>
  </si>
  <si>
    <t>20박스</t>
    <phoneticPr fontId="14" type="noConversion"/>
  </si>
  <si>
    <t>주소없는 박스</t>
    <phoneticPr fontId="14" type="noConversion"/>
  </si>
  <si>
    <t>최대한빨리</t>
    <phoneticPr fontId="14" type="noConversion"/>
  </si>
  <si>
    <t>12*10 황 0.65T</t>
    <phoneticPr fontId="14" type="noConversion"/>
  </si>
  <si>
    <t>18*21 황</t>
    <phoneticPr fontId="14" type="noConversion"/>
  </si>
  <si>
    <t>15*10 황 0.65</t>
    <phoneticPr fontId="14" type="noConversion"/>
  </si>
  <si>
    <t>대영포장안산</t>
    <phoneticPr fontId="14" type="noConversion"/>
  </si>
  <si>
    <t>7*10백</t>
    <phoneticPr fontId="14" type="noConversion"/>
  </si>
  <si>
    <t>용차8시</t>
    <phoneticPr fontId="14" type="noConversion"/>
  </si>
  <si>
    <t>pe 28*6 (24kg)</t>
    <phoneticPr fontId="14" type="noConversion"/>
  </si>
  <si>
    <t>오뚜기 울산 삼남 출고</t>
    <phoneticPr fontId="14" type="noConversion"/>
  </si>
  <si>
    <t>1PL</t>
    <phoneticPr fontId="14" type="noConversion"/>
  </si>
  <si>
    <t>(주)인스트아이앤씨</t>
    <phoneticPr fontId="14" type="noConversion"/>
  </si>
  <si>
    <t>1박스</t>
    <phoneticPr fontId="14" type="noConversion"/>
  </si>
  <si>
    <t>kic박스</t>
    <phoneticPr fontId="14" type="noConversion"/>
  </si>
  <si>
    <t xml:space="preserve">화성 택배 </t>
    <phoneticPr fontId="14" type="noConversion"/>
  </si>
  <si>
    <t>NORTH SHORE</t>
    <phoneticPr fontId="14" type="noConversion"/>
  </si>
  <si>
    <t>12,330kg</t>
    <phoneticPr fontId="14" type="noConversion"/>
  </si>
  <si>
    <t>파렛트</t>
    <phoneticPr fontId="14" type="noConversion"/>
  </si>
  <si>
    <t>방문출고</t>
    <phoneticPr fontId="14" type="noConversion"/>
  </si>
  <si>
    <t>90롤</t>
    <phoneticPr fontId="14" type="noConversion"/>
  </si>
  <si>
    <t>10.5*10 청</t>
    <phoneticPr fontId="14" type="noConversion"/>
  </si>
  <si>
    <t>동아출판</t>
    <phoneticPr fontId="14" type="noConversion"/>
  </si>
  <si>
    <t>대영포장 발안</t>
    <phoneticPr fontId="14" type="noConversion"/>
  </si>
  <si>
    <t>교환</t>
    <phoneticPr fontId="14" type="noConversion"/>
  </si>
  <si>
    <t>12*10 황 0.8t</t>
    <phoneticPr fontId="14" type="noConversion"/>
  </si>
  <si>
    <t>PE 28*2 청</t>
    <phoneticPr fontId="14" type="noConversion"/>
  </si>
  <si>
    <t>2박스</t>
    <phoneticPr fontId="14" type="noConversion"/>
  </si>
  <si>
    <t>문정섭과장</t>
    <phoneticPr fontId="14" type="noConversion"/>
  </si>
  <si>
    <t>6p/l</t>
    <phoneticPr fontId="14" type="noConversion"/>
  </si>
  <si>
    <t>광림파워팩</t>
    <phoneticPr fontId="14" type="noConversion"/>
  </si>
  <si>
    <t>15*13 황</t>
    <phoneticPr fontId="14" type="noConversion"/>
  </si>
  <si>
    <t>9*9.5 황</t>
    <phoneticPr fontId="14" type="noConversion"/>
  </si>
  <si>
    <t>삼화인쇄</t>
    <phoneticPr fontId="14" type="noConversion"/>
  </si>
  <si>
    <t>28*2 백</t>
    <phoneticPr fontId="14" type="noConversion"/>
  </si>
  <si>
    <t>쇼핑백(1층)</t>
    <phoneticPr fontId="14" type="noConversion"/>
  </si>
  <si>
    <t>오전 배송
이길호과장</t>
    <phoneticPr fontId="14" type="noConversion"/>
  </si>
  <si>
    <t>평판지하B판</t>
    <phoneticPr fontId="14" type="noConversion"/>
  </si>
  <si>
    <t>파워엠팩</t>
    <phoneticPr fontId="14" type="noConversion"/>
  </si>
  <si>
    <t>10.5*10 투</t>
    <phoneticPr fontId="14" type="noConversion"/>
  </si>
  <si>
    <t>NZ SAFETY</t>
    <phoneticPr fontId="14" type="noConversion"/>
  </si>
  <si>
    <t>20FT</t>
    <phoneticPr fontId="14" type="noConversion"/>
  </si>
  <si>
    <t>8,259kg</t>
    <phoneticPr fontId="14" type="noConversion"/>
  </si>
  <si>
    <t>오전10시</t>
    <phoneticPr fontId="14" type="noConversion"/>
  </si>
  <si>
    <t>화</t>
    <phoneticPr fontId="14" type="noConversion"/>
  </si>
  <si>
    <t>제이케이머티리얼스</t>
    <phoneticPr fontId="14" type="noConversion"/>
  </si>
  <si>
    <t>18*10 황</t>
    <phoneticPr fontId="14" type="noConversion"/>
  </si>
  <si>
    <t>주식회사 쪽빛누리</t>
    <phoneticPr fontId="14" type="noConversion"/>
  </si>
  <si>
    <t>KIC박스</t>
    <phoneticPr fontId="14" type="noConversion"/>
  </si>
  <si>
    <t>대일상사_전주</t>
    <phoneticPr fontId="14" type="noConversion"/>
  </si>
  <si>
    <t>수출용박스</t>
    <phoneticPr fontId="14" type="noConversion"/>
  </si>
  <si>
    <t>15*10 황 0.65t</t>
    <phoneticPr fontId="14" type="noConversion"/>
  </si>
  <si>
    <t>1pl</t>
    <phoneticPr fontId="14" type="noConversion"/>
  </si>
  <si>
    <t>대신택배</t>
    <phoneticPr fontId="14" type="noConversion"/>
  </si>
  <si>
    <t>광림</t>
    <phoneticPr fontId="14" type="noConversion"/>
  </si>
  <si>
    <t>PE 28*6 백</t>
    <phoneticPr fontId="14" type="noConversion"/>
  </si>
  <si>
    <t>12*10 황0.65T</t>
    <phoneticPr fontId="14" type="noConversion"/>
  </si>
  <si>
    <t>오전납품</t>
    <phoneticPr fontId="14" type="noConversion"/>
  </si>
  <si>
    <t>청아판지텍</t>
    <phoneticPr fontId="14" type="noConversion"/>
  </si>
  <si>
    <t>로젠택배/kic박스</t>
    <phoneticPr fontId="14" type="noConversion"/>
  </si>
  <si>
    <t>6*10백</t>
    <phoneticPr fontId="14" type="noConversion"/>
  </si>
  <si>
    <t>18*21 황</t>
    <phoneticPr fontId="14" type="noConversion"/>
  </si>
  <si>
    <t>18*15</t>
    <phoneticPr fontId="14" type="noConversion"/>
  </si>
  <si>
    <t>60롤</t>
    <phoneticPr fontId="14" type="noConversion"/>
  </si>
  <si>
    <t>오후 납품</t>
    <phoneticPr fontId="14" type="noConversion"/>
  </si>
  <si>
    <t>12*10 청</t>
    <phoneticPr fontId="14" type="noConversion"/>
  </si>
  <si>
    <t>113롤</t>
    <phoneticPr fontId="14" type="noConversion"/>
  </si>
  <si>
    <t>두산목재</t>
    <phoneticPr fontId="14" type="noConversion"/>
  </si>
  <si>
    <t>지방 용차(진주) 2p</t>
    <phoneticPr fontId="14" type="noConversion"/>
  </si>
  <si>
    <t>42박스</t>
    <phoneticPr fontId="14" type="noConversion"/>
  </si>
  <si>
    <t>경인팩 박스</t>
    <phoneticPr fontId="14" type="noConversion"/>
  </si>
  <si>
    <t>경인팩 용차(시흥)4p</t>
    <phoneticPr fontId="14" type="noConversion"/>
  </si>
  <si>
    <t>6*10청</t>
    <phoneticPr fontId="14" type="noConversion"/>
  </si>
  <si>
    <t>56롤</t>
    <phoneticPr fontId="14" type="noConversion"/>
  </si>
  <si>
    <t>100롤</t>
    <phoneticPr fontId="14" type="noConversion"/>
  </si>
  <si>
    <t>우선산업</t>
    <phoneticPr fontId="14" type="noConversion"/>
  </si>
  <si>
    <t>PE 50*5kg</t>
    <phoneticPr fontId="14" type="noConversion"/>
  </si>
  <si>
    <t>50박스</t>
    <phoneticPr fontId="14" type="noConversion"/>
  </si>
  <si>
    <t>방문 출고(완료)2p</t>
    <phoneticPr fontId="14" type="noConversion"/>
  </si>
  <si>
    <t>태양지대</t>
    <phoneticPr fontId="14" type="noConversion"/>
  </si>
  <si>
    <t>용차(인천 남동공단)2p</t>
    <phoneticPr fontId="14" type="noConversion"/>
  </si>
  <si>
    <t>PE 28*2 백 24K</t>
    <phoneticPr fontId="14" type="noConversion"/>
  </si>
  <si>
    <t>105박스</t>
    <phoneticPr fontId="14" type="noConversion"/>
  </si>
  <si>
    <t xml:space="preserve"> 지방 용차(대구달성)6p</t>
    <phoneticPr fontId="14" type="noConversion"/>
  </si>
  <si>
    <t>PE 28*2 백 20K</t>
    <phoneticPr fontId="14" type="noConversion"/>
  </si>
  <si>
    <t>powerbox</t>
    <phoneticPr fontId="14" type="noConversion"/>
  </si>
  <si>
    <t>PE 28*2 청</t>
    <phoneticPr fontId="14" type="noConversion"/>
  </si>
  <si>
    <t>4박스</t>
    <phoneticPr fontId="14" type="noConversion"/>
  </si>
  <si>
    <t>PE 28*6 백 24K</t>
    <phoneticPr fontId="14" type="noConversion"/>
  </si>
  <si>
    <t>100롤</t>
    <phoneticPr fontId="14" type="noConversion"/>
  </si>
  <si>
    <t>일산 용차(완료)</t>
    <phoneticPr fontId="14" type="noConversion"/>
  </si>
  <si>
    <t>이길호 과장(완료)</t>
    <phoneticPr fontId="14" type="noConversion"/>
  </si>
  <si>
    <t>100롤</t>
    <phoneticPr fontId="14" type="noConversion"/>
  </si>
  <si>
    <t>방문 출고(완료)</t>
    <phoneticPr fontId="14" type="noConversion"/>
  </si>
  <si>
    <t>10.5*10 투명</t>
    <phoneticPr fontId="14" type="noConversion"/>
  </si>
  <si>
    <t>40롤</t>
    <phoneticPr fontId="14" type="noConversion"/>
  </si>
  <si>
    <t>그린포장</t>
    <phoneticPr fontId="14" type="noConversion"/>
  </si>
  <si>
    <t>PE 28*2 백 20Kg</t>
    <phoneticPr fontId="14" type="noConversion"/>
  </si>
  <si>
    <t>power박스</t>
    <phoneticPr fontId="14" type="noConversion"/>
  </si>
  <si>
    <t>80롤</t>
    <phoneticPr fontId="14" type="noConversion"/>
  </si>
  <si>
    <t>용차</t>
    <phoneticPr fontId="14" type="noConversion"/>
  </si>
  <si>
    <t>64롤</t>
    <phoneticPr fontId="14" type="noConversion"/>
  </si>
  <si>
    <t>동원팩</t>
    <phoneticPr fontId="14" type="noConversion"/>
  </si>
  <si>
    <t>오전 납품</t>
    <phoneticPr fontId="14" type="noConversion"/>
  </si>
  <si>
    <t xml:space="preserve">PE 28*6 백 </t>
    <phoneticPr fontId="14" type="noConversion"/>
  </si>
  <si>
    <t>대영포장(발안)</t>
    <phoneticPr fontId="14" type="noConversion"/>
  </si>
  <si>
    <t>200롤</t>
    <phoneticPr fontId="14" type="noConversion"/>
  </si>
  <si>
    <t>오후 납품                (kpp빨강 파렛트)</t>
    <phoneticPr fontId="14" type="noConversion"/>
  </si>
  <si>
    <t>pe 50*5</t>
    <phoneticPr fontId="14" type="noConversion"/>
  </si>
  <si>
    <t>37박스</t>
    <phoneticPr fontId="14" type="noConversion"/>
  </si>
  <si>
    <t>폴리팩</t>
    <phoneticPr fontId="14" type="noConversion"/>
  </si>
  <si>
    <t>오후5시</t>
    <phoneticPr fontId="14" type="noConversion"/>
  </si>
  <si>
    <t>노스쇼아</t>
    <phoneticPr fontId="14" type="noConversion"/>
  </si>
  <si>
    <t>오후1시</t>
    <phoneticPr fontId="14" type="noConversion"/>
  </si>
  <si>
    <t>12*12.5 황</t>
    <phoneticPr fontId="14" type="noConversion"/>
  </si>
  <si>
    <t>220롤</t>
    <phoneticPr fontId="14" type="noConversion"/>
  </si>
  <si>
    <t xml:space="preserve">12*12.5 투명 </t>
    <phoneticPr fontId="14" type="noConversion"/>
  </si>
  <si>
    <t>30롤</t>
    <phoneticPr fontId="14" type="noConversion"/>
  </si>
  <si>
    <t xml:space="preserve">15*13 황 </t>
    <phoneticPr fontId="14" type="noConversion"/>
  </si>
  <si>
    <t>20롤</t>
    <phoneticPr fontId="14" type="noConversion"/>
  </si>
  <si>
    <t>30롤</t>
    <phoneticPr fontId="14" type="noConversion"/>
  </si>
  <si>
    <t>kic박스</t>
    <phoneticPr fontId="14" type="noConversion"/>
  </si>
  <si>
    <t>노스쇼아</t>
    <phoneticPr fontId="14" type="noConversion"/>
  </si>
  <si>
    <t>파렛트</t>
    <phoneticPr fontId="14" type="noConversion"/>
  </si>
  <si>
    <t>오후5시</t>
    <phoneticPr fontId="14" type="noConversion"/>
  </si>
  <si>
    <t>수</t>
    <phoneticPr fontId="14" type="noConversion"/>
  </si>
  <si>
    <t>추 석 연 휴</t>
    <phoneticPr fontId="14" type="noConversion"/>
  </si>
  <si>
    <t>10월 5일</t>
    <phoneticPr fontId="14" type="noConversion"/>
  </si>
  <si>
    <t>신한 화학</t>
    <phoneticPr fontId="14" type="noConversion"/>
  </si>
  <si>
    <t>50박스</t>
    <phoneticPr fontId="14" type="noConversion"/>
  </si>
  <si>
    <t>10.5*10 투명</t>
    <phoneticPr fontId="14" type="noConversion"/>
  </si>
  <si>
    <t>방문 출고</t>
    <phoneticPr fontId="14" type="noConversion"/>
  </si>
  <si>
    <t>10월 6일</t>
    <phoneticPr fontId="14" type="noConversion"/>
  </si>
  <si>
    <t>삼성</t>
    <phoneticPr fontId="14" type="noConversion"/>
  </si>
  <si>
    <t>18*21 투명</t>
    <phoneticPr fontId="14" type="noConversion"/>
  </si>
  <si>
    <t>361롤</t>
    <phoneticPr fontId="14" type="noConversion"/>
  </si>
  <si>
    <t>신화티에스</t>
    <phoneticPr fontId="14" type="noConversion"/>
  </si>
  <si>
    <t>15*10 황 0.8T</t>
    <phoneticPr fontId="14" type="noConversion"/>
  </si>
  <si>
    <t>방문 출고.나무파렛트</t>
    <phoneticPr fontId="14" type="noConversion"/>
  </si>
  <si>
    <t>동양프린팅</t>
    <phoneticPr fontId="14" type="noConversion"/>
  </si>
  <si>
    <t>싸이클롭</t>
    <phoneticPr fontId="14" type="noConversion"/>
  </si>
  <si>
    <t>40 FT</t>
    <phoneticPr fontId="14" type="noConversion"/>
  </si>
  <si>
    <t>10월 7일</t>
    <phoneticPr fontId="14" type="noConversion"/>
  </si>
  <si>
    <t>408롤</t>
    <phoneticPr fontId="14" type="noConversion"/>
  </si>
  <si>
    <t>PE 28*2 백 20Kg</t>
    <phoneticPr fontId="14" type="noConversion"/>
  </si>
  <si>
    <t>PE 28*2 황 20Kg</t>
    <phoneticPr fontId="14" type="noConversion"/>
  </si>
  <si>
    <t>PE 28*6 백 24Kg</t>
    <phoneticPr fontId="14" type="noConversion"/>
  </si>
  <si>
    <t>200롤</t>
    <phoneticPr fontId="14" type="noConversion"/>
  </si>
  <si>
    <t>6*10 황</t>
    <phoneticPr fontId="14" type="noConversion"/>
  </si>
  <si>
    <t>50롤</t>
    <phoneticPr fontId="14" type="noConversion"/>
  </si>
  <si>
    <t>12*12.5황</t>
    <phoneticPr fontId="14" type="noConversion"/>
  </si>
  <si>
    <t>20롤</t>
    <phoneticPr fontId="14" type="noConversion"/>
  </si>
  <si>
    <t>보우팩</t>
    <phoneticPr fontId="14" type="noConversion"/>
  </si>
  <si>
    <t>9*10 투명</t>
    <phoneticPr fontId="14" type="noConversion"/>
  </si>
  <si>
    <t>용차(오전 10시 출고)</t>
    <phoneticPr fontId="14" type="noConversion"/>
  </si>
  <si>
    <t>신광포장</t>
    <phoneticPr fontId="14" type="noConversion"/>
  </si>
  <si>
    <t>15*10 황 0.65</t>
    <phoneticPr fontId="14" type="noConversion"/>
  </si>
  <si>
    <t>RLB</t>
    <phoneticPr fontId="14" type="noConversion"/>
  </si>
  <si>
    <t>파렛트</t>
    <phoneticPr fontId="14" type="noConversion"/>
  </si>
  <si>
    <t>10월 8일</t>
    <phoneticPr fontId="14" type="noConversion"/>
  </si>
  <si>
    <t>18*21 투명</t>
    <phoneticPr fontId="14" type="noConversion"/>
  </si>
  <si>
    <t>280롤</t>
    <phoneticPr fontId="14" type="noConversion"/>
  </si>
  <si>
    <t xml:space="preserve">6*10 백 </t>
    <phoneticPr fontId="14" type="noConversion"/>
  </si>
  <si>
    <t>이길호 과장</t>
    <phoneticPr fontId="14" type="noConversion"/>
  </si>
  <si>
    <t>power박스</t>
    <phoneticPr fontId="14" type="noConversion"/>
  </si>
  <si>
    <t>10.5*10 청</t>
    <phoneticPr fontId="14" type="noConversion"/>
  </si>
  <si>
    <t>10월 9일</t>
    <phoneticPr fontId="14" type="noConversion"/>
  </si>
  <si>
    <t>금</t>
    <phoneticPr fontId="14" type="noConversion"/>
  </si>
  <si>
    <t>한글날 휴무</t>
    <phoneticPr fontId="14" type="noConversion"/>
  </si>
  <si>
    <t>15*10 황 0.8T</t>
    <phoneticPr fontId="14" type="noConversion"/>
  </si>
  <si>
    <t>40 FT</t>
    <phoneticPr fontId="14" type="noConversion"/>
  </si>
  <si>
    <t>408롤</t>
    <phoneticPr fontId="14" type="noConversion"/>
  </si>
  <si>
    <t>112박스</t>
    <phoneticPr fontId="14" type="noConversion"/>
  </si>
  <si>
    <t>PE 28*6 백 24Kg</t>
    <phoneticPr fontId="14" type="noConversion"/>
  </si>
  <si>
    <t>9*10 적</t>
    <phoneticPr fontId="14" type="noConversion"/>
  </si>
  <si>
    <t>목</t>
    <phoneticPr fontId="14" type="noConversion"/>
  </si>
  <si>
    <t xml:space="preserve">6*10 백 </t>
    <phoneticPr fontId="14" type="noConversion"/>
  </si>
  <si>
    <t>한글날 휴무</t>
    <phoneticPr fontId="14" type="noConversion"/>
  </si>
  <si>
    <t>10월 12일</t>
    <phoneticPr fontId="14" type="noConversion"/>
  </si>
  <si>
    <t>월</t>
    <phoneticPr fontId="14" type="noConversion"/>
  </si>
  <si>
    <t>14*10 황</t>
    <phoneticPr fontId="14" type="noConversion"/>
  </si>
  <si>
    <t>청정원</t>
    <phoneticPr fontId="14" type="noConversion"/>
  </si>
  <si>
    <t>지방 합화차</t>
    <phoneticPr fontId="14" type="noConversion"/>
  </si>
  <si>
    <t>14*10 주황</t>
    <phoneticPr fontId="14" type="noConversion"/>
  </si>
  <si>
    <t>pe 28*2kg 백</t>
    <phoneticPr fontId="14" type="noConversion"/>
  </si>
  <si>
    <t>동서포장</t>
    <phoneticPr fontId="14" type="noConversion"/>
  </si>
  <si>
    <t>7박스</t>
    <phoneticPr fontId="14" type="noConversion"/>
  </si>
  <si>
    <t>로젠택배</t>
    <phoneticPr fontId="14" type="noConversion"/>
  </si>
  <si>
    <t>30박스</t>
    <phoneticPr fontId="14" type="noConversion"/>
  </si>
  <si>
    <t>power 박스</t>
    <phoneticPr fontId="14" type="noConversion"/>
  </si>
  <si>
    <t>234롤</t>
    <phoneticPr fontId="14" type="noConversion"/>
  </si>
  <si>
    <t>이길호 과장 납품</t>
    <phoneticPr fontId="14" type="noConversion"/>
  </si>
  <si>
    <t>pe 28*2kg 황</t>
    <phoneticPr fontId="14" type="noConversion"/>
  </si>
  <si>
    <t>pe 28*2kg 청</t>
    <phoneticPr fontId="14" type="noConversion"/>
  </si>
  <si>
    <t>에이원코리아</t>
    <phoneticPr fontId="14" type="noConversion"/>
  </si>
  <si>
    <t>12*12 황</t>
    <phoneticPr fontId="14" type="noConversion"/>
  </si>
  <si>
    <t>9*11 은회색</t>
    <phoneticPr fontId="14" type="noConversion"/>
  </si>
  <si>
    <t>삼보펙</t>
    <phoneticPr fontId="14" type="noConversion"/>
  </si>
  <si>
    <t>신광포장</t>
    <phoneticPr fontId="14" type="noConversion"/>
  </si>
  <si>
    <t>12*10 황 (0.65)</t>
    <phoneticPr fontId="14" type="noConversion"/>
  </si>
  <si>
    <t>15*12 황</t>
    <phoneticPr fontId="14" type="noConversion"/>
  </si>
  <si>
    <t>pe 28*2kg</t>
    <phoneticPr fontId="14" type="noConversion"/>
  </si>
  <si>
    <t>72박스</t>
    <phoneticPr fontId="14" type="noConversion"/>
  </si>
  <si>
    <t>pe 28*6kg</t>
    <phoneticPr fontId="14" type="noConversion"/>
  </si>
  <si>
    <t>인쇄밴드(솔표)</t>
    <phoneticPr fontId="14" type="noConversion"/>
  </si>
  <si>
    <t>9*10 황</t>
    <phoneticPr fontId="14" type="noConversion"/>
  </si>
  <si>
    <t>128롤</t>
    <phoneticPr fontId="14" type="noConversion"/>
  </si>
  <si>
    <t>12*12.5 투명</t>
    <phoneticPr fontId="14" type="noConversion"/>
  </si>
  <si>
    <t>10롤</t>
    <phoneticPr fontId="14" type="noConversion"/>
  </si>
  <si>
    <t>50롤</t>
    <phoneticPr fontId="14" type="noConversion"/>
  </si>
  <si>
    <t>해성수출포장</t>
    <phoneticPr fontId="14" type="noConversion"/>
  </si>
  <si>
    <t>power 박스</t>
    <phoneticPr fontId="14" type="noConversion"/>
  </si>
  <si>
    <t>방문 출고(완료)</t>
    <phoneticPr fontId="14" type="noConversion"/>
  </si>
  <si>
    <t>에이스 팩</t>
    <phoneticPr fontId="14" type="noConversion"/>
  </si>
  <si>
    <t>25mic*1400M</t>
    <phoneticPr fontId="14" type="noConversion"/>
  </si>
  <si>
    <t>48박스</t>
    <phoneticPr fontId="14" type="noConversion"/>
  </si>
  <si>
    <t>택배</t>
    <phoneticPr fontId="14" type="noConversion"/>
  </si>
  <si>
    <t>제일포장(김해)</t>
    <phoneticPr fontId="14" type="noConversion"/>
  </si>
  <si>
    <t>pe 28*2kg 청</t>
    <phoneticPr fontId="14" type="noConversion"/>
  </si>
  <si>
    <t>pe 28*2kg 녹</t>
    <phoneticPr fontId="14" type="noConversion"/>
  </si>
  <si>
    <t>1박스</t>
    <phoneticPr fontId="14" type="noConversion"/>
  </si>
  <si>
    <t>대원포장</t>
    <phoneticPr fontId="14" type="noConversion"/>
  </si>
  <si>
    <t>pe 28*2kg</t>
    <phoneticPr fontId="14" type="noConversion"/>
  </si>
  <si>
    <t>금산포장</t>
    <phoneticPr fontId="14" type="noConversion"/>
  </si>
  <si>
    <t>15*10 인쇄(DHF)</t>
    <phoneticPr fontId="14" type="noConversion"/>
  </si>
  <si>
    <t>이길호 과장 납품</t>
    <phoneticPr fontId="14" type="noConversion"/>
  </si>
  <si>
    <t>80롤</t>
    <phoneticPr fontId="14" type="noConversion"/>
  </si>
  <si>
    <t>1파렛트(나무)</t>
    <phoneticPr fontId="14" type="noConversion"/>
  </si>
  <si>
    <t>제주도 합화차(완료)</t>
    <phoneticPr fontId="14" type="noConversion"/>
  </si>
  <si>
    <t>10월 15일</t>
    <phoneticPr fontId="14" type="noConversion"/>
  </si>
  <si>
    <t>108롤</t>
    <phoneticPr fontId="14" type="noConversion"/>
  </si>
  <si>
    <t>18*15 투명</t>
    <phoneticPr fontId="14" type="noConversion"/>
  </si>
  <si>
    <t>1롤</t>
    <phoneticPr fontId="14" type="noConversion"/>
  </si>
  <si>
    <t>10롤</t>
    <phoneticPr fontId="14" type="noConversion"/>
  </si>
  <si>
    <t>pe 28*2 백</t>
    <phoneticPr fontId="14" type="noConversion"/>
  </si>
  <si>
    <t>pe 28*6 백</t>
    <phoneticPr fontId="14" type="noConversion"/>
  </si>
  <si>
    <t>대상산업</t>
    <phoneticPr fontId="14" type="noConversion"/>
  </si>
  <si>
    <t>pe 28*2 백(24K0</t>
    <phoneticPr fontId="14" type="noConversion"/>
  </si>
  <si>
    <t>방문출고(완료)</t>
    <phoneticPr fontId="14" type="noConversion"/>
  </si>
  <si>
    <t>낙원포장</t>
    <phoneticPr fontId="14" type="noConversion"/>
  </si>
  <si>
    <t>pe 28*2kg 황</t>
    <phoneticPr fontId="14" type="noConversion"/>
  </si>
  <si>
    <t>pe 28*6 백</t>
    <phoneticPr fontId="14" type="noConversion"/>
  </si>
  <si>
    <t>25박스</t>
    <phoneticPr fontId="14" type="noConversion"/>
  </si>
  <si>
    <t>삼원산업</t>
    <phoneticPr fontId="14" type="noConversion"/>
  </si>
  <si>
    <t>pe 28*2kg 백</t>
    <phoneticPr fontId="14" type="noConversion"/>
  </si>
  <si>
    <t>12*10황 (0.85T)</t>
    <phoneticPr fontId="14" type="noConversion"/>
  </si>
  <si>
    <t>15*10 황 (0.80T)</t>
    <phoneticPr fontId="14" type="noConversion"/>
  </si>
  <si>
    <t>150롤</t>
    <phoneticPr fontId="14" type="noConversion"/>
  </si>
  <si>
    <t>완료</t>
    <phoneticPr fontId="14" type="noConversion"/>
  </si>
  <si>
    <t>pe 28*2 황</t>
    <phoneticPr fontId="14" type="noConversion"/>
  </si>
  <si>
    <t>15*10 백</t>
    <phoneticPr fontId="14" type="noConversion"/>
  </si>
  <si>
    <t>15*10 청</t>
    <phoneticPr fontId="14" type="noConversion"/>
  </si>
  <si>
    <t>15*10 황</t>
    <phoneticPr fontId="14" type="noConversion"/>
  </si>
  <si>
    <t>15롤</t>
    <phoneticPr fontId="14" type="noConversion"/>
  </si>
  <si>
    <t xml:space="preserve">12*10 황 </t>
    <phoneticPr fontId="14" type="noConversion"/>
  </si>
  <si>
    <t>6박스</t>
    <phoneticPr fontId="14" type="noConversion"/>
  </si>
  <si>
    <t>대영포장(안산)</t>
    <phoneticPr fontId="14" type="noConversion"/>
  </si>
  <si>
    <t>170롤</t>
    <phoneticPr fontId="14" type="noConversion"/>
  </si>
  <si>
    <t>3파렛트</t>
    <phoneticPr fontId="14" type="noConversion"/>
  </si>
  <si>
    <t>자강</t>
    <phoneticPr fontId="14" type="noConversion"/>
  </si>
  <si>
    <t>18*10 황</t>
    <phoneticPr fontId="14" type="noConversion"/>
  </si>
  <si>
    <t>자강 검정 파렛트</t>
    <phoneticPr fontId="14" type="noConversion"/>
  </si>
  <si>
    <t>용차(오후 2시30분 배차)</t>
    <phoneticPr fontId="14" type="noConversion"/>
  </si>
  <si>
    <t>파워엠팩</t>
    <phoneticPr fontId="14" type="noConversion"/>
  </si>
  <si>
    <t>12*10 황(0.80 T)</t>
    <phoneticPr fontId="14" type="noConversion"/>
  </si>
  <si>
    <t>9롤</t>
    <phoneticPr fontId="14" type="noConversion"/>
  </si>
  <si>
    <t>오후 납품</t>
    <phoneticPr fontId="14" type="noConversion"/>
  </si>
  <si>
    <t>18*21(황)</t>
    <phoneticPr fontId="14" type="noConversion"/>
  </si>
  <si>
    <t>용차(완료)</t>
    <phoneticPr fontId="14" type="noConversion"/>
  </si>
  <si>
    <t>12*12.5 투명</t>
    <phoneticPr fontId="14" type="noConversion"/>
  </si>
  <si>
    <t>용차(오전출고)</t>
    <phoneticPr fontId="14" type="noConversion"/>
  </si>
  <si>
    <t>패드갈이 해야함</t>
    <phoneticPr fontId="14" type="noConversion"/>
  </si>
  <si>
    <t>pe 28*2 백(24K)</t>
    <phoneticPr fontId="14" type="noConversion"/>
  </si>
  <si>
    <t>대구 한국포장           총6파렛트</t>
    <phoneticPr fontId="14" type="noConversion"/>
  </si>
  <si>
    <t>지방 합화차(대구)</t>
    <phoneticPr fontId="14" type="noConversion"/>
  </si>
  <si>
    <t>pe 28*6 백(24K)</t>
    <phoneticPr fontId="14" type="noConversion"/>
  </si>
  <si>
    <t>28박스</t>
    <phoneticPr fontId="14" type="noConversion"/>
  </si>
  <si>
    <t>112롤</t>
    <phoneticPr fontId="14" type="noConversion"/>
  </si>
  <si>
    <t>이길호 과장 납품(오후)</t>
    <phoneticPr fontId="14" type="noConversion"/>
  </si>
  <si>
    <t>15*10(0.8T) 투명</t>
    <phoneticPr fontId="14" type="noConversion"/>
  </si>
  <si>
    <t>48롤</t>
    <phoneticPr fontId="14" type="noConversion"/>
  </si>
  <si>
    <t>나무 파렛트</t>
    <phoneticPr fontId="14" type="noConversion"/>
  </si>
  <si>
    <t>신대한판지</t>
    <phoneticPr fontId="14" type="noConversion"/>
  </si>
  <si>
    <t>7*10 백</t>
    <phoneticPr fontId="14" type="noConversion"/>
  </si>
  <si>
    <t>384롤</t>
    <phoneticPr fontId="14" type="noConversion"/>
  </si>
  <si>
    <t>64롤짜리 6파레트</t>
    <phoneticPr fontId="14" type="noConversion"/>
  </si>
  <si>
    <t>오전 납품</t>
    <phoneticPr fontId="14" type="noConversion"/>
  </si>
  <si>
    <t>라바 인터네셔널</t>
    <phoneticPr fontId="14" type="noConversion"/>
  </si>
  <si>
    <t>2롤</t>
    <phoneticPr fontId="14" type="noConversion"/>
  </si>
  <si>
    <t xml:space="preserve"> 택배</t>
    <phoneticPr fontId="14" type="noConversion"/>
  </si>
  <si>
    <t>삼성</t>
    <phoneticPr fontId="14" type="noConversion"/>
  </si>
  <si>
    <t>에이펙스</t>
    <phoneticPr fontId="14" type="noConversion"/>
  </si>
  <si>
    <t>12*10 황(0.85 T)</t>
    <phoneticPr fontId="14" type="noConversion"/>
  </si>
  <si>
    <t>64롤 2파렛트</t>
    <phoneticPr fontId="14" type="noConversion"/>
  </si>
  <si>
    <t>지방 합화차(논산)</t>
    <phoneticPr fontId="14" type="noConversion"/>
  </si>
  <si>
    <t>12*9.5황</t>
    <phoneticPr fontId="14" type="noConversion"/>
  </si>
  <si>
    <t>나무 파렛트</t>
    <phoneticPr fontId="14" type="noConversion"/>
  </si>
  <si>
    <t>일산 용차(오전)</t>
    <phoneticPr fontId="14" type="noConversion"/>
  </si>
  <si>
    <t>104롤</t>
    <phoneticPr fontId="14" type="noConversion"/>
  </si>
  <si>
    <t>pe 28*2 백(24k)</t>
    <phoneticPr fontId="14" type="noConversion"/>
  </si>
  <si>
    <t>싸이클럽</t>
    <phoneticPr fontId="14" type="noConversion"/>
  </si>
  <si>
    <t>금</t>
    <phoneticPr fontId="14" type="noConversion"/>
  </si>
  <si>
    <t>서울 납품</t>
    <phoneticPr fontId="14" type="noConversion"/>
  </si>
  <si>
    <t>15*10 황(0.65)</t>
    <phoneticPr fontId="14" type="noConversion"/>
  </si>
  <si>
    <t>호성수출포장</t>
    <phoneticPr fontId="14" type="noConversion"/>
  </si>
  <si>
    <t>PE28*2백</t>
    <phoneticPr fontId="14" type="noConversion"/>
  </si>
  <si>
    <t>원양어선</t>
    <phoneticPr fontId="14" type="noConversion"/>
  </si>
  <si>
    <t>제일산업(안성)</t>
    <phoneticPr fontId="14" type="noConversion"/>
  </si>
  <si>
    <t>pe 50*5 백</t>
    <phoneticPr fontId="14" type="noConversion"/>
  </si>
  <si>
    <t>이월</t>
    <phoneticPr fontId="14" type="noConversion"/>
  </si>
  <si>
    <t>PE28*2백</t>
    <phoneticPr fontId="14" type="noConversion"/>
  </si>
  <si>
    <t>택배(나무파레트)</t>
    <phoneticPr fontId="14" type="noConversion"/>
  </si>
  <si>
    <t>pe 28*2 백(20K)</t>
    <phoneticPr fontId="14" type="noConversion"/>
  </si>
  <si>
    <t>4P</t>
    <phoneticPr fontId="14" type="noConversion"/>
  </si>
  <si>
    <t>pe 28*6 백(24K)</t>
    <phoneticPr fontId="14" type="noConversion"/>
  </si>
  <si>
    <t>2P</t>
    <phoneticPr fontId="14" type="noConversion"/>
  </si>
  <si>
    <t>12*10 백(0.65t)</t>
    <phoneticPr fontId="14" type="noConversion"/>
  </si>
  <si>
    <t>1P</t>
    <phoneticPr fontId="14" type="noConversion"/>
  </si>
  <si>
    <t>7*10(백색)</t>
    <phoneticPr fontId="14" type="noConversion"/>
  </si>
  <si>
    <t>박스밴딩용</t>
    <phoneticPr fontId="14" type="noConversion"/>
  </si>
  <si>
    <t>로젠택배</t>
    <phoneticPr fontId="14" type="noConversion"/>
  </si>
  <si>
    <t>12*10연두색</t>
    <phoneticPr fontId="14" type="noConversion"/>
  </si>
  <si>
    <r>
      <t>샘플은 판매등록</t>
    </r>
    <r>
      <rPr>
        <sz val="11"/>
        <color rgb="FF000000"/>
        <rFont val="맑은 고딕"/>
        <family val="3"/>
        <charset val="129"/>
      </rPr>
      <t xml:space="preserve"> 안함</t>
    </r>
    <phoneticPr fontId="14" type="noConversion"/>
  </si>
  <si>
    <t>10.5*10투명</t>
    <phoneticPr fontId="14" type="noConversion"/>
  </si>
  <si>
    <t>전날에 다음날 거래명세서 뽑아놓을 것</t>
    <phoneticPr fontId="14" type="noConversion"/>
  </si>
  <si>
    <t>1차 납품</t>
    <phoneticPr fontId="14" type="noConversion"/>
  </si>
  <si>
    <t>대성씨앤씨</t>
    <phoneticPr fontId="14" type="noConversion"/>
  </si>
  <si>
    <t>5*11.4(백)</t>
    <phoneticPr fontId="14" type="noConversion"/>
  </si>
  <si>
    <t>3차 납품</t>
    <phoneticPr fontId="14" type="noConversion"/>
  </si>
  <si>
    <t>6*10(백)</t>
    <phoneticPr fontId="14" type="noConversion"/>
  </si>
  <si>
    <t>2차 납품</t>
    <phoneticPr fontId="14" type="noConversion"/>
  </si>
  <si>
    <t>PE28*2백</t>
    <phoneticPr fontId="14" type="noConversion"/>
  </si>
  <si>
    <t>30BOX</t>
    <phoneticPr fontId="14" type="noConversion"/>
  </si>
  <si>
    <t>POWER BOX</t>
    <phoneticPr fontId="14" type="noConversion"/>
  </si>
  <si>
    <t>PE28*6백</t>
    <phoneticPr fontId="14" type="noConversion"/>
  </si>
  <si>
    <t>10BOX</t>
    <phoneticPr fontId="14" type="noConversion"/>
  </si>
  <si>
    <t>20BOX</t>
    <phoneticPr fontId="14" type="noConversion"/>
  </si>
  <si>
    <t>12*10황(0.8T)</t>
    <phoneticPr fontId="14" type="noConversion"/>
  </si>
  <si>
    <t>18*10*0.95-1T황</t>
    <phoneticPr fontId="14" type="noConversion"/>
  </si>
  <si>
    <t>9*9.5황(0.65T)</t>
    <phoneticPr fontId="14" type="noConversion"/>
  </si>
  <si>
    <t>12*12.5투</t>
    <phoneticPr fontId="14" type="noConversion"/>
  </si>
  <si>
    <t>12*10황</t>
    <phoneticPr fontId="14" type="noConversion"/>
  </si>
  <si>
    <t>15*13황</t>
    <phoneticPr fontId="14" type="noConversion"/>
  </si>
  <si>
    <t>15*10황</t>
    <phoneticPr fontId="14" type="noConversion"/>
  </si>
  <si>
    <t>PE28*2백(24Kg)</t>
    <phoneticPr fontId="14" type="noConversion"/>
  </si>
  <si>
    <t>21박스</t>
    <phoneticPr fontId="14" type="noConversion"/>
  </si>
  <si>
    <t>우선산업</t>
    <phoneticPr fontId="14" type="noConversion"/>
  </si>
  <si>
    <t>PE50*5백</t>
    <phoneticPr fontId="14" type="noConversion"/>
  </si>
  <si>
    <t>25BOX</t>
    <phoneticPr fontId="14" type="noConversion"/>
  </si>
  <si>
    <t>신광포장기계</t>
    <phoneticPr fontId="14" type="noConversion"/>
  </si>
  <si>
    <t>15*10황</t>
    <phoneticPr fontId="14" type="noConversion"/>
  </si>
  <si>
    <t>15*12황</t>
    <phoneticPr fontId="14" type="noConversion"/>
  </si>
  <si>
    <t>고메리</t>
    <phoneticPr fontId="14" type="noConversion"/>
  </si>
  <si>
    <t>5.8톤</t>
    <phoneticPr fontId="14" type="noConversion"/>
  </si>
  <si>
    <t>20"(오후 5시)</t>
    <phoneticPr fontId="14" type="noConversion"/>
  </si>
  <si>
    <t>방문출고(완료)</t>
    <phoneticPr fontId="14" type="noConversion"/>
  </si>
  <si>
    <t>합동포장</t>
    <phoneticPr fontId="14" type="noConversion"/>
  </si>
  <si>
    <t>12*12.5황</t>
    <phoneticPr fontId="14" type="noConversion"/>
  </si>
  <si>
    <t>정옥희주임 연차</t>
    <phoneticPr fontId="14" type="noConversion"/>
  </si>
  <si>
    <t>신한포장기계</t>
    <phoneticPr fontId="14" type="noConversion"/>
  </si>
  <si>
    <t>PP클립</t>
    <phoneticPr fontId="14" type="noConversion"/>
  </si>
  <si>
    <t>1000ea</t>
    <phoneticPr fontId="14" type="noConversion"/>
  </si>
  <si>
    <t>삼성과 같이 적재</t>
    <phoneticPr fontId="14" type="noConversion"/>
  </si>
  <si>
    <t>12*10황(0.8T)</t>
    <phoneticPr fontId="14" type="noConversion"/>
  </si>
  <si>
    <t>PE50*5백</t>
    <phoneticPr fontId="14" type="noConversion"/>
  </si>
  <si>
    <t>경인팩</t>
    <phoneticPr fontId="14" type="noConversion"/>
  </si>
  <si>
    <t>PE28*2백</t>
    <phoneticPr fontId="14" type="noConversion"/>
  </si>
  <si>
    <t>56박스</t>
    <phoneticPr fontId="14" type="noConversion"/>
  </si>
  <si>
    <t>광주천일포장           (경인팩박스)</t>
    <phoneticPr fontId="14" type="noConversion"/>
  </si>
  <si>
    <t>지방합화차</t>
    <phoneticPr fontId="14" type="noConversion"/>
  </si>
  <si>
    <t>PE28*6백</t>
    <phoneticPr fontId="14" type="noConversion"/>
  </si>
  <si>
    <t>10박스</t>
    <phoneticPr fontId="14" type="noConversion"/>
  </si>
  <si>
    <t>보우팩</t>
    <phoneticPr fontId="14" type="noConversion"/>
  </si>
  <si>
    <t>6*10백</t>
    <phoneticPr fontId="14" type="noConversion"/>
  </si>
  <si>
    <t>200롤</t>
    <phoneticPr fontId="14" type="noConversion"/>
  </si>
  <si>
    <t>4p</t>
    <phoneticPr fontId="14" type="noConversion"/>
  </si>
  <si>
    <t>오전</t>
    <phoneticPr fontId="14" type="noConversion"/>
  </si>
  <si>
    <t>15*10황(0.8T)</t>
    <phoneticPr fontId="14" type="noConversion"/>
  </si>
  <si>
    <t>1p</t>
    <phoneticPr fontId="14" type="noConversion"/>
  </si>
  <si>
    <t>pe 28*2 백</t>
    <phoneticPr fontId="14" type="noConversion"/>
  </si>
  <si>
    <t>48박스</t>
    <phoneticPr fontId="14" type="noConversion"/>
  </si>
  <si>
    <t>2p</t>
    <phoneticPr fontId="14" type="noConversion"/>
  </si>
  <si>
    <t>파워엠팩</t>
    <phoneticPr fontId="14" type="noConversion"/>
  </si>
  <si>
    <t>6*10 백</t>
    <phoneticPr fontId="14" type="noConversion"/>
  </si>
  <si>
    <t>56롤</t>
    <phoneticPr fontId="14" type="noConversion"/>
  </si>
  <si>
    <t>대신택배</t>
    <phoneticPr fontId="14" type="noConversion"/>
  </si>
  <si>
    <t>동원팩</t>
    <phoneticPr fontId="14" type="noConversion"/>
  </si>
  <si>
    <t>50롤</t>
    <phoneticPr fontId="14" type="noConversion"/>
  </si>
  <si>
    <t>오후 7시 용차출발</t>
    <phoneticPr fontId="14" type="noConversion"/>
  </si>
  <si>
    <t>30박스</t>
    <phoneticPr fontId="14" type="noConversion"/>
  </si>
  <si>
    <t>삼성</t>
    <phoneticPr fontId="14" type="noConversion"/>
  </si>
  <si>
    <t>18*21</t>
    <phoneticPr fontId="14" type="noConversion"/>
  </si>
  <si>
    <t>화</t>
    <phoneticPr fontId="14" type="noConversion"/>
  </si>
  <si>
    <t>신광포장</t>
    <phoneticPr fontId="14" type="noConversion"/>
  </si>
  <si>
    <t>12*10황(0.65T)</t>
    <phoneticPr fontId="14" type="noConversion"/>
  </si>
  <si>
    <t>오전 납품</t>
    <phoneticPr fontId="14" type="noConversion"/>
  </si>
  <si>
    <t>15*10 황(0.65T)</t>
    <phoneticPr fontId="14" type="noConversion"/>
  </si>
  <si>
    <t>김해제일포장</t>
    <phoneticPr fontId="14" type="noConversion"/>
  </si>
  <si>
    <t>100박스</t>
    <phoneticPr fontId="14" type="noConversion"/>
  </si>
  <si>
    <t>수출용박스</t>
    <phoneticPr fontId="14" type="noConversion"/>
  </si>
  <si>
    <t>대영포장(안산)</t>
    <phoneticPr fontId="14" type="noConversion"/>
  </si>
  <si>
    <t>7*10 백</t>
    <phoneticPr fontId="14" type="noConversion"/>
  </si>
  <si>
    <t>270롤</t>
    <phoneticPr fontId="14" type="noConversion"/>
  </si>
  <si>
    <t>지관 회수</t>
    <phoneticPr fontId="14" type="noConversion"/>
  </si>
  <si>
    <t>오후 납품</t>
    <phoneticPr fontId="14" type="noConversion"/>
  </si>
  <si>
    <t>싸이클롭</t>
    <phoneticPr fontId="14" type="noConversion"/>
  </si>
  <si>
    <t>수작업</t>
    <phoneticPr fontId="14" type="noConversion"/>
  </si>
  <si>
    <t>8.9톤</t>
    <phoneticPr fontId="14" type="noConversion"/>
  </si>
  <si>
    <t>수</t>
    <phoneticPr fontId="14" type="noConversion"/>
  </si>
  <si>
    <t>삼성</t>
    <phoneticPr fontId="14" type="noConversion"/>
  </si>
  <si>
    <t>18*21(황)</t>
    <phoneticPr fontId="14" type="noConversion"/>
  </si>
  <si>
    <t>pe 50*5 (백)</t>
    <phoneticPr fontId="14" type="noConversion"/>
  </si>
  <si>
    <t>50박스</t>
    <phoneticPr fontId="14" type="noConversion"/>
  </si>
  <si>
    <t>방문출고(오전)</t>
    <phoneticPr fontId="14" type="noConversion"/>
  </si>
  <si>
    <t>10.5*10투명</t>
    <phoneticPr fontId="14" type="noConversion"/>
  </si>
  <si>
    <t>방문출고</t>
    <phoneticPr fontId="14" type="noConversion"/>
  </si>
  <si>
    <t>9*11(은회색)</t>
    <phoneticPr fontId="14" type="noConversion"/>
  </si>
  <si>
    <t>100롤</t>
    <phoneticPr fontId="14" type="noConversion"/>
  </si>
  <si>
    <t>다오</t>
    <phoneticPr fontId="14" type="noConversion"/>
  </si>
  <si>
    <t>지방합화차(대구)</t>
    <phoneticPr fontId="14" type="noConversion"/>
  </si>
  <si>
    <t>한서포장</t>
    <phoneticPr fontId="14" type="noConversion"/>
  </si>
  <si>
    <t>12*10황(0.65T)</t>
    <phoneticPr fontId="14" type="noConversion"/>
  </si>
  <si>
    <t>일산</t>
    <phoneticPr fontId="14" type="noConversion"/>
  </si>
  <si>
    <t>용차</t>
    <phoneticPr fontId="14" type="noConversion"/>
  </si>
  <si>
    <t>5박스</t>
    <phoneticPr fontId="14" type="noConversion"/>
  </si>
  <si>
    <t>로젠택배</t>
    <phoneticPr fontId="14" type="noConversion"/>
  </si>
  <si>
    <t>현진산업</t>
    <phoneticPr fontId="14" type="noConversion"/>
  </si>
  <si>
    <t>콘즈(원양어선)</t>
    <phoneticPr fontId="14" type="noConversion"/>
  </si>
  <si>
    <t>7.5톤</t>
    <phoneticPr fontId="14" type="noConversion"/>
  </si>
  <si>
    <t>20"(오후 5시)</t>
    <phoneticPr fontId="14" type="noConversion"/>
  </si>
  <si>
    <t>목</t>
    <phoneticPr fontId="14" type="noConversion"/>
  </si>
  <si>
    <t>pe 28*2 백</t>
    <phoneticPr fontId="14" type="noConversion"/>
  </si>
  <si>
    <t>대구한국포장</t>
    <phoneticPr fontId="14" type="noConversion"/>
  </si>
  <si>
    <t>지방합화차</t>
    <phoneticPr fontId="14" type="noConversion"/>
  </si>
  <si>
    <t>14*10(황)</t>
    <phoneticPr fontId="14" type="noConversion"/>
  </si>
  <si>
    <t>청정원</t>
    <phoneticPr fontId="14" type="noConversion"/>
  </si>
  <si>
    <t>12*10황(0.8T)</t>
    <phoneticPr fontId="14" type="noConversion"/>
  </si>
  <si>
    <t>5박스</t>
    <phoneticPr fontId="14" type="noConversion"/>
  </si>
  <si>
    <t>15*21(황) 100롤 교환</t>
    <phoneticPr fontId="14" type="noConversion"/>
  </si>
  <si>
    <t>18*15</t>
    <phoneticPr fontId="14" type="noConversion"/>
  </si>
  <si>
    <t>에이스팩</t>
    <phoneticPr fontId="14" type="noConversion"/>
  </si>
  <si>
    <t>15*13 황</t>
    <phoneticPr fontId="14" type="noConversion"/>
  </si>
  <si>
    <t>20롤</t>
    <phoneticPr fontId="14" type="noConversion"/>
  </si>
  <si>
    <t>시흥 코미팜 대납</t>
    <phoneticPr fontId="14" type="noConversion"/>
  </si>
  <si>
    <t>삼우텍</t>
    <phoneticPr fontId="14" type="noConversion"/>
  </si>
  <si>
    <t>18*15(삼성제품)</t>
    <phoneticPr fontId="14" type="noConversion"/>
  </si>
  <si>
    <t>174롤</t>
    <phoneticPr fontId="14" type="noConversion"/>
  </si>
  <si>
    <t>금산포장</t>
    <phoneticPr fontId="14" type="noConversion"/>
  </si>
  <si>
    <t>15*10 투명</t>
    <phoneticPr fontId="14" type="noConversion"/>
  </si>
  <si>
    <t>나무 파렛트</t>
    <phoneticPr fontId="14" type="noConversion"/>
  </si>
  <si>
    <t>택배</t>
    <phoneticPr fontId="14" type="noConversion"/>
  </si>
  <si>
    <t>하이게이트</t>
    <phoneticPr fontId="14" type="noConversion"/>
  </si>
  <si>
    <t>9.6톤</t>
    <phoneticPr fontId="14" type="noConversion"/>
  </si>
  <si>
    <t>pe 28*6 백</t>
    <phoneticPr fontId="14" type="noConversion"/>
  </si>
  <si>
    <t>12*10 황 (0.8T)</t>
    <phoneticPr fontId="14" type="noConversion"/>
  </si>
  <si>
    <t>30롤</t>
    <phoneticPr fontId="14" type="noConversion"/>
  </si>
  <si>
    <t>1p</t>
    <phoneticPr fontId="14" type="noConversion"/>
  </si>
  <si>
    <t>전주삼신</t>
    <phoneticPr fontId="14" type="noConversion"/>
  </si>
  <si>
    <t>대신 택배</t>
    <phoneticPr fontId="14" type="noConversion"/>
  </si>
  <si>
    <t>15*10 황 (0.8T)</t>
    <phoneticPr fontId="14" type="noConversion"/>
  </si>
  <si>
    <t>서울포장</t>
    <phoneticPr fontId="14" type="noConversion"/>
  </si>
  <si>
    <t>12*10백</t>
    <phoneticPr fontId="14" type="noConversion"/>
  </si>
  <si>
    <t>오후 용차</t>
    <phoneticPr fontId="14" type="noConversion"/>
  </si>
  <si>
    <t>20박스</t>
    <phoneticPr fontId="14" type="noConversion"/>
  </si>
  <si>
    <t>8박스</t>
    <phoneticPr fontId="14" type="noConversion"/>
  </si>
  <si>
    <t>엔더슨</t>
    <phoneticPr fontId="14" type="noConversion"/>
  </si>
  <si>
    <t>9.3톤</t>
    <phoneticPr fontId="14" type="noConversion"/>
  </si>
  <si>
    <t>12*10 황(0.65t)</t>
    <phoneticPr fontId="14" type="noConversion"/>
  </si>
  <si>
    <t>40롤</t>
    <phoneticPr fontId="14" type="noConversion"/>
  </si>
  <si>
    <t>9*10 투명</t>
    <phoneticPr fontId="14" type="noConversion"/>
  </si>
  <si>
    <t>15*10 황</t>
    <phoneticPr fontId="14" type="noConversion"/>
  </si>
  <si>
    <t>64롤</t>
    <phoneticPr fontId="14" type="noConversion"/>
  </si>
  <si>
    <t>12*10 황</t>
    <phoneticPr fontId="14" type="noConversion"/>
  </si>
  <si>
    <t>40롤</t>
    <phoneticPr fontId="14" type="noConversion"/>
  </si>
  <si>
    <t>15*10 (투명)</t>
    <phoneticPr fontId="14" type="noConversion"/>
  </si>
  <si>
    <t>패드갈이</t>
    <phoneticPr fontId="14" type="noConversion"/>
  </si>
  <si>
    <t>12박스</t>
    <phoneticPr fontId="14" type="noConversion"/>
  </si>
  <si>
    <t>kic박스/나무 파렛트</t>
    <phoneticPr fontId="14" type="noConversion"/>
  </si>
  <si>
    <t>착불</t>
    <phoneticPr fontId="14" type="noConversion"/>
  </si>
  <si>
    <t>청아판지텍</t>
    <phoneticPr fontId="14" type="noConversion"/>
  </si>
  <si>
    <t>kic박스</t>
    <phoneticPr fontId="14" type="noConversion"/>
  </si>
  <si>
    <t>싸이클롭</t>
    <phoneticPr fontId="14" type="noConversion"/>
  </si>
  <si>
    <t>18.5톤</t>
    <phoneticPr fontId="14" type="noConversion"/>
  </si>
  <si>
    <t>20ft 두대로 함</t>
    <phoneticPr fontId="14" type="noConversion"/>
  </si>
  <si>
    <t>오전 10시 / 오후 1시</t>
    <phoneticPr fontId="14" type="noConversion"/>
  </si>
  <si>
    <t>pe 28*2 백(20K)</t>
    <phoneticPr fontId="14" type="noConversion"/>
  </si>
  <si>
    <t>pe 28*6 백(24K)</t>
    <phoneticPr fontId="14" type="noConversion"/>
  </si>
  <si>
    <t>54박스</t>
    <phoneticPr fontId="14" type="noConversion"/>
  </si>
  <si>
    <t>7*10백</t>
    <phoneticPr fontId="14" type="noConversion"/>
  </si>
  <si>
    <t>6P</t>
    <phoneticPr fontId="14" type="noConversion"/>
  </si>
  <si>
    <t>지관회수</t>
    <phoneticPr fontId="14" type="noConversion"/>
  </si>
  <si>
    <t>방문 출고</t>
    <phoneticPr fontId="14" type="noConversion"/>
  </si>
  <si>
    <t>서울포장</t>
    <phoneticPr fontId="14" type="noConversion"/>
  </si>
  <si>
    <t>12*10 백(0.65T)</t>
    <phoneticPr fontId="14" type="noConversion"/>
  </si>
  <si>
    <t>12*10 황(0.65t)</t>
    <phoneticPr fontId="14" type="noConversion"/>
  </si>
  <si>
    <t>25롤</t>
    <phoneticPr fontId="14" type="noConversion"/>
  </si>
  <si>
    <t>15*10 황(0.65T)</t>
    <phoneticPr fontId="14" type="noConversion"/>
  </si>
  <si>
    <t>엠피아이</t>
    <phoneticPr fontId="14" type="noConversion"/>
  </si>
  <si>
    <t>PE28*2백(20K)</t>
    <phoneticPr fontId="14" type="noConversion"/>
  </si>
  <si>
    <t>1박스</t>
    <phoneticPr fontId="14" type="noConversion"/>
  </si>
  <si>
    <t>KIC 박스</t>
    <phoneticPr fontId="14" type="noConversion"/>
  </si>
  <si>
    <t>낙원포장</t>
    <phoneticPr fontId="14" type="noConversion"/>
  </si>
  <si>
    <t>10.5*10(투명 0.8T)</t>
    <phoneticPr fontId="14" type="noConversion"/>
  </si>
  <si>
    <t>삼화인쇄</t>
    <phoneticPr fontId="14" type="noConversion"/>
  </si>
  <si>
    <t>12*10 백(0.85t)</t>
    <phoneticPr fontId="14" type="noConversion"/>
  </si>
  <si>
    <t>평판지하A판</t>
    <phoneticPr fontId="14" type="noConversion"/>
  </si>
  <si>
    <t>15*10황</t>
    <phoneticPr fontId="14" type="noConversion"/>
  </si>
  <si>
    <t>제책4층</t>
    <phoneticPr fontId="14" type="noConversion"/>
  </si>
  <si>
    <t>12*12황</t>
    <phoneticPr fontId="14" type="noConversion"/>
  </si>
  <si>
    <t>15*10황(0.65T)</t>
    <phoneticPr fontId="14" type="noConversion"/>
  </si>
  <si>
    <t>15*10황(0.8T)</t>
    <phoneticPr fontId="14" type="noConversion"/>
  </si>
  <si>
    <t>9*13투</t>
    <phoneticPr fontId="14" type="noConversion"/>
  </si>
  <si>
    <t>오뚜기</t>
    <phoneticPr fontId="14" type="noConversion"/>
  </si>
  <si>
    <t>대상산업</t>
    <phoneticPr fontId="14" type="noConversion"/>
  </si>
  <si>
    <t>PE 28*2백(24kg)</t>
    <phoneticPr fontId="14" type="noConversion"/>
  </si>
  <si>
    <t>PE 28*6백(24kg)</t>
    <phoneticPr fontId="14" type="noConversion"/>
  </si>
  <si>
    <t>파라마운트</t>
    <phoneticPr fontId="14" type="noConversion"/>
  </si>
  <si>
    <t>팔레트</t>
    <phoneticPr fontId="14" type="noConversion"/>
  </si>
  <si>
    <t>7.3톤</t>
    <phoneticPr fontId="14" type="noConversion"/>
  </si>
  <si>
    <t>신대한판지</t>
    <phoneticPr fontId="14" type="noConversion"/>
  </si>
  <si>
    <t>8.5*9.5백</t>
    <phoneticPr fontId="14" type="noConversion"/>
  </si>
  <si>
    <t>12*12.5적</t>
    <phoneticPr fontId="14" type="noConversion"/>
  </si>
  <si>
    <t>10.5*10청</t>
    <phoneticPr fontId="14" type="noConversion"/>
  </si>
  <si>
    <t>동아출판</t>
    <phoneticPr fontId="14" type="noConversion"/>
  </si>
  <si>
    <t>백암지관</t>
    <phoneticPr fontId="14" type="noConversion"/>
  </si>
  <si>
    <t>엔지 세이프티</t>
    <phoneticPr fontId="14" type="noConversion"/>
  </si>
  <si>
    <t>팔레트</t>
    <phoneticPr fontId="14" type="noConversion"/>
  </si>
  <si>
    <t>6.9톤</t>
    <phoneticPr fontId="14" type="noConversion"/>
  </si>
  <si>
    <t>PE 28*2백</t>
    <phoneticPr fontId="14" type="noConversion"/>
  </si>
  <si>
    <t>22박스</t>
    <phoneticPr fontId="14" type="noConversion"/>
  </si>
  <si>
    <t>power</t>
    <phoneticPr fontId="14" type="noConversion"/>
  </si>
  <si>
    <t>오전</t>
    <phoneticPr fontId="14" type="noConversion"/>
  </si>
  <si>
    <t>PE 28*6백</t>
    <phoneticPr fontId="14" type="noConversion"/>
  </si>
  <si>
    <t>28박스</t>
    <phoneticPr fontId="14" type="noConversion"/>
  </si>
  <si>
    <t>243롤</t>
    <phoneticPr fontId="14" type="noConversion"/>
  </si>
  <si>
    <t>오후</t>
    <phoneticPr fontId="14" type="noConversion"/>
  </si>
  <si>
    <t>통신케이블</t>
    <phoneticPr fontId="14" type="noConversion"/>
  </si>
  <si>
    <t>10개</t>
    <phoneticPr fontId="14" type="noConversion"/>
  </si>
  <si>
    <t>택배출고</t>
    <phoneticPr fontId="14" type="noConversion"/>
  </si>
  <si>
    <t>POWER</t>
    <phoneticPr fontId="14" type="noConversion"/>
  </si>
  <si>
    <t>PE 28*2백(24kg)</t>
    <phoneticPr fontId="14" type="noConversion"/>
  </si>
  <si>
    <t>PP클립</t>
    <phoneticPr fontId="14" type="noConversion"/>
  </si>
  <si>
    <t>2000 ea</t>
    <phoneticPr fontId="14" type="noConversion"/>
  </si>
  <si>
    <t>광림파워팩</t>
    <phoneticPr fontId="14" type="noConversion"/>
  </si>
  <si>
    <t>15*13황</t>
    <phoneticPr fontId="14" type="noConversion"/>
  </si>
  <si>
    <t>오후</t>
    <phoneticPr fontId="14" type="noConversion"/>
  </si>
  <si>
    <t>12*12.5황</t>
    <phoneticPr fontId="14" type="noConversion"/>
  </si>
  <si>
    <t>12*12.5투명</t>
    <phoneticPr fontId="14" type="noConversion"/>
  </si>
  <si>
    <t>30롤</t>
    <phoneticPr fontId="14" type="noConversion"/>
  </si>
  <si>
    <t>64롤</t>
    <phoneticPr fontId="14" type="noConversion"/>
  </si>
  <si>
    <t>제이케이머티리얼즈</t>
    <phoneticPr fontId="14" type="noConversion"/>
  </si>
  <si>
    <t>18*10황</t>
    <phoneticPr fontId="14" type="noConversion"/>
  </si>
  <si>
    <t>용달(오후1시)</t>
    <phoneticPr fontId="14" type="noConversion"/>
  </si>
  <si>
    <t>대신택배</t>
    <phoneticPr fontId="14" type="noConversion"/>
  </si>
  <si>
    <t>인스트아이앤씨</t>
    <phoneticPr fontId="14" type="noConversion"/>
  </si>
  <si>
    <t>3박스</t>
    <phoneticPr fontId="14" type="noConversion"/>
  </si>
  <si>
    <t>KIC 박스</t>
    <phoneticPr fontId="14" type="noConversion"/>
  </si>
  <si>
    <t>금</t>
    <phoneticPr fontId="14" type="noConversion"/>
  </si>
  <si>
    <t>한서포장</t>
    <phoneticPr fontId="14" type="noConversion"/>
  </si>
  <si>
    <t>3차납품</t>
    <phoneticPr fontId="14" type="noConversion"/>
  </si>
  <si>
    <t>서울</t>
    <phoneticPr fontId="14" type="noConversion"/>
  </si>
  <si>
    <t>25박스</t>
    <phoneticPr fontId="14" type="noConversion"/>
  </si>
  <si>
    <t>1차 납품</t>
    <phoneticPr fontId="14" type="noConversion"/>
  </si>
  <si>
    <t>진송팩</t>
    <phoneticPr fontId="14" type="noConversion"/>
  </si>
  <si>
    <t>2차 납품</t>
    <phoneticPr fontId="14" type="noConversion"/>
  </si>
  <si>
    <t>대영포장(발안)</t>
    <phoneticPr fontId="14" type="noConversion"/>
  </si>
  <si>
    <t>300롤</t>
    <phoneticPr fontId="14" type="noConversion"/>
  </si>
  <si>
    <t>이월</t>
    <phoneticPr fontId="14" type="noConversion"/>
  </si>
  <si>
    <t>pe 50*5백</t>
    <phoneticPr fontId="14" type="noConversion"/>
  </si>
  <si>
    <t>15박스</t>
    <phoneticPr fontId="14" type="noConversion"/>
  </si>
  <si>
    <t>13롤</t>
    <phoneticPr fontId="14" type="noConversion"/>
  </si>
  <si>
    <t>대영포장과 혼적</t>
    <phoneticPr fontId="14" type="noConversion"/>
  </si>
  <si>
    <t>경인산업</t>
    <phoneticPr fontId="14" type="noConversion"/>
  </si>
  <si>
    <t>나무 파렛트로 작업</t>
    <phoneticPr fontId="14" type="noConversion"/>
  </si>
  <si>
    <t>직납</t>
    <phoneticPr fontId="14" type="noConversion"/>
  </si>
  <si>
    <t>12*10백(0.65T)</t>
    <phoneticPr fontId="14" type="noConversion"/>
  </si>
  <si>
    <t>제이케이머티리얼즈</t>
    <phoneticPr fontId="14" type="noConversion"/>
  </si>
  <si>
    <t>18*10황</t>
    <phoneticPr fontId="14" type="noConversion"/>
  </si>
  <si>
    <t>용달</t>
    <phoneticPr fontId="14" type="noConversion"/>
  </si>
  <si>
    <r>
      <t>2</t>
    </r>
    <r>
      <rPr>
        <sz val="11"/>
        <color rgb="FF000000"/>
        <rFont val="맑은 고딕"/>
        <family val="3"/>
        <charset val="129"/>
      </rPr>
      <t>pa 1톤</t>
    </r>
    <phoneticPr fontId="14" type="noConversion"/>
  </si>
  <si>
    <t>9*11은회색</t>
    <phoneticPr fontId="14" type="noConversion"/>
  </si>
  <si>
    <t>지방 합화차</t>
    <phoneticPr fontId="14" type="noConversion"/>
  </si>
  <si>
    <t>대상산업</t>
    <phoneticPr fontId="14" type="noConversion"/>
  </si>
  <si>
    <t>15박스</t>
    <phoneticPr fontId="14" type="noConversion"/>
  </si>
  <si>
    <t>PE 28*2황(24kg)</t>
    <phoneticPr fontId="14" type="noConversion"/>
  </si>
  <si>
    <t>2박스</t>
    <phoneticPr fontId="14" type="noConversion"/>
  </si>
  <si>
    <t>PE 28*2청(24kg)</t>
    <phoneticPr fontId="14" type="noConversion"/>
  </si>
  <si>
    <t>삼화인쇄</t>
    <phoneticPr fontId="14" type="noConversion"/>
  </si>
  <si>
    <t>제책3층</t>
    <phoneticPr fontId="14" type="noConversion"/>
  </si>
  <si>
    <t>나무파레트</t>
    <phoneticPr fontId="14" type="noConversion"/>
  </si>
  <si>
    <t>일산 직납</t>
    <phoneticPr fontId="14" type="noConversion"/>
  </si>
  <si>
    <t>거래명세표x -&gt;이메일</t>
    <phoneticPr fontId="14" type="noConversion"/>
  </si>
  <si>
    <t>6*10백</t>
    <phoneticPr fontId="14" type="noConversion"/>
  </si>
  <si>
    <t>15박스</t>
    <phoneticPr fontId="14" type="noConversion"/>
  </si>
  <si>
    <t>power</t>
    <phoneticPr fontId="14" type="noConversion"/>
  </si>
  <si>
    <t>PE 28*2적</t>
    <phoneticPr fontId="14" type="noConversion"/>
  </si>
  <si>
    <t>28박스</t>
    <phoneticPr fontId="14" type="noConversion"/>
  </si>
  <si>
    <t>128롤</t>
    <phoneticPr fontId="14" type="noConversion"/>
  </si>
  <si>
    <t>9*10황(0.75T)</t>
    <phoneticPr fontId="14" type="noConversion"/>
  </si>
  <si>
    <t>12*10백(0.65T)</t>
    <phoneticPr fontId="14" type="noConversion"/>
  </si>
  <si>
    <t>PE 28*2백</t>
    <phoneticPr fontId="14" type="noConversion"/>
  </si>
  <si>
    <t>이길호 과장 오전 납품</t>
    <phoneticPr fontId="14" type="noConversion"/>
  </si>
  <si>
    <t>신생테크</t>
    <phoneticPr fontId="14" type="noConversion"/>
  </si>
  <si>
    <t>12*9.5황</t>
    <phoneticPr fontId="14" type="noConversion"/>
  </si>
  <si>
    <t>6롤</t>
    <phoneticPr fontId="14" type="noConversion"/>
  </si>
  <si>
    <t>아침 일찍 방문 출고</t>
    <phoneticPr fontId="14" type="noConversion"/>
  </si>
  <si>
    <t>계산서</t>
    <phoneticPr fontId="14" type="noConversion"/>
  </si>
  <si>
    <t>대일상사</t>
    <phoneticPr fontId="14" type="noConversion"/>
  </si>
  <si>
    <t xml:space="preserve">로젠택배 </t>
    <phoneticPr fontId="14" type="noConversion"/>
  </si>
  <si>
    <t>착불</t>
    <phoneticPr fontId="14" type="noConversion"/>
  </si>
  <si>
    <t>계산서</t>
    <phoneticPr fontId="14" type="noConversion"/>
  </si>
  <si>
    <t>112박스</t>
    <phoneticPr fontId="14" type="noConversion"/>
  </si>
  <si>
    <t>PE 28*2황</t>
    <phoneticPr fontId="14" type="noConversion"/>
  </si>
  <si>
    <t>7박스</t>
    <phoneticPr fontId="14" type="noConversion"/>
  </si>
  <si>
    <t>PE 28*2적</t>
    <phoneticPr fontId="14" type="noConversion"/>
  </si>
  <si>
    <t>3박스</t>
    <phoneticPr fontId="14" type="noConversion"/>
  </si>
  <si>
    <t>PE 28*6백(24kg)</t>
    <phoneticPr fontId="14" type="noConversion"/>
  </si>
  <si>
    <t>6*10황</t>
    <phoneticPr fontId="14" type="noConversion"/>
  </si>
  <si>
    <t>15*9.5적</t>
    <phoneticPr fontId="14" type="noConversion"/>
  </si>
  <si>
    <t>48롤</t>
    <phoneticPr fontId="14" type="noConversion"/>
  </si>
  <si>
    <t>마그네틱브레이크 세트</t>
    <phoneticPr fontId="14" type="noConversion"/>
  </si>
  <si>
    <t>합동포장</t>
    <phoneticPr fontId="14" type="noConversion"/>
  </si>
  <si>
    <t>12*12.5황</t>
    <phoneticPr fontId="14" type="noConversion"/>
  </si>
  <si>
    <t>230롤</t>
    <phoneticPr fontId="14" type="noConversion"/>
  </si>
  <si>
    <t>오후 2시 30분 - 3시 도착</t>
    <phoneticPr fontId="14" type="noConversion"/>
  </si>
  <si>
    <t>12*12.5투명</t>
    <phoneticPr fontId="14" type="noConversion"/>
  </si>
  <si>
    <t>PE 28*20백</t>
    <phoneticPr fontId="14" type="noConversion"/>
  </si>
  <si>
    <t>35박스</t>
    <phoneticPr fontId="14" type="noConversion"/>
  </si>
  <si>
    <t>kic박스</t>
    <phoneticPr fontId="14" type="noConversion"/>
  </si>
  <si>
    <t>96박스</t>
    <phoneticPr fontId="14" type="noConversion"/>
  </si>
  <si>
    <t>POWER 박스 / 4pa</t>
    <phoneticPr fontId="14" type="noConversion"/>
  </si>
  <si>
    <t>이월</t>
    <phoneticPr fontId="14" type="noConversion"/>
  </si>
  <si>
    <t>.</t>
    <phoneticPr fontId="14" type="noConversion"/>
  </si>
  <si>
    <t>파코팩</t>
    <phoneticPr fontId="14" type="noConversion"/>
  </si>
  <si>
    <t>PE 50*5백</t>
    <phoneticPr fontId="14" type="noConversion"/>
  </si>
  <si>
    <t>POWER 박스</t>
    <phoneticPr fontId="14" type="noConversion"/>
  </si>
  <si>
    <t>PE 50*6백</t>
    <phoneticPr fontId="14" type="noConversion"/>
  </si>
  <si>
    <t>상일교역</t>
    <phoneticPr fontId="14" type="noConversion"/>
  </si>
  <si>
    <t>15.4톤</t>
    <phoneticPr fontId="14" type="noConversion"/>
  </si>
  <si>
    <t>40"(오후 5시)</t>
    <phoneticPr fontId="14" type="noConversion"/>
  </si>
  <si>
    <t>7*10백</t>
    <phoneticPr fontId="14" type="noConversion"/>
  </si>
  <si>
    <t>이월</t>
    <phoneticPr fontId="14" type="noConversion"/>
  </si>
  <si>
    <t>광신수출포장</t>
    <phoneticPr fontId="14" type="noConversion"/>
  </si>
  <si>
    <t>8*10백</t>
    <phoneticPr fontId="14" type="noConversion"/>
  </si>
  <si>
    <t>KIC박스</t>
    <phoneticPr fontId="14" type="noConversion"/>
  </si>
  <si>
    <t>15*12황(0.65T)</t>
    <phoneticPr fontId="14" type="noConversion"/>
  </si>
  <si>
    <t>15*10백(0.65T)</t>
    <phoneticPr fontId="14" type="noConversion"/>
  </si>
  <si>
    <t>PE 28*6백</t>
    <phoneticPr fontId="14" type="noConversion"/>
  </si>
  <si>
    <t>12*10황(0.75T)</t>
    <phoneticPr fontId="14" type="noConversion"/>
  </si>
  <si>
    <t>나무파레트</t>
    <phoneticPr fontId="14" type="noConversion"/>
  </si>
  <si>
    <t>12*10백(0.75T)</t>
    <phoneticPr fontId="14" type="noConversion"/>
  </si>
  <si>
    <t>POWER 박스</t>
    <phoneticPr fontId="14" type="noConversion"/>
  </si>
  <si>
    <t>단가 2500</t>
    <phoneticPr fontId="14" type="noConversion"/>
  </si>
  <si>
    <t>동서포장종합상사</t>
    <phoneticPr fontId="14" type="noConversion"/>
  </si>
  <si>
    <t>KIC박스</t>
    <phoneticPr fontId="14" type="noConversion"/>
  </si>
  <si>
    <t>선불</t>
    <phoneticPr fontId="14" type="noConversion"/>
  </si>
  <si>
    <t>고메리</t>
    <phoneticPr fontId="14" type="noConversion"/>
  </si>
  <si>
    <t>6.1톤</t>
    <phoneticPr fontId="14" type="noConversion"/>
  </si>
  <si>
    <t>20"(오후5시)</t>
    <phoneticPr fontId="14" type="noConversion"/>
  </si>
  <si>
    <t>122롤</t>
    <phoneticPr fontId="14" type="noConversion"/>
  </si>
  <si>
    <t>14*10청</t>
    <phoneticPr fontId="14" type="noConversion"/>
  </si>
  <si>
    <t>청정원 오산</t>
    <phoneticPr fontId="14" type="noConversion"/>
  </si>
  <si>
    <t>라바 인터내셔널</t>
    <phoneticPr fontId="14" type="noConversion"/>
  </si>
  <si>
    <t>12*10황(0.6T)</t>
  </si>
  <si>
    <t>114롤</t>
    <phoneticPr fontId="14" type="noConversion"/>
  </si>
  <si>
    <t xml:space="preserve">서울패키지 </t>
    <phoneticPr fontId="14" type="noConversion"/>
  </si>
  <si>
    <t>오전 11시 용차</t>
    <phoneticPr fontId="14" type="noConversion"/>
  </si>
  <si>
    <t>15*10투명(0.8T)</t>
    <phoneticPr fontId="14" type="noConversion"/>
  </si>
  <si>
    <t>48롤</t>
    <phoneticPr fontId="14" type="noConversion"/>
  </si>
  <si>
    <t>발화주 :신광포장</t>
    <phoneticPr fontId="14" type="noConversion"/>
  </si>
  <si>
    <t>택배비 65,000원</t>
    <phoneticPr fontId="14" type="noConversion"/>
  </si>
  <si>
    <t>익산공장</t>
    <phoneticPr fontId="14" type="noConversion"/>
  </si>
  <si>
    <t>시몬사</t>
    <phoneticPr fontId="14" type="noConversion"/>
  </si>
  <si>
    <t>무지박스</t>
    <phoneticPr fontId="14" type="noConversion"/>
  </si>
  <si>
    <t>PE 50*5백</t>
  </si>
  <si>
    <t>9*10황 (0.75T)</t>
    <phoneticPr fontId="14" type="noConversion"/>
  </si>
  <si>
    <t>80롤</t>
    <phoneticPr fontId="14" type="noConversion"/>
  </si>
  <si>
    <t>15*10밝은빨강 (0.95T)</t>
    <phoneticPr fontId="14" type="noConversion"/>
  </si>
  <si>
    <t>150롤</t>
    <phoneticPr fontId="14" type="noConversion"/>
  </si>
  <si>
    <t>신광포장</t>
    <phoneticPr fontId="14" type="noConversion"/>
  </si>
  <si>
    <t>경인팩</t>
    <phoneticPr fontId="14" type="noConversion"/>
  </si>
  <si>
    <t>32박스</t>
    <phoneticPr fontId="14" type="noConversion"/>
  </si>
  <si>
    <t>경인팩박스 아님</t>
    <phoneticPr fontId="14" type="noConversion"/>
  </si>
  <si>
    <t>제주도 대신택배</t>
    <phoneticPr fontId="14" type="noConversion"/>
  </si>
  <si>
    <t>명세표 팩스 기사님 한테 주소만</t>
    <phoneticPr fontId="14" type="noConversion"/>
  </si>
  <si>
    <t>대전인재사</t>
    <phoneticPr fontId="14" type="noConversion"/>
  </si>
  <si>
    <t>12*9황</t>
    <phoneticPr fontId="14" type="noConversion"/>
  </si>
  <si>
    <t>102롤</t>
    <phoneticPr fontId="14" type="noConversion"/>
  </si>
  <si>
    <t>4파레트 (명세표 기사님) - 착불</t>
    <phoneticPr fontId="14" type="noConversion"/>
  </si>
  <si>
    <t>오후2시-4시</t>
    <phoneticPr fontId="14" type="noConversion"/>
  </si>
  <si>
    <t>9*10황</t>
    <phoneticPr fontId="14" type="noConversion"/>
  </si>
  <si>
    <t>광림패드갈이</t>
    <phoneticPr fontId="14" type="noConversion"/>
  </si>
  <si>
    <t>18*21</t>
    <phoneticPr fontId="14" type="noConversion"/>
  </si>
  <si>
    <t>169롤</t>
    <phoneticPr fontId="14" type="noConversion"/>
  </si>
  <si>
    <t>7롤</t>
    <phoneticPr fontId="14" type="noConversion"/>
  </si>
  <si>
    <t>제일산업(안성)</t>
    <phoneticPr fontId="14" type="noConversion"/>
  </si>
  <si>
    <t>PE 50*5백</t>
    <phoneticPr fontId="14" type="noConversion"/>
  </si>
  <si>
    <t>월</t>
    <phoneticPr fontId="14" type="noConversion"/>
  </si>
  <si>
    <t>동원팩</t>
    <phoneticPr fontId="14" type="noConversion"/>
  </si>
  <si>
    <t>17박스</t>
    <phoneticPr fontId="14" type="noConversion"/>
  </si>
  <si>
    <t xml:space="preserve">PE 28*6백 </t>
    <phoneticPr fontId="14" type="noConversion"/>
  </si>
  <si>
    <t>동방포장</t>
    <phoneticPr fontId="14" type="noConversion"/>
  </si>
  <si>
    <t>5롤</t>
    <phoneticPr fontId="14" type="noConversion"/>
  </si>
  <si>
    <t>10.5*12투명</t>
    <phoneticPr fontId="14" type="noConversion"/>
  </si>
  <si>
    <t>경주법주</t>
    <phoneticPr fontId="14" type="noConversion"/>
  </si>
  <si>
    <t>지방합화차(경주 법주)</t>
    <phoneticPr fontId="14" type="noConversion"/>
  </si>
  <si>
    <t>14*10빨강</t>
    <phoneticPr fontId="14" type="noConversion"/>
  </si>
  <si>
    <t>지방합화차(순창 청정원)</t>
    <phoneticPr fontId="14" type="noConversion"/>
  </si>
  <si>
    <t>14*10보라</t>
    <phoneticPr fontId="14" type="noConversion"/>
  </si>
  <si>
    <t>12*10연두</t>
    <phoneticPr fontId="14" type="noConversion"/>
  </si>
  <si>
    <t>101롤</t>
    <phoneticPr fontId="14" type="noConversion"/>
  </si>
  <si>
    <t>우드뱅크</t>
    <phoneticPr fontId="14" type="noConversion"/>
  </si>
  <si>
    <t>랩25*300</t>
    <phoneticPr fontId="14" type="noConversion"/>
  </si>
  <si>
    <t>코미팜</t>
    <phoneticPr fontId="14" type="noConversion"/>
  </si>
  <si>
    <t>명세표 팩스 -발화주 에이스팩</t>
    <phoneticPr fontId="14" type="noConversion"/>
  </si>
  <si>
    <t>하스콥스</t>
    <phoneticPr fontId="14" type="noConversion"/>
  </si>
  <si>
    <t>19*10.5흑색</t>
    <phoneticPr fontId="14" type="noConversion"/>
  </si>
  <si>
    <t>10롤</t>
    <phoneticPr fontId="14" type="noConversion"/>
  </si>
  <si>
    <t>하이테크</t>
    <phoneticPr fontId="14" type="noConversion"/>
  </si>
  <si>
    <t>1.7톤</t>
    <phoneticPr fontId="14" type="noConversion"/>
  </si>
  <si>
    <t>트럭(오후2시)</t>
    <phoneticPr fontId="14" type="noConversion"/>
  </si>
  <si>
    <t>㈜삼신</t>
    <phoneticPr fontId="14" type="noConversion"/>
  </si>
  <si>
    <t>박스10장 챙겨야함</t>
    <phoneticPr fontId="14" type="noConversion"/>
  </si>
  <si>
    <t>신한포장</t>
    <phoneticPr fontId="14" type="noConversion"/>
  </si>
  <si>
    <t>롤2개 챙겨야함</t>
    <phoneticPr fontId="14" type="noConversion"/>
  </si>
  <si>
    <t>38롤</t>
    <phoneticPr fontId="14" type="noConversion"/>
  </si>
  <si>
    <t>오전용차</t>
    <phoneticPr fontId="14" type="noConversion"/>
  </si>
  <si>
    <t>이길호과장</t>
    <phoneticPr fontId="14" type="noConversion"/>
  </si>
  <si>
    <t>PE 28*6백</t>
    <phoneticPr fontId="14" type="noConversion"/>
  </si>
  <si>
    <t>동양프린팅</t>
    <phoneticPr fontId="14" type="noConversion"/>
  </si>
  <si>
    <t>무지박스</t>
    <phoneticPr fontId="14" type="noConversion"/>
  </si>
  <si>
    <t>7*10백</t>
    <phoneticPr fontId="14" type="noConversion"/>
  </si>
  <si>
    <t>1파레트</t>
    <phoneticPr fontId="14" type="noConversion"/>
  </si>
  <si>
    <t>15*10황 (0.8T)</t>
    <phoneticPr fontId="14" type="noConversion"/>
  </si>
  <si>
    <t>명세서엔 0.75T</t>
    <phoneticPr fontId="14" type="noConversion"/>
  </si>
  <si>
    <t>12*10황 (0.8T)</t>
    <phoneticPr fontId="14" type="noConversion"/>
  </si>
  <si>
    <t>명세서엔 0.76T</t>
  </si>
  <si>
    <t>경은산업</t>
    <phoneticPr fontId="14" type="noConversion"/>
  </si>
  <si>
    <t>PE 28*2백</t>
    <phoneticPr fontId="14" type="noConversion"/>
  </si>
  <si>
    <t>제첵4층</t>
    <phoneticPr fontId="14" type="noConversion"/>
  </si>
  <si>
    <t xml:space="preserve"> </t>
    <phoneticPr fontId="14" type="noConversion"/>
  </si>
  <si>
    <t>15*13황</t>
    <phoneticPr fontId="14" type="noConversion"/>
  </si>
  <si>
    <t>12*10황</t>
    <phoneticPr fontId="14" type="noConversion"/>
  </si>
  <si>
    <t>삼보팩</t>
    <phoneticPr fontId="14" type="noConversion"/>
  </si>
  <si>
    <t>패드2파렛 가져오기</t>
    <phoneticPr fontId="14" type="noConversion"/>
  </si>
  <si>
    <t>일산 용차</t>
    <phoneticPr fontId="14" type="noConversion"/>
  </si>
  <si>
    <t>오전용차(10시 상차)</t>
    <phoneticPr fontId="14" type="noConversion"/>
  </si>
  <si>
    <t>이길호 과장</t>
    <phoneticPr fontId="14" type="noConversion"/>
  </si>
  <si>
    <t>12*10백(0.75T)</t>
    <phoneticPr fontId="14" type="noConversion"/>
  </si>
  <si>
    <t>PE 28*2청색</t>
    <phoneticPr fontId="14" type="noConversion"/>
  </si>
  <si>
    <t>대성</t>
    <phoneticPr fontId="14" type="noConversion"/>
  </si>
  <si>
    <t>5*7000M</t>
    <phoneticPr fontId="14" type="noConversion"/>
  </si>
  <si>
    <t>268롤</t>
    <phoneticPr fontId="14" type="noConversion"/>
  </si>
  <si>
    <t>오전/오후</t>
    <phoneticPr fontId="14" type="noConversion"/>
  </si>
  <si>
    <t>18*21황</t>
    <phoneticPr fontId="14" type="noConversion"/>
  </si>
  <si>
    <t>전주 삼신</t>
    <phoneticPr fontId="14" type="noConversion"/>
  </si>
  <si>
    <t>PE 28*2황</t>
    <phoneticPr fontId="14" type="noConversion"/>
  </si>
  <si>
    <t>POWER 박스</t>
    <phoneticPr fontId="14" type="noConversion"/>
  </si>
  <si>
    <t>6*10백</t>
    <phoneticPr fontId="14" type="noConversion"/>
  </si>
  <si>
    <t>12*10황 (0.65T)</t>
    <phoneticPr fontId="14" type="noConversion"/>
  </si>
  <si>
    <t>10롤</t>
    <phoneticPr fontId="14" type="noConversion"/>
  </si>
  <si>
    <t>파레트에 0.65T라고 표기 요망</t>
    <phoneticPr fontId="14" type="noConversion"/>
  </si>
  <si>
    <t>12*12(0.63T)청</t>
    <phoneticPr fontId="14" type="noConversion"/>
  </si>
  <si>
    <t>1파레트</t>
    <phoneticPr fontId="14" type="noConversion"/>
  </si>
  <si>
    <t>59박스</t>
    <phoneticPr fontId="14" type="noConversion"/>
  </si>
  <si>
    <t>팔레트 2개</t>
    <phoneticPr fontId="14" type="noConversion"/>
  </si>
  <si>
    <t>광주천일포장(지방합화차)</t>
    <phoneticPr fontId="14" type="noConversion"/>
  </si>
  <si>
    <t>2시상차</t>
    <phoneticPr fontId="14" type="noConversion"/>
  </si>
  <si>
    <t>주소는 카톡에</t>
    <phoneticPr fontId="14" type="noConversion"/>
  </si>
  <si>
    <t>무지 박스</t>
    <phoneticPr fontId="14" type="noConversion"/>
  </si>
  <si>
    <t>6박스</t>
    <phoneticPr fontId="14" type="noConversion"/>
  </si>
  <si>
    <t>두메농장(발화주:신광포장) (경기도 안산시 상록구 이동 707-3 101 /  010-9238-8330</t>
    <phoneticPr fontId="14" type="noConversion"/>
  </si>
  <si>
    <t>고성오 부장</t>
    <phoneticPr fontId="14" type="noConversion"/>
  </si>
  <si>
    <t>서흥포장</t>
    <phoneticPr fontId="14" type="noConversion"/>
  </si>
  <si>
    <t>대신택배(민희에그)</t>
    <phoneticPr fontId="14" type="noConversion"/>
  </si>
  <si>
    <t>민희에그 (발화주:경인팩) (경상남도 함안군 가야읍 함안대로 751  055-585-1088
대표:010-8539-2446  
&lt;민희에그드림&gt;</t>
    <phoneticPr fontId="14" type="noConversion"/>
  </si>
  <si>
    <t>대신택배((주)서신)</t>
    <phoneticPr fontId="14" type="noConversion"/>
  </si>
  <si>
    <t>강원도 원주시 동부순환로 389-5(봉산동) 033-764-6605 / 010-8969-6221</t>
    <phoneticPr fontId="14" type="noConversion"/>
  </si>
  <si>
    <t>유하정판 (김영인과장) 충남 천안시 서북구 성거읍 마당재길 28  041-522-8636 / 010-3588-9371</t>
    <phoneticPr fontId="14" type="noConversion"/>
  </si>
  <si>
    <t>파란색 밴딩</t>
    <phoneticPr fontId="14" type="noConversion"/>
  </si>
  <si>
    <t>15*10황</t>
    <phoneticPr fontId="14" type="noConversion"/>
  </si>
  <si>
    <t>오후</t>
    <phoneticPr fontId="14" type="noConversion"/>
  </si>
  <si>
    <t>무지 박스</t>
    <phoneticPr fontId="14" type="noConversion"/>
  </si>
  <si>
    <t>51롤</t>
    <phoneticPr fontId="14" type="noConversion"/>
  </si>
  <si>
    <t>배추끈</t>
    <phoneticPr fontId="14" type="noConversion"/>
  </si>
  <si>
    <t>오전 용차</t>
    <phoneticPr fontId="14" type="noConversion"/>
  </si>
  <si>
    <t>155롤</t>
    <phoneticPr fontId="14" type="noConversion"/>
  </si>
  <si>
    <t>PE28*2청</t>
    <phoneticPr fontId="14" type="noConversion"/>
  </si>
  <si>
    <t>83박스</t>
    <phoneticPr fontId="14" type="noConversion"/>
  </si>
  <si>
    <t>PE28*2황</t>
    <phoneticPr fontId="14" type="noConversion"/>
  </si>
  <si>
    <t>PE28*2적</t>
    <phoneticPr fontId="14" type="noConversion"/>
  </si>
  <si>
    <t>71박스</t>
    <phoneticPr fontId="14" type="noConversion"/>
  </si>
  <si>
    <t>알엘비</t>
    <phoneticPr fontId="14" type="noConversion"/>
  </si>
  <si>
    <t>7.2톤</t>
    <phoneticPr fontId="14" type="noConversion"/>
  </si>
  <si>
    <t>태양산업</t>
    <phoneticPr fontId="14" type="noConversion"/>
  </si>
  <si>
    <t>삼성불량품</t>
    <phoneticPr fontId="14" type="noConversion"/>
  </si>
  <si>
    <t>1개</t>
    <phoneticPr fontId="14" type="noConversion"/>
  </si>
  <si>
    <t>18*15</t>
    <phoneticPr fontId="14" type="noConversion"/>
  </si>
  <si>
    <t>18*21 친환경</t>
    <phoneticPr fontId="14" type="noConversion"/>
  </si>
  <si>
    <t>14롤</t>
    <phoneticPr fontId="14" type="noConversion"/>
  </si>
  <si>
    <t>11시~12시 도착
이길호 과장</t>
    <phoneticPr fontId="14" type="noConversion"/>
  </si>
  <si>
    <t>12*10황(0.8T)</t>
    <phoneticPr fontId="14" type="noConversion"/>
  </si>
  <si>
    <t>18박스</t>
    <phoneticPr fontId="14" type="noConversion"/>
  </si>
  <si>
    <t>아주파레트</t>
    <phoneticPr fontId="14" type="noConversion"/>
  </si>
  <si>
    <t>갈색 주황색 반납</t>
    <phoneticPr fontId="14" type="noConversion"/>
  </si>
  <si>
    <t>연두색 회수</t>
    <phoneticPr fontId="14" type="noConversion"/>
  </si>
  <si>
    <t>112롤</t>
    <phoneticPr fontId="14" type="noConversion"/>
  </si>
  <si>
    <t>6*10황</t>
    <phoneticPr fontId="14" type="noConversion"/>
  </si>
  <si>
    <t>6파레트</t>
    <phoneticPr fontId="14" type="noConversion"/>
  </si>
  <si>
    <t>PE28*2백(24kg)</t>
    <phoneticPr fontId="14" type="noConversion"/>
  </si>
  <si>
    <t>70박스</t>
    <phoneticPr fontId="14" type="noConversion"/>
  </si>
  <si>
    <t>15롤</t>
    <phoneticPr fontId="14" type="noConversion"/>
  </si>
  <si>
    <t xml:space="preserve">광림패드 </t>
    <phoneticPr fontId="14" type="noConversion"/>
  </si>
  <si>
    <t>15.2톤</t>
    <phoneticPr fontId="14" type="noConversion"/>
  </si>
  <si>
    <t>40"(오후5시)</t>
    <phoneticPr fontId="14" type="noConversion"/>
  </si>
  <si>
    <t>384롤</t>
    <phoneticPr fontId="14" type="noConversion"/>
  </si>
  <si>
    <t>지관 회수</t>
    <phoneticPr fontId="14" type="noConversion"/>
  </si>
  <si>
    <t>오전</t>
    <phoneticPr fontId="14" type="noConversion"/>
  </si>
  <si>
    <t>PE50*5백</t>
    <phoneticPr fontId="14" type="noConversion"/>
  </si>
  <si>
    <t>다마스용차</t>
    <phoneticPr fontId="14" type="noConversion"/>
  </si>
  <si>
    <t>팔레트 1개 / 10시 까대기 하차도움</t>
    <phoneticPr fontId="14" type="noConversion"/>
  </si>
  <si>
    <t>102롤</t>
    <phoneticPr fontId="14" type="noConversion"/>
  </si>
  <si>
    <t xml:space="preserve">팔레트2개 </t>
    <phoneticPr fontId="14" type="noConversion"/>
  </si>
  <si>
    <t>수입품</t>
    <phoneticPr fontId="14" type="noConversion"/>
  </si>
  <si>
    <t>pe50*6백</t>
    <phoneticPr fontId="14" type="noConversion"/>
  </si>
  <si>
    <t>12*12.5투명 (0.7T)</t>
    <phoneticPr fontId="14" type="noConversion"/>
  </si>
  <si>
    <t>동방포장</t>
    <phoneticPr fontId="14" type="noConversion"/>
  </si>
  <si>
    <t>무지패드</t>
    <phoneticPr fontId="14" type="noConversion"/>
  </si>
  <si>
    <t>오전 8시반 착</t>
    <phoneticPr fontId="14" type="noConversion"/>
  </si>
  <si>
    <t>40박스</t>
    <phoneticPr fontId="14" type="noConversion"/>
  </si>
  <si>
    <t>에이비엘</t>
    <phoneticPr fontId="14" type="noConversion"/>
  </si>
  <si>
    <t>6톤</t>
    <phoneticPr fontId="14" type="noConversion"/>
  </si>
  <si>
    <t>20"(오전9시)</t>
    <phoneticPr fontId="14" type="noConversion"/>
  </si>
  <si>
    <t>파워팩</t>
    <phoneticPr fontId="14" type="noConversion"/>
  </si>
  <si>
    <t>20.4톤</t>
    <phoneticPr fontId="14" type="noConversion"/>
  </si>
  <si>
    <t>40"(오후1시)</t>
    <phoneticPr fontId="14" type="noConversion"/>
  </si>
  <si>
    <t>96박스</t>
    <phoneticPr fontId="14" type="noConversion"/>
  </si>
  <si>
    <t>삼원산업</t>
    <phoneticPr fontId="14" type="noConversion"/>
  </si>
  <si>
    <t>12*12황</t>
    <phoneticPr fontId="14" type="noConversion"/>
  </si>
  <si>
    <t>수입품</t>
    <phoneticPr fontId="14" type="noConversion"/>
  </si>
  <si>
    <t>명세서 0.75T</t>
    <phoneticPr fontId="14" type="noConversion"/>
  </si>
  <si>
    <t>이길호과장</t>
    <phoneticPr fontId="14" type="noConversion"/>
  </si>
  <si>
    <t>12*10백(0.75T)</t>
    <phoneticPr fontId="14" type="noConversion"/>
  </si>
  <si>
    <t>60롤</t>
    <phoneticPr fontId="14" type="noConversion"/>
  </si>
  <si>
    <t>오전 8시 40분 용차</t>
    <phoneticPr fontId="14" type="noConversion"/>
  </si>
  <si>
    <t>330롤</t>
    <phoneticPr fontId="14" type="noConversion"/>
  </si>
  <si>
    <t>18*21 친환경</t>
    <phoneticPr fontId="14" type="noConversion"/>
  </si>
  <si>
    <t>42롤</t>
    <phoneticPr fontId="14" type="noConversion"/>
  </si>
  <si>
    <t>46롤</t>
    <phoneticPr fontId="14" type="noConversion"/>
  </si>
  <si>
    <t>어드밴스</t>
    <phoneticPr fontId="14" type="noConversion"/>
  </si>
  <si>
    <t>12*3000m 투명</t>
    <phoneticPr fontId="14" type="noConversion"/>
  </si>
  <si>
    <t>4롤</t>
    <phoneticPr fontId="14" type="noConversion"/>
  </si>
  <si>
    <t>2롤씩 묶음</t>
    <phoneticPr fontId="14" type="noConversion"/>
  </si>
  <si>
    <t>펀치볼</t>
    <phoneticPr fontId="14" type="noConversion"/>
  </si>
  <si>
    <t>17.8톤</t>
    <phoneticPr fontId="14" type="noConversion"/>
  </si>
  <si>
    <t>15*10청</t>
    <phoneticPr fontId="14" type="noConversion"/>
  </si>
  <si>
    <t>두산종합목재</t>
    <phoneticPr fontId="14" type="noConversion"/>
  </si>
  <si>
    <t>12*10청</t>
    <phoneticPr fontId="14" type="noConversion"/>
  </si>
  <si>
    <t>51롤</t>
    <phoneticPr fontId="14" type="noConversion"/>
  </si>
  <si>
    <t>2롤</t>
    <phoneticPr fontId="14" type="noConversion"/>
  </si>
  <si>
    <t>인보이스교체</t>
    <phoneticPr fontId="14" type="noConversion"/>
  </si>
  <si>
    <t>경인산업</t>
    <phoneticPr fontId="14" type="noConversion"/>
  </si>
  <si>
    <t>56롤</t>
    <phoneticPr fontId="14" type="noConversion"/>
  </si>
  <si>
    <t>대영포장 안산</t>
    <phoneticPr fontId="14" type="noConversion"/>
  </si>
  <si>
    <t>300롤</t>
    <phoneticPr fontId="14" type="noConversion"/>
  </si>
  <si>
    <t>이월 / 오후2시 상차</t>
    <phoneticPr fontId="14" type="noConversion"/>
  </si>
  <si>
    <t>6개</t>
    <phoneticPr fontId="14" type="noConversion"/>
  </si>
  <si>
    <t>택배비 청구 75,000원</t>
    <phoneticPr fontId="14" type="noConversion"/>
  </si>
  <si>
    <t>231롤</t>
    <phoneticPr fontId="14" type="noConversion"/>
  </si>
  <si>
    <t>일산</t>
    <phoneticPr fontId="14" type="noConversion"/>
  </si>
  <si>
    <t>오전 9시30분 전 도착</t>
    <phoneticPr fontId="14" type="noConversion"/>
  </si>
  <si>
    <t>25박스</t>
    <phoneticPr fontId="14" type="noConversion"/>
  </si>
  <si>
    <t>세화종합상사</t>
    <phoneticPr fontId="14" type="noConversion"/>
  </si>
  <si>
    <t>2박스</t>
    <phoneticPr fontId="14" type="noConversion"/>
  </si>
  <si>
    <t>POWER 박스(수입품)</t>
    <phoneticPr fontId="14" type="noConversion"/>
  </si>
  <si>
    <t>낱개1롤 추가</t>
    <phoneticPr fontId="14" type="noConversion"/>
  </si>
  <si>
    <t>온라인패키지</t>
    <phoneticPr fontId="14" type="noConversion"/>
  </si>
  <si>
    <t>POWER / 수입품</t>
    <phoneticPr fontId="14" type="noConversion"/>
  </si>
  <si>
    <t>전주삼신</t>
    <phoneticPr fontId="14" type="noConversion"/>
  </si>
  <si>
    <t>명세서 0.75T)</t>
    <phoneticPr fontId="14" type="noConversion"/>
  </si>
  <si>
    <t>두손포장</t>
    <phoneticPr fontId="14" type="noConversion"/>
  </si>
  <si>
    <t>수입품</t>
    <phoneticPr fontId="14" type="noConversion"/>
  </si>
  <si>
    <t>3박스</t>
    <phoneticPr fontId="14" type="noConversion"/>
  </si>
  <si>
    <t>11롤</t>
    <phoneticPr fontId="14" type="noConversion"/>
  </si>
  <si>
    <t>라바인터네셔널</t>
    <phoneticPr fontId="14" type="noConversion"/>
  </si>
  <si>
    <t>-35롤(반품)</t>
    <phoneticPr fontId="14" type="noConversion"/>
  </si>
  <si>
    <t>대구한국포장</t>
    <phoneticPr fontId="14" type="noConversion"/>
  </si>
  <si>
    <t>6파레트 / 3시~4시사이 / 착불</t>
    <phoneticPr fontId="14" type="noConversion"/>
  </si>
  <si>
    <t>168롤</t>
    <phoneticPr fontId="14" type="noConversion"/>
  </si>
  <si>
    <t>장부에는 166롤</t>
    <phoneticPr fontId="14" type="noConversion"/>
  </si>
  <si>
    <t>120박스</t>
    <phoneticPr fontId="14" type="noConversion"/>
  </si>
  <si>
    <t>2번 나눠서 납품</t>
    <phoneticPr fontId="14" type="noConversion"/>
  </si>
  <si>
    <t>샘 1차(장부에서 삭제)</t>
    <phoneticPr fontId="14" type="noConversion"/>
  </si>
  <si>
    <t>PE28*2황</t>
    <phoneticPr fontId="14" type="noConversion"/>
  </si>
  <si>
    <t>27박스</t>
    <phoneticPr fontId="14" type="noConversion"/>
  </si>
  <si>
    <t>오전9시 납품</t>
    <phoneticPr fontId="14" type="noConversion"/>
  </si>
  <si>
    <t>장원식품</t>
    <phoneticPr fontId="14" type="noConversion"/>
  </si>
  <si>
    <t>9*10황</t>
    <phoneticPr fontId="14" type="noConversion"/>
  </si>
  <si>
    <t>방문출고</t>
    <phoneticPr fontId="14" type="noConversion"/>
  </si>
  <si>
    <t>PE28*2황(24kg)</t>
    <phoneticPr fontId="14" type="noConversion"/>
  </si>
  <si>
    <t>PE28*2청(24kg)</t>
    <phoneticPr fontId="14" type="noConversion"/>
  </si>
  <si>
    <t>391롤</t>
    <phoneticPr fontId="14" type="noConversion"/>
  </si>
  <si>
    <t>오전/오후</t>
    <phoneticPr fontId="14" type="noConversion"/>
  </si>
  <si>
    <t>18*21(친환경)</t>
    <phoneticPr fontId="14" type="noConversion"/>
  </si>
  <si>
    <t>18*21황</t>
    <phoneticPr fontId="14" type="noConversion"/>
  </si>
  <si>
    <t>제이케이 순성공장 /오후1시</t>
    <phoneticPr fontId="14" type="noConversion"/>
  </si>
  <si>
    <t>보우팩제품</t>
    <phoneticPr fontId="14" type="noConversion"/>
  </si>
  <si>
    <t>오후1시 / 까대기</t>
    <phoneticPr fontId="14" type="noConversion"/>
  </si>
  <si>
    <t>라바인터네셔널</t>
    <phoneticPr fontId="14" type="noConversion"/>
  </si>
  <si>
    <t>12*10청(0.75T)</t>
    <phoneticPr fontId="14" type="noConversion"/>
  </si>
  <si>
    <t>착불 / 대납</t>
    <phoneticPr fontId="14" type="noConversion"/>
  </si>
  <si>
    <t>에그조아</t>
    <phoneticPr fontId="14" type="noConversion"/>
  </si>
  <si>
    <t>수입품 / KIC박스</t>
    <phoneticPr fontId="14" type="noConversion"/>
  </si>
  <si>
    <t>5*7000M청</t>
    <phoneticPr fontId="14" type="noConversion"/>
  </si>
  <si>
    <t>1롤</t>
    <phoneticPr fontId="14" type="noConversion"/>
  </si>
  <si>
    <t>샘플(b품)</t>
    <phoneticPr fontId="14" type="noConversion"/>
  </si>
  <si>
    <t>유한산업</t>
    <phoneticPr fontId="14" type="noConversion"/>
  </si>
  <si>
    <t>청구 5,000원 /  발화주 : 신광포장
유한산업)경기 화성 양감면 제약단지로 237-42
031 352 5032</t>
    <phoneticPr fontId="14" type="noConversion"/>
  </si>
  <si>
    <t>한일이에프</t>
    <phoneticPr fontId="14" type="noConversion"/>
  </si>
  <si>
    <t>청구 / 65,000원 /발화주:경인팩
경남 함안군 산인면 송산로 170
010-3866-5131</t>
    <phoneticPr fontId="14" type="noConversion"/>
  </si>
  <si>
    <t>kic박스 / 네이쳐앤휴먼지피</t>
    <phoneticPr fontId="14" type="noConversion"/>
  </si>
  <si>
    <t>청구 15,000원/ 발화주 인스트아이앤씨
경기 화성시 마도면 송정동길 38-24 010-7234-0006</t>
    <phoneticPr fontId="14" type="noConversion"/>
  </si>
  <si>
    <t>6.1톤</t>
    <phoneticPr fontId="14" type="noConversion"/>
  </si>
  <si>
    <t>탐스텍</t>
    <phoneticPr fontId="14" type="noConversion"/>
  </si>
  <si>
    <t>3.5톤</t>
    <phoneticPr fontId="14" type="noConversion"/>
  </si>
  <si>
    <t>트럭(오후2시 도착)</t>
    <phoneticPr fontId="14" type="noConversion"/>
  </si>
  <si>
    <t>신대한판지</t>
    <phoneticPr fontId="14" type="noConversion"/>
  </si>
  <si>
    <t>8.5*9.5백</t>
    <phoneticPr fontId="14" type="noConversion"/>
  </si>
  <si>
    <t>12*12.5녹</t>
    <phoneticPr fontId="14" type="noConversion"/>
  </si>
  <si>
    <t>20롤</t>
    <phoneticPr fontId="14" type="noConversion"/>
  </si>
  <si>
    <t>운송비 할인</t>
    <phoneticPr fontId="14" type="noConversion"/>
  </si>
  <si>
    <t>인선</t>
    <phoneticPr fontId="14" type="noConversion"/>
  </si>
  <si>
    <t>5.8톤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</si>
</sst>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m&quot;월&quot;\ d&quot;일&quot;;@"/>
    <numFmt numFmtId="177" formatCode="#&quot;롤&quot;"/>
    <numFmt numFmtId="178" formatCode="mm&quot;월&quot;\ dd&quot;일&quot;"/>
  </numFmts>
  <fonts count="25" x14ac:knownFonts="1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4"/>
      <color rgb="FFFF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8"/>
      <name val="돋움"/>
      <family val="3"/>
      <charset val="129"/>
    </font>
    <font>
      <sz val="15"/>
      <color rgb="FFFF000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72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sz val="9"/>
      <color rgb="FF000000"/>
      <name val="Arial"/>
      <family val="2"/>
    </font>
    <font>
      <sz val="18"/>
      <color rgb="FF00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A1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0">
    <xf numFmtId="0" fontId="0" fillId="0" borderId="0" xfId="0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176" fontId="4" fillId="0" borderId="4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177" fontId="4" fillId="0" borderId="7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vertical="center"/>
    </xf>
    <xf numFmtId="0" fontId="0" fillId="2" borderId="8" xfId="0" applyNumberFormat="1" applyFont="1" applyFill="1" applyBorder="1" applyAlignment="1">
      <alignment vertical="center"/>
    </xf>
    <xf numFmtId="0" fontId="5" fillId="0" borderId="0" xfId="0" applyNumberFormat="1" applyFont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177" fontId="4" fillId="0" borderId="10" xfId="0" applyNumberFormat="1" applyFont="1" applyFill="1" applyBorder="1" applyAlignment="1">
      <alignment horizontal="center" vertical="center" wrapText="1"/>
    </xf>
    <xf numFmtId="0" fontId="4" fillId="2" borderId="11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 wrapText="1"/>
    </xf>
    <xf numFmtId="177" fontId="4" fillId="0" borderId="12" xfId="0" applyNumberFormat="1" applyFont="1" applyFill="1" applyBorder="1" applyAlignment="1">
      <alignment horizontal="center" vertical="center" wrapText="1"/>
    </xf>
    <xf numFmtId="0" fontId="4" fillId="2" borderId="13" xfId="0" applyNumberFormat="1" applyFont="1" applyFill="1" applyBorder="1" applyAlignment="1">
      <alignment horizontal="center" vertical="center" wrapText="1"/>
    </xf>
    <xf numFmtId="0" fontId="4" fillId="2" borderId="14" xfId="0" applyNumberFormat="1" applyFont="1" applyFill="1" applyBorder="1" applyAlignment="1">
      <alignment horizontal="center" vertical="center" wrapText="1"/>
    </xf>
    <xf numFmtId="177" fontId="4" fillId="0" borderId="14" xfId="0" applyNumberFormat="1" applyFont="1" applyFill="1" applyBorder="1" applyAlignment="1">
      <alignment horizontal="center" vertical="center" wrapText="1"/>
    </xf>
    <xf numFmtId="0" fontId="4" fillId="2" borderId="15" xfId="0" applyNumberFormat="1" applyFont="1" applyFill="1" applyBorder="1" applyAlignment="1">
      <alignment vertical="center"/>
    </xf>
    <xf numFmtId="0" fontId="0" fillId="2" borderId="16" xfId="0" applyNumberFormat="1" applyFont="1" applyFill="1" applyBorder="1" applyAlignment="1">
      <alignment vertical="center"/>
    </xf>
    <xf numFmtId="176" fontId="4" fillId="0" borderId="13" xfId="0" applyNumberFormat="1" applyFont="1" applyFill="1" applyBorder="1" applyAlignment="1">
      <alignment horizontal="center" vertical="center"/>
    </xf>
    <xf numFmtId="0" fontId="4" fillId="0" borderId="17" xfId="0" applyNumberFormat="1" applyFont="1" applyFill="1" applyBorder="1" applyAlignment="1">
      <alignment horizontal="center" vertical="center"/>
    </xf>
    <xf numFmtId="176" fontId="6" fillId="3" borderId="18" xfId="0" applyNumberFormat="1" applyFont="1" applyFill="1" applyBorder="1" applyAlignment="1">
      <alignment horizontal="center" vertical="center"/>
    </xf>
    <xf numFmtId="0" fontId="6" fillId="3" borderId="19" xfId="0" applyNumberFormat="1" applyFont="1" applyFill="1" applyBorder="1" applyAlignment="1">
      <alignment horizontal="center" vertical="center"/>
    </xf>
    <xf numFmtId="176" fontId="6" fillId="3" borderId="19" xfId="0" applyNumberFormat="1" applyFont="1" applyFill="1" applyBorder="1" applyAlignment="1">
      <alignment horizontal="center" vertical="center"/>
    </xf>
    <xf numFmtId="176" fontId="7" fillId="3" borderId="20" xfId="0" applyNumberFormat="1" applyFont="1" applyFill="1" applyBorder="1" applyAlignment="1">
      <alignment horizontal="center" vertical="center" shrinkToFit="1"/>
    </xf>
    <xf numFmtId="0" fontId="4" fillId="2" borderId="21" xfId="0" applyNumberFormat="1" applyFont="1" applyFill="1" applyBorder="1" applyAlignment="1">
      <alignment horizontal="center" vertical="center" wrapText="1"/>
    </xf>
    <xf numFmtId="0" fontId="4" fillId="2" borderId="22" xfId="0" applyNumberFormat="1" applyFont="1" applyFill="1" applyBorder="1" applyAlignment="1">
      <alignment horizontal="center" vertical="center" wrapText="1"/>
    </xf>
    <xf numFmtId="177" fontId="4" fillId="0" borderId="22" xfId="0" applyNumberFormat="1" applyFont="1" applyFill="1" applyBorder="1" applyAlignment="1">
      <alignment horizontal="center" vertical="center" wrapText="1"/>
    </xf>
    <xf numFmtId="0" fontId="4" fillId="2" borderId="22" xfId="0" applyNumberFormat="1" applyFont="1" applyFill="1" applyBorder="1" applyAlignment="1">
      <alignment vertical="center"/>
    </xf>
    <xf numFmtId="0" fontId="0" fillId="2" borderId="23" xfId="0" applyNumberFormat="1" applyFont="1" applyFill="1" applyBorder="1" applyAlignment="1">
      <alignment vertical="center"/>
    </xf>
    <xf numFmtId="0" fontId="4" fillId="2" borderId="6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vertical="center"/>
    </xf>
    <xf numFmtId="0" fontId="0" fillId="2" borderId="24" xfId="0" applyNumberFormat="1" applyFont="1" applyFill="1" applyBorder="1" applyAlignment="1">
      <alignment vertical="center"/>
    </xf>
    <xf numFmtId="0" fontId="4" fillId="2" borderId="25" xfId="0" applyNumberFormat="1" applyFont="1" applyFill="1" applyBorder="1" applyAlignment="1">
      <alignment horizontal="center" vertical="center"/>
    </xf>
    <xf numFmtId="177" fontId="4" fillId="0" borderId="26" xfId="0" applyNumberFormat="1" applyFont="1" applyFill="1" applyBorder="1" applyAlignment="1">
      <alignment horizontal="center" vertical="center" wrapText="1"/>
    </xf>
    <xf numFmtId="0" fontId="4" fillId="2" borderId="25" xfId="0" applyNumberFormat="1" applyFont="1" applyFill="1" applyBorder="1" applyAlignment="1">
      <alignment vertical="center"/>
    </xf>
    <xf numFmtId="0" fontId="0" fillId="2" borderId="27" xfId="0" applyNumberFormat="1" applyFont="1" applyFill="1" applyBorder="1" applyAlignment="1">
      <alignment vertical="center"/>
    </xf>
    <xf numFmtId="0" fontId="4" fillId="2" borderId="7" xfId="0" applyNumberFormat="1" applyFont="1" applyFill="1" applyBorder="1" applyAlignment="1">
      <alignment horizontal="center" vertical="center"/>
    </xf>
    <xf numFmtId="177" fontId="4" fillId="0" borderId="28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/>
    </xf>
    <xf numFmtId="177" fontId="4" fillId="0" borderId="29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vertical="center"/>
    </xf>
    <xf numFmtId="0" fontId="0" fillId="2" borderId="30" xfId="0" applyNumberFormat="1" applyFont="1" applyFill="1" applyBorder="1" applyAlignment="1">
      <alignment vertical="center"/>
    </xf>
    <xf numFmtId="0" fontId="4" fillId="2" borderId="10" xfId="0" applyNumberFormat="1" applyFont="1" applyFill="1" applyBorder="1" applyAlignment="1">
      <alignment horizontal="center" vertical="center"/>
    </xf>
    <xf numFmtId="177" fontId="4" fillId="0" borderId="31" xfId="0" applyNumberFormat="1" applyFont="1" applyFill="1" applyBorder="1" applyAlignment="1">
      <alignment horizontal="center" vertical="center" wrapText="1"/>
    </xf>
    <xf numFmtId="0" fontId="4" fillId="2" borderId="13" xfId="0" applyNumberFormat="1" applyFont="1" applyFill="1" applyBorder="1" applyAlignment="1">
      <alignment horizontal="center" vertical="center" wrapText="1"/>
    </xf>
    <xf numFmtId="176" fontId="6" fillId="3" borderId="21" xfId="0" applyNumberFormat="1" applyFont="1" applyFill="1" applyBorder="1" applyAlignment="1">
      <alignment horizontal="center" vertical="center"/>
    </xf>
    <xf numFmtId="176" fontId="6" fillId="3" borderId="25" xfId="0" applyNumberFormat="1" applyFont="1" applyFill="1" applyBorder="1" applyAlignment="1">
      <alignment horizontal="center" vertical="center"/>
    </xf>
    <xf numFmtId="176" fontId="7" fillId="3" borderId="27" xfId="0" applyNumberFormat="1" applyFont="1" applyFill="1" applyBorder="1" applyAlignment="1">
      <alignment horizontal="center" vertical="center" shrinkToFit="1"/>
    </xf>
    <xf numFmtId="0" fontId="2" fillId="2" borderId="22" xfId="0" applyNumberFormat="1" applyFont="1" applyFill="1" applyBorder="1" applyAlignment="1">
      <alignment vertical="center" wrapText="1"/>
    </xf>
    <xf numFmtId="0" fontId="2" fillId="2" borderId="23" xfId="0" applyNumberFormat="1" applyFont="1" applyFill="1" applyBorder="1" applyAlignment="1">
      <alignment vertical="center" wrapText="1"/>
    </xf>
    <xf numFmtId="0" fontId="2" fillId="2" borderId="7" xfId="0" applyNumberFormat="1" applyFont="1" applyFill="1" applyBorder="1" applyAlignment="1">
      <alignment vertical="center" wrapText="1"/>
    </xf>
    <xf numFmtId="0" fontId="2" fillId="2" borderId="8" xfId="0" applyNumberFormat="1" applyFont="1" applyFill="1" applyBorder="1" applyAlignment="1">
      <alignment vertical="center" wrapText="1"/>
    </xf>
    <xf numFmtId="0" fontId="2" fillId="2" borderId="32" xfId="0" applyNumberFormat="1" applyFont="1" applyFill="1" applyBorder="1" applyAlignment="1">
      <alignment vertical="center" wrapText="1"/>
    </xf>
    <xf numFmtId="0" fontId="2" fillId="2" borderId="33" xfId="0" applyNumberFormat="1" applyFont="1" applyFill="1" applyBorder="1" applyAlignment="1">
      <alignment vertical="center" wrapText="1"/>
    </xf>
    <xf numFmtId="0" fontId="4" fillId="2" borderId="32" xfId="0" applyNumberFormat="1" applyFont="1" applyFill="1" applyBorder="1" applyAlignment="1">
      <alignment horizontal="center" vertical="center"/>
    </xf>
    <xf numFmtId="177" fontId="4" fillId="0" borderId="34" xfId="0" applyNumberFormat="1" applyFont="1" applyFill="1" applyBorder="1" applyAlignment="1">
      <alignment horizontal="center" vertical="center" wrapText="1"/>
    </xf>
    <xf numFmtId="0" fontId="4" fillId="2" borderId="32" xfId="0" applyNumberFormat="1" applyFont="1" applyFill="1" applyBorder="1" applyAlignment="1">
      <alignment vertical="center"/>
    </xf>
    <xf numFmtId="0" fontId="0" fillId="2" borderId="33" xfId="0" applyNumberFormat="1" applyFont="1" applyFill="1" applyBorder="1" applyAlignment="1">
      <alignment vertical="center"/>
    </xf>
    <xf numFmtId="0" fontId="4" fillId="2" borderId="14" xfId="0" applyNumberFormat="1" applyFont="1" applyFill="1" applyBorder="1" applyAlignment="1">
      <alignment horizontal="center" vertical="center"/>
    </xf>
    <xf numFmtId="177" fontId="4" fillId="0" borderId="35" xfId="0" applyNumberFormat="1" applyFont="1" applyFill="1" applyBorder="1" applyAlignment="1">
      <alignment horizontal="center" vertical="center" wrapText="1"/>
    </xf>
    <xf numFmtId="0" fontId="2" fillId="2" borderId="14" xfId="0" applyNumberFormat="1" applyFont="1" applyFill="1" applyBorder="1" applyAlignment="1">
      <alignment vertical="center" wrapText="1"/>
    </xf>
    <xf numFmtId="0" fontId="2" fillId="2" borderId="36" xfId="0" applyNumberFormat="1" applyFont="1" applyFill="1" applyBorder="1" applyAlignment="1">
      <alignment vertical="center" wrapText="1"/>
    </xf>
    <xf numFmtId="0" fontId="2" fillId="3" borderId="13" xfId="0" applyNumberFormat="1" applyFont="1" applyFill="1" applyBorder="1" applyAlignment="1">
      <alignment vertical="center" wrapText="1"/>
    </xf>
    <xf numFmtId="0" fontId="2" fillId="3" borderId="15" xfId="0" applyNumberFormat="1" applyFont="1" applyFill="1" applyBorder="1" applyAlignment="1">
      <alignment vertical="center" wrapText="1"/>
    </xf>
    <xf numFmtId="0" fontId="2" fillId="3" borderId="16" xfId="0" applyNumberFormat="1" applyFont="1" applyFill="1" applyBorder="1" applyAlignment="1">
      <alignment vertical="center" wrapText="1"/>
    </xf>
    <xf numFmtId="176" fontId="4" fillId="0" borderId="21" xfId="0" applyNumberFormat="1" applyFont="1" applyFill="1" applyBorder="1" applyAlignment="1">
      <alignment horizontal="center" vertical="center"/>
    </xf>
    <xf numFmtId="0" fontId="4" fillId="0" borderId="27" xfId="0" applyNumberFormat="1" applyFont="1" applyFill="1" applyBorder="1" applyAlignment="1">
      <alignment horizontal="center" vertical="center"/>
    </xf>
    <xf numFmtId="0" fontId="4" fillId="2" borderId="32" xfId="0" applyNumberFormat="1" applyFont="1" applyFill="1" applyBorder="1" applyAlignment="1">
      <alignment vertical="center" wrapText="1"/>
    </xf>
    <xf numFmtId="0" fontId="4" fillId="0" borderId="30" xfId="0" applyNumberFormat="1" applyFont="1" applyFill="1" applyBorder="1" applyAlignment="1">
      <alignment horizontal="center" vertical="center"/>
    </xf>
    <xf numFmtId="0" fontId="4" fillId="2" borderId="37" xfId="0" applyNumberFormat="1" applyFont="1" applyFill="1" applyBorder="1" applyAlignment="1">
      <alignment horizontal="center" vertical="center" wrapText="1"/>
    </xf>
    <xf numFmtId="0" fontId="4" fillId="2" borderId="14" xfId="0" applyNumberFormat="1" applyFont="1" applyFill="1" applyBorder="1" applyAlignment="1">
      <alignment vertical="center"/>
    </xf>
    <xf numFmtId="0" fontId="0" fillId="2" borderId="36" xfId="0" applyNumberFormat="1" applyFont="1" applyFill="1" applyBorder="1" applyAlignment="1">
      <alignment vertical="center"/>
    </xf>
    <xf numFmtId="0" fontId="4" fillId="0" borderId="16" xfId="0" applyNumberFormat="1" applyFont="1" applyFill="1" applyBorder="1" applyAlignment="1">
      <alignment horizontal="center" vertical="center"/>
    </xf>
    <xf numFmtId="0" fontId="4" fillId="0" borderId="22" xfId="0" applyNumberFormat="1" applyFont="1" applyFill="1" applyBorder="1" applyAlignment="1">
      <alignment horizontal="center" vertical="center"/>
    </xf>
    <xf numFmtId="176" fontId="6" fillId="0" borderId="22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176" fontId="6" fillId="0" borderId="7" xfId="0" applyNumberFormat="1" applyFont="1" applyFill="1" applyBorder="1" applyAlignment="1">
      <alignment horizontal="center" vertical="center"/>
    </xf>
    <xf numFmtId="176" fontId="4" fillId="0" borderId="6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/>
    </xf>
    <xf numFmtId="176" fontId="6" fillId="0" borderId="12" xfId="0" applyNumberFormat="1" applyFont="1" applyFill="1" applyBorder="1" applyAlignment="1">
      <alignment horizontal="center" vertical="center"/>
    </xf>
    <xf numFmtId="176" fontId="4" fillId="0" borderId="9" xfId="0" applyNumberFormat="1" applyFont="1" applyFill="1" applyBorder="1" applyAlignment="1">
      <alignment horizontal="center" vertical="center"/>
    </xf>
    <xf numFmtId="176" fontId="5" fillId="0" borderId="7" xfId="0" applyNumberFormat="1" applyFont="1" applyFill="1" applyBorder="1" applyAlignment="1">
      <alignment horizontal="center" vertical="center"/>
    </xf>
    <xf numFmtId="176" fontId="6" fillId="3" borderId="13" xfId="0" applyNumberFormat="1" applyFont="1" applyFill="1" applyBorder="1" applyAlignment="1">
      <alignment horizontal="center" vertical="center"/>
    </xf>
    <xf numFmtId="0" fontId="6" fillId="3" borderId="15" xfId="0" applyNumberFormat="1" applyFont="1" applyFill="1" applyBorder="1" applyAlignment="1">
      <alignment horizontal="center" vertical="center"/>
    </xf>
    <xf numFmtId="176" fontId="6" fillId="3" borderId="15" xfId="0" applyNumberFormat="1" applyFont="1" applyFill="1" applyBorder="1" applyAlignment="1">
      <alignment horizontal="center" vertical="center"/>
    </xf>
    <xf numFmtId="176" fontId="7" fillId="3" borderId="16" xfId="0" applyNumberFormat="1" applyFont="1" applyFill="1" applyBorder="1" applyAlignment="1">
      <alignment horizontal="center" vertical="center" shrinkToFit="1"/>
    </xf>
    <xf numFmtId="0" fontId="4" fillId="2" borderId="25" xfId="0" applyNumberFormat="1" applyFont="1" applyFill="1" applyBorder="1" applyAlignment="1">
      <alignment horizontal="center" vertical="center" wrapText="1"/>
    </xf>
    <xf numFmtId="0" fontId="5" fillId="2" borderId="7" xfId="0" applyNumberFormat="1" applyFont="1" applyFill="1" applyBorder="1" applyAlignment="1">
      <alignment vertical="center"/>
    </xf>
    <xf numFmtId="0" fontId="4" fillId="2" borderId="32" xfId="0" applyNumberFormat="1" applyFont="1" applyFill="1" applyBorder="1" applyAlignment="1">
      <alignment horizontal="center" vertical="center" wrapText="1"/>
    </xf>
    <xf numFmtId="177" fontId="4" fillId="0" borderId="32" xfId="0" applyNumberFormat="1" applyFont="1" applyFill="1" applyBorder="1" applyAlignment="1">
      <alignment horizontal="center" vertical="center" wrapText="1"/>
    </xf>
    <xf numFmtId="176" fontId="4" fillId="0" borderId="11" xfId="0" applyNumberFormat="1" applyFont="1" applyFill="1" applyBorder="1" applyAlignment="1">
      <alignment horizontal="center" vertical="center"/>
    </xf>
    <xf numFmtId="0" fontId="8" fillId="2" borderId="32" xfId="0" applyNumberFormat="1" applyFont="1" applyFill="1" applyBorder="1" applyAlignment="1">
      <alignment vertical="center" wrapText="1"/>
    </xf>
    <xf numFmtId="0" fontId="4" fillId="0" borderId="38" xfId="0" applyNumberFormat="1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>
      <alignment horizontal="center" vertical="center"/>
    </xf>
    <xf numFmtId="176" fontId="4" fillId="0" borderId="6" xfId="0" applyNumberFormat="1" applyFont="1" applyFill="1" applyBorder="1" applyAlignment="1">
      <alignment horizontal="center" vertical="center"/>
    </xf>
    <xf numFmtId="176" fontId="4" fillId="0" borderId="9" xfId="0" applyNumberFormat="1" applyFont="1" applyFill="1" applyBorder="1" applyAlignment="1">
      <alignment horizontal="center" vertical="center" wrapText="1"/>
    </xf>
    <xf numFmtId="176" fontId="7" fillId="0" borderId="23" xfId="0" applyNumberFormat="1" applyFont="1" applyFill="1" applyBorder="1" applyAlignment="1">
      <alignment horizontal="center" vertical="center" shrinkToFit="1"/>
    </xf>
    <xf numFmtId="176" fontId="6" fillId="0" borderId="10" xfId="0" applyNumberFormat="1" applyFont="1" applyFill="1" applyBorder="1" applyAlignment="1">
      <alignment horizontal="center" vertical="center"/>
    </xf>
    <xf numFmtId="176" fontId="7" fillId="0" borderId="24" xfId="0" applyNumberFormat="1" applyFont="1" applyFill="1" applyBorder="1" applyAlignment="1">
      <alignment horizontal="center" vertical="center" shrinkToFit="1"/>
    </xf>
    <xf numFmtId="176" fontId="4" fillId="0" borderId="10" xfId="0" applyNumberFormat="1" applyFont="1" applyFill="1" applyBorder="1" applyAlignment="1">
      <alignment horizontal="center" vertical="center"/>
    </xf>
    <xf numFmtId="176" fontId="4" fillId="0" borderId="37" xfId="0" applyNumberFormat="1" applyFont="1" applyFill="1" applyBorder="1" applyAlignment="1">
      <alignment horizontal="center" vertical="center"/>
    </xf>
    <xf numFmtId="0" fontId="4" fillId="0" borderId="14" xfId="0" applyNumberFormat="1" applyFont="1" applyFill="1" applyBorder="1" applyAlignment="1">
      <alignment horizontal="center" vertical="center"/>
    </xf>
    <xf numFmtId="176" fontId="4" fillId="3" borderId="13" xfId="0" applyNumberFormat="1" applyFont="1" applyFill="1" applyBorder="1" applyAlignment="1">
      <alignment horizontal="center" vertical="center"/>
    </xf>
    <xf numFmtId="0" fontId="4" fillId="3" borderId="15" xfId="0" applyNumberFormat="1" applyFont="1" applyFill="1" applyBorder="1" applyAlignment="1">
      <alignment horizontal="center" vertical="center"/>
    </xf>
    <xf numFmtId="177" fontId="4" fillId="3" borderId="15" xfId="0" applyNumberFormat="1" applyFont="1" applyFill="1" applyBorder="1" applyAlignment="1">
      <alignment horizontal="center" vertical="center" wrapText="1"/>
    </xf>
    <xf numFmtId="176" fontId="4" fillId="3" borderId="15" xfId="0" applyNumberFormat="1" applyFont="1" applyFill="1" applyBorder="1" applyAlignment="1">
      <alignment horizontal="center" vertical="center"/>
    </xf>
    <xf numFmtId="0" fontId="0" fillId="3" borderId="16" xfId="0" applyNumberFormat="1" applyFont="1" applyFill="1" applyBorder="1" applyAlignment="1">
      <alignment vertical="center"/>
    </xf>
    <xf numFmtId="0" fontId="4" fillId="2" borderId="39" xfId="0" applyNumberFormat="1" applyFont="1" applyFill="1" applyBorder="1" applyAlignment="1">
      <alignment horizontal="center" vertical="center" wrapText="1"/>
    </xf>
    <xf numFmtId="0" fontId="2" fillId="2" borderId="40" xfId="0" applyNumberFormat="1" applyFont="1" applyFill="1" applyBorder="1" applyAlignment="1">
      <alignment horizontal="center" vertical="center" wrapText="1"/>
    </xf>
    <xf numFmtId="0" fontId="2" fillId="2" borderId="41" xfId="0" applyNumberFormat="1" applyFont="1" applyFill="1" applyBorder="1" applyAlignment="1">
      <alignment horizontal="center" vertical="center" wrapText="1"/>
    </xf>
    <xf numFmtId="0" fontId="2" fillId="2" borderId="42" xfId="0" applyNumberFormat="1" applyFont="1" applyFill="1" applyBorder="1" applyAlignment="1">
      <alignment horizontal="center" vertical="center" wrapText="1"/>
    </xf>
    <xf numFmtId="0" fontId="2" fillId="2" borderId="43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44" xfId="0" applyNumberFormat="1" applyFont="1" applyFill="1" applyBorder="1" applyAlignment="1">
      <alignment horizontal="center" vertical="center" wrapText="1"/>
    </xf>
    <xf numFmtId="0" fontId="2" fillId="2" borderId="45" xfId="0" applyNumberFormat="1" applyFont="1" applyFill="1" applyBorder="1" applyAlignment="1">
      <alignment horizontal="center" vertical="center" wrapText="1"/>
    </xf>
    <xf numFmtId="0" fontId="2" fillId="2" borderId="46" xfId="0" applyNumberFormat="1" applyFont="1" applyFill="1" applyBorder="1" applyAlignment="1">
      <alignment horizontal="center" vertical="center" wrapText="1"/>
    </xf>
    <xf numFmtId="0" fontId="2" fillId="2" borderId="47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 shrinkToFit="1"/>
    </xf>
    <xf numFmtId="176" fontId="4" fillId="0" borderId="22" xfId="0" applyNumberFormat="1" applyFont="1" applyFill="1" applyBorder="1" applyAlignment="1">
      <alignment horizontal="center" vertical="center"/>
    </xf>
    <xf numFmtId="0" fontId="5" fillId="2" borderId="23" xfId="0" applyNumberFormat="1" applyFont="1" applyFill="1" applyBorder="1" applyAlignment="1">
      <alignment vertical="center"/>
    </xf>
    <xf numFmtId="176" fontId="4" fillId="0" borderId="7" xfId="0" applyNumberFormat="1" applyFont="1" applyFill="1" applyBorder="1" applyAlignment="1">
      <alignment horizontal="center" vertical="center"/>
    </xf>
    <xf numFmtId="0" fontId="10" fillId="2" borderId="40" xfId="0" applyNumberFormat="1" applyFont="1" applyFill="1" applyBorder="1" applyAlignment="1">
      <alignment horizontal="center" vertical="center" wrapText="1"/>
    </xf>
    <xf numFmtId="0" fontId="10" fillId="2" borderId="41" xfId="0" applyNumberFormat="1" applyFont="1" applyFill="1" applyBorder="1" applyAlignment="1">
      <alignment horizontal="center" vertical="center" wrapText="1"/>
    </xf>
    <xf numFmtId="0" fontId="10" fillId="2" borderId="42" xfId="0" applyNumberFormat="1" applyFont="1" applyFill="1" applyBorder="1" applyAlignment="1">
      <alignment horizontal="center" vertical="center" wrapText="1"/>
    </xf>
    <xf numFmtId="0" fontId="10" fillId="2" borderId="43" xfId="0" applyNumberFormat="1" applyFont="1" applyFill="1" applyBorder="1" applyAlignment="1">
      <alignment horizontal="center" vertical="center" wrapText="1"/>
    </xf>
    <xf numFmtId="0" fontId="10" fillId="2" borderId="0" xfId="0" applyNumberFormat="1" applyFont="1" applyFill="1" applyBorder="1" applyAlignment="1">
      <alignment horizontal="center" vertical="center" wrapText="1"/>
    </xf>
    <xf numFmtId="0" fontId="10" fillId="2" borderId="44" xfId="0" applyNumberFormat="1" applyFont="1" applyFill="1" applyBorder="1" applyAlignment="1">
      <alignment horizontal="center" vertical="center" wrapText="1"/>
    </xf>
    <xf numFmtId="0" fontId="10" fillId="2" borderId="45" xfId="0" applyNumberFormat="1" applyFont="1" applyFill="1" applyBorder="1" applyAlignment="1">
      <alignment horizontal="center" vertical="center" wrapText="1"/>
    </xf>
    <xf numFmtId="0" fontId="10" fillId="2" borderId="46" xfId="0" applyNumberFormat="1" applyFont="1" applyFill="1" applyBorder="1" applyAlignment="1">
      <alignment horizontal="center" vertical="center" wrapText="1"/>
    </xf>
    <xf numFmtId="0" fontId="10" fillId="2" borderId="47" xfId="0" applyNumberFormat="1" applyFont="1" applyFill="1" applyBorder="1" applyAlignment="1">
      <alignment horizontal="center" vertical="center" wrapText="1"/>
    </xf>
    <xf numFmtId="0" fontId="2" fillId="2" borderId="10" xfId="0" applyNumberFormat="1" applyFont="1" applyFill="1" applyBorder="1" applyAlignment="1">
      <alignment vertical="center" wrapText="1"/>
    </xf>
    <xf numFmtId="0" fontId="2" fillId="2" borderId="24" xfId="0" applyNumberFormat="1" applyFont="1" applyFill="1" applyBorder="1" applyAlignment="1">
      <alignment vertical="center" wrapText="1"/>
    </xf>
    <xf numFmtId="0" fontId="6" fillId="3" borderId="13" xfId="0" applyNumberFormat="1" applyFont="1" applyFill="1" applyBorder="1" applyAlignment="1">
      <alignment horizontal="center" vertical="center" wrapText="1"/>
    </xf>
    <xf numFmtId="0" fontId="6" fillId="3" borderId="15" xfId="0" applyNumberFormat="1" applyFont="1" applyFill="1" applyBorder="1" applyAlignment="1">
      <alignment horizontal="center" vertical="center" wrapText="1"/>
    </xf>
    <xf numFmtId="0" fontId="6" fillId="3" borderId="16" xfId="0" applyNumberFormat="1" applyFont="1" applyFill="1" applyBorder="1" applyAlignment="1">
      <alignment horizontal="center" vertical="center" wrapText="1"/>
    </xf>
    <xf numFmtId="0" fontId="4" fillId="2" borderId="33" xfId="0" applyNumberFormat="1" applyFont="1" applyFill="1" applyBorder="1" applyAlignment="1">
      <alignment vertical="center" wrapText="1"/>
    </xf>
    <xf numFmtId="0" fontId="6" fillId="3" borderId="13" xfId="0" applyNumberFormat="1" applyFont="1" applyFill="1" applyBorder="1" applyAlignment="1">
      <alignment vertical="center" wrapText="1"/>
    </xf>
    <xf numFmtId="0" fontId="6" fillId="3" borderId="15" xfId="0" applyNumberFormat="1" applyFont="1" applyFill="1" applyBorder="1" applyAlignment="1">
      <alignment vertical="center" wrapText="1"/>
    </xf>
    <xf numFmtId="0" fontId="6" fillId="3" borderId="16" xfId="0" applyNumberFormat="1" applyFont="1" applyFill="1" applyBorder="1" applyAlignment="1">
      <alignment vertical="center" wrapText="1"/>
    </xf>
    <xf numFmtId="176" fontId="4" fillId="0" borderId="39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left" vertical="center"/>
    </xf>
    <xf numFmtId="176" fontId="4" fillId="0" borderId="11" xfId="0" applyNumberFormat="1" applyFont="1" applyFill="1" applyBorder="1" applyAlignment="1">
      <alignment horizontal="center" vertical="center"/>
    </xf>
    <xf numFmtId="176" fontId="4" fillId="0" borderId="10" xfId="0" applyNumberFormat="1" applyFont="1" applyFill="1" applyBorder="1" applyAlignment="1">
      <alignment horizontal="left" vertical="center"/>
    </xf>
    <xf numFmtId="176" fontId="4" fillId="0" borderId="9" xfId="0" applyNumberFormat="1" applyFont="1" applyFill="1" applyBorder="1" applyAlignment="1">
      <alignment vertical="center"/>
    </xf>
    <xf numFmtId="0" fontId="11" fillId="2" borderId="10" xfId="0" applyNumberFormat="1" applyFont="1" applyFill="1" applyBorder="1" applyAlignment="1">
      <alignment vertical="center"/>
    </xf>
    <xf numFmtId="176" fontId="4" fillId="0" borderId="13" xfId="0" applyNumberFormat="1" applyFont="1" applyFill="1" applyBorder="1" applyAlignment="1">
      <alignment vertical="center"/>
    </xf>
    <xf numFmtId="0" fontId="4" fillId="2" borderId="4" xfId="0" applyNumberFormat="1" applyFont="1" applyFill="1" applyBorder="1" applyAlignment="1">
      <alignment horizontal="center" vertical="center" wrapText="1"/>
    </xf>
    <xf numFmtId="176" fontId="7" fillId="0" borderId="8" xfId="0" applyNumberFormat="1" applyFont="1" applyFill="1" applyBorder="1" applyAlignment="1">
      <alignment horizontal="center" vertical="center" shrinkToFit="1"/>
    </xf>
    <xf numFmtId="176" fontId="4" fillId="0" borderId="21" xfId="0" applyNumberFormat="1" applyFont="1" applyFill="1" applyBorder="1" applyAlignment="1">
      <alignment horizontal="center" vertical="center"/>
    </xf>
    <xf numFmtId="0" fontId="4" fillId="2" borderId="15" xfId="0" applyNumberFormat="1" applyFont="1" applyFill="1" applyBorder="1" applyAlignment="1">
      <alignment horizontal="center" vertical="center" wrapText="1"/>
    </xf>
    <xf numFmtId="177" fontId="4" fillId="0" borderId="15" xfId="0" applyNumberFormat="1" applyFont="1" applyFill="1" applyBorder="1" applyAlignment="1">
      <alignment horizontal="center" vertical="center" wrapText="1"/>
    </xf>
    <xf numFmtId="177" fontId="6" fillId="3" borderId="15" xfId="0" applyNumberFormat="1" applyFont="1" applyFill="1" applyBorder="1" applyAlignment="1">
      <alignment horizontal="center" vertical="center" wrapText="1"/>
    </xf>
    <xf numFmtId="0" fontId="7" fillId="3" borderId="16" xfId="0" applyNumberFormat="1" applyFont="1" applyFill="1" applyBorder="1" applyAlignment="1">
      <alignment vertical="center"/>
    </xf>
    <xf numFmtId="176" fontId="6" fillId="0" borderId="13" xfId="0" applyNumberFormat="1" applyFont="1" applyFill="1" applyBorder="1" applyAlignment="1">
      <alignment horizontal="center" vertical="center"/>
    </xf>
    <xf numFmtId="0" fontId="6" fillId="0" borderId="15" xfId="0" applyNumberFormat="1" applyFont="1" applyFill="1" applyBorder="1" applyAlignment="1">
      <alignment horizontal="center" vertical="center"/>
    </xf>
    <xf numFmtId="176" fontId="6" fillId="0" borderId="15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 wrapText="1"/>
    </xf>
    <xf numFmtId="177" fontId="6" fillId="3" borderId="12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/>
    </xf>
    <xf numFmtId="0" fontId="7" fillId="3" borderId="30" xfId="0" applyNumberFormat="1" applyFont="1" applyFill="1" applyBorder="1" applyAlignment="1">
      <alignment horizontal="center" vertical="center"/>
    </xf>
    <xf numFmtId="0" fontId="0" fillId="2" borderId="33" xfId="0" applyNumberFormat="1" applyFont="1" applyFill="1" applyBorder="1" applyAlignment="1">
      <alignment vertical="center" wrapText="1"/>
    </xf>
    <xf numFmtId="0" fontId="4" fillId="0" borderId="32" xfId="0" applyNumberFormat="1" applyFont="1" applyFill="1" applyBorder="1" applyAlignment="1">
      <alignment horizontal="center" vertical="center"/>
    </xf>
    <xf numFmtId="0" fontId="2" fillId="2" borderId="12" xfId="0" applyNumberFormat="1" applyFont="1" applyFill="1" applyBorder="1" applyAlignment="1">
      <alignment vertical="center" wrapText="1"/>
    </xf>
    <xf numFmtId="0" fontId="2" fillId="2" borderId="30" xfId="0" applyNumberFormat="1" applyFont="1" applyFill="1" applyBorder="1" applyAlignment="1">
      <alignment vertical="center" wrapText="1"/>
    </xf>
    <xf numFmtId="176" fontId="4" fillId="0" borderId="32" xfId="0" applyNumberFormat="1" applyFont="1" applyFill="1" applyBorder="1" applyAlignment="1">
      <alignment horizontal="center" vertical="center"/>
    </xf>
    <xf numFmtId="176" fontId="4" fillId="0" borderId="14" xfId="0" applyNumberFormat="1" applyFont="1" applyFill="1" applyBorder="1" applyAlignment="1">
      <alignment horizontal="center" vertical="center"/>
    </xf>
    <xf numFmtId="0" fontId="4" fillId="2" borderId="22" xfId="0" applyNumberFormat="1" applyFont="1" applyFill="1" applyBorder="1" applyAlignment="1">
      <alignment vertical="center" wrapText="1"/>
    </xf>
    <xf numFmtId="0" fontId="0" fillId="2" borderId="23" xfId="0" applyNumberFormat="1" applyFont="1" applyFill="1" applyBorder="1" applyAlignment="1">
      <alignment vertical="center" wrapText="1"/>
    </xf>
    <xf numFmtId="0" fontId="4" fillId="2" borderId="10" xfId="0" applyNumberFormat="1" applyFont="1" applyFill="1" applyBorder="1" applyAlignment="1">
      <alignment vertical="center" wrapText="1"/>
    </xf>
    <xf numFmtId="0" fontId="0" fillId="2" borderId="24" xfId="0" applyNumberFormat="1" applyFont="1" applyFill="1" applyBorder="1" applyAlignment="1">
      <alignment vertical="center" wrapText="1"/>
    </xf>
    <xf numFmtId="0" fontId="6" fillId="2" borderId="32" xfId="0" applyNumberFormat="1" applyFont="1" applyFill="1" applyBorder="1" applyAlignment="1">
      <alignment vertical="center" wrapText="1"/>
    </xf>
    <xf numFmtId="0" fontId="6" fillId="2" borderId="7" xfId="0" applyNumberFormat="1" applyFont="1" applyFill="1" applyBorder="1" applyAlignment="1">
      <alignment vertical="center" wrapText="1"/>
    </xf>
    <xf numFmtId="0" fontId="0" fillId="2" borderId="8" xfId="0" applyNumberFormat="1" applyFont="1" applyFill="1" applyBorder="1" applyAlignment="1">
      <alignment vertical="center" wrapText="1"/>
    </xf>
    <xf numFmtId="0" fontId="5" fillId="2" borderId="33" xfId="0" applyNumberFormat="1" applyFont="1" applyFill="1" applyBorder="1" applyAlignment="1">
      <alignment vertical="center" wrapText="1"/>
    </xf>
    <xf numFmtId="0" fontId="5" fillId="2" borderId="8" xfId="0" applyNumberFormat="1" applyFont="1" applyFill="1" applyBorder="1" applyAlignment="1">
      <alignment vertical="center" wrapText="1"/>
    </xf>
    <xf numFmtId="0" fontId="5" fillId="2" borderId="24" xfId="0" applyNumberFormat="1" applyFont="1" applyFill="1" applyBorder="1" applyAlignment="1">
      <alignment vertical="center"/>
    </xf>
    <xf numFmtId="176" fontId="0" fillId="0" borderId="24" xfId="0" applyNumberFormat="1" applyFont="1" applyFill="1" applyBorder="1" applyAlignment="1">
      <alignment horizontal="left" vertical="center" shrinkToFit="1"/>
    </xf>
    <xf numFmtId="0" fontId="4" fillId="2" borderId="6" xfId="0" applyNumberFormat="1" applyFont="1" applyFill="1" applyBorder="1" applyAlignment="1">
      <alignment vertical="center" wrapText="1"/>
    </xf>
    <xf numFmtId="177" fontId="4" fillId="0" borderId="48" xfId="0" applyNumberFormat="1" applyFont="1" applyFill="1" applyBorder="1" applyAlignment="1">
      <alignment horizontal="center" vertical="center" wrapText="1"/>
    </xf>
    <xf numFmtId="0" fontId="4" fillId="2" borderId="25" xfId="0" applyNumberFormat="1" applyFont="1" applyFill="1" applyBorder="1" applyAlignment="1">
      <alignment vertical="center" wrapText="1"/>
    </xf>
    <xf numFmtId="0" fontId="2" fillId="2" borderId="27" xfId="0" applyNumberFormat="1" applyFont="1" applyFill="1" applyBorder="1" applyAlignment="1">
      <alignment vertical="center" wrapText="1"/>
    </xf>
    <xf numFmtId="0" fontId="4" fillId="0" borderId="15" xfId="0" applyNumberFormat="1" applyFont="1" applyFill="1" applyBorder="1" applyAlignment="1">
      <alignment horizontal="center" vertical="center"/>
    </xf>
    <xf numFmtId="176" fontId="4" fillId="0" borderId="31" xfId="0" applyNumberFormat="1" applyFont="1" applyFill="1" applyBorder="1" applyAlignment="1">
      <alignment horizontal="center" vertical="center"/>
    </xf>
    <xf numFmtId="176" fontId="0" fillId="0" borderId="23" xfId="0" applyNumberFormat="1" applyFont="1" applyFill="1" applyBorder="1" applyAlignment="1">
      <alignment horizontal="center" vertical="center" shrinkToFit="1"/>
    </xf>
    <xf numFmtId="176" fontId="4" fillId="0" borderId="28" xfId="0" applyNumberFormat="1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 shrinkToFit="1"/>
    </xf>
    <xf numFmtId="176" fontId="4" fillId="0" borderId="34" xfId="0" applyNumberFormat="1" applyFont="1" applyFill="1" applyBorder="1" applyAlignment="1">
      <alignment horizontal="center" vertical="center"/>
    </xf>
    <xf numFmtId="0" fontId="0" fillId="0" borderId="29" xfId="0" applyNumberFormat="1" applyBorder="1" applyAlignment="1">
      <alignment horizontal="center" vertical="center"/>
    </xf>
    <xf numFmtId="0" fontId="0" fillId="0" borderId="49" xfId="0" applyNumberFormat="1" applyBorder="1" applyAlignment="1">
      <alignment horizontal="center" vertical="center"/>
    </xf>
    <xf numFmtId="176" fontId="4" fillId="0" borderId="12" xfId="0" applyNumberFormat="1" applyFont="1" applyFill="1" applyBorder="1" applyAlignment="1">
      <alignment horizontal="center" vertical="center"/>
    </xf>
    <xf numFmtId="176" fontId="0" fillId="0" borderId="30" xfId="0" applyNumberFormat="1" applyFont="1" applyFill="1" applyBorder="1" applyAlignment="1">
      <alignment horizontal="center" vertical="center" shrinkToFit="1"/>
    </xf>
    <xf numFmtId="176" fontId="6" fillId="3" borderId="26" xfId="0" applyNumberFormat="1" applyFont="1" applyFill="1" applyBorder="1" applyAlignment="1">
      <alignment horizontal="center" vertical="center"/>
    </xf>
    <xf numFmtId="0" fontId="4" fillId="2" borderId="23" xfId="0" applyNumberFormat="1" applyFont="1" applyFill="1" applyBorder="1" applyAlignment="1">
      <alignment vertical="center"/>
    </xf>
    <xf numFmtId="0" fontId="4" fillId="2" borderId="8" xfId="0" applyNumberFormat="1" applyFont="1" applyFill="1" applyBorder="1" applyAlignment="1">
      <alignment vertical="center"/>
    </xf>
    <xf numFmtId="176" fontId="4" fillId="0" borderId="18" xfId="0" applyNumberFormat="1" applyFont="1" applyFill="1" applyBorder="1" applyAlignment="1">
      <alignment horizontal="center" vertical="center"/>
    </xf>
    <xf numFmtId="0" fontId="4" fillId="0" borderId="19" xfId="0" applyNumberFormat="1" applyFont="1" applyFill="1" applyBorder="1" applyAlignment="1">
      <alignment horizontal="center" vertical="center"/>
    </xf>
    <xf numFmtId="177" fontId="4" fillId="0" borderId="19" xfId="0" applyNumberFormat="1" applyFont="1" applyFill="1" applyBorder="1" applyAlignment="1">
      <alignment horizontal="center" vertical="center" wrapText="1"/>
    </xf>
    <xf numFmtId="176" fontId="4" fillId="0" borderId="19" xfId="0" applyNumberFormat="1" applyFont="1" applyFill="1" applyBorder="1" applyAlignment="1">
      <alignment horizontal="left" vertical="center"/>
    </xf>
    <xf numFmtId="176" fontId="0" fillId="0" borderId="20" xfId="0" applyNumberFormat="1" applyFont="1" applyFill="1" applyBorder="1" applyAlignment="1">
      <alignment horizontal="left" vertical="center" shrinkToFit="1"/>
    </xf>
    <xf numFmtId="0" fontId="4" fillId="2" borderId="33" xfId="0" applyNumberFormat="1" applyFont="1" applyFill="1" applyBorder="1" applyAlignment="1">
      <alignment vertical="center"/>
    </xf>
    <xf numFmtId="0" fontId="0" fillId="0" borderId="6" xfId="0" applyNumberFormat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/>
    </xf>
    <xf numFmtId="0" fontId="4" fillId="3" borderId="13" xfId="0" applyNumberFormat="1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vertical="center"/>
    </xf>
    <xf numFmtId="176" fontId="6" fillId="3" borderId="20" xfId="0" applyNumberFormat="1" applyFont="1" applyFill="1" applyBorder="1" applyAlignment="1">
      <alignment horizontal="left" vertical="center" shrinkToFit="1"/>
    </xf>
    <xf numFmtId="177" fontId="4" fillId="0" borderId="25" xfId="0" applyNumberFormat="1" applyFont="1" applyFill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vertical="center"/>
    </xf>
    <xf numFmtId="176" fontId="4" fillId="0" borderId="15" xfId="0" applyNumberFormat="1" applyFont="1" applyFill="1" applyBorder="1" applyAlignment="1">
      <alignment horizontal="center" vertical="center"/>
    </xf>
    <xf numFmtId="176" fontId="0" fillId="0" borderId="16" xfId="0" applyNumberFormat="1" applyFont="1" applyFill="1" applyBorder="1" applyAlignment="1">
      <alignment horizontal="left" vertical="center" shrinkToFit="1"/>
    </xf>
    <xf numFmtId="0" fontId="6" fillId="3" borderId="16" xfId="0" applyNumberFormat="1" applyFont="1" applyFill="1" applyBorder="1" applyAlignment="1">
      <alignment horizontal="left" vertical="center" wrapText="1"/>
    </xf>
    <xf numFmtId="0" fontId="6" fillId="2" borderId="14" xfId="0" applyNumberFormat="1" applyFont="1" applyFill="1" applyBorder="1" applyAlignment="1">
      <alignment vertical="center" wrapText="1"/>
    </xf>
    <xf numFmtId="0" fontId="5" fillId="2" borderId="36" xfId="0" applyNumberFormat="1" applyFont="1" applyFill="1" applyBorder="1" applyAlignment="1">
      <alignment vertical="center" wrapText="1"/>
    </xf>
    <xf numFmtId="176" fontId="4" fillId="0" borderId="14" xfId="0" applyNumberFormat="1" applyFont="1" applyFill="1" applyBorder="1" applyAlignment="1">
      <alignment horizontal="left" vertical="center"/>
    </xf>
    <xf numFmtId="176" fontId="4" fillId="0" borderId="39" xfId="0" applyNumberFormat="1" applyFont="1" applyFill="1" applyBorder="1" applyAlignment="1">
      <alignment horizontal="center" vertical="center"/>
    </xf>
    <xf numFmtId="176" fontId="0" fillId="0" borderId="24" xfId="0" applyNumberFormat="1" applyFont="1" applyFill="1" applyBorder="1" applyAlignment="1">
      <alignment horizontal="center" vertical="center" shrinkToFit="1"/>
    </xf>
    <xf numFmtId="176" fontId="4" fillId="0" borderId="9" xfId="0" applyNumberFormat="1" applyFont="1" applyFill="1" applyBorder="1" applyAlignment="1">
      <alignment horizontal="center" vertical="center"/>
    </xf>
    <xf numFmtId="0" fontId="4" fillId="0" borderId="25" xfId="0" applyNumberFormat="1" applyFont="1" applyFill="1" applyBorder="1" applyAlignment="1">
      <alignment horizontal="center" vertical="center"/>
    </xf>
    <xf numFmtId="176" fontId="4" fillId="0" borderId="25" xfId="0" applyNumberFormat="1" applyFont="1" applyFill="1" applyBorder="1" applyAlignment="1">
      <alignment horizontal="left" vertical="center"/>
    </xf>
    <xf numFmtId="176" fontId="0" fillId="0" borderId="27" xfId="0" applyNumberFormat="1" applyFont="1" applyFill="1" applyBorder="1" applyAlignment="1">
      <alignment horizontal="left" vertical="center" shrinkToFit="1"/>
    </xf>
    <xf numFmtId="176" fontId="0" fillId="0" borderId="8" xfId="0" applyNumberFormat="1" applyFont="1" applyFill="1" applyBorder="1" applyAlignment="1">
      <alignment horizontal="left" vertical="center" shrinkToFit="1"/>
    </xf>
    <xf numFmtId="176" fontId="4" fillId="0" borderId="15" xfId="0" applyNumberFormat="1" applyFont="1" applyFill="1" applyBorder="1" applyAlignment="1">
      <alignment horizontal="left" vertical="center"/>
    </xf>
    <xf numFmtId="176" fontId="7" fillId="3" borderId="20" xfId="0" applyNumberFormat="1" applyFont="1" applyFill="1" applyBorder="1" applyAlignment="1">
      <alignment horizontal="left" vertical="center" shrinkToFit="1"/>
    </xf>
    <xf numFmtId="0" fontId="4" fillId="2" borderId="11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/>
    </xf>
    <xf numFmtId="0" fontId="5" fillId="2" borderId="23" xfId="0" applyNumberFormat="1" applyFont="1" applyFill="1" applyBorder="1" applyAlignment="1">
      <alignment vertical="center" wrapText="1"/>
    </xf>
    <xf numFmtId="176" fontId="12" fillId="0" borderId="40" xfId="0" applyNumberFormat="1" applyFont="1" applyFill="1" applyBorder="1" applyAlignment="1">
      <alignment horizontal="center" vertical="center"/>
    </xf>
    <xf numFmtId="176" fontId="12" fillId="0" borderId="41" xfId="0" applyNumberFormat="1" applyFont="1" applyFill="1" applyBorder="1" applyAlignment="1">
      <alignment horizontal="center" vertical="center"/>
    </xf>
    <xf numFmtId="176" fontId="12" fillId="0" borderId="42" xfId="0" applyNumberFormat="1" applyFont="1" applyFill="1" applyBorder="1" applyAlignment="1">
      <alignment horizontal="center" vertical="center"/>
    </xf>
    <xf numFmtId="176" fontId="12" fillId="0" borderId="43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176" fontId="12" fillId="0" borderId="44" xfId="0" applyNumberFormat="1" applyFont="1" applyFill="1" applyBorder="1" applyAlignment="1">
      <alignment horizontal="center" vertical="center"/>
    </xf>
    <xf numFmtId="176" fontId="12" fillId="0" borderId="45" xfId="0" applyNumberFormat="1" applyFont="1" applyFill="1" applyBorder="1" applyAlignment="1">
      <alignment horizontal="center" vertical="center"/>
    </xf>
    <xf numFmtId="176" fontId="12" fillId="0" borderId="46" xfId="0" applyNumberFormat="1" applyFont="1" applyFill="1" applyBorder="1" applyAlignment="1">
      <alignment horizontal="center" vertical="center"/>
    </xf>
    <xf numFmtId="176" fontId="12" fillId="0" borderId="47" xfId="0" applyNumberFormat="1" applyFont="1" applyFill="1" applyBorder="1" applyAlignment="1">
      <alignment horizontal="center" vertical="center"/>
    </xf>
    <xf numFmtId="176" fontId="0" fillId="0" borderId="33" xfId="0" applyNumberFormat="1" applyFont="1" applyFill="1" applyBorder="1" applyAlignment="1">
      <alignment horizontal="left" vertical="center" shrinkToFit="1"/>
    </xf>
    <xf numFmtId="176" fontId="7" fillId="0" borderId="36" xfId="0" applyNumberFormat="1" applyFont="1" applyFill="1" applyBorder="1" applyAlignment="1">
      <alignment horizontal="center" vertical="center" shrinkToFit="1"/>
    </xf>
    <xf numFmtId="176" fontId="4" fillId="0" borderId="6" xfId="0" applyNumberFormat="1" applyFont="1" applyFill="1" applyBorder="1" applyAlignment="1">
      <alignment vertical="center"/>
    </xf>
    <xf numFmtId="0" fontId="4" fillId="2" borderId="13" xfId="0" applyNumberFormat="1" applyFont="1" applyFill="1" applyBorder="1" applyAlignment="1">
      <alignment vertical="center" wrapText="1"/>
    </xf>
    <xf numFmtId="0" fontId="9" fillId="3" borderId="16" xfId="0" applyNumberFormat="1" applyFont="1" applyFill="1" applyBorder="1" applyAlignment="1">
      <alignment horizontal="left" vertical="center" wrapText="1"/>
    </xf>
    <xf numFmtId="0" fontId="12" fillId="2" borderId="40" xfId="0" applyNumberFormat="1" applyFont="1" applyFill="1" applyBorder="1" applyAlignment="1">
      <alignment horizontal="center" vertical="center" wrapText="1"/>
    </xf>
    <xf numFmtId="0" fontId="12" fillId="2" borderId="41" xfId="0" applyNumberFormat="1" applyFont="1" applyFill="1" applyBorder="1" applyAlignment="1">
      <alignment horizontal="center" vertical="center" wrapText="1"/>
    </xf>
    <xf numFmtId="0" fontId="12" fillId="2" borderId="42" xfId="0" applyNumberFormat="1" applyFont="1" applyFill="1" applyBorder="1" applyAlignment="1">
      <alignment horizontal="center" vertical="center" wrapText="1"/>
    </xf>
    <xf numFmtId="0" fontId="12" fillId="2" borderId="43" xfId="0" applyNumberFormat="1" applyFont="1" applyFill="1" applyBorder="1" applyAlignment="1">
      <alignment horizontal="center" vertical="center" wrapText="1"/>
    </xf>
    <xf numFmtId="0" fontId="12" fillId="2" borderId="0" xfId="0" applyNumberFormat="1" applyFont="1" applyFill="1" applyBorder="1" applyAlignment="1">
      <alignment horizontal="center" vertical="center" wrapText="1"/>
    </xf>
    <xf numFmtId="0" fontId="12" fillId="2" borderId="44" xfId="0" applyNumberFormat="1" applyFont="1" applyFill="1" applyBorder="1" applyAlignment="1">
      <alignment horizontal="center" vertical="center" wrapText="1"/>
    </xf>
    <xf numFmtId="0" fontId="12" fillId="2" borderId="45" xfId="0" applyNumberFormat="1" applyFont="1" applyFill="1" applyBorder="1" applyAlignment="1">
      <alignment horizontal="center" vertical="center" wrapText="1"/>
    </xf>
    <xf numFmtId="0" fontId="12" fillId="2" borderId="46" xfId="0" applyNumberFormat="1" applyFont="1" applyFill="1" applyBorder="1" applyAlignment="1">
      <alignment horizontal="center" vertical="center" wrapText="1"/>
    </xf>
    <xf numFmtId="0" fontId="12" fillId="2" borderId="47" xfId="0" applyNumberFormat="1" applyFont="1" applyFill="1" applyBorder="1" applyAlignment="1">
      <alignment horizontal="center" vertical="center" wrapText="1"/>
    </xf>
    <xf numFmtId="176" fontId="4" fillId="0" borderId="25" xfId="0" applyNumberFormat="1" applyFont="1" applyFill="1" applyBorder="1" applyAlignment="1">
      <alignment horizontal="center" vertical="center"/>
    </xf>
    <xf numFmtId="0" fontId="4" fillId="2" borderId="14" xfId="0" applyNumberFormat="1" applyFont="1" applyFill="1" applyBorder="1" applyAlignment="1">
      <alignment vertical="center" wrapText="1"/>
    </xf>
    <xf numFmtId="0" fontId="5" fillId="2" borderId="24" xfId="0" applyNumberFormat="1" applyFont="1" applyFill="1" applyBorder="1" applyAlignment="1">
      <alignment vertical="center" wrapText="1"/>
    </xf>
    <xf numFmtId="176" fontId="0" fillId="0" borderId="36" xfId="0" applyNumberFormat="1" applyFont="1" applyFill="1" applyBorder="1" applyAlignment="1">
      <alignment horizontal="left" vertical="center" shrinkToFit="1"/>
    </xf>
    <xf numFmtId="0" fontId="4" fillId="0" borderId="10" xfId="0" applyNumberFormat="1" applyFont="1" applyFill="1" applyBorder="1" applyAlignment="1">
      <alignment vertical="center"/>
    </xf>
    <xf numFmtId="0" fontId="4" fillId="0" borderId="12" xfId="0" applyNumberFormat="1" applyFont="1" applyFill="1" applyBorder="1" applyAlignment="1">
      <alignment vertical="center"/>
    </xf>
    <xf numFmtId="0" fontId="4" fillId="0" borderId="32" xfId="0" applyNumberFormat="1" applyFont="1" applyFill="1" applyBorder="1" applyAlignment="1">
      <alignment vertical="center"/>
    </xf>
    <xf numFmtId="176" fontId="6" fillId="0" borderId="14" xfId="0" applyNumberFormat="1" applyFont="1" applyFill="1" applyBorder="1" applyAlignment="1">
      <alignment horizontal="center" vertical="center"/>
    </xf>
    <xf numFmtId="0" fontId="4" fillId="2" borderId="7" xfId="0" applyNumberFormat="1" applyFont="1" applyFill="1" applyBorder="1" applyAlignment="1">
      <alignment vertical="center" wrapText="1"/>
    </xf>
    <xf numFmtId="0" fontId="4" fillId="2" borderId="12" xfId="0" applyNumberFormat="1" applyFont="1" applyFill="1" applyBorder="1" applyAlignment="1">
      <alignment vertical="center" wrapText="1"/>
    </xf>
    <xf numFmtId="0" fontId="5" fillId="2" borderId="30" xfId="0" applyNumberFormat="1" applyFont="1" applyFill="1" applyBorder="1" applyAlignment="1">
      <alignment vertical="center" wrapText="1"/>
    </xf>
    <xf numFmtId="0" fontId="11" fillId="2" borderId="32" xfId="0" applyNumberFormat="1" applyFont="1" applyFill="1" applyBorder="1" applyAlignment="1">
      <alignment vertical="center" wrapText="1"/>
    </xf>
    <xf numFmtId="0" fontId="6" fillId="2" borderId="22" xfId="0" applyNumberFormat="1" applyFont="1" applyFill="1" applyBorder="1" applyAlignment="1">
      <alignment vertical="center" wrapText="1"/>
    </xf>
    <xf numFmtId="0" fontId="4" fillId="2" borderId="21" xfId="0" applyNumberFormat="1" applyFont="1" applyFill="1" applyBorder="1" applyAlignment="1">
      <alignment horizontal="center" vertical="center" wrapText="1"/>
    </xf>
    <xf numFmtId="176" fontId="4" fillId="0" borderId="22" xfId="0" applyNumberFormat="1" applyFont="1" applyFill="1" applyBorder="1" applyAlignment="1">
      <alignment horizontal="left" vertical="center"/>
    </xf>
    <xf numFmtId="0" fontId="4" fillId="2" borderId="9" xfId="0" applyNumberFormat="1" applyFont="1" applyFill="1" applyBorder="1" applyAlignment="1">
      <alignment vertical="center" wrapText="1"/>
    </xf>
    <xf numFmtId="0" fontId="5" fillId="2" borderId="30" xfId="0" applyNumberFormat="1" applyFont="1" applyFill="1" applyBorder="1" applyAlignment="1">
      <alignment vertical="center"/>
    </xf>
    <xf numFmtId="0" fontId="6" fillId="2" borderId="12" xfId="0" applyNumberFormat="1" applyFont="1" applyFill="1" applyBorder="1" applyAlignment="1">
      <alignment vertical="center" wrapText="1"/>
    </xf>
    <xf numFmtId="0" fontId="4" fillId="2" borderId="36" xfId="0" applyNumberFormat="1" applyFont="1" applyFill="1" applyBorder="1" applyAlignment="1">
      <alignment vertical="center"/>
    </xf>
    <xf numFmtId="0" fontId="4" fillId="2" borderId="24" xfId="0" applyNumberFormat="1" applyFont="1" applyFill="1" applyBorder="1" applyAlignment="1">
      <alignment vertical="center"/>
    </xf>
    <xf numFmtId="176" fontId="4" fillId="0" borderId="4" xfId="0" applyNumberFormat="1" applyFont="1" applyFill="1" applyBorder="1" applyAlignment="1">
      <alignment vertical="center"/>
    </xf>
    <xf numFmtId="0" fontId="4" fillId="2" borderId="33" xfId="0" applyNumberFormat="1" applyFont="1" applyFill="1" applyBorder="1" applyAlignment="1">
      <alignment horizontal="center" vertical="center" wrapText="1"/>
    </xf>
    <xf numFmtId="0" fontId="4" fillId="2" borderId="30" xfId="0" applyNumberFormat="1" applyFont="1" applyFill="1" applyBorder="1" applyAlignment="1">
      <alignment horizontal="center" vertical="center" wrapText="1"/>
    </xf>
    <xf numFmtId="0" fontId="4" fillId="2" borderId="16" xfId="0" applyNumberFormat="1" applyFont="1" applyFill="1" applyBorder="1" applyAlignment="1">
      <alignment horizontal="center" vertical="center" wrapText="1"/>
    </xf>
    <xf numFmtId="0" fontId="4" fillId="4" borderId="11" xfId="0" applyNumberFormat="1" applyFont="1" applyFill="1" applyBorder="1" applyAlignment="1">
      <alignment horizontal="center" vertical="center" wrapText="1"/>
    </xf>
    <xf numFmtId="0" fontId="4" fillId="4" borderId="7" xfId="0" applyNumberFormat="1" applyFont="1" applyFill="1" applyBorder="1" applyAlignment="1">
      <alignment horizontal="center" vertical="center" wrapText="1"/>
    </xf>
    <xf numFmtId="177" fontId="4" fillId="4" borderId="7" xfId="0" applyNumberFormat="1" applyFont="1" applyFill="1" applyBorder="1" applyAlignment="1">
      <alignment horizontal="center" vertical="center" wrapText="1"/>
    </xf>
    <xf numFmtId="0" fontId="4" fillId="4" borderId="7" xfId="0" applyNumberFormat="1" applyFont="1" applyFill="1" applyBorder="1" applyAlignment="1">
      <alignment vertical="center"/>
    </xf>
    <xf numFmtId="0" fontId="4" fillId="4" borderId="33" xfId="0" applyNumberFormat="1" applyFont="1" applyFill="1" applyBorder="1" applyAlignment="1">
      <alignment vertical="center"/>
    </xf>
    <xf numFmtId="0" fontId="4" fillId="4" borderId="4" xfId="0" applyNumberFormat="1" applyFont="1" applyFill="1" applyBorder="1" applyAlignment="1">
      <alignment horizontal="center" vertical="center" wrapText="1"/>
    </xf>
    <xf numFmtId="0" fontId="0" fillId="4" borderId="33" xfId="0" applyNumberFormat="1" applyFont="1" applyFill="1" applyBorder="1" applyAlignment="1">
      <alignment vertical="center"/>
    </xf>
    <xf numFmtId="0" fontId="4" fillId="4" borderId="10" xfId="0" applyNumberFormat="1" applyFont="1" applyFill="1" applyBorder="1" applyAlignment="1">
      <alignment vertical="center"/>
    </xf>
    <xf numFmtId="0" fontId="0" fillId="4" borderId="8" xfId="0" applyNumberFormat="1" applyFont="1" applyFill="1" applyBorder="1" applyAlignment="1">
      <alignment vertical="center"/>
    </xf>
    <xf numFmtId="0" fontId="4" fillId="4" borderId="6" xfId="0" applyNumberFormat="1" applyFont="1" applyFill="1" applyBorder="1" applyAlignment="1">
      <alignment horizontal="center" vertical="center" wrapText="1"/>
    </xf>
    <xf numFmtId="0" fontId="4" fillId="2" borderId="30" xfId="0" applyNumberFormat="1" applyFont="1" applyFill="1" applyBorder="1" applyAlignment="1">
      <alignment vertical="center"/>
    </xf>
    <xf numFmtId="0" fontId="0" fillId="2" borderId="27" xfId="0" applyNumberFormat="1" applyFont="1" applyFill="1" applyBorder="1" applyAlignment="1">
      <alignment horizontal="center" vertical="center"/>
    </xf>
    <xf numFmtId="0" fontId="0" fillId="2" borderId="24" xfId="0" applyNumberFormat="1" applyFont="1" applyFill="1" applyBorder="1" applyAlignment="1">
      <alignment horizontal="center" vertical="center"/>
    </xf>
    <xf numFmtId="0" fontId="13" fillId="0" borderId="0" xfId="0" applyNumberFormat="1" applyFont="1" applyAlignment="1">
      <alignment horizontal="left" vertical="center"/>
    </xf>
    <xf numFmtId="0" fontId="4" fillId="2" borderId="21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11" xfId="0" applyNumberFormat="1" applyFont="1" applyFill="1" applyBorder="1" applyAlignment="1" applyProtection="1">
      <alignment horizontal="center" vertical="center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33" xfId="0" applyNumberFormat="1" applyFont="1" applyFill="1" applyBorder="1" applyAlignment="1">
      <alignment horizontal="left" vertical="center"/>
    </xf>
    <xf numFmtId="0" fontId="4" fillId="2" borderId="24" xfId="0" applyNumberFormat="1" applyFont="1" applyFill="1" applyBorder="1" applyAlignment="1">
      <alignment horizontal="left" vertical="center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7" xfId="0" applyNumberFormat="1" applyFont="1" applyFill="1" applyBorder="1" applyAlignment="1">
      <alignment horizontal="left" vertical="center" indent="1"/>
    </xf>
    <xf numFmtId="0" fontId="4" fillId="2" borderId="30" xfId="0" applyNumberFormat="1" applyFont="1" applyFill="1" applyBorder="1" applyAlignment="1">
      <alignment horizontal="center" vertical="center"/>
    </xf>
    <xf numFmtId="0" fontId="4" fillId="2" borderId="24" xfId="0" applyNumberFormat="1" applyFont="1" applyFill="1" applyBorder="1" applyAlignment="1">
      <alignment horizontal="center" vertical="center"/>
    </xf>
    <xf numFmtId="0" fontId="4" fillId="2" borderId="24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16" xfId="0" applyNumberFormat="1" applyFont="1" applyFill="1" applyBorder="1" applyAlignment="1">
      <alignment vertical="center"/>
    </xf>
    <xf numFmtId="176" fontId="4" fillId="5" borderId="37" xfId="0" applyNumberFormat="1" applyFont="1" applyFill="1" applyBorder="1" applyAlignment="1">
      <alignment horizontal="center" vertical="center"/>
    </xf>
    <xf numFmtId="0" fontId="4" fillId="5" borderId="14" xfId="0" applyNumberFormat="1" applyFont="1" applyFill="1" applyBorder="1" applyAlignment="1">
      <alignment horizontal="center" vertical="center"/>
    </xf>
    <xf numFmtId="177" fontId="4" fillId="5" borderId="14" xfId="0" applyNumberFormat="1" applyFont="1" applyFill="1" applyBorder="1" applyAlignment="1">
      <alignment horizontal="center" vertical="center" wrapText="1"/>
    </xf>
    <xf numFmtId="176" fontId="4" fillId="5" borderId="14" xfId="0" applyNumberFormat="1" applyFont="1" applyFill="1" applyBorder="1" applyAlignment="1">
      <alignment horizontal="left" vertical="center"/>
    </xf>
    <xf numFmtId="0" fontId="0" fillId="5" borderId="36" xfId="0" applyNumberFormat="1" applyFont="1" applyFill="1" applyBorder="1" applyAlignment="1">
      <alignment vertical="center"/>
    </xf>
    <xf numFmtId="0" fontId="4" fillId="2" borderId="36" xfId="0" applyNumberFormat="1" applyFont="1" applyFill="1" applyBorder="1" applyAlignment="1">
      <alignment horizontal="center" vertical="center" wrapText="1"/>
    </xf>
    <xf numFmtId="0" fontId="4" fillId="2" borderId="33" xfId="0" applyNumberFormat="1" applyFont="1" applyFill="1" applyBorder="1" applyAlignment="1">
      <alignment horizontal="center" vertical="center"/>
    </xf>
    <xf numFmtId="20" fontId="13" fillId="0" borderId="0" xfId="0" applyNumberFormat="1" applyFont="1" applyAlignment="1">
      <alignment horizontal="left" vertical="center"/>
    </xf>
    <xf numFmtId="0" fontId="4" fillId="6" borderId="9" xfId="0" applyNumberFormat="1" applyFont="1" applyFill="1" applyBorder="1" applyAlignment="1">
      <alignment horizontal="center" vertical="center" wrapText="1"/>
    </xf>
    <xf numFmtId="0" fontId="4" fillId="6" borderId="7" xfId="0" applyNumberFormat="1" applyFont="1" applyFill="1" applyBorder="1" applyAlignment="1">
      <alignment horizontal="center" vertical="center" wrapText="1"/>
    </xf>
    <xf numFmtId="177" fontId="4" fillId="6" borderId="7" xfId="0" applyNumberFormat="1" applyFont="1" applyFill="1" applyBorder="1" applyAlignment="1">
      <alignment horizontal="center" vertical="center" wrapText="1"/>
    </xf>
    <xf numFmtId="0" fontId="4" fillId="6" borderId="10" xfId="0" applyNumberFormat="1" applyFont="1" applyFill="1" applyBorder="1" applyAlignment="1">
      <alignment vertical="center"/>
    </xf>
    <xf numFmtId="0" fontId="4" fillId="6" borderId="8" xfId="0" applyNumberFormat="1" applyFont="1" applyFill="1" applyBorder="1" applyAlignment="1">
      <alignment vertical="center"/>
    </xf>
    <xf numFmtId="0" fontId="0" fillId="2" borderId="30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Alignment="1">
      <alignment horizontal="left" vertical="center"/>
    </xf>
    <xf numFmtId="0" fontId="4" fillId="2" borderId="26" xfId="0" applyNumberFormat="1" applyFont="1" applyFill="1" applyBorder="1" applyAlignment="1">
      <alignment horizontal="center" vertical="center" wrapText="1"/>
    </xf>
    <xf numFmtId="0" fontId="4" fillId="2" borderId="29" xfId="0" applyNumberFormat="1" applyFont="1" applyFill="1" applyBorder="1" applyAlignment="1">
      <alignment horizontal="center" vertical="center" wrapText="1"/>
    </xf>
    <xf numFmtId="0" fontId="4" fillId="2" borderId="31" xfId="0" applyNumberFormat="1" applyFont="1" applyFill="1" applyBorder="1" applyAlignment="1">
      <alignment horizontal="center" vertical="center" wrapText="1"/>
    </xf>
    <xf numFmtId="0" fontId="4" fillId="2" borderId="28" xfId="0" applyNumberFormat="1" applyFont="1" applyFill="1" applyBorder="1" applyAlignment="1">
      <alignment horizontal="center" vertical="center" wrapText="1"/>
    </xf>
    <xf numFmtId="0" fontId="16" fillId="2" borderId="7" xfId="0" applyNumberFormat="1" applyFont="1" applyFill="1" applyBorder="1" applyAlignment="1">
      <alignment horizontal="center" vertical="center" wrapText="1"/>
    </xf>
    <xf numFmtId="0" fontId="4" fillId="0" borderId="24" xfId="0" applyNumberFormat="1" applyFont="1" applyFill="1" applyBorder="1" applyAlignment="1">
      <alignment horizontal="center" vertical="center"/>
    </xf>
    <xf numFmtId="0" fontId="17" fillId="2" borderId="8" xfId="0" applyNumberFormat="1" applyFont="1" applyFill="1" applyBorder="1" applyAlignment="1">
      <alignment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2" borderId="27" xfId="0" applyNumberFormat="1" applyFont="1" applyFill="1" applyBorder="1" applyAlignment="1">
      <alignment horizontal="center" vertical="center"/>
    </xf>
    <xf numFmtId="0" fontId="4" fillId="2" borderId="30" xfId="0" applyNumberFormat="1" applyFont="1" applyFill="1" applyBorder="1" applyAlignment="1">
      <alignment horizontal="center" vertical="center"/>
    </xf>
    <xf numFmtId="0" fontId="17" fillId="2" borderId="24" xfId="0" applyNumberFormat="1" applyFont="1" applyFill="1" applyBorder="1" applyAlignment="1">
      <alignment vertical="center" wrapText="1"/>
    </xf>
    <xf numFmtId="176" fontId="6" fillId="3" borderId="39" xfId="0" applyNumberFormat="1" applyFont="1" applyFill="1" applyBorder="1" applyAlignment="1">
      <alignment horizontal="center" vertical="center"/>
    </xf>
    <xf numFmtId="0" fontId="6" fillId="3" borderId="22" xfId="0" applyNumberFormat="1" applyFont="1" applyFill="1" applyBorder="1" applyAlignment="1">
      <alignment horizontal="center" vertical="center" wrapText="1"/>
    </xf>
    <xf numFmtId="0" fontId="6" fillId="3" borderId="23" xfId="0" applyNumberFormat="1" applyFont="1" applyFill="1" applyBorder="1" applyAlignment="1">
      <alignment vertical="center" wrapText="1"/>
    </xf>
    <xf numFmtId="0" fontId="5" fillId="2" borderId="23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17" fillId="2" borderId="33" xfId="0" applyNumberFormat="1" applyFont="1" applyFill="1" applyBorder="1" applyAlignment="1">
      <alignment horizontal="center" vertical="center"/>
    </xf>
    <xf numFmtId="0" fontId="17" fillId="2" borderId="30" xfId="0" applyNumberFormat="1" applyFont="1" applyFill="1" applyBorder="1" applyAlignment="1">
      <alignment horizontal="center" vertical="center"/>
    </xf>
    <xf numFmtId="0" fontId="17" fillId="2" borderId="24" xfId="0" applyNumberFormat="1" applyFont="1" applyFill="1" applyBorder="1" applyAlignment="1">
      <alignment horizontal="center" vertical="center"/>
    </xf>
    <xf numFmtId="176" fontId="16" fillId="0" borderId="7" xfId="0" applyNumberFormat="1" applyFont="1" applyFill="1" applyBorder="1" applyAlignment="1">
      <alignment horizontal="center" vertical="center"/>
    </xf>
    <xf numFmtId="0" fontId="17" fillId="2" borderId="8" xfId="0" applyNumberFormat="1" applyFont="1" applyFill="1" applyBorder="1" applyAlignment="1">
      <alignment horizontal="center" vertical="center"/>
    </xf>
    <xf numFmtId="0" fontId="17" fillId="2" borderId="36" xfId="0" applyNumberFormat="1" applyFont="1" applyFill="1" applyBorder="1" applyAlignment="1">
      <alignment vertical="center"/>
    </xf>
    <xf numFmtId="0" fontId="4" fillId="7" borderId="7" xfId="0" applyNumberFormat="1" applyFont="1" applyFill="1" applyBorder="1" applyAlignment="1">
      <alignment horizontal="center" vertical="center" wrapText="1"/>
    </xf>
    <xf numFmtId="177" fontId="4" fillId="7" borderId="7" xfId="0" applyNumberFormat="1" applyFont="1" applyFill="1" applyBorder="1" applyAlignment="1">
      <alignment horizontal="center" vertical="center" wrapText="1"/>
    </xf>
    <xf numFmtId="0" fontId="4" fillId="7" borderId="7" xfId="0" applyNumberFormat="1" applyFont="1" applyFill="1" applyBorder="1" applyAlignment="1">
      <alignment vertical="center"/>
    </xf>
    <xf numFmtId="0" fontId="4" fillId="7" borderId="8" xfId="0" applyNumberFormat="1" applyFont="1" applyFill="1" applyBorder="1" applyAlignment="1">
      <alignment vertical="center"/>
    </xf>
    <xf numFmtId="0" fontId="5" fillId="7" borderId="24" xfId="0" applyNumberFormat="1" applyFont="1" applyFill="1" applyBorder="1" applyAlignment="1">
      <alignment vertical="center" wrapText="1"/>
    </xf>
    <xf numFmtId="0" fontId="4" fillId="7" borderId="10" xfId="0" applyNumberFormat="1" applyFont="1" applyFill="1" applyBorder="1" applyAlignment="1">
      <alignment horizontal="center" vertical="center" wrapText="1"/>
    </xf>
    <xf numFmtId="177" fontId="4" fillId="7" borderId="10" xfId="0" applyNumberFormat="1" applyFont="1" applyFill="1" applyBorder="1" applyAlignment="1">
      <alignment horizontal="center" vertical="center" wrapText="1"/>
    </xf>
    <xf numFmtId="0" fontId="4" fillId="7" borderId="10" xfId="0" applyNumberFormat="1" applyFont="1" applyFill="1" applyBorder="1" applyAlignment="1">
      <alignment vertical="center"/>
    </xf>
    <xf numFmtId="0" fontId="5" fillId="7" borderId="8" xfId="0" applyNumberFormat="1" applyFont="1" applyFill="1" applyBorder="1" applyAlignment="1">
      <alignment vertical="center" wrapText="1"/>
    </xf>
    <xf numFmtId="0" fontId="1" fillId="2" borderId="8" xfId="0" applyNumberFormat="1" applyFont="1" applyFill="1" applyBorder="1" applyAlignment="1">
      <alignment horizontal="center" vertical="center"/>
    </xf>
    <xf numFmtId="0" fontId="0" fillId="2" borderId="8" xfId="0" applyNumberFormat="1" applyFont="1" applyFill="1" applyBorder="1" applyAlignment="1">
      <alignment horizontal="center" vertical="center"/>
    </xf>
    <xf numFmtId="176" fontId="16" fillId="0" borderId="15" xfId="0" applyNumberFormat="1" applyFont="1" applyFill="1" applyBorder="1" applyAlignment="1">
      <alignment horizontal="center" vertical="center"/>
    </xf>
    <xf numFmtId="0" fontId="4" fillId="2" borderId="16" xfId="0" applyNumberFormat="1" applyFont="1" applyFill="1" applyBorder="1" applyAlignment="1">
      <alignment horizontal="center" vertical="center"/>
    </xf>
    <xf numFmtId="0" fontId="6" fillId="3" borderId="19" xfId="0" applyNumberFormat="1" applyFont="1" applyFill="1" applyBorder="1" applyAlignment="1">
      <alignment horizontal="center" vertical="center" wrapText="1"/>
    </xf>
    <xf numFmtId="0" fontId="6" fillId="3" borderId="20" xfId="0" applyNumberFormat="1" applyFont="1" applyFill="1" applyBorder="1" applyAlignment="1">
      <alignment horizontal="center" vertical="center" wrapText="1"/>
    </xf>
    <xf numFmtId="20" fontId="0" fillId="2" borderId="8" xfId="0" applyNumberFormat="1" applyFont="1" applyFill="1" applyBorder="1" applyAlignment="1">
      <alignment horizontal="center" vertical="center"/>
    </xf>
    <xf numFmtId="176" fontId="18" fillId="0" borderId="7" xfId="0" applyNumberFormat="1" applyFont="1" applyFill="1" applyBorder="1" applyAlignment="1">
      <alignment horizontal="center" vertical="center"/>
    </xf>
    <xf numFmtId="176" fontId="18" fillId="0" borderId="15" xfId="0" applyNumberFormat="1" applyFont="1" applyFill="1" applyBorder="1" applyAlignment="1">
      <alignment horizontal="center" vertical="center"/>
    </xf>
    <xf numFmtId="0" fontId="4" fillId="2" borderId="23" xfId="0" applyNumberFormat="1" applyFont="1" applyFill="1" applyBorder="1" applyAlignment="1">
      <alignment horizontal="center" vertical="center"/>
    </xf>
    <xf numFmtId="0" fontId="5" fillId="2" borderId="24" xfId="0" applyNumberFormat="1" applyFont="1" applyFill="1" applyBorder="1" applyAlignment="1">
      <alignment horizontal="center" vertical="center" wrapText="1"/>
    </xf>
    <xf numFmtId="0" fontId="0" fillId="2" borderId="30" xfId="0" applyNumberFormat="1" applyFont="1" applyFill="1" applyBorder="1" applyAlignment="1">
      <alignment horizontal="center" vertical="center"/>
    </xf>
    <xf numFmtId="0" fontId="19" fillId="2" borderId="7" xfId="0" applyNumberFormat="1" applyFont="1" applyFill="1" applyBorder="1" applyAlignment="1">
      <alignment horizontal="center" vertical="center" wrapText="1"/>
    </xf>
    <xf numFmtId="178" fontId="5" fillId="2" borderId="8" xfId="0" applyNumberFormat="1" applyFont="1" applyFill="1" applyBorder="1" applyAlignment="1">
      <alignment horizontal="center" vertical="center" wrapText="1"/>
    </xf>
    <xf numFmtId="0" fontId="19" fillId="2" borderId="32" xfId="0" applyNumberFormat="1" applyFont="1" applyFill="1" applyBorder="1" applyAlignment="1">
      <alignment horizontal="center" vertical="center" wrapText="1"/>
    </xf>
    <xf numFmtId="178" fontId="5" fillId="2" borderId="33" xfId="0" applyNumberFormat="1" applyFont="1" applyFill="1" applyBorder="1" applyAlignment="1">
      <alignment horizontal="center" vertical="center" wrapText="1"/>
    </xf>
    <xf numFmtId="0" fontId="0" fillId="2" borderId="33" xfId="0" applyNumberFormat="1" applyFont="1" applyFill="1" applyBorder="1" applyAlignment="1">
      <alignment horizontal="center" vertical="center"/>
    </xf>
    <xf numFmtId="0" fontId="1" fillId="2" borderId="23" xfId="0" applyNumberFormat="1" applyFont="1" applyFill="1" applyBorder="1" applyAlignment="1">
      <alignment horizontal="center" vertical="center"/>
    </xf>
    <xf numFmtId="178" fontId="4" fillId="2" borderId="8" xfId="0" applyNumberFormat="1" applyFont="1" applyFill="1" applyBorder="1" applyAlignment="1">
      <alignment horizontal="center" vertical="center" wrapText="1"/>
    </xf>
    <xf numFmtId="178" fontId="4" fillId="2" borderId="33" xfId="0" applyNumberFormat="1" applyFont="1" applyFill="1" applyBorder="1" applyAlignment="1">
      <alignment horizontal="center" vertical="center" wrapText="1"/>
    </xf>
    <xf numFmtId="178" fontId="4" fillId="2" borderId="30" xfId="0" applyNumberFormat="1" applyFont="1" applyFill="1" applyBorder="1" applyAlignment="1">
      <alignment horizontal="center" vertical="center" wrapText="1"/>
    </xf>
    <xf numFmtId="178" fontId="4" fillId="2" borderId="24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/>
    </xf>
    <xf numFmtId="0" fontId="4" fillId="2" borderId="15" xfId="0" applyNumberFormat="1" applyFont="1" applyFill="1" applyBorder="1" applyAlignment="1">
      <alignment vertical="center" wrapText="1"/>
    </xf>
    <xf numFmtId="178" fontId="4" fillId="2" borderId="16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/>
    </xf>
    <xf numFmtId="0" fontId="4" fillId="2" borderId="11" xfId="0" applyNumberFormat="1" applyFont="1" applyFill="1" applyBorder="1" applyAlignment="1">
      <alignment horizontal="center" vertical="center"/>
    </xf>
    <xf numFmtId="0" fontId="4" fillId="2" borderId="13" xfId="0" applyNumberFormat="1" applyFont="1" applyFill="1" applyBorder="1" applyAlignment="1">
      <alignment horizontal="center" vertical="center"/>
    </xf>
    <xf numFmtId="176" fontId="16" fillId="0" borderId="14" xfId="0" applyNumberFormat="1" applyFont="1" applyFill="1" applyBorder="1" applyAlignment="1">
      <alignment horizontal="left" vertical="center"/>
    </xf>
    <xf numFmtId="0" fontId="4" fillId="2" borderId="16" xfId="0" applyNumberFormat="1" applyFont="1" applyFill="1" applyBorder="1" applyAlignment="1">
      <alignment horizontal="center" vertical="center"/>
    </xf>
    <xf numFmtId="0" fontId="2" fillId="0" borderId="41" xfId="0" applyNumberFormat="1" applyFont="1" applyBorder="1" applyAlignment="1">
      <alignment horizontal="center" vertical="center"/>
    </xf>
    <xf numFmtId="0" fontId="2" fillId="0" borderId="42" xfId="0" applyNumberFormat="1" applyFont="1" applyBorder="1" applyAlignment="1">
      <alignment horizontal="center" vertical="center"/>
    </xf>
    <xf numFmtId="0" fontId="6" fillId="8" borderId="13" xfId="0" applyNumberFormat="1" applyFont="1" applyFill="1" applyBorder="1" applyAlignment="1">
      <alignment horizontal="center" vertical="center" wrapText="1"/>
    </xf>
    <xf numFmtId="0" fontId="6" fillId="8" borderId="15" xfId="0" applyNumberFormat="1" applyFont="1" applyFill="1" applyBorder="1" applyAlignment="1">
      <alignment horizontal="center" vertical="center"/>
    </xf>
    <xf numFmtId="177" fontId="4" fillId="8" borderId="15" xfId="0" applyNumberFormat="1" applyFont="1" applyFill="1" applyBorder="1" applyAlignment="1">
      <alignment horizontal="center" vertical="center" wrapText="1"/>
    </xf>
    <xf numFmtId="176" fontId="20" fillId="8" borderId="15" xfId="0" applyNumberFormat="1" applyFont="1" applyFill="1" applyBorder="1" applyAlignment="1">
      <alignment horizontal="center" vertical="center"/>
    </xf>
    <xf numFmtId="0" fontId="6" fillId="8" borderId="16" xfId="0" applyNumberFormat="1" applyFont="1" applyFill="1" applyBorder="1" applyAlignment="1">
      <alignment horizontal="center" vertical="center"/>
    </xf>
    <xf numFmtId="176" fontId="19" fillId="0" borderId="7" xfId="0" applyNumberFormat="1" applyFont="1" applyFill="1" applyBorder="1" applyAlignment="1">
      <alignment horizontal="center" vertical="center"/>
    </xf>
    <xf numFmtId="176" fontId="21" fillId="0" borderId="40" xfId="0" applyNumberFormat="1" applyFont="1" applyFill="1" applyBorder="1" applyAlignment="1">
      <alignment horizontal="center" vertical="center"/>
    </xf>
    <xf numFmtId="176" fontId="21" fillId="0" borderId="41" xfId="0" applyNumberFormat="1" applyFont="1" applyFill="1" applyBorder="1" applyAlignment="1">
      <alignment horizontal="center" vertical="center"/>
    </xf>
    <xf numFmtId="176" fontId="21" fillId="0" borderId="42" xfId="0" applyNumberFormat="1" applyFont="1" applyFill="1" applyBorder="1" applyAlignment="1">
      <alignment horizontal="center" vertical="center"/>
    </xf>
    <xf numFmtId="176" fontId="21" fillId="0" borderId="43" xfId="0" applyNumberFormat="1" applyFont="1" applyFill="1" applyBorder="1" applyAlignment="1">
      <alignment horizontal="center" vertical="center"/>
    </xf>
    <xf numFmtId="176" fontId="21" fillId="0" borderId="0" xfId="0" applyNumberFormat="1" applyFont="1" applyFill="1" applyBorder="1" applyAlignment="1">
      <alignment horizontal="center" vertical="center"/>
    </xf>
    <xf numFmtId="176" fontId="21" fillId="0" borderId="44" xfId="0" applyNumberFormat="1" applyFont="1" applyFill="1" applyBorder="1" applyAlignment="1">
      <alignment horizontal="center" vertical="center"/>
    </xf>
    <xf numFmtId="176" fontId="21" fillId="0" borderId="45" xfId="0" applyNumberFormat="1" applyFont="1" applyFill="1" applyBorder="1" applyAlignment="1">
      <alignment horizontal="center" vertical="center"/>
    </xf>
    <xf numFmtId="176" fontId="21" fillId="0" borderId="46" xfId="0" applyNumberFormat="1" applyFont="1" applyFill="1" applyBorder="1" applyAlignment="1">
      <alignment horizontal="center" vertical="center"/>
    </xf>
    <xf numFmtId="176" fontId="21" fillId="0" borderId="47" xfId="0" applyNumberFormat="1" applyFont="1" applyFill="1" applyBorder="1" applyAlignment="1">
      <alignment horizontal="center" vertical="center"/>
    </xf>
    <xf numFmtId="0" fontId="0" fillId="2" borderId="36" xfId="0" applyNumberFormat="1" applyFont="1" applyFill="1" applyBorder="1" applyAlignment="1">
      <alignment horizontal="center" vertical="center"/>
    </xf>
    <xf numFmtId="0" fontId="4" fillId="2" borderId="33" xfId="0" applyNumberFormat="1" applyFont="1" applyFill="1" applyBorder="1" applyAlignment="1">
      <alignment horizontal="center" vertical="center"/>
    </xf>
    <xf numFmtId="0" fontId="5" fillId="2" borderId="33" xfId="0" applyNumberFormat="1" applyFont="1" applyFill="1" applyBorder="1" applyAlignment="1">
      <alignment horizontal="center" vertical="center"/>
    </xf>
    <xf numFmtId="0" fontId="5" fillId="2" borderId="33" xfId="0" applyNumberFormat="1" applyFont="1" applyFill="1" applyBorder="1" applyAlignment="1">
      <alignment horizontal="center" vertical="center" wrapText="1"/>
    </xf>
    <xf numFmtId="0" fontId="5" fillId="2" borderId="24" xfId="0" applyNumberFormat="1" applyFont="1" applyFill="1" applyBorder="1" applyAlignment="1">
      <alignment horizontal="center" vertical="center" wrapText="1"/>
    </xf>
    <xf numFmtId="0" fontId="22" fillId="2" borderId="40" xfId="0" applyNumberFormat="1" applyFont="1" applyFill="1" applyBorder="1" applyAlignment="1">
      <alignment horizontal="center" vertical="center"/>
    </xf>
    <xf numFmtId="0" fontId="22" fillId="2" borderId="41" xfId="0" applyNumberFormat="1" applyFont="1" applyFill="1" applyBorder="1" applyAlignment="1">
      <alignment horizontal="center" vertical="center"/>
    </xf>
    <xf numFmtId="0" fontId="22" fillId="2" borderId="42" xfId="0" applyNumberFormat="1" applyFont="1" applyFill="1" applyBorder="1" applyAlignment="1">
      <alignment horizontal="center" vertical="center"/>
    </xf>
    <xf numFmtId="0" fontId="22" fillId="2" borderId="45" xfId="0" applyNumberFormat="1" applyFont="1" applyFill="1" applyBorder="1" applyAlignment="1">
      <alignment horizontal="center" vertical="center"/>
    </xf>
    <xf numFmtId="0" fontId="22" fillId="2" borderId="46" xfId="0" applyNumberFormat="1" applyFont="1" applyFill="1" applyBorder="1" applyAlignment="1">
      <alignment horizontal="center" vertical="center"/>
    </xf>
    <xf numFmtId="0" fontId="22" fillId="2" borderId="47" xfId="0" applyNumberFormat="1" applyFont="1" applyFill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4" fillId="2" borderId="22" xfId="0" applyNumberFormat="1" applyFont="1" applyFill="1" applyBorder="1" applyAlignment="1">
      <alignment horizontal="center" vertical="center"/>
    </xf>
    <xf numFmtId="176" fontId="19" fillId="0" borderId="7" xfId="0" applyNumberFormat="1" applyFont="1" applyFill="1" applyBorder="1" applyAlignment="1">
      <alignment horizontal="center" vertical="center"/>
    </xf>
    <xf numFmtId="176" fontId="19" fillId="0" borderId="10" xfId="0" applyNumberFormat="1" applyFont="1" applyFill="1" applyBorder="1" applyAlignment="1">
      <alignment horizontal="center" vertical="center"/>
    </xf>
    <xf numFmtId="0" fontId="4" fillId="2" borderId="15" xfId="0" applyNumberFormat="1" applyFont="1" applyFill="1" applyBorder="1" applyAlignment="1">
      <alignment horizontal="center" vertical="center"/>
    </xf>
    <xf numFmtId="0" fontId="4" fillId="2" borderId="36" xfId="0" applyNumberFormat="1" applyFont="1" applyFill="1" applyBorder="1" applyAlignment="1">
      <alignment horizontal="center" vertical="center"/>
    </xf>
    <xf numFmtId="176" fontId="6" fillId="3" borderId="49" xfId="0" applyNumberFormat="1" applyFont="1" applyFill="1" applyBorder="1" applyAlignment="1">
      <alignment horizontal="center" vertical="center"/>
    </xf>
    <xf numFmtId="177" fontId="4" fillId="0" borderId="50" xfId="0" applyNumberFormat="1" applyFont="1" applyFill="1" applyBorder="1" applyAlignment="1">
      <alignment horizontal="center" vertical="center" wrapText="1"/>
    </xf>
    <xf numFmtId="0" fontId="4" fillId="2" borderId="44" xfId="0" applyNumberFormat="1" applyFont="1" applyFill="1" applyBorder="1" applyAlignment="1">
      <alignment horizontal="center" vertical="center"/>
    </xf>
    <xf numFmtId="177" fontId="4" fillId="0" borderId="51" xfId="0" applyNumberFormat="1" applyFont="1" applyFill="1" applyBorder="1" applyAlignment="1">
      <alignment horizontal="center" vertical="center" wrapText="1"/>
    </xf>
    <xf numFmtId="177" fontId="4" fillId="0" borderId="52" xfId="0" applyNumberFormat="1" applyFont="1" applyFill="1" applyBorder="1" applyAlignment="1">
      <alignment horizontal="center" vertical="center" wrapText="1"/>
    </xf>
    <xf numFmtId="0" fontId="4" fillId="2" borderId="53" xfId="0" applyNumberFormat="1" applyFont="1" applyFill="1" applyBorder="1" applyAlignment="1">
      <alignment horizontal="center" vertical="center"/>
    </xf>
    <xf numFmtId="0" fontId="1" fillId="2" borderId="33" xfId="0" applyNumberFormat="1" applyFont="1" applyFill="1" applyBorder="1" applyAlignment="1">
      <alignment horizontal="center" vertical="center"/>
    </xf>
    <xf numFmtId="0" fontId="1" fillId="2" borderId="30" xfId="0" applyNumberFormat="1" applyFont="1" applyFill="1" applyBorder="1" applyAlignment="1">
      <alignment horizontal="center" vertical="center"/>
    </xf>
    <xf numFmtId="0" fontId="1" fillId="2" borderId="24" xfId="0" applyNumberFormat="1" applyFont="1" applyFill="1" applyBorder="1" applyAlignment="1">
      <alignment horizontal="center" vertical="center"/>
    </xf>
    <xf numFmtId="0" fontId="1" fillId="2" borderId="33" xfId="0" applyNumberFormat="1" applyFont="1" applyFill="1" applyBorder="1" applyAlignment="1">
      <alignment horizontal="center" vertical="center"/>
    </xf>
    <xf numFmtId="176" fontId="6" fillId="3" borderId="4" xfId="0" applyNumberFormat="1" applyFont="1" applyFill="1" applyBorder="1" applyAlignment="1">
      <alignment horizontal="center" vertical="center"/>
    </xf>
    <xf numFmtId="0" fontId="6" fillId="3" borderId="12" xfId="0" applyNumberFormat="1" applyFont="1" applyFill="1" applyBorder="1" applyAlignment="1">
      <alignment horizontal="center" vertical="center" wrapText="1"/>
    </xf>
    <xf numFmtId="0" fontId="6" fillId="3" borderId="30" xfId="0" applyNumberFormat="1" applyFont="1" applyFill="1" applyBorder="1" applyAlignment="1">
      <alignment horizontal="center" vertical="center" wrapText="1"/>
    </xf>
    <xf numFmtId="0" fontId="4" fillId="2" borderId="39" xfId="0" applyNumberFormat="1" applyFont="1" applyFill="1" applyBorder="1" applyAlignment="1">
      <alignment horizontal="center" vertical="center" wrapText="1"/>
    </xf>
    <xf numFmtId="176" fontId="19" fillId="0" borderId="7" xfId="0" applyNumberFormat="1" applyFont="1" applyFill="1" applyBorder="1" applyAlignment="1">
      <alignment vertical="center"/>
    </xf>
    <xf numFmtId="176" fontId="19" fillId="0" borderId="10" xfId="0" applyNumberFormat="1" applyFont="1" applyFill="1" applyBorder="1" applyAlignment="1">
      <alignment vertical="center"/>
    </xf>
    <xf numFmtId="176" fontId="19" fillId="0" borderId="14" xfId="0" applyNumberFormat="1" applyFont="1" applyFill="1" applyBorder="1" applyAlignment="1">
      <alignment horizontal="center" vertical="center"/>
    </xf>
    <xf numFmtId="0" fontId="4" fillId="2" borderId="38" xfId="0" applyNumberFormat="1" applyFont="1" applyFill="1" applyBorder="1" applyAlignment="1">
      <alignment horizontal="center" vertical="center"/>
    </xf>
    <xf numFmtId="0" fontId="4" fillId="2" borderId="42" xfId="0" applyNumberFormat="1" applyFont="1" applyFill="1" applyBorder="1" applyAlignment="1">
      <alignment horizontal="center" vertical="center"/>
    </xf>
    <xf numFmtId="0" fontId="4" fillId="2" borderId="54" xfId="0" applyNumberFormat="1" applyFont="1" applyFill="1" applyBorder="1" applyAlignment="1">
      <alignment horizontal="center" vertical="center"/>
    </xf>
    <xf numFmtId="0" fontId="4" fillId="2" borderId="55" xfId="0" applyNumberFormat="1" applyFont="1" applyFill="1" applyBorder="1" applyAlignment="1">
      <alignment horizontal="center" vertical="center"/>
    </xf>
    <xf numFmtId="176" fontId="19" fillId="0" borderId="51" xfId="0" applyNumberFormat="1" applyFont="1" applyFill="1" applyBorder="1" applyAlignment="1">
      <alignment horizontal="center" vertical="center"/>
    </xf>
    <xf numFmtId="176" fontId="19" fillId="0" borderId="56" xfId="0" applyNumberFormat="1" applyFont="1" applyFill="1" applyBorder="1" applyAlignment="1">
      <alignment horizontal="center" vertical="center"/>
    </xf>
    <xf numFmtId="176" fontId="19" fillId="0" borderId="5" xfId="0" applyNumberFormat="1" applyFont="1" applyFill="1" applyBorder="1" applyAlignment="1">
      <alignment horizontal="center" vertical="center"/>
    </xf>
    <xf numFmtId="176" fontId="19" fillId="0" borderId="44" xfId="0" applyNumberFormat="1" applyFont="1" applyFill="1" applyBorder="1" applyAlignment="1">
      <alignment horizontal="center" vertical="center"/>
    </xf>
    <xf numFmtId="176" fontId="19" fillId="0" borderId="54" xfId="0" applyNumberFormat="1" applyFont="1" applyFill="1" applyBorder="1" applyAlignment="1">
      <alignment horizontal="center" vertical="center"/>
    </xf>
    <xf numFmtId="176" fontId="19" fillId="0" borderId="55" xfId="0" applyNumberFormat="1" applyFont="1" applyFill="1" applyBorder="1" applyAlignment="1">
      <alignment horizontal="center" vertical="center"/>
    </xf>
    <xf numFmtId="0" fontId="4" fillId="2" borderId="32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left" vertical="center"/>
    </xf>
    <xf numFmtId="0" fontId="4" fillId="9" borderId="8" xfId="0" applyNumberFormat="1" applyFont="1" applyFill="1" applyBorder="1" applyAlignment="1">
      <alignment horizontal="center" vertical="center"/>
    </xf>
    <xf numFmtId="0" fontId="4" fillId="2" borderId="34" xfId="0" applyNumberFormat="1" applyFont="1" applyFill="1" applyBorder="1" applyAlignment="1">
      <alignment horizontal="center" vertical="center" wrapText="1"/>
    </xf>
    <xf numFmtId="0" fontId="17" fillId="2" borderId="33" xfId="0" applyNumberFormat="1" applyFont="1" applyFill="1" applyBorder="1" applyAlignment="1">
      <alignment horizontal="center" vertical="center"/>
    </xf>
    <xf numFmtId="0" fontId="6" fillId="3" borderId="20" xfId="0" applyNumberFormat="1" applyFont="1" applyFill="1" applyBorder="1" applyAlignment="1">
      <alignment horizontal="left" vertical="center" wrapText="1"/>
    </xf>
    <xf numFmtId="0" fontId="4" fillId="2" borderId="7" xfId="0" applyNumberFormat="1" applyFont="1" applyFill="1" applyBorder="1" applyAlignment="1">
      <alignment horizontal="left" vertical="center" wrapText="1"/>
    </xf>
    <xf numFmtId="0" fontId="4" fillId="2" borderId="10" xfId="0" applyNumberFormat="1" applyFont="1" applyFill="1" applyBorder="1" applyAlignment="1">
      <alignment horizontal="left" vertical="center"/>
    </xf>
    <xf numFmtId="0" fontId="6" fillId="3" borderId="20" xfId="0" applyNumberFormat="1" applyFont="1" applyFill="1" applyBorder="1" applyAlignment="1">
      <alignment vertical="center" wrapText="1"/>
    </xf>
    <xf numFmtId="176" fontId="19" fillId="0" borderId="15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176" fontId="18" fillId="0" borderId="12" xfId="0" applyNumberFormat="1" applyFont="1" applyFill="1" applyBorder="1" applyAlignment="1">
      <alignment horizontal="center" vertical="center"/>
    </xf>
    <xf numFmtId="0" fontId="1" fillId="2" borderId="30" xfId="0" applyNumberFormat="1" applyFont="1" applyFill="1" applyBorder="1" applyAlignment="1">
      <alignment horizontal="center" vertical="center"/>
    </xf>
    <xf numFmtId="176" fontId="18" fillId="0" borderId="3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20" fontId="4" fillId="2" borderId="24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vertical="center" wrapText="1"/>
    </xf>
    <xf numFmtId="0" fontId="1" fillId="2" borderId="24" xfId="0" applyNumberFormat="1" applyFont="1" applyFill="1" applyBorder="1" applyAlignment="1">
      <alignment vertical="center"/>
    </xf>
    <xf numFmtId="0" fontId="4" fillId="2" borderId="21" xfId="0" applyNumberFormat="1" applyFont="1" applyFill="1" applyBorder="1" applyAlignment="1">
      <alignment horizontal="center" vertical="center"/>
    </xf>
    <xf numFmtId="0" fontId="4" fillId="2" borderId="25" xfId="0" applyNumberFormat="1" applyFont="1" applyFill="1" applyBorder="1" applyAlignment="1">
      <alignment horizontal="center" vertical="center" wrapText="1"/>
    </xf>
    <xf numFmtId="0" fontId="4" fillId="2" borderId="36" xfId="0" applyNumberFormat="1" applyFont="1" applyFill="1" applyBorder="1" applyAlignment="1">
      <alignment vertical="center" wrapText="1"/>
    </xf>
    <xf numFmtId="0" fontId="4" fillId="3" borderId="16" xfId="0" applyNumberFormat="1" applyFont="1" applyFill="1" applyBorder="1" applyAlignment="1">
      <alignment horizontal="center" vertical="center" wrapText="1"/>
    </xf>
    <xf numFmtId="176" fontId="4" fillId="9" borderId="21" xfId="0" applyNumberFormat="1" applyFont="1" applyFill="1" applyBorder="1" applyAlignment="1">
      <alignment horizontal="center" vertical="center"/>
    </xf>
    <xf numFmtId="0" fontId="4" fillId="9" borderId="22" xfId="0" applyNumberFormat="1" applyFont="1" applyFill="1" applyBorder="1" applyAlignment="1">
      <alignment horizontal="center" vertical="center"/>
    </xf>
    <xf numFmtId="0" fontId="4" fillId="9" borderId="22" xfId="0" applyNumberFormat="1" applyFont="1" applyFill="1" applyBorder="1" applyAlignment="1">
      <alignment horizontal="center" vertical="center" wrapText="1"/>
    </xf>
    <xf numFmtId="0" fontId="4" fillId="9" borderId="27" xfId="0" applyNumberFormat="1" applyFont="1" applyFill="1" applyBorder="1" applyAlignment="1">
      <alignment horizontal="center" vertical="center" wrapText="1"/>
    </xf>
    <xf numFmtId="176" fontId="4" fillId="9" borderId="6" xfId="0" applyNumberFormat="1" applyFont="1" applyFill="1" applyBorder="1" applyAlignment="1">
      <alignment horizontal="center" vertical="center"/>
    </xf>
    <xf numFmtId="0" fontId="4" fillId="9" borderId="24" xfId="0" applyNumberFormat="1" applyFont="1" applyFill="1" applyBorder="1" applyAlignment="1">
      <alignment horizontal="center" vertical="center" wrapText="1"/>
    </xf>
    <xf numFmtId="0" fontId="4" fillId="2" borderId="37" xfId="0" applyNumberFormat="1" applyFont="1" applyFill="1" applyBorder="1" applyAlignment="1">
      <alignment vertical="center" wrapText="1"/>
    </xf>
    <xf numFmtId="178" fontId="4" fillId="2" borderId="33" xfId="0" applyNumberFormat="1" applyFont="1" applyFill="1" applyBorder="1" applyAlignment="1">
      <alignment vertical="center" wrapText="1"/>
    </xf>
    <xf numFmtId="178" fontId="4" fillId="2" borderId="33" xfId="0" applyNumberFormat="1" applyFont="1" applyFill="1" applyBorder="1" applyAlignment="1">
      <alignment horizontal="center" vertical="center" wrapText="1"/>
    </xf>
    <xf numFmtId="0" fontId="4" fillId="3" borderId="20" xfId="0" applyNumberFormat="1" applyFont="1" applyFill="1" applyBorder="1" applyAlignment="1">
      <alignment horizontal="center" vertical="center" wrapText="1"/>
    </xf>
    <xf numFmtId="176" fontId="4" fillId="0" borderId="25" xfId="0" applyNumberFormat="1" applyFont="1" applyFill="1" applyBorder="1" applyAlignment="1">
      <alignment horizontal="center" vertical="center"/>
    </xf>
    <xf numFmtId="176" fontId="4" fillId="0" borderId="10" xfId="0" applyNumberFormat="1" applyFont="1" applyFill="1" applyBorder="1" applyAlignment="1">
      <alignment horizontal="center" vertical="center"/>
    </xf>
    <xf numFmtId="0" fontId="4" fillId="3" borderId="19" xfId="0" applyNumberFormat="1" applyFont="1" applyFill="1" applyBorder="1" applyAlignment="1">
      <alignment horizontal="center" vertical="center" wrapText="1"/>
    </xf>
    <xf numFmtId="178" fontId="4" fillId="2" borderId="36" xfId="0" applyNumberFormat="1" applyFont="1" applyFill="1" applyBorder="1" applyAlignment="1">
      <alignment horizontal="center" vertical="center" wrapText="1"/>
    </xf>
    <xf numFmtId="176" fontId="19" fillId="0" borderId="32" xfId="0" applyNumberFormat="1" applyFont="1" applyFill="1" applyBorder="1" applyAlignment="1">
      <alignment horizontal="center" vertical="center"/>
    </xf>
    <xf numFmtId="176" fontId="19" fillId="0" borderId="10" xfId="0" applyNumberFormat="1" applyFont="1" applyFill="1" applyBorder="1" applyAlignment="1">
      <alignment horizontal="center" vertical="center"/>
    </xf>
    <xf numFmtId="176" fontId="19" fillId="0" borderId="32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2" borderId="57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176" fontId="19" fillId="0" borderId="22" xfId="0" applyNumberFormat="1" applyFont="1" applyFill="1" applyBorder="1" applyAlignment="1">
      <alignment horizontal="center" vertical="center"/>
    </xf>
    <xf numFmtId="0" fontId="4" fillId="3" borderId="12" xfId="0" applyNumberFormat="1" applyFont="1" applyFill="1" applyBorder="1" applyAlignment="1">
      <alignment horizontal="center" vertical="center" wrapText="1"/>
    </xf>
    <xf numFmtId="0" fontId="4" fillId="3" borderId="30" xfId="0" applyNumberFormat="1" applyFont="1" applyFill="1" applyBorder="1" applyAlignment="1">
      <alignment horizontal="center" vertical="center" wrapText="1"/>
    </xf>
    <xf numFmtId="0" fontId="4" fillId="2" borderId="23" xfId="0" applyNumberFormat="1" applyFont="1" applyFill="1" applyBorder="1" applyAlignment="1">
      <alignment vertical="center" wrapText="1"/>
    </xf>
    <xf numFmtId="0" fontId="4" fillId="10" borderId="11" xfId="0" applyNumberFormat="1" applyFont="1" applyFill="1" applyBorder="1" applyAlignment="1">
      <alignment horizontal="center" vertical="center" wrapText="1"/>
    </xf>
    <xf numFmtId="0" fontId="4" fillId="10" borderId="7" xfId="0" applyNumberFormat="1" applyFont="1" applyFill="1" applyBorder="1" applyAlignment="1">
      <alignment horizontal="center" vertical="center" wrapText="1"/>
    </xf>
    <xf numFmtId="177" fontId="4" fillId="10" borderId="7" xfId="0" applyNumberFormat="1" applyFont="1" applyFill="1" applyBorder="1" applyAlignment="1">
      <alignment horizontal="center" vertical="center" wrapText="1"/>
    </xf>
    <xf numFmtId="176" fontId="4" fillId="10" borderId="7" xfId="0" applyNumberFormat="1" applyFont="1" applyFill="1" applyBorder="1" applyAlignment="1">
      <alignment horizontal="center" vertical="center"/>
    </xf>
    <xf numFmtId="0" fontId="4" fillId="10" borderId="24" xfId="0" applyNumberFormat="1" applyFont="1" applyFill="1" applyBorder="1" applyAlignment="1">
      <alignment vertical="center"/>
    </xf>
    <xf numFmtId="0" fontId="4" fillId="10" borderId="4" xfId="0" applyNumberFormat="1" applyFont="1" applyFill="1" applyBorder="1" applyAlignment="1">
      <alignment horizontal="center" vertical="center" wrapText="1"/>
    </xf>
    <xf numFmtId="0" fontId="4" fillId="10" borderId="8" xfId="0" applyNumberFormat="1" applyFont="1" applyFill="1" applyBorder="1" applyAlignment="1">
      <alignment horizontal="center" vertical="center"/>
    </xf>
    <xf numFmtId="0" fontId="4" fillId="10" borderId="9" xfId="0" applyNumberFormat="1" applyFont="1" applyFill="1" applyBorder="1" applyAlignment="1">
      <alignment horizontal="center" vertical="center" wrapText="1"/>
    </xf>
    <xf numFmtId="176" fontId="19" fillId="10" borderId="7" xfId="0" applyNumberFormat="1" applyFont="1" applyFill="1" applyBorder="1" applyAlignment="1">
      <alignment horizontal="center" vertical="center"/>
    </xf>
    <xf numFmtId="0" fontId="4" fillId="10" borderId="11" xfId="0" applyNumberFormat="1" applyFont="1" applyFill="1" applyBorder="1" applyAlignment="1">
      <alignment horizontal="center" vertical="center" wrapText="1"/>
    </xf>
    <xf numFmtId="0" fontId="4" fillId="10" borderId="32" xfId="0" applyNumberFormat="1" applyFont="1" applyFill="1" applyBorder="1" applyAlignment="1">
      <alignment horizontal="center" vertical="center" wrapText="1"/>
    </xf>
    <xf numFmtId="177" fontId="4" fillId="10" borderId="32" xfId="0" applyNumberFormat="1" applyFont="1" applyFill="1" applyBorder="1" applyAlignment="1">
      <alignment horizontal="center" vertical="center" wrapText="1"/>
    </xf>
    <xf numFmtId="176" fontId="19" fillId="10" borderId="32" xfId="0" applyNumberFormat="1" applyFont="1" applyFill="1" applyBorder="1" applyAlignment="1">
      <alignment horizontal="center" vertical="center"/>
    </xf>
    <xf numFmtId="0" fontId="4" fillId="10" borderId="33" xfId="0" applyNumberFormat="1" applyFont="1" applyFill="1" applyBorder="1" applyAlignment="1">
      <alignment horizontal="center" vertical="center"/>
    </xf>
    <xf numFmtId="0" fontId="4" fillId="10" borderId="21" xfId="0" applyNumberFormat="1" applyFont="1" applyFill="1" applyBorder="1" applyAlignment="1">
      <alignment horizontal="center" vertical="center" wrapText="1"/>
    </xf>
    <xf numFmtId="0" fontId="4" fillId="10" borderId="10" xfId="0" applyNumberFormat="1" applyFont="1" applyFill="1" applyBorder="1" applyAlignment="1">
      <alignment horizontal="center" vertical="center" wrapText="1"/>
    </xf>
    <xf numFmtId="177" fontId="4" fillId="10" borderId="10" xfId="0" applyNumberFormat="1" applyFont="1" applyFill="1" applyBorder="1" applyAlignment="1">
      <alignment horizontal="center" vertical="center" wrapText="1"/>
    </xf>
    <xf numFmtId="0" fontId="4" fillId="10" borderId="10" xfId="0" applyNumberFormat="1" applyFont="1" applyFill="1" applyBorder="1" applyAlignment="1">
      <alignment vertical="center"/>
    </xf>
    <xf numFmtId="0" fontId="4" fillId="10" borderId="27" xfId="0" applyNumberFormat="1" applyFont="1" applyFill="1" applyBorder="1" applyAlignment="1">
      <alignment horizontal="center" vertical="center"/>
    </xf>
    <xf numFmtId="0" fontId="4" fillId="10" borderId="7" xfId="0" applyNumberFormat="1" applyFont="1" applyFill="1" applyBorder="1" applyAlignment="1">
      <alignment vertical="center"/>
    </xf>
    <xf numFmtId="0" fontId="4" fillId="10" borderId="30" xfId="0" applyNumberFormat="1" applyFont="1" applyFill="1" applyBorder="1" applyAlignment="1">
      <alignment horizontal="center" vertical="center"/>
    </xf>
    <xf numFmtId="0" fontId="4" fillId="10" borderId="6" xfId="0" applyNumberFormat="1" applyFont="1" applyFill="1" applyBorder="1" applyAlignment="1">
      <alignment horizontal="center" vertical="center" wrapText="1"/>
    </xf>
    <xf numFmtId="0" fontId="4" fillId="10" borderId="24" xfId="0" applyNumberFormat="1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4" fillId="10" borderId="32" xfId="0" applyNumberFormat="1" applyFont="1" applyFill="1" applyBorder="1" applyAlignment="1">
      <alignment vertical="center"/>
    </xf>
    <xf numFmtId="0" fontId="4" fillId="10" borderId="13" xfId="0" applyNumberFormat="1" applyFont="1" applyFill="1" applyBorder="1" applyAlignment="1">
      <alignment horizontal="center" vertical="center" wrapText="1"/>
    </xf>
    <xf numFmtId="0" fontId="4" fillId="10" borderId="15" xfId="0" applyNumberFormat="1" applyFont="1" applyFill="1" applyBorder="1" applyAlignment="1">
      <alignment horizontal="center" vertical="center" wrapText="1"/>
    </xf>
    <xf numFmtId="177" fontId="4" fillId="10" borderId="15" xfId="0" applyNumberFormat="1" applyFont="1" applyFill="1" applyBorder="1" applyAlignment="1">
      <alignment horizontal="center" vertical="center" wrapText="1"/>
    </xf>
    <xf numFmtId="0" fontId="4" fillId="10" borderId="15" xfId="0" applyNumberFormat="1" applyFont="1" applyFill="1" applyBorder="1" applyAlignment="1">
      <alignment vertical="center"/>
    </xf>
    <xf numFmtId="0" fontId="4" fillId="10" borderId="16" xfId="0" applyNumberFormat="1" applyFont="1" applyFill="1" applyBorder="1" applyAlignment="1">
      <alignment horizontal="center" vertical="center"/>
    </xf>
    <xf numFmtId="0" fontId="4" fillId="10" borderId="22" xfId="0" applyNumberFormat="1" applyFont="1" applyFill="1" applyBorder="1" applyAlignment="1">
      <alignment horizontal="center" vertical="center" wrapText="1"/>
    </xf>
    <xf numFmtId="177" fontId="4" fillId="10" borderId="22" xfId="0" applyNumberFormat="1" applyFont="1" applyFill="1" applyBorder="1" applyAlignment="1">
      <alignment horizontal="center" vertical="center" wrapText="1"/>
    </xf>
    <xf numFmtId="176" fontId="4" fillId="10" borderId="22" xfId="0" applyNumberFormat="1" applyFont="1" applyFill="1" applyBorder="1" applyAlignment="1">
      <alignment horizontal="center" vertical="center"/>
    </xf>
    <xf numFmtId="176" fontId="4" fillId="10" borderId="10" xfId="0" applyNumberFormat="1" applyFont="1" applyFill="1" applyBorder="1" applyAlignment="1">
      <alignment horizontal="center" vertical="center"/>
    </xf>
    <xf numFmtId="0" fontId="4" fillId="10" borderId="33" xfId="0" applyNumberFormat="1" applyFont="1" applyFill="1" applyBorder="1" applyAlignment="1">
      <alignment horizontal="center" vertical="center"/>
    </xf>
    <xf numFmtId="176" fontId="4" fillId="10" borderId="9" xfId="0" applyNumberFormat="1" applyFont="1" applyFill="1" applyBorder="1" applyAlignment="1">
      <alignment horizontal="center" vertical="center"/>
    </xf>
    <xf numFmtId="0" fontId="4" fillId="10" borderId="7" xfId="0" applyNumberFormat="1" applyFont="1" applyFill="1" applyBorder="1" applyAlignment="1">
      <alignment horizontal="center" vertical="center"/>
    </xf>
    <xf numFmtId="176" fontId="4" fillId="10" borderId="7" xfId="0" applyNumberFormat="1" applyFont="1" applyFill="1" applyBorder="1" applyAlignment="1">
      <alignment horizontal="left" vertical="center"/>
    </xf>
    <xf numFmtId="176" fontId="4" fillId="10" borderId="6" xfId="0" applyNumberFormat="1" applyFont="1" applyFill="1" applyBorder="1" applyAlignment="1">
      <alignment horizontal="center" vertical="center"/>
    </xf>
    <xf numFmtId="0" fontId="4" fillId="10" borderId="24" xfId="0" applyNumberFormat="1" applyFont="1" applyFill="1" applyBorder="1" applyAlignment="1">
      <alignment horizontal="center" vertical="center"/>
    </xf>
    <xf numFmtId="0" fontId="4" fillId="10" borderId="39" xfId="0" applyNumberFormat="1" applyFont="1" applyFill="1" applyBorder="1" applyAlignment="1">
      <alignment horizontal="center" vertical="center" wrapText="1"/>
    </xf>
    <xf numFmtId="0" fontId="4" fillId="10" borderId="22" xfId="0" applyNumberFormat="1" applyFont="1" applyFill="1" applyBorder="1" applyAlignment="1">
      <alignment vertical="center"/>
    </xf>
    <xf numFmtId="0" fontId="4" fillId="10" borderId="23" xfId="0" applyNumberFormat="1" applyFont="1" applyFill="1" applyBorder="1" applyAlignment="1">
      <alignment horizontal="center" vertical="center"/>
    </xf>
    <xf numFmtId="0" fontId="4" fillId="10" borderId="9" xfId="0" applyNumberFormat="1" applyFont="1" applyFill="1" applyBorder="1" applyAlignment="1">
      <alignment horizontal="center" vertical="center" wrapText="1"/>
    </xf>
    <xf numFmtId="0" fontId="4" fillId="10" borderId="8" xfId="0" applyNumberFormat="1" applyFont="1" applyFill="1" applyBorder="1" applyAlignment="1">
      <alignment horizontal="center" vertical="center"/>
    </xf>
    <xf numFmtId="0" fontId="4" fillId="10" borderId="6" xfId="0" applyNumberFormat="1" applyFont="1" applyFill="1" applyBorder="1" applyAlignment="1">
      <alignment horizontal="center" vertical="center" wrapText="1"/>
    </xf>
    <xf numFmtId="176" fontId="4" fillId="10" borderId="21" xfId="0" applyNumberFormat="1" applyFont="1" applyFill="1" applyBorder="1" applyAlignment="1">
      <alignment horizontal="center" vertical="center"/>
    </xf>
    <xf numFmtId="176" fontId="4" fillId="10" borderId="6" xfId="0" applyNumberFormat="1" applyFont="1" applyFill="1" applyBorder="1" applyAlignment="1">
      <alignment horizontal="center" vertical="center"/>
    </xf>
    <xf numFmtId="0" fontId="4" fillId="10" borderId="10" xfId="0" applyNumberFormat="1" applyFont="1" applyFill="1" applyBorder="1" applyAlignment="1">
      <alignment horizontal="center" vertical="center"/>
    </xf>
    <xf numFmtId="176" fontId="19" fillId="10" borderId="7" xfId="0" applyNumberFormat="1" applyFont="1" applyFill="1" applyBorder="1" applyAlignment="1">
      <alignment horizontal="center" vertical="center"/>
    </xf>
    <xf numFmtId="0" fontId="4" fillId="10" borderId="12" xfId="0" applyNumberFormat="1" applyFont="1" applyFill="1" applyBorder="1" applyAlignment="1">
      <alignment horizontal="center" vertical="center"/>
    </xf>
    <xf numFmtId="0" fontId="4" fillId="10" borderId="33" xfId="0" applyNumberFormat="1" applyFont="1" applyFill="1" applyBorder="1" applyAlignment="1">
      <alignment horizontal="center" vertical="center" wrapText="1"/>
    </xf>
    <xf numFmtId="0" fontId="4" fillId="10" borderId="32" xfId="0" applyNumberFormat="1" applyFont="1" applyFill="1" applyBorder="1" applyAlignment="1">
      <alignment horizontal="center" vertical="center"/>
    </xf>
    <xf numFmtId="0" fontId="4" fillId="10" borderId="33" xfId="0" applyNumberFormat="1" applyFont="1" applyFill="1" applyBorder="1" applyAlignment="1">
      <alignment horizontal="center" vertical="center" wrapText="1"/>
    </xf>
    <xf numFmtId="0" fontId="4" fillId="10" borderId="13" xfId="0" applyNumberFormat="1" applyFont="1" applyFill="1" applyBorder="1" applyAlignment="1">
      <alignment horizontal="center" vertical="center" wrapText="1"/>
    </xf>
    <xf numFmtId="177" fontId="4" fillId="10" borderId="12" xfId="0" applyNumberFormat="1" applyFont="1" applyFill="1" applyBorder="1" applyAlignment="1">
      <alignment horizontal="center" vertical="center" wrapText="1"/>
    </xf>
    <xf numFmtId="0" fontId="4" fillId="10" borderId="16" xfId="0" applyNumberFormat="1" applyFont="1" applyFill="1" applyBorder="1" applyAlignment="1">
      <alignment horizontal="center" vertical="center" wrapText="1"/>
    </xf>
    <xf numFmtId="0" fontId="6" fillId="3" borderId="25" xfId="0" applyNumberFormat="1" applyFont="1" applyFill="1" applyBorder="1" applyAlignment="1">
      <alignment horizontal="center" vertical="center"/>
    </xf>
    <xf numFmtId="0" fontId="6" fillId="3" borderId="25" xfId="0" applyNumberFormat="1" applyFont="1" applyFill="1" applyBorder="1" applyAlignment="1">
      <alignment horizontal="center" vertical="center" wrapText="1"/>
    </xf>
    <xf numFmtId="0" fontId="4" fillId="3" borderId="25" xfId="0" applyNumberFormat="1" applyFont="1" applyFill="1" applyBorder="1" applyAlignment="1">
      <alignment horizontal="center" vertical="center" wrapText="1"/>
    </xf>
    <xf numFmtId="0" fontId="4" fillId="3" borderId="27" xfId="0" applyNumberFormat="1" applyFont="1" applyFill="1" applyBorder="1" applyAlignment="1">
      <alignment horizontal="center" vertical="center" wrapText="1"/>
    </xf>
    <xf numFmtId="176" fontId="4" fillId="10" borderId="39" xfId="0" applyNumberFormat="1" applyFont="1" applyFill="1" applyBorder="1" applyAlignment="1">
      <alignment horizontal="center" vertical="center"/>
    </xf>
    <xf numFmtId="0" fontId="19" fillId="10" borderId="22" xfId="0" applyNumberFormat="1" applyFont="1" applyFill="1" applyBorder="1" applyAlignment="1">
      <alignment horizontal="center" vertical="center" wrapText="1"/>
    </xf>
    <xf numFmtId="178" fontId="4" fillId="10" borderId="27" xfId="0" applyNumberFormat="1" applyFont="1" applyFill="1" applyBorder="1" applyAlignment="1">
      <alignment horizontal="center" vertical="center" wrapText="1"/>
    </xf>
    <xf numFmtId="0" fontId="4" fillId="10" borderId="7" xfId="0" applyNumberFormat="1" applyFont="1" applyFill="1" applyBorder="1" applyAlignment="1">
      <alignment vertical="center" wrapText="1"/>
    </xf>
    <xf numFmtId="178" fontId="4" fillId="10" borderId="30" xfId="0" applyNumberFormat="1" applyFont="1" applyFill="1" applyBorder="1" applyAlignment="1">
      <alignment horizontal="center" vertical="center" wrapText="1"/>
    </xf>
    <xf numFmtId="0" fontId="4" fillId="10" borderId="32" xfId="0" applyNumberFormat="1" applyFont="1" applyFill="1" applyBorder="1" applyAlignment="1">
      <alignment vertical="center" wrapText="1"/>
    </xf>
    <xf numFmtId="178" fontId="4" fillId="10" borderId="24" xfId="0" applyNumberFormat="1" applyFont="1" applyFill="1" applyBorder="1" applyAlignment="1">
      <alignment horizontal="center" vertical="center" wrapText="1"/>
    </xf>
    <xf numFmtId="0" fontId="4" fillId="10" borderId="8" xfId="0" applyNumberFormat="1" applyFont="1" applyFill="1" applyBorder="1" applyAlignment="1">
      <alignment horizontal="center" vertical="center" wrapText="1"/>
    </xf>
    <xf numFmtId="0" fontId="4" fillId="10" borderId="8" xfId="0" applyNumberFormat="1" applyFont="1" applyFill="1" applyBorder="1" applyAlignment="1">
      <alignment horizontal="center" vertical="center" wrapText="1"/>
    </xf>
    <xf numFmtId="0" fontId="4" fillId="10" borderId="8" xfId="0" applyNumberFormat="1" applyFont="1" applyFill="1" applyBorder="1" applyAlignment="1">
      <alignment vertical="center"/>
    </xf>
    <xf numFmtId="0" fontId="4" fillId="10" borderId="33" xfId="0" applyNumberFormat="1" applyFont="1" applyFill="1" applyBorder="1" applyAlignment="1">
      <alignment vertical="center"/>
    </xf>
    <xf numFmtId="176" fontId="4" fillId="10" borderId="4" xfId="0" applyNumberFormat="1" applyFont="1" applyFill="1" applyBorder="1" applyAlignment="1">
      <alignment horizontal="center" vertical="center"/>
    </xf>
    <xf numFmtId="0" fontId="4" fillId="10" borderId="24" xfId="0" applyNumberFormat="1" applyFont="1" applyFill="1" applyBorder="1" applyAlignment="1">
      <alignment horizontal="center" vertical="center" wrapText="1"/>
    </xf>
    <xf numFmtId="0" fontId="19" fillId="10" borderId="32" xfId="0" applyNumberFormat="1" applyFont="1" applyFill="1" applyBorder="1" applyAlignment="1">
      <alignment horizontal="center" vertical="center" wrapText="1"/>
    </xf>
    <xf numFmtId="178" fontId="4" fillId="10" borderId="33" xfId="0" applyNumberFormat="1" applyFont="1" applyFill="1" applyBorder="1" applyAlignment="1">
      <alignment horizontal="center" vertical="center" wrapText="1"/>
    </xf>
    <xf numFmtId="0" fontId="19" fillId="10" borderId="32" xfId="0" applyNumberFormat="1" applyFont="1" applyFill="1" applyBorder="1" applyAlignment="1">
      <alignment horizontal="center" vertical="center" wrapText="1"/>
    </xf>
    <xf numFmtId="20" fontId="4" fillId="10" borderId="33" xfId="0" applyNumberFormat="1" applyFont="1" applyFill="1" applyBorder="1" applyAlignment="1">
      <alignment horizontal="center" vertical="center"/>
    </xf>
    <xf numFmtId="0" fontId="4" fillId="10" borderId="12" xfId="0" applyNumberFormat="1" applyFont="1" applyFill="1" applyBorder="1" applyAlignment="1">
      <alignment horizontal="center" vertical="center" wrapText="1"/>
    </xf>
    <xf numFmtId="0" fontId="19" fillId="10" borderId="15" xfId="0" applyNumberFormat="1" applyFont="1" applyFill="1" applyBorder="1" applyAlignment="1">
      <alignment horizontal="center" vertical="center" wrapText="1"/>
    </xf>
    <xf numFmtId="20" fontId="4" fillId="10" borderId="16" xfId="0" applyNumberFormat="1" applyFont="1" applyFill="1" applyBorder="1" applyAlignment="1">
      <alignment horizontal="center" vertical="center"/>
    </xf>
    <xf numFmtId="0" fontId="4" fillId="10" borderId="39" xfId="0" applyNumberFormat="1" applyFont="1" applyFill="1" applyBorder="1" applyAlignment="1">
      <alignment horizontal="center" vertical="center"/>
    </xf>
    <xf numFmtId="0" fontId="4" fillId="10" borderId="22" xfId="0" applyNumberFormat="1" applyFont="1" applyFill="1" applyBorder="1" applyAlignment="1">
      <alignment vertical="center" wrapText="1"/>
    </xf>
    <xf numFmtId="0" fontId="4" fillId="10" borderId="23" xfId="0" applyNumberFormat="1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4" fillId="10" borderId="9" xfId="0" applyNumberFormat="1" applyFont="1" applyFill="1" applyBorder="1" applyAlignment="1">
      <alignment horizontal="center" vertical="center"/>
    </xf>
    <xf numFmtId="0" fontId="4" fillId="10" borderId="9" xfId="0" applyNumberFormat="1" applyFont="1" applyFill="1" applyBorder="1" applyAlignment="1">
      <alignment horizontal="center" vertical="center"/>
    </xf>
    <xf numFmtId="0" fontId="4" fillId="10" borderId="11" xfId="0" applyNumberFormat="1" applyFont="1" applyFill="1" applyBorder="1" applyAlignment="1">
      <alignment horizontal="center" vertical="center"/>
    </xf>
    <xf numFmtId="0" fontId="4" fillId="10" borderId="6" xfId="0" applyNumberFormat="1" applyFont="1" applyFill="1" applyBorder="1" applyAlignment="1">
      <alignment horizontal="center" vertical="center"/>
    </xf>
    <xf numFmtId="176" fontId="8" fillId="10" borderId="7" xfId="0" applyNumberFormat="1" applyFont="1" applyFill="1" applyBorder="1" applyAlignment="1">
      <alignment horizontal="left" vertical="center"/>
    </xf>
    <xf numFmtId="0" fontId="4" fillId="10" borderId="4" xfId="0" applyNumberFormat="1" applyFont="1" applyFill="1" applyBorder="1" applyAlignment="1">
      <alignment horizontal="center" vertical="center"/>
    </xf>
    <xf numFmtId="0" fontId="4" fillId="10" borderId="30" xfId="0" applyNumberFormat="1" applyFont="1" applyFill="1" applyBorder="1" applyAlignment="1">
      <alignment horizontal="center" vertical="center" wrapText="1"/>
    </xf>
    <xf numFmtId="0" fontId="4" fillId="10" borderId="24" xfId="0" applyNumberFormat="1" applyFont="1" applyFill="1" applyBorder="1" applyAlignment="1">
      <alignment horizontal="center" vertical="center" wrapText="1"/>
    </xf>
    <xf numFmtId="176" fontId="8" fillId="0" borderId="7" xfId="0" applyNumberFormat="1" applyFont="1" applyFill="1" applyBorder="1" applyAlignment="1">
      <alignment horizontal="left" vertical="center"/>
    </xf>
    <xf numFmtId="0" fontId="4" fillId="10" borderId="21" xfId="0" applyNumberFormat="1" applyFont="1" applyFill="1" applyBorder="1" applyAlignment="1">
      <alignment horizontal="center" vertical="center" wrapText="1"/>
    </xf>
    <xf numFmtId="0" fontId="4" fillId="10" borderId="25" xfId="0" applyNumberFormat="1" applyFont="1" applyFill="1" applyBorder="1" applyAlignment="1">
      <alignment horizontal="center" vertical="center" wrapText="1"/>
    </xf>
    <xf numFmtId="177" fontId="4" fillId="10" borderId="25" xfId="0" applyNumberFormat="1" applyFont="1" applyFill="1" applyBorder="1" applyAlignment="1">
      <alignment horizontal="center" vertical="center" wrapText="1"/>
    </xf>
    <xf numFmtId="176" fontId="4" fillId="10" borderId="25" xfId="0" applyNumberFormat="1" applyFont="1" applyFill="1" applyBorder="1" applyAlignment="1">
      <alignment horizontal="center" vertical="center"/>
    </xf>
    <xf numFmtId="0" fontId="4" fillId="10" borderId="27" xfId="0" applyNumberFormat="1" applyFont="1" applyFill="1" applyBorder="1" applyAlignment="1">
      <alignment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shrinkToFit="1"/>
    </xf>
    <xf numFmtId="0" fontId="24" fillId="0" borderId="0" xfId="0" applyNumberFormat="1" applyFont="1" applyAlignment="1">
      <alignment horizontal="left" vertical="center"/>
    </xf>
    <xf numFmtId="0" fontId="4" fillId="10" borderId="4" xfId="0" applyNumberFormat="1" applyFont="1" applyFill="1" applyBorder="1" applyAlignment="1">
      <alignment horizontal="center" vertical="center" wrapText="1"/>
    </xf>
    <xf numFmtId="0" fontId="4" fillId="10" borderId="39" xfId="0" applyNumberFormat="1" applyFont="1" applyFill="1" applyBorder="1" applyAlignment="1">
      <alignment horizontal="center" vertical="center" wrapText="1"/>
    </xf>
    <xf numFmtId="0" fontId="4" fillId="10" borderId="22" xfId="0" applyNumberFormat="1" applyFont="1" applyFill="1" applyBorder="1" applyAlignment="1">
      <alignment horizontal="center" vertical="center"/>
    </xf>
    <xf numFmtId="0" fontId="4" fillId="10" borderId="27" xfId="0" applyNumberFormat="1" applyFont="1" applyFill="1" applyBorder="1" applyAlignment="1">
      <alignment horizontal="center" vertical="center"/>
    </xf>
    <xf numFmtId="0" fontId="4" fillId="10" borderId="3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177" fontId="4" fillId="0" borderId="0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/>
    </xf>
    <xf numFmtId="0" fontId="4" fillId="10" borderId="25" xfId="0" applyNumberFormat="1" applyFont="1" applyFill="1" applyBorder="1" applyAlignment="1">
      <alignment horizontal="center" vertical="center"/>
    </xf>
    <xf numFmtId="0" fontId="4" fillId="10" borderId="42" xfId="0" applyNumberFormat="1" applyFont="1" applyFill="1" applyBorder="1" applyAlignment="1">
      <alignment horizontal="center" vertical="center"/>
    </xf>
    <xf numFmtId="0" fontId="24" fillId="0" borderId="0" xfId="0" applyNumberFormat="1" applyFont="1" applyFill="1" applyAlignment="1">
      <alignment horizontal="left" vertical="center"/>
    </xf>
    <xf numFmtId="0" fontId="5" fillId="0" borderId="0" xfId="0" applyNumberFormat="1" applyFont="1" applyFill="1" applyBorder="1" applyAlignment="1">
      <alignment horizontal="center" vertical="center"/>
    </xf>
    <xf numFmtId="0" fontId="24" fillId="10" borderId="32" xfId="0" applyNumberFormat="1" applyFont="1" applyFill="1" applyBorder="1" applyAlignment="1">
      <alignment horizontal="center" vertical="center" wrapText="1"/>
    </xf>
    <xf numFmtId="0" fontId="4" fillId="10" borderId="32" xfId="0" applyNumberFormat="1" applyFont="1" applyFill="1" applyBorder="1" applyAlignment="1">
      <alignment horizontal="center" vertical="center"/>
    </xf>
    <xf numFmtId="0" fontId="4" fillId="10" borderId="10" xfId="0" applyNumberFormat="1" applyFont="1" applyFill="1" applyBorder="1" applyAlignment="1">
      <alignment horizontal="center" vertical="center"/>
    </xf>
    <xf numFmtId="0" fontId="4" fillId="10" borderId="56" xfId="0" applyNumberFormat="1" applyFont="1" applyFill="1" applyBorder="1" applyAlignment="1">
      <alignment horizontal="center" vertical="center"/>
    </xf>
    <xf numFmtId="0" fontId="4" fillId="10" borderId="55" xfId="0" applyNumberFormat="1" applyFont="1" applyFill="1" applyBorder="1" applyAlignment="1">
      <alignment horizontal="center" vertical="center"/>
    </xf>
    <xf numFmtId="177" fontId="19" fillId="10" borderId="32" xfId="0" applyNumberFormat="1" applyFont="1" applyFill="1" applyBorder="1" applyAlignment="1">
      <alignment horizontal="center" vertical="center" wrapText="1"/>
    </xf>
    <xf numFmtId="0" fontId="24" fillId="0" borderId="43" xfId="0" applyNumberFormat="1" applyFont="1" applyBorder="1" applyAlignment="1">
      <alignment horizontal="left" vertical="center"/>
    </xf>
    <xf numFmtId="0" fontId="24" fillId="0" borderId="43" xfId="0" applyNumberFormat="1" applyFont="1" applyBorder="1" applyAlignment="1">
      <alignment horizontal="left" vertical="center"/>
    </xf>
    <xf numFmtId="0" fontId="4" fillId="10" borderId="12" xfId="0" applyNumberFormat="1" applyFont="1" applyFill="1" applyBorder="1" applyAlignment="1">
      <alignment horizontal="center" vertical="center"/>
    </xf>
    <xf numFmtId="0" fontId="5" fillId="10" borderId="7" xfId="0" applyNumberFormat="1" applyFont="1" applyFill="1" applyBorder="1" applyAlignment="1">
      <alignment horizontal="center" vertical="center"/>
    </xf>
    <xf numFmtId="0" fontId="5" fillId="10" borderId="32" xfId="0" applyNumberFormat="1" applyFont="1" applyFill="1" applyBorder="1" applyAlignment="1">
      <alignment horizontal="center" vertical="center"/>
    </xf>
    <xf numFmtId="0" fontId="24" fillId="0" borderId="0" xfId="0" applyNumberFormat="1" applyFont="1" applyAlignment="1">
      <alignment horizontal="center" vertical="center"/>
    </xf>
    <xf numFmtId="0" fontId="19" fillId="10" borderId="9" xfId="0" applyNumberFormat="1" applyFont="1" applyFill="1" applyBorder="1" applyAlignment="1">
      <alignment horizontal="center" vertical="center" wrapText="1"/>
    </xf>
    <xf numFmtId="0" fontId="19" fillId="10" borderId="7" xfId="0" applyNumberFormat="1" applyFont="1" applyFill="1" applyBorder="1" applyAlignment="1">
      <alignment horizontal="center" vertical="center"/>
    </xf>
    <xf numFmtId="0" fontId="19" fillId="10" borderId="8" xfId="0" applyNumberFormat="1" applyFont="1" applyFill="1" applyBorder="1" applyAlignment="1">
      <alignment horizontal="center" vertical="center"/>
    </xf>
    <xf numFmtId="0" fontId="19" fillId="10" borderId="9" xfId="0" applyNumberFormat="1" applyFont="1" applyFill="1" applyBorder="1" applyAlignment="1">
      <alignment horizontal="center" vertical="center" wrapText="1"/>
    </xf>
    <xf numFmtId="0" fontId="19" fillId="10" borderId="8" xfId="0" applyNumberFormat="1" applyFont="1" applyFill="1" applyBorder="1" applyAlignment="1">
      <alignment horizontal="center" vertical="center"/>
    </xf>
    <xf numFmtId="0" fontId="19" fillId="10" borderId="4" xfId="0" applyNumberFormat="1" applyFont="1" applyFill="1" applyBorder="1" applyAlignment="1">
      <alignment horizontal="center" vertical="center" wrapText="1"/>
    </xf>
    <xf numFmtId="0" fontId="19" fillId="10" borderId="12" xfId="0" applyNumberFormat="1" applyFont="1" applyFill="1" applyBorder="1" applyAlignment="1">
      <alignment horizontal="center" vertical="center"/>
    </xf>
    <xf numFmtId="0" fontId="19" fillId="10" borderId="30" xfId="0" applyNumberFormat="1" applyFont="1" applyFill="1" applyBorder="1" applyAlignment="1">
      <alignment horizontal="center" vertical="center"/>
    </xf>
    <xf numFmtId="0" fontId="19" fillId="0" borderId="13" xfId="0" applyNumberFormat="1" applyFont="1" applyFill="1" applyBorder="1" applyAlignment="1">
      <alignment horizontal="center" vertical="center" wrapText="1"/>
    </xf>
    <xf numFmtId="0" fontId="19" fillId="0" borderId="15" xfId="0" applyNumberFormat="1" applyFont="1" applyFill="1" applyBorder="1" applyAlignment="1">
      <alignment horizontal="center" vertical="center"/>
    </xf>
    <xf numFmtId="0" fontId="19" fillId="0" borderId="16" xfId="0" applyNumberFormat="1" applyFont="1" applyFill="1" applyBorder="1" applyAlignment="1">
      <alignment horizontal="center" vertical="center"/>
    </xf>
    <xf numFmtId="177" fontId="19" fillId="10" borderId="7" xfId="0" applyNumberFormat="1" applyFont="1" applyFill="1" applyBorder="1" applyAlignment="1">
      <alignment horizontal="center" vertical="center" wrapText="1"/>
    </xf>
    <xf numFmtId="0" fontId="4" fillId="10" borderId="14" xfId="0" applyNumberFormat="1" applyFont="1" applyFill="1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center" vertical="center" wrapText="1"/>
    </xf>
    <xf numFmtId="0" fontId="4" fillId="0" borderId="33" xfId="0" applyNumberFormat="1" applyFont="1" applyFill="1" applyBorder="1" applyAlignment="1">
      <alignment horizontal="center" vertical="center"/>
    </xf>
    <xf numFmtId="0" fontId="4" fillId="10" borderId="23" xfId="0" applyNumberFormat="1" applyFont="1" applyFill="1" applyBorder="1" applyAlignment="1">
      <alignment horizontal="center" vertical="center"/>
    </xf>
    <xf numFmtId="0" fontId="4" fillId="10" borderId="12" xfId="0" quotePrefix="1" applyNumberFormat="1" applyFont="1" applyFill="1" applyBorder="1" applyAlignment="1">
      <alignment horizontal="center" vertical="center"/>
    </xf>
    <xf numFmtId="0" fontId="4" fillId="10" borderId="22" xfId="0" applyNumberFormat="1" applyFont="1" applyFill="1" applyBorder="1" applyAlignment="1">
      <alignment horizontal="center" vertical="center"/>
    </xf>
    <xf numFmtId="0" fontId="4" fillId="10" borderId="7" xfId="0" applyNumberFormat="1" applyFont="1" applyFill="1" applyBorder="1" applyAlignment="1">
      <alignment horizontal="center" vertical="center"/>
    </xf>
    <xf numFmtId="0" fontId="24" fillId="0" borderId="43" xfId="0" applyNumberFormat="1" applyFont="1" applyBorder="1" applyAlignment="1">
      <alignment horizontal="center" vertical="center"/>
    </xf>
    <xf numFmtId="0" fontId="8" fillId="10" borderId="7" xfId="0" applyNumberFormat="1" applyFont="1" applyFill="1" applyBorder="1" applyAlignment="1">
      <alignment horizontal="center" vertical="center"/>
    </xf>
    <xf numFmtId="0" fontId="4" fillId="0" borderId="13" xfId="0" applyNumberFormat="1" applyFont="1" applyFill="1" applyBorder="1" applyAlignment="1">
      <alignment horizontal="center" vertical="center" wrapText="1"/>
    </xf>
    <xf numFmtId="0" fontId="4" fillId="0" borderId="16" xfId="0" applyNumberFormat="1" applyFont="1" applyFill="1" applyBorder="1" applyAlignment="1">
      <alignment horizontal="center" vertical="center"/>
    </xf>
    <xf numFmtId="0" fontId="24" fillId="0" borderId="0" xfId="0" applyNumberFormat="1" applyFont="1" applyAlignment="1">
      <alignment horizontal="center" vertical="center" wrapText="1"/>
    </xf>
    <xf numFmtId="0" fontId="17" fillId="10" borderId="32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view="pageBreakPreview" topLeftCell="A112" zoomScale="87" zoomScaleNormal="87" zoomScaleSheetLayoutView="87" workbookViewId="0">
      <selection activeCell="D121" sqref="D121"/>
    </sheetView>
  </sheetViews>
  <sheetFormatPr defaultColWidth="9" defaultRowHeight="36" customHeight="1" x14ac:dyDescent="0.3"/>
  <cols>
    <col min="1" max="1" width="12.5" style="124" customWidth="1"/>
    <col min="2" max="2" width="8.5" style="125" customWidth="1"/>
    <col min="3" max="3" width="18.125" style="126" customWidth="1"/>
    <col min="4" max="4" width="22.5" style="12" customWidth="1"/>
    <col min="5" max="5" width="15.375" style="127" customWidth="1"/>
    <col min="6" max="6" width="25.625" style="127" customWidth="1"/>
    <col min="7" max="7" width="28.125" style="128" customWidth="1"/>
    <col min="8" max="8" width="42.5" style="4" customWidth="1"/>
    <col min="9" max="16384" width="9" style="12"/>
  </cols>
  <sheetData>
    <row r="1" spans="1:7" s="4" customFormat="1" ht="109.5" customHeight="1" thickBot="1" x14ac:dyDescent="0.35">
      <c r="A1" s="1" t="s">
        <v>0</v>
      </c>
      <c r="B1" s="2"/>
      <c r="C1" s="2"/>
      <c r="D1" s="2"/>
      <c r="E1" s="2"/>
      <c r="F1" s="2"/>
      <c r="G1" s="3"/>
    </row>
    <row r="2" spans="1:7" s="12" customFormat="1" ht="36" customHeight="1" x14ac:dyDescent="0.3">
      <c r="A2" s="5">
        <v>43801</v>
      </c>
      <c r="B2" s="6" t="s">
        <v>1</v>
      </c>
      <c r="C2" s="7" t="s">
        <v>2</v>
      </c>
      <c r="D2" s="8" t="s">
        <v>3</v>
      </c>
      <c r="E2" s="9">
        <v>20</v>
      </c>
      <c r="F2" s="10"/>
      <c r="G2" s="11"/>
    </row>
    <row r="3" spans="1:7" s="12" customFormat="1" ht="36" customHeight="1" x14ac:dyDescent="0.3">
      <c r="A3" s="5"/>
      <c r="B3" s="6"/>
      <c r="C3" s="13" t="s">
        <v>4</v>
      </c>
      <c r="D3" s="14" t="s">
        <v>5</v>
      </c>
      <c r="E3" s="15">
        <v>50</v>
      </c>
      <c r="F3" s="10"/>
      <c r="G3" s="11"/>
    </row>
    <row r="4" spans="1:7" s="12" customFormat="1" ht="36" customHeight="1" x14ac:dyDescent="0.3">
      <c r="A4" s="5"/>
      <c r="B4" s="6"/>
      <c r="C4" s="16" t="s">
        <v>6</v>
      </c>
      <c r="D4" s="8" t="s">
        <v>7</v>
      </c>
      <c r="E4" s="9" t="s">
        <v>8</v>
      </c>
      <c r="F4" s="10"/>
      <c r="G4" s="11"/>
    </row>
    <row r="5" spans="1:7" s="12" customFormat="1" ht="36" customHeight="1" x14ac:dyDescent="0.3">
      <c r="A5" s="5"/>
      <c r="B5" s="6"/>
      <c r="C5" s="17"/>
      <c r="D5" s="8" t="s">
        <v>9</v>
      </c>
      <c r="E5" s="9" t="s">
        <v>10</v>
      </c>
      <c r="F5" s="10"/>
      <c r="G5" s="11"/>
    </row>
    <row r="6" spans="1:7" s="12" customFormat="1" ht="36" customHeight="1" x14ac:dyDescent="0.3">
      <c r="A6" s="5"/>
      <c r="B6" s="6"/>
      <c r="C6" s="17"/>
      <c r="D6" s="8" t="s">
        <v>11</v>
      </c>
      <c r="E6" s="9" t="s">
        <v>12</v>
      </c>
      <c r="F6" s="10"/>
      <c r="G6" s="11"/>
    </row>
    <row r="7" spans="1:7" s="12" customFormat="1" ht="36" customHeight="1" x14ac:dyDescent="0.3">
      <c r="A7" s="5"/>
      <c r="B7" s="6"/>
      <c r="C7" s="17"/>
      <c r="D7" s="18" t="s">
        <v>13</v>
      </c>
      <c r="E7" s="19">
        <v>12</v>
      </c>
      <c r="F7" s="10"/>
      <c r="G7" s="11"/>
    </row>
    <row r="8" spans="1:7" s="12" customFormat="1" ht="36" customHeight="1" thickBot="1" x14ac:dyDescent="0.35">
      <c r="A8" s="5"/>
      <c r="B8" s="6"/>
      <c r="C8" s="20"/>
      <c r="D8" s="21" t="s">
        <v>14</v>
      </c>
      <c r="E8" s="22">
        <v>20</v>
      </c>
      <c r="F8" s="23"/>
      <c r="G8" s="24"/>
    </row>
    <row r="9" spans="1:7" s="12" customFormat="1" ht="36" customHeight="1" thickBot="1" x14ac:dyDescent="0.35">
      <c r="A9" s="25"/>
      <c r="B9" s="26"/>
      <c r="C9" s="27"/>
      <c r="D9" s="28"/>
      <c r="E9" s="29"/>
      <c r="F9" s="29"/>
      <c r="G9" s="30"/>
    </row>
    <row r="10" spans="1:7" s="4" customFormat="1" ht="36" customHeight="1" x14ac:dyDescent="0.3">
      <c r="A10" s="5">
        <v>43802</v>
      </c>
      <c r="B10" s="6" t="s">
        <v>15</v>
      </c>
      <c r="C10" s="31" t="s">
        <v>16</v>
      </c>
      <c r="D10" s="32" t="s">
        <v>17</v>
      </c>
      <c r="E10" s="33">
        <v>183</v>
      </c>
      <c r="F10" s="34"/>
      <c r="G10" s="35"/>
    </row>
    <row r="11" spans="1:7" s="4" customFormat="1" ht="36" customHeight="1" x14ac:dyDescent="0.3">
      <c r="A11" s="5"/>
      <c r="B11" s="6"/>
      <c r="C11" s="36"/>
      <c r="D11" s="14" t="s">
        <v>18</v>
      </c>
      <c r="E11" s="15">
        <v>142</v>
      </c>
      <c r="F11" s="37"/>
      <c r="G11" s="38"/>
    </row>
    <row r="12" spans="1:7" s="4" customFormat="1" ht="36" customHeight="1" thickBot="1" x14ac:dyDescent="0.35">
      <c r="A12" s="5"/>
      <c r="B12" s="6"/>
      <c r="C12" s="7" t="s">
        <v>19</v>
      </c>
      <c r="D12" s="8" t="s">
        <v>11</v>
      </c>
      <c r="E12" s="9" t="s">
        <v>20</v>
      </c>
      <c r="F12" s="10"/>
      <c r="G12" s="38"/>
    </row>
    <row r="13" spans="1:7" s="4" customFormat="1" ht="36" customHeight="1" thickBot="1" x14ac:dyDescent="0.35">
      <c r="A13" s="25"/>
      <c r="B13" s="26"/>
      <c r="C13" s="27"/>
      <c r="D13" s="28"/>
      <c r="E13" s="29"/>
      <c r="F13" s="29"/>
      <c r="G13" s="30"/>
    </row>
    <row r="14" spans="1:7" s="4" customFormat="1" ht="36" customHeight="1" x14ac:dyDescent="0.3">
      <c r="A14" s="5">
        <v>43803</v>
      </c>
      <c r="B14" s="6" t="s">
        <v>21</v>
      </c>
      <c r="C14" s="31" t="s">
        <v>22</v>
      </c>
      <c r="D14" s="39" t="s">
        <v>23</v>
      </c>
      <c r="E14" s="40">
        <v>50</v>
      </c>
      <c r="F14" s="41" t="s">
        <v>24</v>
      </c>
      <c r="G14" s="42"/>
    </row>
    <row r="15" spans="1:7" s="4" customFormat="1" ht="36" customHeight="1" x14ac:dyDescent="0.3">
      <c r="A15" s="5"/>
      <c r="B15" s="6"/>
      <c r="C15" s="17"/>
      <c r="D15" s="43" t="s">
        <v>25</v>
      </c>
      <c r="E15" s="44">
        <v>50</v>
      </c>
      <c r="F15" s="10" t="s">
        <v>26</v>
      </c>
      <c r="G15" s="11"/>
    </row>
    <row r="16" spans="1:7" s="4" customFormat="1" ht="36" customHeight="1" x14ac:dyDescent="0.3">
      <c r="A16" s="5"/>
      <c r="B16" s="6"/>
      <c r="C16" s="17"/>
      <c r="D16" s="45" t="s">
        <v>25</v>
      </c>
      <c r="E16" s="46">
        <v>50</v>
      </c>
      <c r="F16" s="47" t="s">
        <v>27</v>
      </c>
      <c r="G16" s="48"/>
    </row>
    <row r="17" spans="1:7" s="4" customFormat="1" ht="36" customHeight="1" x14ac:dyDescent="0.3">
      <c r="A17" s="5"/>
      <c r="B17" s="6"/>
      <c r="C17" s="36"/>
      <c r="D17" s="43" t="s">
        <v>7</v>
      </c>
      <c r="E17" s="44" t="s">
        <v>12</v>
      </c>
      <c r="F17" s="10" t="s">
        <v>27</v>
      </c>
      <c r="G17" s="11"/>
    </row>
    <row r="18" spans="1:7" s="4" customFormat="1" ht="36" customHeight="1" x14ac:dyDescent="0.3">
      <c r="A18" s="5"/>
      <c r="B18" s="6"/>
      <c r="C18" s="16" t="s">
        <v>28</v>
      </c>
      <c r="D18" s="49" t="s">
        <v>29</v>
      </c>
      <c r="E18" s="50">
        <v>200</v>
      </c>
      <c r="F18" s="37" t="s">
        <v>30</v>
      </c>
      <c r="G18" s="38"/>
    </row>
    <row r="19" spans="1:7" s="4" customFormat="1" ht="36" customHeight="1" x14ac:dyDescent="0.3">
      <c r="A19" s="5"/>
      <c r="B19" s="6"/>
      <c r="C19" s="17"/>
      <c r="D19" s="49" t="s">
        <v>31</v>
      </c>
      <c r="E19" s="50">
        <v>20</v>
      </c>
      <c r="F19" s="37"/>
      <c r="G19" s="38"/>
    </row>
    <row r="20" spans="1:7" s="4" customFormat="1" ht="36" customHeight="1" x14ac:dyDescent="0.3">
      <c r="A20" s="5"/>
      <c r="B20" s="6"/>
      <c r="C20" s="36"/>
      <c r="D20" s="43" t="s">
        <v>7</v>
      </c>
      <c r="E20" s="44" t="s">
        <v>20</v>
      </c>
      <c r="F20" s="10"/>
      <c r="G20" s="11"/>
    </row>
    <row r="21" spans="1:7" s="4" customFormat="1" ht="35.25" customHeight="1" x14ac:dyDescent="0.3">
      <c r="A21" s="5"/>
      <c r="B21" s="6"/>
      <c r="C21" s="13" t="s">
        <v>32</v>
      </c>
      <c r="D21" s="43" t="s">
        <v>33</v>
      </c>
      <c r="E21" s="44">
        <v>50</v>
      </c>
      <c r="F21" s="10"/>
      <c r="G21" s="11"/>
    </row>
    <row r="22" spans="1:7" s="4" customFormat="1" ht="35.25" customHeight="1" thickBot="1" x14ac:dyDescent="0.35">
      <c r="A22" s="5"/>
      <c r="B22" s="6"/>
      <c r="C22" s="51" t="s">
        <v>34</v>
      </c>
      <c r="D22" s="45" t="s">
        <v>7</v>
      </c>
      <c r="E22" s="46" t="s">
        <v>35</v>
      </c>
      <c r="F22" s="47" t="s">
        <v>36</v>
      </c>
      <c r="G22" s="48"/>
    </row>
    <row r="23" spans="1:7" s="4" customFormat="1" ht="35.25" customHeight="1" thickBot="1" x14ac:dyDescent="0.35">
      <c r="A23" s="25"/>
      <c r="B23" s="26"/>
      <c r="C23" s="52" t="s">
        <v>37</v>
      </c>
      <c r="D23" s="28" t="s">
        <v>38</v>
      </c>
      <c r="E23" s="29" t="s">
        <v>39</v>
      </c>
      <c r="F23" s="53" t="s">
        <v>40</v>
      </c>
      <c r="G23" s="54"/>
    </row>
    <row r="24" spans="1:7" s="4" customFormat="1" ht="35.25" customHeight="1" x14ac:dyDescent="0.3">
      <c r="A24" s="5">
        <v>43804</v>
      </c>
      <c r="B24" s="6" t="s">
        <v>41</v>
      </c>
      <c r="C24" s="31" t="s">
        <v>16</v>
      </c>
      <c r="D24" s="14" t="s">
        <v>17</v>
      </c>
      <c r="E24" s="15">
        <v>238</v>
      </c>
      <c r="F24" s="55"/>
      <c r="G24" s="56"/>
    </row>
    <row r="25" spans="1:7" s="4" customFormat="1" ht="36" customHeight="1" x14ac:dyDescent="0.3">
      <c r="A25" s="5"/>
      <c r="B25" s="6"/>
      <c r="C25" s="36"/>
      <c r="D25" s="14" t="s">
        <v>42</v>
      </c>
      <c r="E25" s="15">
        <v>1</v>
      </c>
      <c r="F25" s="57"/>
      <c r="G25" s="58"/>
    </row>
    <row r="26" spans="1:7" s="4" customFormat="1" ht="36" customHeight="1" x14ac:dyDescent="0.3">
      <c r="A26" s="5"/>
      <c r="B26" s="6"/>
      <c r="C26" s="16" t="s">
        <v>43</v>
      </c>
      <c r="D26" s="8" t="s">
        <v>29</v>
      </c>
      <c r="E26" s="44">
        <v>80</v>
      </c>
      <c r="F26" s="59"/>
      <c r="G26" s="60"/>
    </row>
    <row r="27" spans="1:7" s="4" customFormat="1" ht="36" customHeight="1" x14ac:dyDescent="0.3">
      <c r="A27" s="5"/>
      <c r="B27" s="6"/>
      <c r="C27" s="17"/>
      <c r="D27" s="8" t="s">
        <v>44</v>
      </c>
      <c r="E27" s="44">
        <v>40</v>
      </c>
      <c r="F27" s="59"/>
      <c r="G27" s="60"/>
    </row>
    <row r="28" spans="1:7" s="4" customFormat="1" ht="36" customHeight="1" x14ac:dyDescent="0.3">
      <c r="A28" s="5"/>
      <c r="B28" s="6"/>
      <c r="C28" s="17"/>
      <c r="D28" s="8" t="s">
        <v>13</v>
      </c>
      <c r="E28" s="44">
        <v>50</v>
      </c>
      <c r="F28" s="59"/>
      <c r="G28" s="60"/>
    </row>
    <row r="29" spans="1:7" s="4" customFormat="1" ht="105" customHeight="1" x14ac:dyDescent="0.3">
      <c r="A29" s="5"/>
      <c r="B29" s="6"/>
      <c r="C29" s="17"/>
      <c r="D29" s="14" t="s">
        <v>45</v>
      </c>
      <c r="E29" s="50">
        <v>21</v>
      </c>
      <c r="F29" s="59"/>
      <c r="G29" s="60"/>
    </row>
    <row r="30" spans="1:7" s="4" customFormat="1" ht="36" customHeight="1" x14ac:dyDescent="0.3">
      <c r="A30" s="5"/>
      <c r="B30" s="6"/>
      <c r="C30" s="17"/>
      <c r="D30" s="14" t="s">
        <v>31</v>
      </c>
      <c r="E30" s="50">
        <v>30</v>
      </c>
      <c r="F30" s="59"/>
      <c r="G30" s="60"/>
    </row>
    <row r="31" spans="1:7" s="4" customFormat="1" ht="36" customHeight="1" x14ac:dyDescent="0.3">
      <c r="A31" s="5"/>
      <c r="B31" s="6"/>
      <c r="C31" s="36"/>
      <c r="D31" s="8" t="s">
        <v>46</v>
      </c>
      <c r="E31" s="44" t="s">
        <v>47</v>
      </c>
      <c r="F31" s="59"/>
      <c r="G31" s="60"/>
    </row>
    <row r="32" spans="1:7" s="4" customFormat="1" ht="36" customHeight="1" x14ac:dyDescent="0.3">
      <c r="A32" s="5"/>
      <c r="B32" s="6"/>
      <c r="C32" s="16" t="s">
        <v>48</v>
      </c>
      <c r="D32" s="61" t="s">
        <v>49</v>
      </c>
      <c r="E32" s="62" t="s">
        <v>50</v>
      </c>
      <c r="F32" s="63" t="s">
        <v>51</v>
      </c>
      <c r="G32" s="64" t="s">
        <v>52</v>
      </c>
    </row>
    <row r="33" spans="1:7" s="4" customFormat="1" ht="36" customHeight="1" thickBot="1" x14ac:dyDescent="0.35">
      <c r="A33" s="5"/>
      <c r="B33" s="6"/>
      <c r="C33" s="20"/>
      <c r="D33" s="65" t="s">
        <v>53</v>
      </c>
      <c r="E33" s="66" t="s">
        <v>54</v>
      </c>
      <c r="F33" s="67"/>
      <c r="G33" s="68"/>
    </row>
    <row r="34" spans="1:7" s="4" customFormat="1" ht="36" customHeight="1" thickBot="1" x14ac:dyDescent="0.35">
      <c r="A34" s="25"/>
      <c r="B34" s="26"/>
      <c r="C34" s="69"/>
      <c r="D34" s="70"/>
      <c r="E34" s="70"/>
      <c r="F34" s="70"/>
      <c r="G34" s="71"/>
    </row>
    <row r="35" spans="1:7" s="4" customFormat="1" ht="36" customHeight="1" x14ac:dyDescent="0.3">
      <c r="A35" s="72">
        <v>43805</v>
      </c>
      <c r="B35" s="73" t="s">
        <v>55</v>
      </c>
      <c r="C35" s="31" t="s">
        <v>56</v>
      </c>
      <c r="D35" s="32" t="s">
        <v>57</v>
      </c>
      <c r="E35" s="33">
        <v>100</v>
      </c>
      <c r="F35" s="74" t="s">
        <v>30</v>
      </c>
      <c r="G35" s="60"/>
    </row>
    <row r="36" spans="1:7" s="4" customFormat="1" ht="36" customHeight="1" x14ac:dyDescent="0.3">
      <c r="A36" s="5"/>
      <c r="B36" s="75"/>
      <c r="C36" s="17"/>
      <c r="D36" s="18" t="s">
        <v>14</v>
      </c>
      <c r="E36" s="46">
        <v>50</v>
      </c>
      <c r="F36" s="74"/>
      <c r="G36" s="60"/>
    </row>
    <row r="37" spans="1:7" s="4" customFormat="1" ht="36" customHeight="1" x14ac:dyDescent="0.3">
      <c r="A37" s="5"/>
      <c r="B37" s="75"/>
      <c r="C37" s="17"/>
      <c r="D37" s="8" t="s">
        <v>58</v>
      </c>
      <c r="E37" s="9">
        <v>50</v>
      </c>
      <c r="F37" s="59"/>
      <c r="G37" s="60"/>
    </row>
    <row r="38" spans="1:7" s="4" customFormat="1" ht="36" customHeight="1" x14ac:dyDescent="0.3">
      <c r="A38" s="5"/>
      <c r="B38" s="75"/>
      <c r="C38" s="17"/>
      <c r="D38" s="8" t="s">
        <v>59</v>
      </c>
      <c r="E38" s="9">
        <v>50</v>
      </c>
      <c r="F38" s="59"/>
      <c r="G38" s="60"/>
    </row>
    <row r="39" spans="1:7" s="4" customFormat="1" ht="36" customHeight="1" x14ac:dyDescent="0.3">
      <c r="A39" s="5"/>
      <c r="B39" s="75"/>
      <c r="C39" s="36"/>
      <c r="D39" s="8" t="s">
        <v>7</v>
      </c>
      <c r="E39" s="9" t="s">
        <v>12</v>
      </c>
      <c r="F39" s="59"/>
      <c r="G39" s="60"/>
    </row>
    <row r="40" spans="1:7" s="4" customFormat="1" ht="36" customHeight="1" x14ac:dyDescent="0.3">
      <c r="A40" s="5"/>
      <c r="B40" s="75"/>
      <c r="C40" s="16" t="s">
        <v>60</v>
      </c>
      <c r="D40" s="8" t="s">
        <v>25</v>
      </c>
      <c r="E40" s="44">
        <v>40</v>
      </c>
      <c r="F40" s="59"/>
      <c r="G40" s="60"/>
    </row>
    <row r="41" spans="1:7" s="4" customFormat="1" ht="36" customHeight="1" x14ac:dyDescent="0.3">
      <c r="A41" s="5"/>
      <c r="B41" s="75"/>
      <c r="C41" s="36"/>
      <c r="D41" s="8" t="s">
        <v>14</v>
      </c>
      <c r="E41" s="44">
        <v>20</v>
      </c>
      <c r="F41" s="59"/>
      <c r="G41" s="60"/>
    </row>
    <row r="42" spans="1:7" s="4" customFormat="1" ht="36" customHeight="1" thickBot="1" x14ac:dyDescent="0.35">
      <c r="A42" s="5"/>
      <c r="B42" s="75"/>
      <c r="C42" s="76" t="s">
        <v>61</v>
      </c>
      <c r="D42" s="65" t="s">
        <v>25</v>
      </c>
      <c r="E42" s="66">
        <v>100</v>
      </c>
      <c r="F42" s="77"/>
      <c r="G42" s="78"/>
    </row>
    <row r="43" spans="1:7" s="4" customFormat="1" ht="36" customHeight="1" thickBot="1" x14ac:dyDescent="0.35">
      <c r="A43" s="25"/>
      <c r="B43" s="79"/>
      <c r="C43" s="69"/>
      <c r="D43" s="70"/>
      <c r="E43" s="70"/>
      <c r="F43" s="70"/>
      <c r="G43" s="71"/>
    </row>
    <row r="44" spans="1:7" s="4" customFormat="1" ht="108.75" customHeight="1" thickBot="1" x14ac:dyDescent="0.35">
      <c r="A44" s="1" t="s">
        <v>0</v>
      </c>
      <c r="B44" s="2"/>
      <c r="C44" s="2"/>
      <c r="D44" s="2"/>
      <c r="E44" s="2"/>
      <c r="F44" s="2"/>
      <c r="G44" s="3"/>
    </row>
    <row r="45" spans="1:7" s="4" customFormat="1" ht="36" customHeight="1" x14ac:dyDescent="0.3">
      <c r="A45" s="5">
        <v>43808</v>
      </c>
      <c r="B45" s="6" t="s">
        <v>1</v>
      </c>
      <c r="C45" s="72" t="s">
        <v>6</v>
      </c>
      <c r="D45" s="80" t="s">
        <v>7</v>
      </c>
      <c r="E45" s="33" t="s">
        <v>50</v>
      </c>
      <c r="F45" s="81"/>
      <c r="G45" s="35"/>
    </row>
    <row r="46" spans="1:7" s="4" customFormat="1" ht="36" customHeight="1" x14ac:dyDescent="0.3">
      <c r="A46" s="5"/>
      <c r="B46" s="6"/>
      <c r="C46" s="5"/>
      <c r="D46" s="82" t="s">
        <v>11</v>
      </c>
      <c r="E46" s="9" t="s">
        <v>62</v>
      </c>
      <c r="F46" s="83"/>
      <c r="G46" s="11"/>
    </row>
    <row r="47" spans="1:7" s="4" customFormat="1" ht="36" customHeight="1" x14ac:dyDescent="0.3">
      <c r="A47" s="5"/>
      <c r="B47" s="6"/>
      <c r="C47" s="84"/>
      <c r="D47" s="85" t="s">
        <v>14</v>
      </c>
      <c r="E47" s="19">
        <v>20</v>
      </c>
      <c r="F47" s="86"/>
      <c r="G47" s="48"/>
    </row>
    <row r="48" spans="1:7" s="4" customFormat="1" ht="36" customHeight="1" x14ac:dyDescent="0.3">
      <c r="A48" s="5"/>
      <c r="B48" s="6"/>
      <c r="C48" s="87" t="s">
        <v>63</v>
      </c>
      <c r="D48" s="82" t="s">
        <v>7</v>
      </c>
      <c r="E48" s="9" t="s">
        <v>64</v>
      </c>
      <c r="F48" s="88" t="s">
        <v>65</v>
      </c>
      <c r="G48" s="11"/>
    </row>
    <row r="49" spans="1:7" s="4" customFormat="1" ht="33.75" customHeight="1" thickBot="1" x14ac:dyDescent="0.35">
      <c r="A49" s="25"/>
      <c r="B49" s="26"/>
      <c r="C49" s="89" t="s">
        <v>66</v>
      </c>
      <c r="D49" s="90" t="s">
        <v>67</v>
      </c>
      <c r="E49" s="91" t="s">
        <v>68</v>
      </c>
      <c r="F49" s="91" t="s">
        <v>40</v>
      </c>
      <c r="G49" s="92"/>
    </row>
    <row r="50" spans="1:7" s="4" customFormat="1" ht="33.75" customHeight="1" x14ac:dyDescent="0.3">
      <c r="A50" s="72">
        <v>43809</v>
      </c>
      <c r="B50" s="73" t="s">
        <v>15</v>
      </c>
      <c r="C50" s="72" t="s">
        <v>69</v>
      </c>
      <c r="D50" s="93" t="s">
        <v>70</v>
      </c>
      <c r="E50" s="9">
        <v>60</v>
      </c>
      <c r="F50" s="94" t="s">
        <v>71</v>
      </c>
      <c r="G50" s="11"/>
    </row>
    <row r="51" spans="1:7" s="4" customFormat="1" ht="33.75" customHeight="1" x14ac:dyDescent="0.3">
      <c r="A51" s="5"/>
      <c r="B51" s="75"/>
      <c r="C51" s="84"/>
      <c r="D51" s="8" t="s">
        <v>7</v>
      </c>
      <c r="E51" s="9" t="s">
        <v>62</v>
      </c>
      <c r="F51" s="10"/>
      <c r="G51" s="64"/>
    </row>
    <row r="52" spans="1:7" s="4" customFormat="1" ht="33.75" customHeight="1" x14ac:dyDescent="0.3">
      <c r="A52" s="5"/>
      <c r="B52" s="75"/>
      <c r="C52" s="13" t="s">
        <v>32</v>
      </c>
      <c r="D52" s="95" t="s">
        <v>72</v>
      </c>
      <c r="E52" s="96">
        <v>50</v>
      </c>
      <c r="F52" s="63"/>
      <c r="G52" s="64" t="s">
        <v>73</v>
      </c>
    </row>
    <row r="53" spans="1:7" s="4" customFormat="1" ht="33.75" customHeight="1" x14ac:dyDescent="0.3">
      <c r="A53" s="5"/>
      <c r="B53" s="75"/>
      <c r="C53" s="97" t="s">
        <v>74</v>
      </c>
      <c r="D53" s="8" t="s">
        <v>13</v>
      </c>
      <c r="E53" s="9">
        <v>100</v>
      </c>
      <c r="F53" s="10"/>
      <c r="G53" s="64"/>
    </row>
    <row r="54" spans="1:7" s="4" customFormat="1" ht="33.75" customHeight="1" thickBot="1" x14ac:dyDescent="0.35">
      <c r="A54" s="5"/>
      <c r="B54" s="75"/>
      <c r="C54" s="84"/>
      <c r="D54" s="8" t="s">
        <v>11</v>
      </c>
      <c r="E54" s="9" t="s">
        <v>62</v>
      </c>
      <c r="F54" s="98"/>
      <c r="G54" s="64"/>
    </row>
    <row r="55" spans="1:7" s="4" customFormat="1" ht="33.75" customHeight="1" thickBot="1" x14ac:dyDescent="0.35">
      <c r="A55" s="25"/>
      <c r="B55" s="79"/>
      <c r="C55" s="52"/>
      <c r="D55" s="28"/>
      <c r="E55" s="29"/>
      <c r="F55" s="29"/>
      <c r="G55" s="30"/>
    </row>
    <row r="56" spans="1:7" s="4" customFormat="1" ht="33.75" customHeight="1" x14ac:dyDescent="0.3">
      <c r="A56" s="72">
        <v>43810</v>
      </c>
      <c r="B56" s="99" t="s">
        <v>21</v>
      </c>
      <c r="C56" s="31" t="s">
        <v>16</v>
      </c>
      <c r="D56" s="14" t="s">
        <v>17</v>
      </c>
      <c r="E56" s="15">
        <v>130</v>
      </c>
      <c r="F56" s="37"/>
      <c r="G56" s="48"/>
    </row>
    <row r="57" spans="1:7" s="4" customFormat="1" ht="33.75" customHeight="1" x14ac:dyDescent="0.3">
      <c r="A57" s="5"/>
      <c r="B57" s="6"/>
      <c r="C57" s="17"/>
      <c r="D57" s="8" t="s">
        <v>75</v>
      </c>
      <c r="E57" s="9">
        <v>100</v>
      </c>
      <c r="F57" s="10"/>
      <c r="G57" s="64"/>
    </row>
    <row r="58" spans="1:7" s="4" customFormat="1" ht="33.75" customHeight="1" x14ac:dyDescent="0.3">
      <c r="A58" s="5"/>
      <c r="B58" s="6"/>
      <c r="C58" s="17"/>
      <c r="D58" s="18" t="s">
        <v>18</v>
      </c>
      <c r="E58" s="15">
        <v>1</v>
      </c>
      <c r="F58" s="10"/>
      <c r="G58" s="64"/>
    </row>
    <row r="59" spans="1:7" s="4" customFormat="1" ht="33.75" customHeight="1" x14ac:dyDescent="0.3">
      <c r="A59" s="5"/>
      <c r="B59" s="6"/>
      <c r="C59" s="36"/>
      <c r="D59" s="8" t="s">
        <v>76</v>
      </c>
      <c r="E59" s="9" t="s">
        <v>77</v>
      </c>
      <c r="F59" s="10"/>
      <c r="G59" s="64"/>
    </row>
    <row r="60" spans="1:7" s="4" customFormat="1" ht="33.75" customHeight="1" x14ac:dyDescent="0.3">
      <c r="A60" s="5"/>
      <c r="B60" s="6"/>
      <c r="C60" s="16" t="s">
        <v>78</v>
      </c>
      <c r="D60" s="95" t="s">
        <v>44</v>
      </c>
      <c r="E60" s="96">
        <v>49</v>
      </c>
      <c r="F60" s="63"/>
      <c r="G60" s="64"/>
    </row>
    <row r="61" spans="1:7" s="4" customFormat="1" ht="33.75" customHeight="1" thickBot="1" x14ac:dyDescent="0.35">
      <c r="A61" s="5"/>
      <c r="B61" s="6"/>
      <c r="C61" s="20"/>
      <c r="D61" s="21" t="s">
        <v>79</v>
      </c>
      <c r="E61" s="22" t="s">
        <v>80</v>
      </c>
      <c r="F61" s="77"/>
      <c r="G61" s="78"/>
    </row>
    <row r="62" spans="1:7" s="4" customFormat="1" ht="33.75" customHeight="1" thickBot="1" x14ac:dyDescent="0.35">
      <c r="A62" s="25"/>
      <c r="B62" s="26"/>
      <c r="C62" s="69"/>
      <c r="D62" s="70"/>
      <c r="E62" s="70"/>
      <c r="F62" s="70"/>
      <c r="G62" s="71"/>
    </row>
    <row r="63" spans="1:7" s="4" customFormat="1" ht="33.75" customHeight="1" x14ac:dyDescent="0.3">
      <c r="A63" s="72">
        <v>43811</v>
      </c>
      <c r="B63" s="73" t="s">
        <v>41</v>
      </c>
      <c r="C63" s="72" t="s">
        <v>16</v>
      </c>
      <c r="D63" s="100" t="s">
        <v>17</v>
      </c>
      <c r="E63" s="15">
        <v>228</v>
      </c>
      <c r="F63" s="37"/>
      <c r="G63" s="38"/>
    </row>
    <row r="64" spans="1:7" s="4" customFormat="1" ht="33.75" customHeight="1" x14ac:dyDescent="0.3">
      <c r="A64" s="5"/>
      <c r="B64" s="75"/>
      <c r="C64" s="84"/>
      <c r="D64" s="100" t="s">
        <v>18</v>
      </c>
      <c r="E64" s="15">
        <v>2</v>
      </c>
      <c r="F64" s="37"/>
      <c r="G64" s="38"/>
    </row>
    <row r="65" spans="1:7" s="4" customFormat="1" ht="36" customHeight="1" x14ac:dyDescent="0.3">
      <c r="A65" s="5"/>
      <c r="B65" s="75"/>
      <c r="C65" s="101" t="s">
        <v>63</v>
      </c>
      <c r="D65" s="100" t="s">
        <v>7</v>
      </c>
      <c r="E65" s="15" t="s">
        <v>64</v>
      </c>
      <c r="F65" s="37" t="s">
        <v>81</v>
      </c>
      <c r="G65" s="38" t="s">
        <v>73</v>
      </c>
    </row>
    <row r="66" spans="1:7" s="4" customFormat="1" ht="36" customHeight="1" x14ac:dyDescent="0.3">
      <c r="A66" s="5"/>
      <c r="B66" s="75"/>
      <c r="C66" s="16" t="s">
        <v>82</v>
      </c>
      <c r="D66" s="95" t="s">
        <v>83</v>
      </c>
      <c r="E66" s="96">
        <v>50</v>
      </c>
      <c r="F66" s="63"/>
      <c r="G66" s="64"/>
    </row>
    <row r="67" spans="1:7" s="4" customFormat="1" ht="36" customHeight="1" x14ac:dyDescent="0.3">
      <c r="A67" s="5"/>
      <c r="B67" s="75"/>
      <c r="C67" s="17"/>
      <c r="D67" s="8" t="s">
        <v>59</v>
      </c>
      <c r="E67" s="9">
        <v>50</v>
      </c>
      <c r="F67" s="10"/>
      <c r="G67" s="11"/>
    </row>
    <row r="68" spans="1:7" s="4" customFormat="1" ht="36" customHeight="1" x14ac:dyDescent="0.3">
      <c r="A68" s="5"/>
      <c r="B68" s="75"/>
      <c r="C68" s="36"/>
      <c r="D68" s="100" t="s">
        <v>84</v>
      </c>
      <c r="E68" s="15">
        <v>50</v>
      </c>
      <c r="F68" s="37"/>
      <c r="G68" s="38"/>
    </row>
    <row r="69" spans="1:7" s="4" customFormat="1" ht="36" customHeight="1" x14ac:dyDescent="0.3">
      <c r="A69" s="5"/>
      <c r="B69" s="75"/>
      <c r="C69" s="101" t="s">
        <v>69</v>
      </c>
      <c r="D69" s="100" t="s">
        <v>70</v>
      </c>
      <c r="E69" s="15">
        <v>100</v>
      </c>
      <c r="F69" s="37"/>
      <c r="G69" s="38" t="s">
        <v>73</v>
      </c>
    </row>
    <row r="70" spans="1:7" s="4" customFormat="1" ht="36" customHeight="1" thickBot="1" x14ac:dyDescent="0.35">
      <c r="A70" s="5"/>
      <c r="B70" s="75"/>
      <c r="C70" s="102" t="s">
        <v>85</v>
      </c>
      <c r="D70" s="82" t="s">
        <v>86</v>
      </c>
      <c r="E70" s="9">
        <v>100</v>
      </c>
      <c r="F70" s="10"/>
      <c r="G70" s="11" t="s">
        <v>73</v>
      </c>
    </row>
    <row r="71" spans="1:7" s="4" customFormat="1" ht="36" customHeight="1" thickBot="1" x14ac:dyDescent="0.35">
      <c r="A71" s="25"/>
      <c r="B71" s="79"/>
      <c r="C71" s="27" t="s">
        <v>66</v>
      </c>
      <c r="D71" s="28" t="s">
        <v>87</v>
      </c>
      <c r="E71" s="29" t="s">
        <v>88</v>
      </c>
      <c r="F71" s="29" t="s">
        <v>40</v>
      </c>
      <c r="G71" s="30"/>
    </row>
    <row r="72" spans="1:7" s="4" customFormat="1" ht="36" customHeight="1" x14ac:dyDescent="0.3">
      <c r="A72" s="72">
        <v>43812</v>
      </c>
      <c r="B72" s="73" t="s">
        <v>55</v>
      </c>
      <c r="C72" s="72" t="s">
        <v>16</v>
      </c>
      <c r="D72" s="80" t="s">
        <v>17</v>
      </c>
      <c r="E72" s="33">
        <v>107</v>
      </c>
      <c r="F72" s="81"/>
      <c r="G72" s="103"/>
    </row>
    <row r="73" spans="1:7" s="4" customFormat="1" ht="36" customHeight="1" x14ac:dyDescent="0.3">
      <c r="A73" s="5"/>
      <c r="B73" s="75"/>
      <c r="C73" s="84"/>
      <c r="D73" s="100" t="s">
        <v>75</v>
      </c>
      <c r="E73" s="15">
        <v>100</v>
      </c>
      <c r="F73" s="104"/>
      <c r="G73" s="105"/>
    </row>
    <row r="74" spans="1:7" s="4" customFormat="1" ht="36" customHeight="1" x14ac:dyDescent="0.3">
      <c r="A74" s="5"/>
      <c r="B74" s="75"/>
      <c r="C74" s="97" t="s">
        <v>32</v>
      </c>
      <c r="D74" s="100" t="s">
        <v>5</v>
      </c>
      <c r="E74" s="15">
        <v>384</v>
      </c>
      <c r="F74" s="104"/>
      <c r="G74" s="105"/>
    </row>
    <row r="75" spans="1:7" s="4" customFormat="1" ht="36" customHeight="1" thickBot="1" x14ac:dyDescent="0.35">
      <c r="A75" s="5"/>
      <c r="B75" s="75"/>
      <c r="C75" s="25"/>
      <c r="D75" s="100" t="s">
        <v>89</v>
      </c>
      <c r="E75" s="9">
        <v>20</v>
      </c>
      <c r="F75" s="106"/>
      <c r="G75" s="38"/>
    </row>
    <row r="76" spans="1:7" s="4" customFormat="1" ht="36" customHeight="1" thickBot="1" x14ac:dyDescent="0.35">
      <c r="A76" s="25"/>
      <c r="B76" s="79"/>
      <c r="C76" s="27"/>
      <c r="D76" s="28"/>
      <c r="E76" s="29"/>
      <c r="F76" s="29"/>
      <c r="G76" s="30"/>
    </row>
    <row r="77" spans="1:7" s="4" customFormat="1" ht="108.75" customHeight="1" thickBot="1" x14ac:dyDescent="0.35">
      <c r="A77" s="1" t="s">
        <v>0</v>
      </c>
      <c r="B77" s="2"/>
      <c r="C77" s="2"/>
      <c r="D77" s="2"/>
      <c r="E77" s="2"/>
      <c r="F77" s="2"/>
      <c r="G77" s="3"/>
    </row>
    <row r="78" spans="1:7" s="4" customFormat="1" ht="30.75" customHeight="1" x14ac:dyDescent="0.3">
      <c r="A78" s="72">
        <v>43815</v>
      </c>
      <c r="B78" s="99" t="s">
        <v>1</v>
      </c>
      <c r="C78" s="5" t="s">
        <v>43</v>
      </c>
      <c r="D78" s="100" t="s">
        <v>59</v>
      </c>
      <c r="E78" s="15">
        <v>64</v>
      </c>
      <c r="F78" s="104"/>
      <c r="G78" s="105"/>
    </row>
    <row r="79" spans="1:7" s="4" customFormat="1" ht="30.75" customHeight="1" x14ac:dyDescent="0.3">
      <c r="A79" s="5"/>
      <c r="B79" s="6"/>
      <c r="C79" s="5"/>
      <c r="D79" s="100" t="s">
        <v>90</v>
      </c>
      <c r="E79" s="15">
        <v>50</v>
      </c>
      <c r="F79" s="104"/>
      <c r="G79" s="105"/>
    </row>
    <row r="80" spans="1:7" s="4" customFormat="1" ht="30.75" customHeight="1" x14ac:dyDescent="0.3">
      <c r="A80" s="5"/>
      <c r="B80" s="6"/>
      <c r="C80" s="5"/>
      <c r="D80" s="14" t="s">
        <v>14</v>
      </c>
      <c r="E80" s="15">
        <v>64</v>
      </c>
      <c r="F80" s="37"/>
      <c r="G80" s="38"/>
    </row>
    <row r="81" spans="1:7" s="4" customFormat="1" ht="30.75" customHeight="1" x14ac:dyDescent="0.3">
      <c r="A81" s="5"/>
      <c r="B81" s="6"/>
      <c r="C81" s="5"/>
      <c r="D81" s="14" t="s">
        <v>91</v>
      </c>
      <c r="E81" s="15">
        <v>50</v>
      </c>
      <c r="F81" s="37"/>
      <c r="G81" s="38"/>
    </row>
    <row r="82" spans="1:7" s="4" customFormat="1" ht="30.75" customHeight="1" x14ac:dyDescent="0.3">
      <c r="A82" s="5"/>
      <c r="B82" s="6"/>
      <c r="C82" s="84"/>
      <c r="D82" s="14" t="s">
        <v>29</v>
      </c>
      <c r="E82" s="15">
        <v>40</v>
      </c>
      <c r="F82" s="37"/>
      <c r="G82" s="38"/>
    </row>
    <row r="83" spans="1:7" s="4" customFormat="1" ht="30.75" customHeight="1" x14ac:dyDescent="0.3">
      <c r="A83" s="5"/>
      <c r="B83" s="6"/>
      <c r="C83" s="87" t="s">
        <v>92</v>
      </c>
      <c r="D83" s="100" t="s">
        <v>93</v>
      </c>
      <c r="E83" s="15">
        <v>100</v>
      </c>
      <c r="F83" s="10" t="s">
        <v>30</v>
      </c>
      <c r="G83" s="11"/>
    </row>
    <row r="84" spans="1:7" s="4" customFormat="1" ht="30.75" customHeight="1" thickBot="1" x14ac:dyDescent="0.35">
      <c r="A84" s="5"/>
      <c r="B84" s="6"/>
      <c r="C84" s="107" t="s">
        <v>61</v>
      </c>
      <c r="D84" s="108" t="s">
        <v>25</v>
      </c>
      <c r="E84" s="22">
        <v>100</v>
      </c>
      <c r="F84" s="77"/>
      <c r="G84" s="78"/>
    </row>
    <row r="85" spans="1:7" s="4" customFormat="1" ht="30.75" customHeight="1" thickBot="1" x14ac:dyDescent="0.35">
      <c r="A85" s="5"/>
      <c r="B85" s="6"/>
      <c r="C85" s="109"/>
      <c r="D85" s="110"/>
      <c r="E85" s="111"/>
      <c r="F85" s="112"/>
      <c r="G85" s="113"/>
    </row>
    <row r="86" spans="1:7" s="4" customFormat="1" ht="30.75" customHeight="1" x14ac:dyDescent="0.3">
      <c r="A86" s="72">
        <v>43816</v>
      </c>
      <c r="B86" s="99" t="s">
        <v>15</v>
      </c>
      <c r="C86" s="114" t="s">
        <v>22</v>
      </c>
      <c r="D86" s="8" t="s">
        <v>59</v>
      </c>
      <c r="E86" s="9">
        <v>50</v>
      </c>
      <c r="F86" s="37" t="s">
        <v>94</v>
      </c>
      <c r="G86" s="38"/>
    </row>
    <row r="87" spans="1:7" s="4" customFormat="1" ht="30.75" customHeight="1" x14ac:dyDescent="0.3">
      <c r="A87" s="5"/>
      <c r="B87" s="6"/>
      <c r="C87" s="16" t="s">
        <v>95</v>
      </c>
      <c r="D87" s="14" t="s">
        <v>57</v>
      </c>
      <c r="E87" s="15">
        <v>120</v>
      </c>
      <c r="F87" s="37"/>
      <c r="G87" s="38"/>
    </row>
    <row r="88" spans="1:7" s="4" customFormat="1" ht="30.75" customHeight="1" x14ac:dyDescent="0.3">
      <c r="A88" s="5"/>
      <c r="B88" s="6"/>
      <c r="C88" s="36"/>
      <c r="D88" s="14" t="s">
        <v>7</v>
      </c>
      <c r="E88" s="15" t="s">
        <v>96</v>
      </c>
      <c r="F88" s="37"/>
      <c r="G88" s="38"/>
    </row>
    <row r="89" spans="1:7" s="4" customFormat="1" ht="30.75" customHeight="1" thickBot="1" x14ac:dyDescent="0.35">
      <c r="A89" s="5"/>
      <c r="B89" s="6"/>
      <c r="C89" s="7" t="s">
        <v>19</v>
      </c>
      <c r="D89" s="8" t="s">
        <v>11</v>
      </c>
      <c r="E89" s="9" t="s">
        <v>20</v>
      </c>
      <c r="F89" s="10"/>
      <c r="G89" s="11"/>
    </row>
    <row r="90" spans="1:7" s="4" customFormat="1" ht="30.75" customHeight="1" thickBot="1" x14ac:dyDescent="0.35">
      <c r="A90" s="25"/>
      <c r="B90" s="26"/>
      <c r="C90" s="27"/>
      <c r="D90" s="28"/>
      <c r="E90" s="29"/>
      <c r="F90" s="29"/>
      <c r="G90" s="30"/>
    </row>
    <row r="91" spans="1:7" s="4" customFormat="1" ht="30.75" customHeight="1" x14ac:dyDescent="0.3">
      <c r="A91" s="5">
        <v>43817</v>
      </c>
      <c r="B91" s="6" t="s">
        <v>21</v>
      </c>
      <c r="C91" s="72" t="s">
        <v>16</v>
      </c>
      <c r="D91" s="100" t="s">
        <v>17</v>
      </c>
      <c r="E91" s="15">
        <v>125</v>
      </c>
      <c r="F91" s="37"/>
      <c r="G91" s="38"/>
    </row>
    <row r="92" spans="1:7" s="4" customFormat="1" ht="30.75" customHeight="1" x14ac:dyDescent="0.3">
      <c r="A92" s="5"/>
      <c r="B92" s="6"/>
      <c r="C92" s="84"/>
      <c r="D92" s="100" t="s">
        <v>18</v>
      </c>
      <c r="E92" s="9">
        <v>217</v>
      </c>
      <c r="F92" s="10"/>
      <c r="G92" s="11"/>
    </row>
    <row r="93" spans="1:7" s="4" customFormat="1" ht="30.75" customHeight="1" x14ac:dyDescent="0.3">
      <c r="A93" s="5"/>
      <c r="B93" s="6"/>
      <c r="C93" s="16" t="s">
        <v>74</v>
      </c>
      <c r="D93" s="14" t="s">
        <v>13</v>
      </c>
      <c r="E93" s="15">
        <v>150</v>
      </c>
      <c r="F93" s="37"/>
      <c r="G93" s="11"/>
    </row>
    <row r="94" spans="1:7" s="4" customFormat="1" ht="30.75" customHeight="1" x14ac:dyDescent="0.3">
      <c r="A94" s="5"/>
      <c r="B94" s="6"/>
      <c r="C94" s="17"/>
      <c r="D94" s="14" t="s">
        <v>7</v>
      </c>
      <c r="E94" s="15" t="s">
        <v>97</v>
      </c>
      <c r="F94" s="37"/>
      <c r="G94" s="38"/>
    </row>
    <row r="95" spans="1:7" s="4" customFormat="1" ht="30.75" customHeight="1" x14ac:dyDescent="0.3">
      <c r="A95" s="5"/>
      <c r="B95" s="6"/>
      <c r="C95" s="17"/>
      <c r="D95" s="14" t="s">
        <v>11</v>
      </c>
      <c r="E95" s="15" t="s">
        <v>98</v>
      </c>
      <c r="F95" s="37"/>
      <c r="G95" s="38"/>
    </row>
    <row r="96" spans="1:7" s="4" customFormat="1" ht="30.75" customHeight="1" thickBot="1" x14ac:dyDescent="0.35">
      <c r="A96" s="5"/>
      <c r="B96" s="6"/>
      <c r="C96" s="36"/>
      <c r="D96" s="14" t="s">
        <v>99</v>
      </c>
      <c r="E96" s="15" t="s">
        <v>50</v>
      </c>
      <c r="F96" s="37"/>
      <c r="G96" s="38"/>
    </row>
    <row r="97" spans="1:7" s="4" customFormat="1" ht="30.75" customHeight="1" thickBot="1" x14ac:dyDescent="0.35">
      <c r="A97" s="25"/>
      <c r="B97" s="26"/>
      <c r="C97" s="27"/>
      <c r="D97" s="28"/>
      <c r="E97" s="29"/>
      <c r="F97" s="29"/>
      <c r="G97" s="30"/>
    </row>
    <row r="98" spans="1:7" s="4" customFormat="1" ht="30.75" customHeight="1" x14ac:dyDescent="0.3">
      <c r="A98" s="5">
        <v>43818</v>
      </c>
      <c r="B98" s="6" t="s">
        <v>41</v>
      </c>
      <c r="C98" s="31" t="s">
        <v>16</v>
      </c>
      <c r="D98" s="32" t="s">
        <v>17</v>
      </c>
      <c r="E98" s="33">
        <v>377</v>
      </c>
      <c r="F98" s="10"/>
      <c r="G98" s="11"/>
    </row>
    <row r="99" spans="1:7" s="4" customFormat="1" ht="30.75" customHeight="1" x14ac:dyDescent="0.3">
      <c r="A99" s="5"/>
      <c r="B99" s="6"/>
      <c r="C99" s="36"/>
      <c r="D99" s="14" t="s">
        <v>75</v>
      </c>
      <c r="E99" s="9">
        <v>100</v>
      </c>
      <c r="F99" s="10"/>
      <c r="G99" s="11"/>
    </row>
    <row r="100" spans="1:7" s="4" customFormat="1" ht="30.75" customHeight="1" x14ac:dyDescent="0.3">
      <c r="A100" s="5"/>
      <c r="B100" s="6"/>
      <c r="C100" s="87" t="s">
        <v>43</v>
      </c>
      <c r="D100" s="82" t="s">
        <v>13</v>
      </c>
      <c r="E100" s="15">
        <v>100</v>
      </c>
      <c r="F100" s="10"/>
      <c r="G100" s="11"/>
    </row>
    <row r="101" spans="1:7" s="4" customFormat="1" ht="30.75" customHeight="1" x14ac:dyDescent="0.3">
      <c r="A101" s="5"/>
      <c r="B101" s="6"/>
      <c r="C101" s="97" t="s">
        <v>82</v>
      </c>
      <c r="D101" s="100" t="s">
        <v>83</v>
      </c>
      <c r="E101" s="15">
        <v>40</v>
      </c>
      <c r="F101" s="37"/>
      <c r="G101" s="11"/>
    </row>
    <row r="102" spans="1:7" s="4" customFormat="1" ht="30.75" customHeight="1" thickBot="1" x14ac:dyDescent="0.35">
      <c r="A102" s="5"/>
      <c r="B102" s="6"/>
      <c r="C102" s="25"/>
      <c r="D102" s="100" t="s">
        <v>14</v>
      </c>
      <c r="E102" s="15">
        <v>60</v>
      </c>
      <c r="F102" s="37"/>
      <c r="G102" s="11"/>
    </row>
    <row r="103" spans="1:7" s="4" customFormat="1" ht="30.75" customHeight="1" thickBot="1" x14ac:dyDescent="0.35">
      <c r="A103" s="25"/>
      <c r="B103" s="26"/>
      <c r="C103" s="27"/>
      <c r="D103" s="28"/>
      <c r="E103" s="29"/>
      <c r="F103" s="29"/>
      <c r="G103" s="30"/>
    </row>
    <row r="104" spans="1:7" s="4" customFormat="1" ht="30.75" customHeight="1" x14ac:dyDescent="0.3">
      <c r="A104" s="5">
        <v>43819</v>
      </c>
      <c r="B104" s="6" t="s">
        <v>55</v>
      </c>
      <c r="C104" s="97" t="s">
        <v>32</v>
      </c>
      <c r="D104" s="100" t="s">
        <v>100</v>
      </c>
      <c r="E104" s="9">
        <v>52</v>
      </c>
      <c r="F104" s="10"/>
      <c r="G104" s="11"/>
    </row>
    <row r="105" spans="1:7" s="4" customFormat="1" ht="30.75" customHeight="1" x14ac:dyDescent="0.3">
      <c r="A105" s="5"/>
      <c r="B105" s="6"/>
      <c r="C105" s="84"/>
      <c r="D105" s="8" t="s">
        <v>101</v>
      </c>
      <c r="E105" s="9">
        <v>52</v>
      </c>
      <c r="F105" s="37"/>
      <c r="G105" s="11"/>
    </row>
    <row r="106" spans="1:7" s="4" customFormat="1" ht="30.75" customHeight="1" x14ac:dyDescent="0.3">
      <c r="A106" s="5"/>
      <c r="B106" s="6"/>
      <c r="C106" s="97" t="s">
        <v>6</v>
      </c>
      <c r="D106" s="100" t="s">
        <v>7</v>
      </c>
      <c r="E106" s="9" t="s">
        <v>20</v>
      </c>
      <c r="F106" s="10"/>
      <c r="G106" s="11"/>
    </row>
    <row r="107" spans="1:7" s="4" customFormat="1" ht="30.75" customHeight="1" x14ac:dyDescent="0.3">
      <c r="A107" s="5"/>
      <c r="B107" s="6"/>
      <c r="C107" s="5"/>
      <c r="D107" s="8" t="s">
        <v>11</v>
      </c>
      <c r="E107" s="9" t="s">
        <v>20</v>
      </c>
      <c r="F107" s="37"/>
      <c r="G107" s="11"/>
    </row>
    <row r="108" spans="1:7" s="4" customFormat="1" ht="30.75" customHeight="1" x14ac:dyDescent="0.3">
      <c r="A108" s="5"/>
      <c r="B108" s="6"/>
      <c r="C108" s="84"/>
      <c r="D108" s="14" t="s">
        <v>14</v>
      </c>
      <c r="E108" s="15">
        <v>10</v>
      </c>
      <c r="F108" s="37"/>
      <c r="G108" s="38"/>
    </row>
    <row r="109" spans="1:7" s="4" customFormat="1" ht="30.75" customHeight="1" thickBot="1" x14ac:dyDescent="0.35">
      <c r="A109" s="5"/>
      <c r="B109" s="6"/>
      <c r="C109" s="7" t="s">
        <v>102</v>
      </c>
      <c r="D109" s="14" t="s">
        <v>7</v>
      </c>
      <c r="E109" s="15" t="s">
        <v>50</v>
      </c>
      <c r="F109" s="37"/>
      <c r="G109" s="38"/>
    </row>
    <row r="110" spans="1:7" s="4" customFormat="1" ht="30.75" customHeight="1" thickBot="1" x14ac:dyDescent="0.35">
      <c r="A110" s="25"/>
      <c r="B110" s="26"/>
      <c r="C110" s="27"/>
      <c r="D110" s="28"/>
      <c r="E110" s="29"/>
      <c r="F110" s="29"/>
      <c r="G110" s="30"/>
    </row>
    <row r="111" spans="1:7" s="4" customFormat="1" ht="108.75" customHeight="1" thickBot="1" x14ac:dyDescent="0.35">
      <c r="A111" s="1" t="s">
        <v>0</v>
      </c>
      <c r="B111" s="2"/>
      <c r="C111" s="2"/>
      <c r="D111" s="2"/>
      <c r="E111" s="2"/>
      <c r="F111" s="2"/>
      <c r="G111" s="3"/>
    </row>
    <row r="112" spans="1:7" s="4" customFormat="1" ht="36" customHeight="1" x14ac:dyDescent="0.3">
      <c r="A112" s="72">
        <v>43822</v>
      </c>
      <c r="B112" s="99" t="s">
        <v>1</v>
      </c>
      <c r="C112" s="31" t="s">
        <v>2</v>
      </c>
      <c r="D112" s="14" t="s">
        <v>103</v>
      </c>
      <c r="E112" s="15">
        <v>30</v>
      </c>
      <c r="F112" s="10"/>
      <c r="G112" s="11" t="s">
        <v>104</v>
      </c>
    </row>
    <row r="113" spans="1:7" s="4" customFormat="1" ht="30.75" customHeight="1" x14ac:dyDescent="0.3">
      <c r="A113" s="5"/>
      <c r="B113" s="6"/>
      <c r="C113" s="36"/>
      <c r="D113" s="14" t="s">
        <v>5</v>
      </c>
      <c r="E113" s="15">
        <v>200</v>
      </c>
      <c r="F113" s="37"/>
      <c r="G113" s="38"/>
    </row>
    <row r="114" spans="1:7" s="4" customFormat="1" ht="36" customHeight="1" thickBot="1" x14ac:dyDescent="0.35">
      <c r="A114" s="5"/>
      <c r="B114" s="6"/>
      <c r="C114" s="7" t="s">
        <v>16</v>
      </c>
      <c r="D114" s="8" t="s">
        <v>18</v>
      </c>
      <c r="E114" s="96">
        <v>264</v>
      </c>
      <c r="F114" s="63"/>
      <c r="G114" s="64"/>
    </row>
    <row r="115" spans="1:7" s="4" customFormat="1" ht="36" customHeight="1" thickBot="1" x14ac:dyDescent="0.35">
      <c r="A115" s="25"/>
      <c r="B115" s="26"/>
      <c r="C115" s="27" t="s">
        <v>66</v>
      </c>
      <c r="D115" s="28" t="s">
        <v>105</v>
      </c>
      <c r="E115" s="29" t="s">
        <v>106</v>
      </c>
      <c r="F115" s="29" t="s">
        <v>40</v>
      </c>
      <c r="G115" s="30"/>
    </row>
    <row r="116" spans="1:7" s="4" customFormat="1" ht="36" customHeight="1" x14ac:dyDescent="0.3">
      <c r="A116" s="72">
        <v>43823</v>
      </c>
      <c r="B116" s="99" t="s">
        <v>15</v>
      </c>
      <c r="C116" s="31" t="s">
        <v>69</v>
      </c>
      <c r="D116" s="8" t="s">
        <v>70</v>
      </c>
      <c r="E116" s="9">
        <v>50</v>
      </c>
      <c r="F116" s="37" t="s">
        <v>30</v>
      </c>
      <c r="G116" s="38"/>
    </row>
    <row r="117" spans="1:7" s="4" customFormat="1" ht="36" customHeight="1" x14ac:dyDescent="0.3">
      <c r="A117" s="5"/>
      <c r="B117" s="6"/>
      <c r="C117" s="17"/>
      <c r="D117" s="18" t="s">
        <v>59</v>
      </c>
      <c r="E117" s="19">
        <v>10</v>
      </c>
      <c r="F117" s="47"/>
      <c r="G117" s="48"/>
    </row>
    <row r="118" spans="1:7" s="4" customFormat="1" ht="36" customHeight="1" x14ac:dyDescent="0.3">
      <c r="A118" s="5"/>
      <c r="B118" s="6"/>
      <c r="C118" s="36"/>
      <c r="D118" s="95" t="s">
        <v>7</v>
      </c>
      <c r="E118" s="96" t="s">
        <v>62</v>
      </c>
      <c r="F118" s="10"/>
      <c r="G118" s="11"/>
    </row>
    <row r="119" spans="1:7" s="4" customFormat="1" ht="36" customHeight="1" x14ac:dyDescent="0.3">
      <c r="A119" s="5"/>
      <c r="B119" s="6"/>
      <c r="C119" s="16" t="s">
        <v>107</v>
      </c>
      <c r="D119" s="8" t="s">
        <v>29</v>
      </c>
      <c r="E119" s="9">
        <v>100</v>
      </c>
      <c r="F119" s="37"/>
      <c r="G119" s="38" t="s">
        <v>73</v>
      </c>
    </row>
    <row r="120" spans="1:7" s="4" customFormat="1" ht="36" customHeight="1" x14ac:dyDescent="0.3">
      <c r="A120" s="5"/>
      <c r="B120" s="6"/>
      <c r="C120" s="36"/>
      <c r="D120" s="18" t="s">
        <v>108</v>
      </c>
      <c r="E120" s="19" t="s">
        <v>12</v>
      </c>
      <c r="F120" s="37"/>
      <c r="G120" s="38"/>
    </row>
    <row r="121" spans="1:7" s="4" customFormat="1" ht="36" customHeight="1" x14ac:dyDescent="0.3">
      <c r="A121" s="5"/>
      <c r="B121" s="6"/>
      <c r="C121" s="13" t="s">
        <v>109</v>
      </c>
      <c r="D121" s="8" t="s">
        <v>110</v>
      </c>
      <c r="E121" s="9" t="s">
        <v>62</v>
      </c>
      <c r="F121" s="10"/>
      <c r="G121" s="11" t="s">
        <v>111</v>
      </c>
    </row>
    <row r="122" spans="1:7" s="4" customFormat="1" ht="36" customHeight="1" x14ac:dyDescent="0.3">
      <c r="A122" s="5"/>
      <c r="B122" s="6"/>
      <c r="C122" s="16" t="s">
        <v>61</v>
      </c>
      <c r="D122" s="95" t="s">
        <v>25</v>
      </c>
      <c r="E122" s="96">
        <v>80</v>
      </c>
      <c r="F122" s="63"/>
      <c r="G122" s="64"/>
    </row>
    <row r="123" spans="1:7" s="4" customFormat="1" ht="36" customHeight="1" x14ac:dyDescent="0.3">
      <c r="A123" s="5"/>
      <c r="B123" s="6"/>
      <c r="C123" s="36"/>
      <c r="D123" s="8" t="s">
        <v>59</v>
      </c>
      <c r="E123" s="9">
        <v>20</v>
      </c>
      <c r="F123" s="10"/>
      <c r="G123" s="11"/>
    </row>
    <row r="124" spans="1:7" s="4" customFormat="1" ht="36" customHeight="1" x14ac:dyDescent="0.3">
      <c r="A124" s="5"/>
      <c r="B124" s="6"/>
      <c r="C124" s="17" t="s">
        <v>82</v>
      </c>
      <c r="D124" s="95" t="s">
        <v>25</v>
      </c>
      <c r="E124" s="96">
        <v>30</v>
      </c>
      <c r="F124" s="63"/>
      <c r="G124" s="64"/>
    </row>
    <row r="125" spans="1:7" s="4" customFormat="1" ht="36" customHeight="1" x14ac:dyDescent="0.3">
      <c r="A125" s="5"/>
      <c r="B125" s="6"/>
      <c r="C125" s="17"/>
      <c r="D125" s="95" t="s">
        <v>14</v>
      </c>
      <c r="E125" s="96">
        <v>50</v>
      </c>
      <c r="F125" s="63"/>
      <c r="G125" s="64"/>
    </row>
    <row r="126" spans="1:7" s="4" customFormat="1" ht="36" customHeight="1" thickBot="1" x14ac:dyDescent="0.35">
      <c r="A126" s="5"/>
      <c r="B126" s="6"/>
      <c r="C126" s="20"/>
      <c r="D126" s="8" t="s">
        <v>93</v>
      </c>
      <c r="E126" s="9">
        <v>20</v>
      </c>
      <c r="F126" s="10"/>
      <c r="G126" s="11"/>
    </row>
    <row r="127" spans="1:7" s="4" customFormat="1" ht="36" customHeight="1" thickBot="1" x14ac:dyDescent="0.35">
      <c r="A127" s="25"/>
      <c r="B127" s="26"/>
      <c r="C127" s="27" t="s">
        <v>112</v>
      </c>
      <c r="D127" s="28" t="s">
        <v>113</v>
      </c>
      <c r="E127" s="29" t="s">
        <v>114</v>
      </c>
      <c r="F127" s="29" t="s">
        <v>115</v>
      </c>
      <c r="G127" s="30"/>
    </row>
    <row r="128" spans="1:7" s="4" customFormat="1" ht="36" customHeight="1" x14ac:dyDescent="0.3">
      <c r="A128" s="72">
        <v>43824</v>
      </c>
      <c r="B128" s="99" t="s">
        <v>21</v>
      </c>
      <c r="C128" s="115" t="s">
        <v>116</v>
      </c>
      <c r="D128" s="116"/>
      <c r="E128" s="116"/>
      <c r="F128" s="116"/>
      <c r="G128" s="117"/>
    </row>
    <row r="129" spans="1:8" s="4" customFormat="1" ht="36" customHeight="1" x14ac:dyDescent="0.3">
      <c r="A129" s="5"/>
      <c r="B129" s="6"/>
      <c r="C129" s="118"/>
      <c r="D129" s="119"/>
      <c r="E129" s="119"/>
      <c r="F129" s="119"/>
      <c r="G129" s="120"/>
    </row>
    <row r="130" spans="1:8" s="4" customFormat="1" ht="36" customHeight="1" thickBot="1" x14ac:dyDescent="0.35">
      <c r="A130" s="25"/>
      <c r="B130" s="26"/>
      <c r="C130" s="121"/>
      <c r="D130" s="122"/>
      <c r="E130" s="122"/>
      <c r="F130" s="122"/>
      <c r="G130" s="123"/>
    </row>
    <row r="131" spans="1:8" s="4" customFormat="1" ht="36" customHeight="1" x14ac:dyDescent="0.3">
      <c r="A131" s="72">
        <v>43825</v>
      </c>
      <c r="B131" s="99" t="s">
        <v>41</v>
      </c>
      <c r="C131" s="114" t="s">
        <v>16</v>
      </c>
      <c r="D131" s="14" t="s">
        <v>17</v>
      </c>
      <c r="E131" s="33">
        <v>133</v>
      </c>
      <c r="F131" s="37"/>
      <c r="G131" s="38"/>
    </row>
    <row r="132" spans="1:8" s="4" customFormat="1" ht="36" customHeight="1" x14ac:dyDescent="0.3">
      <c r="A132" s="5"/>
      <c r="B132" s="6"/>
      <c r="C132" s="13" t="s">
        <v>117</v>
      </c>
      <c r="D132" s="14" t="s">
        <v>5</v>
      </c>
      <c r="E132" s="9">
        <v>200</v>
      </c>
      <c r="F132" s="37"/>
      <c r="G132" s="38" t="s">
        <v>118</v>
      </c>
    </row>
    <row r="133" spans="1:8" s="4" customFormat="1" ht="36" customHeight="1" x14ac:dyDescent="0.3">
      <c r="A133" s="5"/>
      <c r="B133" s="6"/>
      <c r="C133" s="16" t="s">
        <v>19</v>
      </c>
      <c r="D133" s="14" t="s">
        <v>11</v>
      </c>
      <c r="E133" s="9" t="s">
        <v>20</v>
      </c>
      <c r="F133" s="37"/>
      <c r="G133" s="38"/>
    </row>
    <row r="134" spans="1:8" s="4" customFormat="1" ht="36" customHeight="1" x14ac:dyDescent="0.3">
      <c r="A134" s="5"/>
      <c r="B134" s="6"/>
      <c r="C134" s="36"/>
      <c r="D134" s="14" t="s">
        <v>13</v>
      </c>
      <c r="E134" s="19">
        <v>30</v>
      </c>
      <c r="F134" s="37"/>
      <c r="G134" s="38"/>
    </row>
    <row r="135" spans="1:8" s="4" customFormat="1" ht="36" customHeight="1" x14ac:dyDescent="0.3">
      <c r="A135" s="5"/>
      <c r="B135" s="6"/>
      <c r="C135" s="16" t="s">
        <v>102</v>
      </c>
      <c r="D135" s="8" t="s">
        <v>119</v>
      </c>
      <c r="E135" s="9" t="s">
        <v>50</v>
      </c>
      <c r="F135" s="10"/>
      <c r="G135" s="11"/>
    </row>
    <row r="136" spans="1:8" s="4" customFormat="1" ht="33.75" customHeight="1" x14ac:dyDescent="0.3">
      <c r="A136" s="5"/>
      <c r="B136" s="6"/>
      <c r="C136" s="17"/>
      <c r="D136" s="8" t="s">
        <v>31</v>
      </c>
      <c r="E136" s="9">
        <v>5</v>
      </c>
      <c r="F136" s="10"/>
      <c r="G136" s="38"/>
    </row>
    <row r="137" spans="1:8" s="4" customFormat="1" ht="36" customHeight="1" thickBot="1" x14ac:dyDescent="0.35">
      <c r="A137" s="5"/>
      <c r="B137" s="6"/>
      <c r="C137" s="20"/>
      <c r="D137" s="18" t="s">
        <v>7</v>
      </c>
      <c r="E137" s="19" t="s">
        <v>62</v>
      </c>
      <c r="F137" s="47"/>
      <c r="G137" s="48"/>
    </row>
    <row r="138" spans="1:8" s="4" customFormat="1" ht="36" customHeight="1" thickBot="1" x14ac:dyDescent="0.35">
      <c r="A138" s="25"/>
      <c r="B138" s="26"/>
      <c r="C138" s="27" t="s">
        <v>37</v>
      </c>
      <c r="D138" s="28" t="s">
        <v>120</v>
      </c>
      <c r="E138" s="29" t="s">
        <v>121</v>
      </c>
      <c r="F138" s="29" t="s">
        <v>115</v>
      </c>
      <c r="G138" s="30"/>
    </row>
    <row r="139" spans="1:8" s="4" customFormat="1" ht="36" customHeight="1" x14ac:dyDescent="0.3">
      <c r="A139" s="72">
        <v>43826</v>
      </c>
      <c r="B139" s="99" t="s">
        <v>55</v>
      </c>
      <c r="C139" s="31" t="s">
        <v>16</v>
      </c>
      <c r="D139" s="14" t="s">
        <v>17</v>
      </c>
      <c r="E139" s="19">
        <v>165</v>
      </c>
      <c r="F139" s="37"/>
      <c r="G139" s="38" t="s">
        <v>122</v>
      </c>
    </row>
    <row r="140" spans="1:8" s="4" customFormat="1" ht="36" customHeight="1" x14ac:dyDescent="0.3">
      <c r="A140" s="5"/>
      <c r="B140" s="6"/>
      <c r="C140" s="36"/>
      <c r="D140" s="95"/>
      <c r="E140" s="96"/>
      <c r="F140" s="10"/>
      <c r="G140" s="11" t="s">
        <v>123</v>
      </c>
    </row>
    <row r="141" spans="1:8" s="4" customFormat="1" ht="36" customHeight="1" x14ac:dyDescent="0.3">
      <c r="A141" s="5"/>
      <c r="B141" s="6"/>
      <c r="C141" s="13" t="s">
        <v>107</v>
      </c>
      <c r="D141" s="8" t="s">
        <v>124</v>
      </c>
      <c r="E141" s="9">
        <v>100</v>
      </c>
      <c r="F141" s="10"/>
      <c r="G141" s="11" t="s">
        <v>73</v>
      </c>
    </row>
    <row r="142" spans="1:8" ht="33.75" customHeight="1" x14ac:dyDescent="0.3">
      <c r="A142" s="5"/>
      <c r="B142" s="6"/>
      <c r="C142" s="17" t="s">
        <v>43</v>
      </c>
      <c r="D142" s="8" t="s">
        <v>125</v>
      </c>
      <c r="E142" s="9">
        <v>128</v>
      </c>
      <c r="F142" s="10"/>
      <c r="G142" s="11"/>
      <c r="H142" s="12"/>
    </row>
    <row r="143" spans="1:8" ht="33.75" customHeight="1" x14ac:dyDescent="0.3">
      <c r="A143" s="5"/>
      <c r="B143" s="6"/>
      <c r="C143" s="17"/>
      <c r="D143" s="14" t="s">
        <v>84</v>
      </c>
      <c r="E143" s="15">
        <v>10</v>
      </c>
      <c r="F143" s="10"/>
      <c r="G143" s="11"/>
      <c r="H143" s="12"/>
    </row>
    <row r="144" spans="1:8" ht="33.75" customHeight="1" x14ac:dyDescent="0.3">
      <c r="A144" s="5"/>
      <c r="B144" s="6"/>
      <c r="C144" s="17"/>
      <c r="D144" s="14" t="s">
        <v>44</v>
      </c>
      <c r="E144" s="15">
        <v>40</v>
      </c>
      <c r="F144" s="10"/>
      <c r="G144" s="11"/>
      <c r="H144" s="12"/>
    </row>
    <row r="145" spans="1:8" ht="33.75" customHeight="1" x14ac:dyDescent="0.3">
      <c r="A145" s="5"/>
      <c r="B145" s="6"/>
      <c r="C145" s="17"/>
      <c r="D145" s="14" t="s">
        <v>126</v>
      </c>
      <c r="E145" s="15">
        <v>30</v>
      </c>
      <c r="F145" s="10"/>
      <c r="G145" s="11"/>
      <c r="H145" s="12"/>
    </row>
    <row r="146" spans="1:8" ht="33.75" customHeight="1" x14ac:dyDescent="0.3">
      <c r="A146" s="5"/>
      <c r="B146" s="6"/>
      <c r="C146" s="17"/>
      <c r="D146" s="14" t="s">
        <v>31</v>
      </c>
      <c r="E146" s="15">
        <v>30</v>
      </c>
      <c r="F146" s="10"/>
      <c r="G146" s="11"/>
      <c r="H146" s="12"/>
    </row>
    <row r="147" spans="1:8" ht="33.75" customHeight="1" thickBot="1" x14ac:dyDescent="0.35">
      <c r="A147" s="5"/>
      <c r="B147" s="6"/>
      <c r="C147" s="36"/>
      <c r="D147" s="8" t="s">
        <v>29</v>
      </c>
      <c r="E147" s="9">
        <v>40</v>
      </c>
      <c r="F147" s="10"/>
      <c r="G147" s="11"/>
      <c r="H147" s="12"/>
    </row>
    <row r="148" spans="1:8" s="4" customFormat="1" ht="36" customHeight="1" thickBot="1" x14ac:dyDescent="0.35">
      <c r="A148" s="25"/>
      <c r="B148" s="26"/>
      <c r="C148" s="27"/>
      <c r="D148" s="28"/>
      <c r="E148" s="29"/>
      <c r="F148" s="29"/>
      <c r="G148" s="30"/>
    </row>
  </sheetData>
  <mergeCells count="80">
    <mergeCell ref="A139:A148"/>
    <mergeCell ref="B139:B148"/>
    <mergeCell ref="C139:C140"/>
    <mergeCell ref="C142:C147"/>
    <mergeCell ref="A128:A130"/>
    <mergeCell ref="B128:B130"/>
    <mergeCell ref="C128:G130"/>
    <mergeCell ref="A131:A138"/>
    <mergeCell ref="B131:B138"/>
    <mergeCell ref="C133:C134"/>
    <mergeCell ref="C135:C137"/>
    <mergeCell ref="A116:A127"/>
    <mergeCell ref="B116:B127"/>
    <mergeCell ref="C116:C118"/>
    <mergeCell ref="C119:C120"/>
    <mergeCell ref="C122:C123"/>
    <mergeCell ref="C124:C126"/>
    <mergeCell ref="A104:A110"/>
    <mergeCell ref="B104:B110"/>
    <mergeCell ref="C104:C105"/>
    <mergeCell ref="C106:C108"/>
    <mergeCell ref="A111:G111"/>
    <mergeCell ref="A112:A115"/>
    <mergeCell ref="B112:B115"/>
    <mergeCell ref="C112:C113"/>
    <mergeCell ref="A91:A97"/>
    <mergeCell ref="B91:B97"/>
    <mergeCell ref="C91:C92"/>
    <mergeCell ref="C93:C96"/>
    <mergeCell ref="A98:A103"/>
    <mergeCell ref="B98:B103"/>
    <mergeCell ref="C98:C99"/>
    <mergeCell ref="C101:C102"/>
    <mergeCell ref="A77:G77"/>
    <mergeCell ref="A78:A85"/>
    <mergeCell ref="B78:B85"/>
    <mergeCell ref="C78:C82"/>
    <mergeCell ref="A86:A90"/>
    <mergeCell ref="B86:B90"/>
    <mergeCell ref="C87:C88"/>
    <mergeCell ref="A63:A71"/>
    <mergeCell ref="B63:B71"/>
    <mergeCell ref="C63:C64"/>
    <mergeCell ref="C66:C68"/>
    <mergeCell ref="A72:A76"/>
    <mergeCell ref="B72:B76"/>
    <mergeCell ref="C72:C73"/>
    <mergeCell ref="C74:C75"/>
    <mergeCell ref="A50:A55"/>
    <mergeCell ref="B50:B55"/>
    <mergeCell ref="C50:C51"/>
    <mergeCell ref="C53:C54"/>
    <mergeCell ref="A56:A62"/>
    <mergeCell ref="B56:B62"/>
    <mergeCell ref="C56:C59"/>
    <mergeCell ref="C60:C61"/>
    <mergeCell ref="A35:A43"/>
    <mergeCell ref="B35:B43"/>
    <mergeCell ref="C35:C39"/>
    <mergeCell ref="C40:C41"/>
    <mergeCell ref="A44:G44"/>
    <mergeCell ref="A45:A49"/>
    <mergeCell ref="B45:B49"/>
    <mergeCell ref="C45:C47"/>
    <mergeCell ref="A14:A23"/>
    <mergeCell ref="B14:B23"/>
    <mergeCell ref="C14:C17"/>
    <mergeCell ref="C18:C20"/>
    <mergeCell ref="A24:A34"/>
    <mergeCell ref="B24:B34"/>
    <mergeCell ref="C24:C25"/>
    <mergeCell ref="C26:C31"/>
    <mergeCell ref="C32:C33"/>
    <mergeCell ref="A1:G1"/>
    <mergeCell ref="A2:A9"/>
    <mergeCell ref="B2:B9"/>
    <mergeCell ref="C4:C8"/>
    <mergeCell ref="A10:A13"/>
    <mergeCell ref="B10:B13"/>
    <mergeCell ref="C10:C11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70" fitToHeight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view="pageBreakPreview" topLeftCell="A83" zoomScale="87" zoomScaleNormal="87" zoomScaleSheetLayoutView="87" workbookViewId="0">
      <selection activeCell="D121" sqref="D121"/>
    </sheetView>
  </sheetViews>
  <sheetFormatPr defaultColWidth="9" defaultRowHeight="36" customHeight="1" x14ac:dyDescent="0.3"/>
  <cols>
    <col min="1" max="1" width="12.5" style="124" customWidth="1"/>
    <col min="2" max="2" width="8.5" style="125" customWidth="1"/>
    <col min="3" max="3" width="18.125" style="126" customWidth="1"/>
    <col min="4" max="4" width="22.5" style="12" customWidth="1"/>
    <col min="5" max="5" width="15.375" style="127" customWidth="1"/>
    <col min="6" max="6" width="25.625" style="127" customWidth="1"/>
    <col min="7" max="7" width="28.125" style="128" customWidth="1"/>
    <col min="8" max="8" width="42.5" style="4" customWidth="1"/>
    <col min="9" max="16384" width="9" style="12"/>
  </cols>
  <sheetData>
    <row r="1" spans="1:8" s="4" customFormat="1" ht="108" customHeight="1" thickBot="1" x14ac:dyDescent="0.35">
      <c r="A1" s="1" t="s">
        <v>0</v>
      </c>
      <c r="B1" s="2"/>
      <c r="C1" s="2"/>
      <c r="D1" s="2"/>
      <c r="E1" s="2"/>
      <c r="F1" s="2"/>
      <c r="G1" s="3"/>
    </row>
    <row r="2" spans="1:8" ht="33.75" customHeight="1" x14ac:dyDescent="0.3">
      <c r="A2" s="5">
        <v>43829</v>
      </c>
      <c r="B2" s="6" t="s">
        <v>1</v>
      </c>
      <c r="C2" s="114" t="s">
        <v>4</v>
      </c>
      <c r="D2" s="8" t="s">
        <v>5</v>
      </c>
      <c r="E2" s="9">
        <v>80</v>
      </c>
      <c r="F2" s="10" t="s">
        <v>127</v>
      </c>
      <c r="G2" s="11"/>
      <c r="H2" s="12"/>
    </row>
    <row r="3" spans="1:8" s="4" customFormat="1" ht="33.75" customHeight="1" x14ac:dyDescent="0.3">
      <c r="A3" s="5"/>
      <c r="B3" s="6"/>
      <c r="C3" s="17" t="s">
        <v>74</v>
      </c>
      <c r="D3" s="8" t="s">
        <v>13</v>
      </c>
      <c r="E3" s="44">
        <v>150</v>
      </c>
      <c r="F3" s="59"/>
      <c r="G3" s="60"/>
    </row>
    <row r="4" spans="1:8" s="4" customFormat="1" ht="33.75" customHeight="1" x14ac:dyDescent="0.3">
      <c r="A4" s="5"/>
      <c r="B4" s="6"/>
      <c r="C4" s="17"/>
      <c r="D4" s="14" t="s">
        <v>7</v>
      </c>
      <c r="E4" s="50" t="s">
        <v>128</v>
      </c>
      <c r="F4" s="59"/>
      <c r="G4" s="60"/>
    </row>
    <row r="5" spans="1:8" s="4" customFormat="1" ht="33.75" customHeight="1" thickBot="1" x14ac:dyDescent="0.35">
      <c r="A5" s="5"/>
      <c r="B5" s="6"/>
      <c r="C5" s="17"/>
      <c r="D5" s="14" t="s">
        <v>11</v>
      </c>
      <c r="E5" s="50" t="s">
        <v>98</v>
      </c>
      <c r="F5" s="59"/>
      <c r="G5" s="60"/>
    </row>
    <row r="6" spans="1:8" ht="33.75" customHeight="1" thickBot="1" x14ac:dyDescent="0.35">
      <c r="A6" s="25"/>
      <c r="B6" s="26"/>
      <c r="C6" s="27" t="s">
        <v>37</v>
      </c>
      <c r="D6" s="28" t="s">
        <v>129</v>
      </c>
      <c r="E6" s="29" t="s">
        <v>130</v>
      </c>
      <c r="F6" s="29" t="s">
        <v>115</v>
      </c>
      <c r="G6" s="30"/>
      <c r="H6" s="12"/>
    </row>
    <row r="7" spans="1:8" s="4" customFormat="1" ht="33.75" customHeight="1" x14ac:dyDescent="0.3">
      <c r="A7" s="5">
        <v>43830</v>
      </c>
      <c r="B7" s="6" t="s">
        <v>15</v>
      </c>
      <c r="C7" s="72" t="s">
        <v>22</v>
      </c>
      <c r="D7" s="80" t="s">
        <v>131</v>
      </c>
      <c r="E7" s="33">
        <v>30</v>
      </c>
      <c r="F7" s="129" t="s">
        <v>94</v>
      </c>
      <c r="G7" s="130" t="s">
        <v>132</v>
      </c>
    </row>
    <row r="8" spans="1:8" s="4" customFormat="1" ht="33.75" customHeight="1" x14ac:dyDescent="0.3">
      <c r="A8" s="5"/>
      <c r="B8" s="6"/>
      <c r="C8" s="5"/>
      <c r="D8" s="82" t="s">
        <v>23</v>
      </c>
      <c r="E8" s="9">
        <v>20</v>
      </c>
      <c r="F8" s="131" t="s">
        <v>94</v>
      </c>
      <c r="G8" s="11"/>
    </row>
    <row r="9" spans="1:8" s="4" customFormat="1" ht="33.75" customHeight="1" thickBot="1" x14ac:dyDescent="0.35">
      <c r="A9" s="5"/>
      <c r="B9" s="6"/>
      <c r="C9" s="84"/>
      <c r="D9" s="82" t="s">
        <v>23</v>
      </c>
      <c r="E9" s="9">
        <v>50</v>
      </c>
      <c r="F9" s="131" t="s">
        <v>24</v>
      </c>
      <c r="G9" s="11"/>
    </row>
    <row r="10" spans="1:8" s="4" customFormat="1" ht="33.75" customHeight="1" thickBot="1" x14ac:dyDescent="0.35">
      <c r="A10" s="25"/>
      <c r="B10" s="26"/>
      <c r="C10" s="27"/>
      <c r="D10" s="28"/>
      <c r="E10" s="29"/>
      <c r="F10" s="29"/>
      <c r="G10" s="30"/>
    </row>
    <row r="11" spans="1:8" s="4" customFormat="1" ht="33.75" customHeight="1" x14ac:dyDescent="0.3">
      <c r="A11" s="5">
        <v>43466</v>
      </c>
      <c r="B11" s="6" t="s">
        <v>21</v>
      </c>
      <c r="C11" s="132" t="s">
        <v>133</v>
      </c>
      <c r="D11" s="133"/>
      <c r="E11" s="133"/>
      <c r="F11" s="133"/>
      <c r="G11" s="134"/>
    </row>
    <row r="12" spans="1:8" s="4" customFormat="1" ht="33.75" customHeight="1" x14ac:dyDescent="0.3">
      <c r="A12" s="5"/>
      <c r="B12" s="6"/>
      <c r="C12" s="135"/>
      <c r="D12" s="136"/>
      <c r="E12" s="136"/>
      <c r="F12" s="136"/>
      <c r="G12" s="137"/>
    </row>
    <row r="13" spans="1:8" s="4" customFormat="1" ht="33.75" customHeight="1" thickBot="1" x14ac:dyDescent="0.35">
      <c r="A13" s="25"/>
      <c r="B13" s="26"/>
      <c r="C13" s="138"/>
      <c r="D13" s="139"/>
      <c r="E13" s="139"/>
      <c r="F13" s="139"/>
      <c r="G13" s="140"/>
    </row>
    <row r="14" spans="1:8" s="4" customFormat="1" ht="33.75" customHeight="1" x14ac:dyDescent="0.3">
      <c r="A14" s="5">
        <v>43467</v>
      </c>
      <c r="B14" s="6" t="s">
        <v>41</v>
      </c>
      <c r="C14" s="31" t="s">
        <v>16</v>
      </c>
      <c r="D14" s="14" t="s">
        <v>17</v>
      </c>
      <c r="E14" s="15">
        <v>366</v>
      </c>
      <c r="F14" s="55"/>
      <c r="G14" s="56"/>
    </row>
    <row r="15" spans="1:8" s="4" customFormat="1" ht="33.75" customHeight="1" x14ac:dyDescent="0.3">
      <c r="A15" s="5"/>
      <c r="B15" s="6"/>
      <c r="C15" s="17"/>
      <c r="D15" s="14" t="s">
        <v>75</v>
      </c>
      <c r="E15" s="15">
        <v>100</v>
      </c>
      <c r="F15" s="141"/>
      <c r="G15" s="142"/>
    </row>
    <row r="16" spans="1:8" s="4" customFormat="1" ht="33.75" customHeight="1" x14ac:dyDescent="0.3">
      <c r="A16" s="5"/>
      <c r="B16" s="6"/>
      <c r="C16" s="17"/>
      <c r="D16" s="14" t="s">
        <v>134</v>
      </c>
      <c r="E16" s="15">
        <v>1</v>
      </c>
      <c r="F16" s="57"/>
      <c r="G16" s="58"/>
    </row>
    <row r="17" spans="1:7" s="4" customFormat="1" ht="33.75" customHeight="1" x14ac:dyDescent="0.3">
      <c r="A17" s="5"/>
      <c r="B17" s="6"/>
      <c r="C17" s="36"/>
      <c r="D17" s="14" t="s">
        <v>18</v>
      </c>
      <c r="E17" s="50">
        <v>2</v>
      </c>
      <c r="F17" s="57"/>
      <c r="G17" s="58"/>
    </row>
    <row r="18" spans="1:7" s="4" customFormat="1" ht="33.75" customHeight="1" thickBot="1" x14ac:dyDescent="0.35">
      <c r="A18" s="25"/>
      <c r="B18" s="26"/>
      <c r="C18" s="143" t="s">
        <v>135</v>
      </c>
      <c r="D18" s="144" t="s">
        <v>136</v>
      </c>
      <c r="E18" s="144" t="s">
        <v>137</v>
      </c>
      <c r="F18" s="144" t="s">
        <v>40</v>
      </c>
      <c r="G18" s="145" t="s">
        <v>138</v>
      </c>
    </row>
    <row r="19" spans="1:7" s="4" customFormat="1" ht="33.75" customHeight="1" x14ac:dyDescent="0.3">
      <c r="A19" s="72">
        <v>43468</v>
      </c>
      <c r="B19" s="73" t="s">
        <v>55</v>
      </c>
      <c r="C19" s="101" t="s">
        <v>107</v>
      </c>
      <c r="D19" s="100" t="s">
        <v>13</v>
      </c>
      <c r="E19" s="15">
        <v>200</v>
      </c>
      <c r="F19" s="37"/>
      <c r="G19" s="38"/>
    </row>
    <row r="20" spans="1:7" s="4" customFormat="1" ht="33.75" customHeight="1" x14ac:dyDescent="0.3">
      <c r="A20" s="5"/>
      <c r="B20" s="75"/>
      <c r="C20" s="16" t="s">
        <v>6</v>
      </c>
      <c r="D20" s="8" t="s">
        <v>11</v>
      </c>
      <c r="E20" s="9" t="s">
        <v>50</v>
      </c>
      <c r="F20" s="59"/>
      <c r="G20" s="60"/>
    </row>
    <row r="21" spans="1:7" s="4" customFormat="1" ht="33.75" customHeight="1" x14ac:dyDescent="0.3">
      <c r="A21" s="5"/>
      <c r="B21" s="75"/>
      <c r="C21" s="17"/>
      <c r="D21" s="8" t="s">
        <v>7</v>
      </c>
      <c r="E21" s="9" t="s">
        <v>12</v>
      </c>
      <c r="F21" s="59"/>
      <c r="G21" s="60"/>
    </row>
    <row r="22" spans="1:7" s="4" customFormat="1" ht="33.75" customHeight="1" x14ac:dyDescent="0.3">
      <c r="A22" s="5"/>
      <c r="B22" s="75"/>
      <c r="C22" s="36"/>
      <c r="D22" s="8" t="s">
        <v>14</v>
      </c>
      <c r="E22" s="9">
        <v>20</v>
      </c>
      <c r="F22" s="59"/>
      <c r="G22" s="60"/>
    </row>
    <row r="23" spans="1:7" s="4" customFormat="1" ht="33.75" customHeight="1" x14ac:dyDescent="0.3">
      <c r="A23" s="5"/>
      <c r="B23" s="75"/>
      <c r="C23" s="13" t="s">
        <v>139</v>
      </c>
      <c r="D23" s="8" t="s">
        <v>14</v>
      </c>
      <c r="E23" s="44">
        <v>50</v>
      </c>
      <c r="F23" s="59"/>
      <c r="G23" s="146" t="s">
        <v>140</v>
      </c>
    </row>
    <row r="24" spans="1:7" s="4" customFormat="1" ht="33.75" customHeight="1" x14ac:dyDescent="0.3">
      <c r="A24" s="5"/>
      <c r="B24" s="75"/>
      <c r="C24" s="7" t="s">
        <v>69</v>
      </c>
      <c r="D24" s="8" t="s">
        <v>70</v>
      </c>
      <c r="E24" s="44">
        <v>100</v>
      </c>
      <c r="F24" s="74"/>
      <c r="G24" s="60"/>
    </row>
    <row r="25" spans="1:7" s="4" customFormat="1" ht="33.75" customHeight="1" thickBot="1" x14ac:dyDescent="0.35">
      <c r="A25" s="5"/>
      <c r="B25" s="75"/>
      <c r="C25" s="76"/>
      <c r="D25" s="65"/>
      <c r="E25" s="66"/>
      <c r="F25" s="77"/>
      <c r="G25" s="78"/>
    </row>
    <row r="26" spans="1:7" s="4" customFormat="1" ht="33.75" customHeight="1" thickBot="1" x14ac:dyDescent="0.35">
      <c r="A26" s="25"/>
      <c r="B26" s="79"/>
      <c r="C26" s="147"/>
      <c r="D26" s="148"/>
      <c r="E26" s="148"/>
      <c r="F26" s="148"/>
      <c r="G26" s="149"/>
    </row>
    <row r="27" spans="1:7" s="4" customFormat="1" ht="108.75" customHeight="1" thickBot="1" x14ac:dyDescent="0.35">
      <c r="A27" s="1" t="s">
        <v>0</v>
      </c>
      <c r="B27" s="2"/>
      <c r="C27" s="2"/>
      <c r="D27" s="2"/>
      <c r="E27" s="2"/>
      <c r="F27" s="2"/>
      <c r="G27" s="3"/>
    </row>
    <row r="28" spans="1:7" s="4" customFormat="1" ht="32.25" customHeight="1" x14ac:dyDescent="0.3">
      <c r="A28" s="5">
        <v>43471</v>
      </c>
      <c r="B28" s="6" t="s">
        <v>1</v>
      </c>
      <c r="C28" s="150" t="s">
        <v>141</v>
      </c>
      <c r="D28" s="80" t="s">
        <v>142</v>
      </c>
      <c r="E28" s="33" t="s">
        <v>20</v>
      </c>
      <c r="F28" s="129"/>
      <c r="G28" s="130"/>
    </row>
    <row r="29" spans="1:7" s="4" customFormat="1" ht="32.25" customHeight="1" x14ac:dyDescent="0.3">
      <c r="A29" s="5"/>
      <c r="B29" s="6"/>
      <c r="C29" s="5" t="s">
        <v>43</v>
      </c>
      <c r="D29" s="100" t="s">
        <v>14</v>
      </c>
      <c r="E29" s="15">
        <v>128</v>
      </c>
      <c r="F29" s="37"/>
      <c r="G29" s="11"/>
    </row>
    <row r="30" spans="1:7" s="4" customFormat="1" ht="32.25" customHeight="1" x14ac:dyDescent="0.3">
      <c r="A30" s="5"/>
      <c r="B30" s="6"/>
      <c r="C30" s="5"/>
      <c r="D30" s="100" t="s">
        <v>29</v>
      </c>
      <c r="E30" s="15">
        <v>40</v>
      </c>
      <c r="F30" s="37"/>
      <c r="G30" s="11"/>
    </row>
    <row r="31" spans="1:7" s="4" customFormat="1" ht="32.25" customHeight="1" x14ac:dyDescent="0.3">
      <c r="A31" s="5"/>
      <c r="B31" s="6"/>
      <c r="C31" s="5"/>
      <c r="D31" s="100" t="s">
        <v>59</v>
      </c>
      <c r="E31" s="15">
        <v>64</v>
      </c>
      <c r="F31" s="37"/>
      <c r="G31" s="11"/>
    </row>
    <row r="32" spans="1:7" s="4" customFormat="1" ht="32.25" customHeight="1" x14ac:dyDescent="0.3">
      <c r="A32" s="5"/>
      <c r="B32" s="6"/>
      <c r="C32" s="84"/>
      <c r="D32" s="100" t="s">
        <v>44</v>
      </c>
      <c r="E32" s="15">
        <v>40</v>
      </c>
      <c r="F32" s="37"/>
      <c r="G32" s="11"/>
    </row>
    <row r="33" spans="1:7" s="4" customFormat="1" ht="32.25" customHeight="1" x14ac:dyDescent="0.3">
      <c r="A33" s="5"/>
      <c r="B33" s="6"/>
      <c r="C33" s="97" t="s">
        <v>82</v>
      </c>
      <c r="D33" s="100" t="s">
        <v>59</v>
      </c>
      <c r="E33" s="15">
        <v>50</v>
      </c>
      <c r="F33" s="37"/>
      <c r="G33" s="11"/>
    </row>
    <row r="34" spans="1:7" s="4" customFormat="1" ht="32.25" customHeight="1" x14ac:dyDescent="0.3">
      <c r="A34" s="5"/>
      <c r="B34" s="6"/>
      <c r="C34" s="84"/>
      <c r="D34" s="100" t="s">
        <v>14</v>
      </c>
      <c r="E34" s="15">
        <v>50</v>
      </c>
      <c r="F34" s="37"/>
      <c r="G34" s="11"/>
    </row>
    <row r="35" spans="1:7" s="4" customFormat="1" ht="32.25" customHeight="1" x14ac:dyDescent="0.3">
      <c r="A35" s="5"/>
      <c r="B35" s="6"/>
      <c r="C35" s="151" t="s">
        <v>19</v>
      </c>
      <c r="D35" s="82" t="s">
        <v>143</v>
      </c>
      <c r="E35" s="9" t="s">
        <v>20</v>
      </c>
      <c r="F35" s="152" t="s">
        <v>144</v>
      </c>
      <c r="G35" s="11" t="s">
        <v>73</v>
      </c>
    </row>
    <row r="36" spans="1:7" s="4" customFormat="1" ht="32.25" customHeight="1" x14ac:dyDescent="0.3">
      <c r="A36" s="5"/>
      <c r="B36" s="6"/>
      <c r="C36" s="97" t="s">
        <v>74</v>
      </c>
      <c r="D36" s="82" t="s">
        <v>13</v>
      </c>
      <c r="E36" s="9">
        <v>168</v>
      </c>
      <c r="F36" s="131" t="s">
        <v>145</v>
      </c>
      <c r="G36" s="11"/>
    </row>
    <row r="37" spans="1:7" s="4" customFormat="1" ht="32.25" customHeight="1" x14ac:dyDescent="0.3">
      <c r="A37" s="5"/>
      <c r="B37" s="6"/>
      <c r="C37" s="5"/>
      <c r="D37" s="85" t="s">
        <v>146</v>
      </c>
      <c r="E37" s="19">
        <v>48</v>
      </c>
      <c r="F37" s="131" t="s">
        <v>147</v>
      </c>
      <c r="G37" s="48"/>
    </row>
    <row r="38" spans="1:7" s="4" customFormat="1" ht="32.25" customHeight="1" x14ac:dyDescent="0.3">
      <c r="A38" s="5"/>
      <c r="B38" s="6"/>
      <c r="C38" s="84"/>
      <c r="D38" s="82" t="s">
        <v>148</v>
      </c>
      <c r="E38" s="9" t="s">
        <v>64</v>
      </c>
      <c r="F38" s="131" t="s">
        <v>147</v>
      </c>
      <c r="G38" s="11"/>
    </row>
    <row r="39" spans="1:7" s="4" customFormat="1" ht="32.25" customHeight="1" thickBot="1" x14ac:dyDescent="0.35">
      <c r="A39" s="25"/>
      <c r="B39" s="26"/>
      <c r="C39" s="89" t="s">
        <v>149</v>
      </c>
      <c r="D39" s="90" t="s">
        <v>150</v>
      </c>
      <c r="E39" s="91" t="s">
        <v>151</v>
      </c>
      <c r="F39" s="91" t="s">
        <v>115</v>
      </c>
      <c r="G39" s="92"/>
    </row>
    <row r="40" spans="1:7" s="4" customFormat="1" ht="32.25" customHeight="1" thickBot="1" x14ac:dyDescent="0.35">
      <c r="A40" s="5">
        <v>43837</v>
      </c>
      <c r="B40" s="75" t="s">
        <v>15</v>
      </c>
      <c r="C40" s="87" t="s">
        <v>152</v>
      </c>
      <c r="D40" s="8" t="s">
        <v>7</v>
      </c>
      <c r="E40" s="9" t="s">
        <v>35</v>
      </c>
      <c r="F40" s="10"/>
      <c r="G40" s="64"/>
    </row>
    <row r="41" spans="1:7" s="4" customFormat="1" ht="32.25" customHeight="1" thickBot="1" x14ac:dyDescent="0.35">
      <c r="A41" s="25"/>
      <c r="B41" s="79"/>
      <c r="C41" s="52"/>
      <c r="D41" s="28"/>
      <c r="E41" s="29"/>
      <c r="F41" s="29"/>
      <c r="G41" s="30"/>
    </row>
    <row r="42" spans="1:7" s="4" customFormat="1" ht="32.25" customHeight="1" x14ac:dyDescent="0.3">
      <c r="A42" s="72">
        <v>43473</v>
      </c>
      <c r="B42" s="99" t="s">
        <v>21</v>
      </c>
      <c r="C42" s="31" t="s">
        <v>16</v>
      </c>
      <c r="D42" s="14" t="s">
        <v>17</v>
      </c>
      <c r="E42" s="15">
        <v>250</v>
      </c>
      <c r="F42" s="37"/>
      <c r="G42" s="35"/>
    </row>
    <row r="43" spans="1:7" s="4" customFormat="1" ht="32.25" customHeight="1" x14ac:dyDescent="0.3">
      <c r="A43" s="5"/>
      <c r="B43" s="6"/>
      <c r="C43" s="17"/>
      <c r="D43" s="14" t="s">
        <v>75</v>
      </c>
      <c r="E43" s="15">
        <v>100</v>
      </c>
      <c r="F43" s="37"/>
      <c r="G43" s="48"/>
    </row>
    <row r="44" spans="1:7" s="4" customFormat="1" ht="32.25" customHeight="1" x14ac:dyDescent="0.3">
      <c r="A44" s="5"/>
      <c r="B44" s="6"/>
      <c r="C44" s="36"/>
      <c r="D44" s="8" t="s">
        <v>18</v>
      </c>
      <c r="E44" s="9">
        <v>162</v>
      </c>
      <c r="F44" s="10"/>
      <c r="G44" s="64"/>
    </row>
    <row r="45" spans="1:7" s="4" customFormat="1" ht="32.25" customHeight="1" x14ac:dyDescent="0.3">
      <c r="A45" s="5"/>
      <c r="B45" s="6"/>
      <c r="C45" s="13" t="s">
        <v>109</v>
      </c>
      <c r="D45" s="8" t="s">
        <v>142</v>
      </c>
      <c r="E45" s="9" t="s">
        <v>35</v>
      </c>
      <c r="F45" s="10"/>
      <c r="G45" s="11" t="s">
        <v>153</v>
      </c>
    </row>
    <row r="46" spans="1:7" s="4" customFormat="1" ht="32.25" customHeight="1" x14ac:dyDescent="0.3">
      <c r="A46" s="5"/>
      <c r="B46" s="6"/>
      <c r="C46" s="97" t="s">
        <v>74</v>
      </c>
      <c r="D46" s="100" t="s">
        <v>13</v>
      </c>
      <c r="E46" s="15">
        <v>100</v>
      </c>
      <c r="F46" s="37"/>
      <c r="G46" s="38"/>
    </row>
    <row r="47" spans="1:7" s="4" customFormat="1" ht="32.25" customHeight="1" x14ac:dyDescent="0.3">
      <c r="A47" s="5"/>
      <c r="B47" s="6"/>
      <c r="C47" s="5"/>
      <c r="D47" s="100" t="s">
        <v>29</v>
      </c>
      <c r="E47" s="15">
        <v>10</v>
      </c>
      <c r="F47" s="37"/>
      <c r="G47" s="38"/>
    </row>
    <row r="48" spans="1:7" s="4" customFormat="1" ht="32.25" customHeight="1" x14ac:dyDescent="0.3">
      <c r="A48" s="5"/>
      <c r="B48" s="6"/>
      <c r="C48" s="5"/>
      <c r="D48" s="100" t="s">
        <v>7</v>
      </c>
      <c r="E48" s="15" t="s">
        <v>128</v>
      </c>
      <c r="F48" s="37"/>
      <c r="G48" s="38"/>
    </row>
    <row r="49" spans="1:7" s="4" customFormat="1" ht="32.25" customHeight="1" x14ac:dyDescent="0.3">
      <c r="A49" s="5"/>
      <c r="B49" s="6"/>
      <c r="C49" s="5"/>
      <c r="D49" s="100" t="s">
        <v>9</v>
      </c>
      <c r="E49" s="15" t="s">
        <v>154</v>
      </c>
      <c r="F49" s="37"/>
      <c r="G49" s="38"/>
    </row>
    <row r="50" spans="1:7" s="4" customFormat="1" ht="32.25" customHeight="1" x14ac:dyDescent="0.3">
      <c r="A50" s="5"/>
      <c r="B50" s="6"/>
      <c r="C50" s="5"/>
      <c r="D50" s="100" t="s">
        <v>49</v>
      </c>
      <c r="E50" s="15" t="s">
        <v>155</v>
      </c>
      <c r="F50" s="37"/>
      <c r="G50" s="38"/>
    </row>
    <row r="51" spans="1:7" s="4" customFormat="1" ht="32.25" customHeight="1" x14ac:dyDescent="0.3">
      <c r="A51" s="5"/>
      <c r="B51" s="6"/>
      <c r="C51" s="5"/>
      <c r="D51" s="100" t="s">
        <v>53</v>
      </c>
      <c r="E51" s="15" t="s">
        <v>12</v>
      </c>
      <c r="F51" s="37"/>
      <c r="G51" s="38"/>
    </row>
    <row r="52" spans="1:7" s="4" customFormat="1" ht="32.25" customHeight="1" thickBot="1" x14ac:dyDescent="0.35">
      <c r="A52" s="5"/>
      <c r="B52" s="6"/>
      <c r="C52" s="25"/>
      <c r="D52" s="108" t="s">
        <v>11</v>
      </c>
      <c r="E52" s="22" t="s">
        <v>156</v>
      </c>
      <c r="F52" s="77"/>
      <c r="G52" s="78"/>
    </row>
    <row r="53" spans="1:7" s="4" customFormat="1" ht="32.25" customHeight="1" thickBot="1" x14ac:dyDescent="0.35">
      <c r="A53" s="25"/>
      <c r="B53" s="26"/>
      <c r="C53" s="147"/>
      <c r="D53" s="148"/>
      <c r="E53" s="148"/>
      <c r="F53" s="148"/>
      <c r="G53" s="149"/>
    </row>
    <row r="54" spans="1:7" s="4" customFormat="1" ht="32.25" customHeight="1" x14ac:dyDescent="0.3">
      <c r="A54" s="72">
        <v>43474</v>
      </c>
      <c r="B54" s="73" t="s">
        <v>41</v>
      </c>
      <c r="C54" s="72" t="s">
        <v>28</v>
      </c>
      <c r="D54" s="93" t="s">
        <v>29</v>
      </c>
      <c r="E54" s="9">
        <v>170</v>
      </c>
      <c r="F54" s="10" t="s">
        <v>30</v>
      </c>
      <c r="G54" s="11" t="s">
        <v>157</v>
      </c>
    </row>
    <row r="55" spans="1:7" s="4" customFormat="1" ht="32.25" customHeight="1" x14ac:dyDescent="0.3">
      <c r="A55" s="5"/>
      <c r="B55" s="75"/>
      <c r="C55" s="5"/>
      <c r="D55" s="8" t="s">
        <v>31</v>
      </c>
      <c r="E55" s="9">
        <v>20</v>
      </c>
      <c r="F55" s="10"/>
      <c r="G55" s="64"/>
    </row>
    <row r="56" spans="1:7" s="4" customFormat="1" ht="32.25" customHeight="1" x14ac:dyDescent="0.3">
      <c r="A56" s="5"/>
      <c r="B56" s="75"/>
      <c r="C56" s="5"/>
      <c r="D56" s="95" t="s">
        <v>44</v>
      </c>
      <c r="E56" s="96">
        <v>10</v>
      </c>
      <c r="F56" s="63"/>
      <c r="G56" s="64"/>
    </row>
    <row r="57" spans="1:7" s="4" customFormat="1" ht="32.25" customHeight="1" x14ac:dyDescent="0.3">
      <c r="A57" s="5"/>
      <c r="B57" s="75"/>
      <c r="C57" s="84"/>
      <c r="D57" s="8" t="s">
        <v>7</v>
      </c>
      <c r="E57" s="9" t="s">
        <v>158</v>
      </c>
      <c r="F57" s="10" t="s">
        <v>159</v>
      </c>
      <c r="G57" s="11"/>
    </row>
    <row r="58" spans="1:7" s="4" customFormat="1" ht="32.25" customHeight="1" x14ac:dyDescent="0.3">
      <c r="A58" s="5"/>
      <c r="B58" s="75"/>
      <c r="C58" s="101" t="s">
        <v>160</v>
      </c>
      <c r="D58" s="100" t="s">
        <v>25</v>
      </c>
      <c r="E58" s="15">
        <v>100</v>
      </c>
      <c r="F58" s="37"/>
      <c r="G58" s="38"/>
    </row>
    <row r="59" spans="1:7" s="4" customFormat="1" ht="32.25" customHeight="1" x14ac:dyDescent="0.3">
      <c r="A59" s="5"/>
      <c r="B59" s="75"/>
      <c r="C59" s="97" t="s">
        <v>82</v>
      </c>
      <c r="D59" s="100" t="s">
        <v>14</v>
      </c>
      <c r="E59" s="15">
        <v>50</v>
      </c>
      <c r="F59" s="37"/>
      <c r="G59" s="38"/>
    </row>
    <row r="60" spans="1:7" s="4" customFormat="1" ht="32.25" customHeight="1" x14ac:dyDescent="0.3">
      <c r="A60" s="5"/>
      <c r="B60" s="75"/>
      <c r="C60" s="84"/>
      <c r="D60" s="100" t="s">
        <v>59</v>
      </c>
      <c r="E60" s="15">
        <v>50</v>
      </c>
      <c r="F60" s="37"/>
      <c r="G60" s="38"/>
    </row>
    <row r="61" spans="1:7" s="4" customFormat="1" ht="32.25" customHeight="1" thickBot="1" x14ac:dyDescent="0.35">
      <c r="A61" s="5"/>
      <c r="B61" s="75"/>
      <c r="C61" s="153" t="s">
        <v>161</v>
      </c>
      <c r="D61" s="100" t="s">
        <v>29</v>
      </c>
      <c r="E61" s="15">
        <v>50</v>
      </c>
      <c r="F61" s="37"/>
      <c r="G61" s="38"/>
    </row>
    <row r="62" spans="1:7" s="4" customFormat="1" ht="32.25" customHeight="1" thickBot="1" x14ac:dyDescent="0.35">
      <c r="A62" s="25"/>
      <c r="B62" s="79"/>
      <c r="C62" s="27"/>
      <c r="D62" s="28"/>
      <c r="E62" s="29"/>
      <c r="F62" s="29"/>
      <c r="G62" s="30"/>
    </row>
    <row r="63" spans="1:7" s="4" customFormat="1" ht="32.25" customHeight="1" x14ac:dyDescent="0.3">
      <c r="A63" s="72">
        <v>43475</v>
      </c>
      <c r="B63" s="73" t="s">
        <v>55</v>
      </c>
      <c r="C63" s="72" t="s">
        <v>19</v>
      </c>
      <c r="D63" s="82" t="s">
        <v>162</v>
      </c>
      <c r="E63" s="9" t="s">
        <v>163</v>
      </c>
      <c r="F63" s="131"/>
      <c r="G63" s="64" t="s">
        <v>164</v>
      </c>
    </row>
    <row r="64" spans="1:7" s="4" customFormat="1" ht="32.25" customHeight="1" x14ac:dyDescent="0.3">
      <c r="A64" s="5"/>
      <c r="B64" s="75"/>
      <c r="C64" s="5"/>
      <c r="D64" s="82" t="s">
        <v>165</v>
      </c>
      <c r="E64" s="9" t="s">
        <v>163</v>
      </c>
      <c r="F64" s="152" t="s">
        <v>166</v>
      </c>
      <c r="G64" s="64"/>
    </row>
    <row r="65" spans="1:7" s="4" customFormat="1" ht="32.25" customHeight="1" x14ac:dyDescent="0.3">
      <c r="A65" s="5"/>
      <c r="B65" s="75"/>
      <c r="C65" s="5"/>
      <c r="D65" s="82" t="s">
        <v>167</v>
      </c>
      <c r="E65" s="9" t="s">
        <v>168</v>
      </c>
      <c r="F65" s="131"/>
      <c r="G65" s="64"/>
    </row>
    <row r="66" spans="1:7" s="4" customFormat="1" ht="32.25" customHeight="1" x14ac:dyDescent="0.3">
      <c r="A66" s="5"/>
      <c r="B66" s="75"/>
      <c r="C66" s="84"/>
      <c r="D66" s="82" t="s">
        <v>11</v>
      </c>
      <c r="E66" s="9" t="s">
        <v>20</v>
      </c>
      <c r="F66" s="131"/>
      <c r="G66" s="11"/>
    </row>
    <row r="67" spans="1:7" s="4" customFormat="1" ht="32.25" customHeight="1" x14ac:dyDescent="0.3">
      <c r="A67" s="5"/>
      <c r="B67" s="75"/>
      <c r="C67" s="97" t="s">
        <v>6</v>
      </c>
      <c r="D67" s="100" t="s">
        <v>7</v>
      </c>
      <c r="E67" s="15" t="s">
        <v>62</v>
      </c>
      <c r="F67" s="106"/>
      <c r="G67" s="38"/>
    </row>
    <row r="68" spans="1:7" s="4" customFormat="1" ht="32.25" customHeight="1" thickBot="1" x14ac:dyDescent="0.35">
      <c r="A68" s="5"/>
      <c r="B68" s="75"/>
      <c r="C68" s="25"/>
      <c r="D68" s="100" t="s">
        <v>11</v>
      </c>
      <c r="E68" s="15" t="s">
        <v>20</v>
      </c>
      <c r="F68" s="106"/>
      <c r="G68" s="38"/>
    </row>
    <row r="69" spans="1:7" s="4" customFormat="1" ht="32.25" customHeight="1" thickBot="1" x14ac:dyDescent="0.35">
      <c r="A69" s="25"/>
      <c r="B69" s="79"/>
      <c r="C69" s="27" t="s">
        <v>169</v>
      </c>
      <c r="D69" s="28" t="s">
        <v>170</v>
      </c>
      <c r="E69" s="29" t="s">
        <v>171</v>
      </c>
      <c r="F69" s="29" t="s">
        <v>40</v>
      </c>
      <c r="G69" s="30"/>
    </row>
    <row r="70" spans="1:7" s="4" customFormat="1" ht="108.75" customHeight="1" thickBot="1" x14ac:dyDescent="0.35">
      <c r="A70" s="1" t="s">
        <v>0</v>
      </c>
      <c r="B70" s="2"/>
      <c r="C70" s="2"/>
      <c r="D70" s="2"/>
      <c r="E70" s="2"/>
      <c r="F70" s="2"/>
      <c r="G70" s="3"/>
    </row>
    <row r="71" spans="1:7" s="4" customFormat="1" ht="33.75" customHeight="1" x14ac:dyDescent="0.3">
      <c r="A71" s="72">
        <v>43478</v>
      </c>
      <c r="B71" s="99" t="s">
        <v>1</v>
      </c>
      <c r="C71" s="150" t="s">
        <v>48</v>
      </c>
      <c r="D71" s="100" t="s">
        <v>53</v>
      </c>
      <c r="E71" s="15" t="s">
        <v>50</v>
      </c>
      <c r="F71" s="154" t="s">
        <v>30</v>
      </c>
      <c r="G71" s="105"/>
    </row>
    <row r="72" spans="1:7" s="4" customFormat="1" ht="32.25" customHeight="1" x14ac:dyDescent="0.3">
      <c r="A72" s="5"/>
      <c r="B72" s="6"/>
      <c r="C72" s="97" t="s">
        <v>43</v>
      </c>
      <c r="D72" s="100" t="s">
        <v>172</v>
      </c>
      <c r="E72" s="15" t="s">
        <v>10</v>
      </c>
      <c r="F72" s="154" t="s">
        <v>30</v>
      </c>
      <c r="G72" s="38"/>
    </row>
    <row r="73" spans="1:7" s="4" customFormat="1" ht="32.25" customHeight="1" x14ac:dyDescent="0.3">
      <c r="A73" s="5"/>
      <c r="B73" s="6"/>
      <c r="C73" s="5"/>
      <c r="D73" s="100" t="s">
        <v>173</v>
      </c>
      <c r="E73" s="15" t="s">
        <v>10</v>
      </c>
      <c r="F73" s="104"/>
      <c r="G73" s="105"/>
    </row>
    <row r="74" spans="1:7" s="4" customFormat="1" ht="32.25" customHeight="1" x14ac:dyDescent="0.3">
      <c r="A74" s="5"/>
      <c r="B74" s="6"/>
      <c r="C74" s="5"/>
      <c r="D74" s="100" t="s">
        <v>174</v>
      </c>
      <c r="E74" s="15" t="s">
        <v>10</v>
      </c>
      <c r="F74" s="106"/>
      <c r="G74" s="38"/>
    </row>
    <row r="75" spans="1:7" s="4" customFormat="1" ht="33.75" customHeight="1" x14ac:dyDescent="0.3">
      <c r="A75" s="5"/>
      <c r="B75" s="6"/>
      <c r="C75" s="5"/>
      <c r="D75" s="14" t="s">
        <v>14</v>
      </c>
      <c r="E75" s="15">
        <v>64</v>
      </c>
      <c r="F75" s="37"/>
      <c r="G75" s="38"/>
    </row>
    <row r="76" spans="1:7" s="4" customFormat="1" ht="33.75" customHeight="1" x14ac:dyDescent="0.3">
      <c r="A76" s="5"/>
      <c r="B76" s="6"/>
      <c r="C76" s="84"/>
      <c r="D76" s="100" t="s">
        <v>29</v>
      </c>
      <c r="E76" s="15">
        <v>80</v>
      </c>
      <c r="F76" s="10"/>
      <c r="G76" s="11"/>
    </row>
    <row r="77" spans="1:7" s="4" customFormat="1" ht="33.75" customHeight="1" thickBot="1" x14ac:dyDescent="0.35">
      <c r="A77" s="5"/>
      <c r="B77" s="6"/>
      <c r="C77" s="107" t="s">
        <v>82</v>
      </c>
      <c r="D77" s="108" t="s">
        <v>59</v>
      </c>
      <c r="E77" s="22">
        <v>100</v>
      </c>
      <c r="F77" s="77"/>
      <c r="G77" s="78"/>
    </row>
    <row r="78" spans="1:7" s="4" customFormat="1" ht="33.75" customHeight="1" thickBot="1" x14ac:dyDescent="0.35">
      <c r="A78" s="5"/>
      <c r="B78" s="6"/>
      <c r="C78" s="109"/>
      <c r="D78" s="110"/>
      <c r="E78" s="111"/>
      <c r="F78" s="112"/>
      <c r="G78" s="113"/>
    </row>
    <row r="79" spans="1:7" s="4" customFormat="1" ht="33.75" customHeight="1" x14ac:dyDescent="0.3">
      <c r="A79" s="72">
        <v>43479</v>
      </c>
      <c r="B79" s="99" t="s">
        <v>15</v>
      </c>
      <c r="C79" s="31" t="s">
        <v>16</v>
      </c>
      <c r="D79" s="8" t="s">
        <v>17</v>
      </c>
      <c r="E79" s="9">
        <v>201</v>
      </c>
      <c r="F79" s="37"/>
      <c r="G79" s="38"/>
    </row>
    <row r="80" spans="1:7" s="4" customFormat="1" ht="33.75" customHeight="1" x14ac:dyDescent="0.3">
      <c r="A80" s="5"/>
      <c r="B80" s="6"/>
      <c r="C80" s="36"/>
      <c r="D80" s="14" t="s">
        <v>18</v>
      </c>
      <c r="E80" s="15">
        <v>14</v>
      </c>
      <c r="F80" s="37"/>
      <c r="G80" s="38"/>
    </row>
    <row r="81" spans="1:7" s="4" customFormat="1" ht="33.75" customHeight="1" x14ac:dyDescent="0.3">
      <c r="A81" s="5"/>
      <c r="B81" s="6"/>
      <c r="C81" s="13" t="s">
        <v>175</v>
      </c>
      <c r="D81" s="14" t="s">
        <v>23</v>
      </c>
      <c r="E81" s="15">
        <v>101</v>
      </c>
      <c r="F81" s="37"/>
      <c r="G81" s="11"/>
    </row>
    <row r="82" spans="1:7" s="4" customFormat="1" ht="33.75" customHeight="1" x14ac:dyDescent="0.3">
      <c r="A82" s="5"/>
      <c r="B82" s="6"/>
      <c r="C82" s="13" t="s">
        <v>107</v>
      </c>
      <c r="D82" s="14" t="s">
        <v>29</v>
      </c>
      <c r="E82" s="15">
        <v>120</v>
      </c>
      <c r="F82" s="37"/>
      <c r="G82" s="11" t="s">
        <v>73</v>
      </c>
    </row>
    <row r="83" spans="1:7" s="4" customFormat="1" ht="33.75" customHeight="1" thickBot="1" x14ac:dyDescent="0.35">
      <c r="A83" s="5"/>
      <c r="B83" s="6"/>
      <c r="C83" s="155" t="s">
        <v>176</v>
      </c>
      <c r="D83" s="100" t="s">
        <v>86</v>
      </c>
      <c r="E83" s="9">
        <v>100</v>
      </c>
      <c r="F83" s="10"/>
      <c r="G83" s="11" t="s">
        <v>73</v>
      </c>
    </row>
    <row r="84" spans="1:7" s="4" customFormat="1" ht="33.75" customHeight="1" thickBot="1" x14ac:dyDescent="0.35">
      <c r="A84" s="25"/>
      <c r="B84" s="26"/>
      <c r="C84" s="27"/>
      <c r="D84" s="28"/>
      <c r="E84" s="29"/>
      <c r="F84" s="29"/>
      <c r="G84" s="30"/>
    </row>
    <row r="85" spans="1:7" s="4" customFormat="1" ht="33.75" customHeight="1" x14ac:dyDescent="0.3">
      <c r="A85" s="5">
        <v>43480</v>
      </c>
      <c r="B85" s="6" t="s">
        <v>21</v>
      </c>
      <c r="C85" s="72" t="s">
        <v>16</v>
      </c>
      <c r="D85" s="100" t="s">
        <v>17</v>
      </c>
      <c r="E85" s="15">
        <v>253</v>
      </c>
      <c r="F85" s="156" t="s">
        <v>177</v>
      </c>
      <c r="G85" s="38" t="s">
        <v>178</v>
      </c>
    </row>
    <row r="86" spans="1:7" s="4" customFormat="1" ht="33.75" customHeight="1" x14ac:dyDescent="0.3">
      <c r="A86" s="5"/>
      <c r="B86" s="6"/>
      <c r="C86" s="84"/>
      <c r="D86" s="100"/>
      <c r="E86" s="9"/>
      <c r="F86" s="10"/>
      <c r="G86" s="11"/>
    </row>
    <row r="87" spans="1:7" s="4" customFormat="1" ht="33.75" customHeight="1" thickBot="1" x14ac:dyDescent="0.35">
      <c r="A87" s="5"/>
      <c r="B87" s="6"/>
      <c r="C87" s="157"/>
      <c r="D87" s="8"/>
      <c r="E87" s="9"/>
      <c r="F87" s="37"/>
      <c r="G87" s="11"/>
    </row>
    <row r="88" spans="1:7" s="4" customFormat="1" ht="33.75" customHeight="1" thickBot="1" x14ac:dyDescent="0.35">
      <c r="A88" s="25"/>
      <c r="B88" s="26"/>
      <c r="C88" s="27" t="s">
        <v>135</v>
      </c>
      <c r="D88" s="28" t="s">
        <v>179</v>
      </c>
      <c r="E88" s="29" t="s">
        <v>180</v>
      </c>
      <c r="F88" s="29" t="s">
        <v>40</v>
      </c>
      <c r="G88" s="30"/>
    </row>
    <row r="89" spans="1:7" s="4" customFormat="1" ht="33.75" customHeight="1" x14ac:dyDescent="0.3">
      <c r="A89" s="5">
        <v>43481</v>
      </c>
      <c r="B89" s="6" t="s">
        <v>41</v>
      </c>
      <c r="C89" s="31" t="s">
        <v>16</v>
      </c>
      <c r="D89" s="32" t="s">
        <v>17</v>
      </c>
      <c r="E89" s="33">
        <v>155</v>
      </c>
      <c r="F89" s="10"/>
      <c r="G89" s="11"/>
    </row>
    <row r="90" spans="1:7" s="4" customFormat="1" ht="33.75" customHeight="1" x14ac:dyDescent="0.3">
      <c r="A90" s="5"/>
      <c r="B90" s="6"/>
      <c r="C90" s="17"/>
      <c r="D90" s="14" t="s">
        <v>75</v>
      </c>
      <c r="E90" s="9">
        <v>100</v>
      </c>
      <c r="F90" s="10"/>
      <c r="G90" s="11"/>
    </row>
    <row r="91" spans="1:7" s="4" customFormat="1" ht="33.75" customHeight="1" x14ac:dyDescent="0.3">
      <c r="A91" s="5"/>
      <c r="B91" s="6"/>
      <c r="C91" s="36"/>
      <c r="D91" s="14" t="s">
        <v>18</v>
      </c>
      <c r="E91" s="9">
        <v>1</v>
      </c>
      <c r="F91" s="10"/>
      <c r="G91" s="11"/>
    </row>
    <row r="92" spans="1:7" s="4" customFormat="1" ht="33.75" customHeight="1" x14ac:dyDescent="0.3">
      <c r="A92" s="5"/>
      <c r="B92" s="6"/>
      <c r="C92" s="87" t="s">
        <v>181</v>
      </c>
      <c r="D92" s="82" t="s">
        <v>142</v>
      </c>
      <c r="E92" s="15" t="s">
        <v>35</v>
      </c>
      <c r="F92" s="10"/>
      <c r="G92" s="11" t="s">
        <v>73</v>
      </c>
    </row>
    <row r="93" spans="1:7" s="4" customFormat="1" ht="33.75" customHeight="1" x14ac:dyDescent="0.3">
      <c r="A93" s="5"/>
      <c r="B93" s="6"/>
      <c r="C93" s="97" t="s">
        <v>160</v>
      </c>
      <c r="D93" s="100" t="s">
        <v>14</v>
      </c>
      <c r="E93" s="15">
        <v>25</v>
      </c>
      <c r="F93" s="37"/>
      <c r="G93" s="11"/>
    </row>
    <row r="94" spans="1:7" s="4" customFormat="1" ht="33.75" customHeight="1" thickBot="1" x14ac:dyDescent="0.35">
      <c r="A94" s="5"/>
      <c r="B94" s="6"/>
      <c r="C94" s="25"/>
      <c r="D94" s="100" t="s">
        <v>25</v>
      </c>
      <c r="E94" s="9">
        <v>75</v>
      </c>
      <c r="F94" s="37"/>
      <c r="G94" s="11"/>
    </row>
    <row r="95" spans="1:7" s="4" customFormat="1" ht="33.75" customHeight="1" thickBot="1" x14ac:dyDescent="0.35">
      <c r="A95" s="25"/>
      <c r="B95" s="26"/>
      <c r="C95" s="27" t="s">
        <v>135</v>
      </c>
      <c r="D95" s="28" t="s">
        <v>182</v>
      </c>
      <c r="E95" s="29" t="s">
        <v>183</v>
      </c>
      <c r="F95" s="29" t="s">
        <v>40</v>
      </c>
      <c r="G95" s="30"/>
    </row>
    <row r="96" spans="1:7" s="4" customFormat="1" ht="33.75" customHeight="1" x14ac:dyDescent="0.3">
      <c r="A96" s="5">
        <v>43847</v>
      </c>
      <c r="B96" s="6" t="s">
        <v>55</v>
      </c>
      <c r="C96" s="97" t="s">
        <v>107</v>
      </c>
      <c r="D96" s="100" t="s">
        <v>31</v>
      </c>
      <c r="E96" s="15">
        <v>40</v>
      </c>
      <c r="F96" s="37"/>
      <c r="G96" s="11" t="s">
        <v>184</v>
      </c>
    </row>
    <row r="97" spans="1:7" s="4" customFormat="1" ht="33.75" customHeight="1" x14ac:dyDescent="0.3">
      <c r="A97" s="5"/>
      <c r="B97" s="6"/>
      <c r="C97" s="84"/>
      <c r="D97" s="100" t="s">
        <v>29</v>
      </c>
      <c r="E97" s="15">
        <v>40</v>
      </c>
      <c r="F97" s="37"/>
      <c r="G97" s="38"/>
    </row>
    <row r="98" spans="1:7" s="4" customFormat="1" ht="33.75" customHeight="1" x14ac:dyDescent="0.3">
      <c r="A98" s="5"/>
      <c r="B98" s="6"/>
      <c r="C98" s="97" t="s">
        <v>141</v>
      </c>
      <c r="D98" s="100" t="s">
        <v>5</v>
      </c>
      <c r="E98" s="15">
        <v>100</v>
      </c>
      <c r="F98" s="37"/>
      <c r="G98" s="38"/>
    </row>
    <row r="99" spans="1:7" s="4" customFormat="1" ht="33.75" customHeight="1" x14ac:dyDescent="0.3">
      <c r="A99" s="5"/>
      <c r="B99" s="6"/>
      <c r="C99" s="84"/>
      <c r="D99" s="100" t="s">
        <v>3</v>
      </c>
      <c r="E99" s="15">
        <v>20</v>
      </c>
      <c r="F99" s="37"/>
      <c r="G99" s="38"/>
    </row>
    <row r="100" spans="1:7" s="4" customFormat="1" ht="33.75" customHeight="1" thickBot="1" x14ac:dyDescent="0.35">
      <c r="A100" s="5"/>
      <c r="B100" s="6"/>
      <c r="C100" s="7" t="s">
        <v>185</v>
      </c>
      <c r="D100" s="14" t="s">
        <v>7</v>
      </c>
      <c r="E100" s="15" t="s">
        <v>64</v>
      </c>
      <c r="F100" s="37"/>
      <c r="G100" s="38" t="s">
        <v>118</v>
      </c>
    </row>
    <row r="101" spans="1:7" s="4" customFormat="1" ht="33.75" customHeight="1" thickBot="1" x14ac:dyDescent="0.35">
      <c r="A101" s="25"/>
      <c r="B101" s="26"/>
      <c r="C101" s="27"/>
      <c r="D101" s="28"/>
      <c r="E101" s="29"/>
      <c r="F101" s="29"/>
      <c r="G101" s="30"/>
    </row>
    <row r="102" spans="1:7" s="4" customFormat="1" ht="108.75" customHeight="1" thickBot="1" x14ac:dyDescent="0.35">
      <c r="A102" s="1" t="s">
        <v>0</v>
      </c>
      <c r="B102" s="2"/>
      <c r="C102" s="2"/>
      <c r="D102" s="2"/>
      <c r="E102" s="2"/>
      <c r="F102" s="2"/>
      <c r="G102" s="3"/>
    </row>
    <row r="103" spans="1:7" s="4" customFormat="1" ht="33.75" customHeight="1" x14ac:dyDescent="0.3">
      <c r="A103" s="72">
        <v>43485</v>
      </c>
      <c r="B103" s="99" t="s">
        <v>1</v>
      </c>
      <c r="C103" s="13" t="s">
        <v>22</v>
      </c>
      <c r="D103" s="8" t="s">
        <v>186</v>
      </c>
      <c r="E103" s="9">
        <v>50</v>
      </c>
      <c r="F103" s="10"/>
      <c r="G103" s="11"/>
    </row>
    <row r="104" spans="1:7" s="4" customFormat="1" ht="33.75" customHeight="1" x14ac:dyDescent="0.3">
      <c r="A104" s="5"/>
      <c r="B104" s="6"/>
      <c r="C104" s="7" t="s">
        <v>16</v>
      </c>
      <c r="D104" s="8" t="s">
        <v>18</v>
      </c>
      <c r="E104" s="9">
        <v>149</v>
      </c>
      <c r="F104" s="10"/>
      <c r="G104" s="11"/>
    </row>
    <row r="105" spans="1:7" s="4" customFormat="1" ht="33.75" customHeight="1" x14ac:dyDescent="0.3">
      <c r="A105" s="5"/>
      <c r="B105" s="6"/>
      <c r="C105" s="13" t="s">
        <v>19</v>
      </c>
      <c r="D105" s="8" t="s">
        <v>13</v>
      </c>
      <c r="E105" s="9">
        <v>50</v>
      </c>
      <c r="F105" s="10"/>
      <c r="G105" s="11"/>
    </row>
    <row r="106" spans="1:7" s="4" customFormat="1" ht="33.75" customHeight="1" thickBot="1" x14ac:dyDescent="0.35">
      <c r="A106" s="5"/>
      <c r="B106" s="6"/>
      <c r="C106" s="158" t="s">
        <v>69</v>
      </c>
      <c r="D106" s="18" t="s">
        <v>70</v>
      </c>
      <c r="E106" s="19">
        <v>90</v>
      </c>
      <c r="F106" s="47"/>
      <c r="G106" s="48"/>
    </row>
    <row r="107" spans="1:7" s="4" customFormat="1" ht="33.75" customHeight="1" thickBot="1" x14ac:dyDescent="0.35">
      <c r="A107" s="25"/>
      <c r="B107" s="26"/>
      <c r="C107" s="27"/>
      <c r="D107" s="28"/>
      <c r="E107" s="29"/>
      <c r="F107" s="29"/>
      <c r="G107" s="30"/>
    </row>
    <row r="108" spans="1:7" s="4" customFormat="1" ht="33.75" customHeight="1" x14ac:dyDescent="0.3">
      <c r="A108" s="5">
        <v>43851</v>
      </c>
      <c r="B108" s="75" t="s">
        <v>15</v>
      </c>
      <c r="C108" s="17" t="s">
        <v>43</v>
      </c>
      <c r="D108" s="8" t="s">
        <v>187</v>
      </c>
      <c r="E108" s="9">
        <v>50</v>
      </c>
      <c r="F108" s="37"/>
      <c r="G108" s="38"/>
    </row>
    <row r="109" spans="1:7" s="4" customFormat="1" ht="33.75" customHeight="1" x14ac:dyDescent="0.3">
      <c r="A109" s="5"/>
      <c r="B109" s="75"/>
      <c r="C109" s="17"/>
      <c r="D109" s="8" t="s">
        <v>31</v>
      </c>
      <c r="E109" s="9">
        <v>20</v>
      </c>
      <c r="F109" s="10"/>
      <c r="G109" s="11"/>
    </row>
    <row r="110" spans="1:7" s="4" customFormat="1" ht="33.75" customHeight="1" x14ac:dyDescent="0.3">
      <c r="A110" s="5"/>
      <c r="B110" s="75"/>
      <c r="C110" s="17"/>
      <c r="D110" s="18" t="s">
        <v>29</v>
      </c>
      <c r="E110" s="19">
        <v>40</v>
      </c>
      <c r="F110" s="47"/>
      <c r="G110" s="48"/>
    </row>
    <row r="111" spans="1:7" s="4" customFormat="1" ht="33.75" customHeight="1" x14ac:dyDescent="0.3">
      <c r="A111" s="5"/>
      <c r="B111" s="75"/>
      <c r="C111" s="17"/>
      <c r="D111" s="95" t="s">
        <v>13</v>
      </c>
      <c r="E111" s="96">
        <v>50</v>
      </c>
      <c r="F111" s="63"/>
      <c r="G111" s="64"/>
    </row>
    <row r="112" spans="1:7" s="4" customFormat="1" ht="33.75" customHeight="1" x14ac:dyDescent="0.3">
      <c r="A112" s="5"/>
      <c r="B112" s="75"/>
      <c r="C112" s="17"/>
      <c r="D112" s="95" t="s">
        <v>59</v>
      </c>
      <c r="E112" s="96">
        <v>128</v>
      </c>
      <c r="F112" s="63"/>
      <c r="G112" s="64"/>
    </row>
    <row r="113" spans="1:7" s="4" customFormat="1" ht="33.75" customHeight="1" x14ac:dyDescent="0.3">
      <c r="A113" s="5"/>
      <c r="B113" s="75"/>
      <c r="C113" s="36"/>
      <c r="D113" s="95" t="s">
        <v>125</v>
      </c>
      <c r="E113" s="96">
        <v>64</v>
      </c>
      <c r="F113" s="63"/>
      <c r="G113" s="64"/>
    </row>
    <row r="114" spans="1:7" s="4" customFormat="1" ht="33.75" customHeight="1" x14ac:dyDescent="0.3">
      <c r="A114" s="5"/>
      <c r="B114" s="75"/>
      <c r="C114" s="87" t="s">
        <v>160</v>
      </c>
      <c r="D114" s="82" t="s">
        <v>25</v>
      </c>
      <c r="E114" s="9">
        <v>100</v>
      </c>
      <c r="F114" s="83"/>
      <c r="G114" s="159"/>
    </row>
    <row r="115" spans="1:7" s="4" customFormat="1" ht="33.75" customHeight="1" x14ac:dyDescent="0.3">
      <c r="A115" s="5"/>
      <c r="B115" s="75"/>
      <c r="C115" s="17" t="s">
        <v>6</v>
      </c>
      <c r="D115" s="18" t="s">
        <v>11</v>
      </c>
      <c r="E115" s="19" t="s">
        <v>62</v>
      </c>
      <c r="F115" s="47"/>
      <c r="G115" s="48"/>
    </row>
    <row r="116" spans="1:7" s="4" customFormat="1" ht="33.75" customHeight="1" thickBot="1" x14ac:dyDescent="0.35">
      <c r="A116" s="5"/>
      <c r="B116" s="75"/>
      <c r="C116" s="20"/>
      <c r="D116" s="8" t="s">
        <v>7</v>
      </c>
      <c r="E116" s="9" t="s">
        <v>62</v>
      </c>
      <c r="F116" s="10"/>
      <c r="G116" s="11"/>
    </row>
    <row r="117" spans="1:7" s="4" customFormat="1" ht="33.75" customHeight="1" thickBot="1" x14ac:dyDescent="0.35">
      <c r="A117" s="25"/>
      <c r="B117" s="79"/>
      <c r="C117" s="27" t="s">
        <v>188</v>
      </c>
      <c r="D117" s="28" t="s">
        <v>189</v>
      </c>
      <c r="E117" s="29" t="s">
        <v>190</v>
      </c>
      <c r="F117" s="29" t="s">
        <v>115</v>
      </c>
      <c r="G117" s="30"/>
    </row>
    <row r="118" spans="1:7" s="4" customFormat="1" ht="33.75" customHeight="1" x14ac:dyDescent="0.3">
      <c r="A118" s="72">
        <v>43487</v>
      </c>
      <c r="B118" s="99" t="s">
        <v>21</v>
      </c>
      <c r="C118" s="160" t="s">
        <v>16</v>
      </c>
      <c r="D118" s="80" t="s">
        <v>17</v>
      </c>
      <c r="E118" s="9">
        <v>156</v>
      </c>
      <c r="F118" s="81"/>
      <c r="G118" s="103" t="s">
        <v>157</v>
      </c>
    </row>
    <row r="119" spans="1:7" s="4" customFormat="1" ht="33.75" customHeight="1" x14ac:dyDescent="0.3">
      <c r="A119" s="5"/>
      <c r="B119" s="6"/>
      <c r="C119" s="16" t="s">
        <v>92</v>
      </c>
      <c r="D119" s="8" t="s">
        <v>93</v>
      </c>
      <c r="E119" s="9">
        <v>100</v>
      </c>
      <c r="F119" s="63"/>
      <c r="G119" s="64"/>
    </row>
    <row r="120" spans="1:7" s="4" customFormat="1" ht="33.75" customHeight="1" thickBot="1" x14ac:dyDescent="0.35">
      <c r="A120" s="5"/>
      <c r="B120" s="6"/>
      <c r="C120" s="20"/>
      <c r="D120" s="161" t="s">
        <v>126</v>
      </c>
      <c r="E120" s="162">
        <v>100</v>
      </c>
      <c r="F120" s="77"/>
      <c r="G120" s="78"/>
    </row>
    <row r="121" spans="1:7" s="4" customFormat="1" ht="33.75" customHeight="1" thickBot="1" x14ac:dyDescent="0.35">
      <c r="A121" s="25"/>
      <c r="B121" s="26"/>
      <c r="C121" s="143"/>
      <c r="D121" s="144"/>
      <c r="E121" s="163"/>
      <c r="F121" s="90"/>
      <c r="G121" s="164"/>
    </row>
    <row r="122" spans="1:7" s="4" customFormat="1" ht="33.75" customHeight="1" x14ac:dyDescent="0.3">
      <c r="A122" s="72">
        <v>43488</v>
      </c>
      <c r="B122" s="99" t="s">
        <v>41</v>
      </c>
      <c r="C122" s="114" t="s">
        <v>32</v>
      </c>
      <c r="D122" s="32" t="s">
        <v>191</v>
      </c>
      <c r="E122" s="33">
        <v>384</v>
      </c>
      <c r="F122" s="34"/>
      <c r="G122" s="35" t="s">
        <v>104</v>
      </c>
    </row>
    <row r="123" spans="1:7" s="4" customFormat="1" ht="33.75" customHeight="1" thickBot="1" x14ac:dyDescent="0.35">
      <c r="A123" s="5"/>
      <c r="B123" s="6"/>
      <c r="C123" s="165"/>
      <c r="D123" s="166"/>
      <c r="E123" s="167"/>
      <c r="F123" s="167"/>
      <c r="G123" s="24"/>
    </row>
    <row r="124" spans="1:7" s="4" customFormat="1" ht="33.75" customHeight="1" thickBot="1" x14ac:dyDescent="0.35">
      <c r="A124" s="5"/>
      <c r="B124" s="6"/>
      <c r="C124" s="27" t="s">
        <v>37</v>
      </c>
      <c r="D124" s="28" t="s">
        <v>192</v>
      </c>
      <c r="E124" s="29" t="s">
        <v>121</v>
      </c>
      <c r="F124" s="29" t="s">
        <v>193</v>
      </c>
      <c r="G124" s="30"/>
    </row>
    <row r="125" spans="1:7" s="4" customFormat="1" ht="33.75" customHeight="1" thickBot="1" x14ac:dyDescent="0.35">
      <c r="A125" s="25"/>
      <c r="B125" s="26"/>
      <c r="C125" s="143" t="s">
        <v>194</v>
      </c>
      <c r="D125" s="144" t="s">
        <v>195</v>
      </c>
      <c r="E125" s="163" t="s">
        <v>196</v>
      </c>
      <c r="F125" s="90" t="s">
        <v>197</v>
      </c>
      <c r="G125" s="164"/>
    </row>
    <row r="126" spans="1:7" s="4" customFormat="1" ht="33.75" customHeight="1" x14ac:dyDescent="0.3">
      <c r="A126" s="72">
        <v>43489</v>
      </c>
      <c r="B126" s="99" t="s">
        <v>55</v>
      </c>
      <c r="C126" s="132" t="s">
        <v>198</v>
      </c>
      <c r="D126" s="133"/>
      <c r="E126" s="133"/>
      <c r="F126" s="133"/>
      <c r="G126" s="134"/>
    </row>
    <row r="127" spans="1:7" s="4" customFormat="1" ht="33.75" customHeight="1" x14ac:dyDescent="0.3">
      <c r="A127" s="5"/>
      <c r="B127" s="6"/>
      <c r="C127" s="135"/>
      <c r="D127" s="136"/>
      <c r="E127" s="136"/>
      <c r="F127" s="136"/>
      <c r="G127" s="137"/>
    </row>
    <row r="128" spans="1:7" s="4" customFormat="1" ht="33.75" customHeight="1" thickBot="1" x14ac:dyDescent="0.35">
      <c r="A128" s="25"/>
      <c r="B128" s="26"/>
      <c r="C128" s="138"/>
      <c r="D128" s="139"/>
      <c r="E128" s="139"/>
      <c r="F128" s="139"/>
      <c r="G128" s="140"/>
    </row>
    <row r="129" spans="1:8" ht="108.75" customHeight="1" thickBot="1" x14ac:dyDescent="0.35">
      <c r="A129" s="1" t="s">
        <v>0</v>
      </c>
      <c r="B129" s="2"/>
      <c r="C129" s="2"/>
      <c r="D129" s="2"/>
      <c r="E129" s="2"/>
      <c r="F129" s="2"/>
      <c r="G129" s="3"/>
      <c r="H129" s="12"/>
    </row>
    <row r="130" spans="1:8" ht="36" customHeight="1" x14ac:dyDescent="0.3">
      <c r="A130" s="72">
        <v>43492</v>
      </c>
      <c r="B130" s="99" t="s">
        <v>1</v>
      </c>
      <c r="C130" s="132" t="s">
        <v>198</v>
      </c>
      <c r="D130" s="133"/>
      <c r="E130" s="133"/>
      <c r="F130" s="133"/>
      <c r="G130" s="134"/>
      <c r="H130" s="12"/>
    </row>
    <row r="131" spans="1:8" ht="36" customHeight="1" thickBot="1" x14ac:dyDescent="0.35">
      <c r="A131" s="5"/>
      <c r="B131" s="6"/>
      <c r="C131" s="135"/>
      <c r="D131" s="136"/>
      <c r="E131" s="136"/>
      <c r="F131" s="136"/>
      <c r="G131" s="137"/>
      <c r="H131" s="12"/>
    </row>
    <row r="132" spans="1:8" ht="36" customHeight="1" x14ac:dyDescent="0.3">
      <c r="A132" s="72">
        <v>43858</v>
      </c>
      <c r="B132" s="99" t="s">
        <v>15</v>
      </c>
      <c r="C132" s="135"/>
      <c r="D132" s="136"/>
      <c r="E132" s="136"/>
      <c r="F132" s="136"/>
      <c r="G132" s="137"/>
      <c r="H132" s="12"/>
    </row>
    <row r="133" spans="1:8" ht="36" customHeight="1" thickBot="1" x14ac:dyDescent="0.35">
      <c r="A133" s="5"/>
      <c r="B133" s="6"/>
      <c r="C133" s="138"/>
      <c r="D133" s="139"/>
      <c r="E133" s="139"/>
      <c r="F133" s="139"/>
      <c r="G133" s="140"/>
      <c r="H133" s="12"/>
    </row>
    <row r="134" spans="1:8" ht="36" customHeight="1" x14ac:dyDescent="0.3">
      <c r="A134" s="72">
        <v>43494</v>
      </c>
      <c r="B134" s="99" t="s">
        <v>21</v>
      </c>
      <c r="C134" s="31" t="s">
        <v>16</v>
      </c>
      <c r="D134" s="32" t="s">
        <v>17</v>
      </c>
      <c r="E134" s="33">
        <v>120</v>
      </c>
      <c r="F134" s="34"/>
      <c r="G134" s="35"/>
    </row>
    <row r="135" spans="1:8" ht="36" customHeight="1" x14ac:dyDescent="0.3">
      <c r="A135" s="5"/>
      <c r="B135" s="6"/>
      <c r="C135" s="17"/>
      <c r="D135" s="8" t="s">
        <v>75</v>
      </c>
      <c r="E135" s="9">
        <v>100</v>
      </c>
      <c r="F135" s="10"/>
      <c r="G135" s="11"/>
    </row>
    <row r="136" spans="1:8" ht="36" customHeight="1" x14ac:dyDescent="0.3">
      <c r="A136" s="5"/>
      <c r="B136" s="6"/>
      <c r="C136" s="17"/>
      <c r="D136" s="8" t="s">
        <v>18</v>
      </c>
      <c r="E136" s="9">
        <v>1</v>
      </c>
      <c r="F136" s="10"/>
      <c r="G136" s="11"/>
    </row>
    <row r="137" spans="1:8" ht="36" customHeight="1" x14ac:dyDescent="0.3">
      <c r="A137" s="5"/>
      <c r="B137" s="6"/>
      <c r="C137" s="36"/>
      <c r="D137" s="14" t="s">
        <v>76</v>
      </c>
      <c r="E137" s="15" t="s">
        <v>199</v>
      </c>
      <c r="F137" s="37"/>
      <c r="G137" s="38"/>
    </row>
    <row r="138" spans="1:8" ht="36" customHeight="1" x14ac:dyDescent="0.3">
      <c r="A138" s="5"/>
      <c r="B138" s="6"/>
      <c r="C138" s="13" t="s">
        <v>82</v>
      </c>
      <c r="D138" s="8" t="s">
        <v>14</v>
      </c>
      <c r="E138" s="9">
        <v>100</v>
      </c>
      <c r="F138" s="10"/>
      <c r="G138" s="11" t="s">
        <v>104</v>
      </c>
    </row>
    <row r="139" spans="1:8" ht="36" customHeight="1" x14ac:dyDescent="0.3">
      <c r="A139" s="5"/>
      <c r="B139" s="6"/>
      <c r="C139" s="16" t="s">
        <v>6</v>
      </c>
      <c r="D139" s="8" t="s">
        <v>14</v>
      </c>
      <c r="E139" s="9">
        <v>30</v>
      </c>
      <c r="F139" s="10"/>
      <c r="G139" s="11"/>
    </row>
    <row r="140" spans="1:8" ht="36" customHeight="1" x14ac:dyDescent="0.3">
      <c r="A140" s="5"/>
      <c r="B140" s="6"/>
      <c r="C140" s="36"/>
      <c r="D140" s="18" t="s">
        <v>7</v>
      </c>
      <c r="E140" s="19" t="s">
        <v>62</v>
      </c>
      <c r="F140" s="47"/>
      <c r="G140" s="48"/>
    </row>
    <row r="141" spans="1:8" ht="36" customHeight="1" x14ac:dyDescent="0.3">
      <c r="A141" s="5"/>
      <c r="B141" s="6"/>
      <c r="C141" s="16" t="s">
        <v>175</v>
      </c>
      <c r="D141" s="95" t="s">
        <v>7</v>
      </c>
      <c r="E141" s="96" t="s">
        <v>12</v>
      </c>
      <c r="F141" s="63"/>
      <c r="G141" s="64"/>
    </row>
    <row r="142" spans="1:8" ht="36" customHeight="1" x14ac:dyDescent="0.3">
      <c r="A142" s="5"/>
      <c r="B142" s="6"/>
      <c r="C142" s="17"/>
      <c r="D142" s="95" t="s">
        <v>49</v>
      </c>
      <c r="E142" s="96" t="s">
        <v>10</v>
      </c>
      <c r="F142" s="63"/>
      <c r="G142" s="64"/>
    </row>
    <row r="143" spans="1:8" ht="36" customHeight="1" x14ac:dyDescent="0.3">
      <c r="A143" s="5"/>
      <c r="B143" s="6"/>
      <c r="C143" s="17"/>
      <c r="D143" s="95" t="s">
        <v>53</v>
      </c>
      <c r="E143" s="96" t="s">
        <v>10</v>
      </c>
      <c r="F143" s="63"/>
      <c r="G143" s="64"/>
    </row>
    <row r="144" spans="1:8" ht="36" customHeight="1" thickBot="1" x14ac:dyDescent="0.35">
      <c r="A144" s="5"/>
      <c r="B144" s="6"/>
      <c r="C144" s="36"/>
      <c r="D144" s="8" t="s">
        <v>9</v>
      </c>
      <c r="E144" s="9" t="s">
        <v>10</v>
      </c>
      <c r="F144" s="10"/>
      <c r="G144" s="11"/>
    </row>
    <row r="145" spans="1:7" ht="36" customHeight="1" thickBot="1" x14ac:dyDescent="0.35">
      <c r="A145" s="25"/>
      <c r="B145" s="26"/>
      <c r="C145" s="27" t="s">
        <v>37</v>
      </c>
      <c r="D145" s="28" t="s">
        <v>192</v>
      </c>
      <c r="E145" s="29" t="s">
        <v>121</v>
      </c>
      <c r="F145" s="29" t="s">
        <v>200</v>
      </c>
      <c r="G145" s="30"/>
    </row>
    <row r="146" spans="1:7" ht="36" customHeight="1" x14ac:dyDescent="0.3">
      <c r="A146" s="72">
        <v>43495</v>
      </c>
      <c r="B146" s="99" t="s">
        <v>41</v>
      </c>
      <c r="C146" s="31" t="s">
        <v>16</v>
      </c>
      <c r="D146" s="32" t="s">
        <v>17</v>
      </c>
      <c r="E146" s="33">
        <v>360</v>
      </c>
      <c r="F146" s="34"/>
      <c r="G146" s="38"/>
    </row>
    <row r="147" spans="1:7" ht="36" customHeight="1" x14ac:dyDescent="0.3">
      <c r="A147" s="5"/>
      <c r="B147" s="6"/>
      <c r="C147" s="17"/>
      <c r="D147" s="8" t="s">
        <v>18</v>
      </c>
      <c r="E147" s="9">
        <v>1</v>
      </c>
      <c r="F147" s="10"/>
      <c r="G147" s="11"/>
    </row>
    <row r="148" spans="1:7" ht="36" customHeight="1" x14ac:dyDescent="0.3">
      <c r="A148" s="5"/>
      <c r="B148" s="6"/>
      <c r="C148" s="36"/>
      <c r="D148" s="8" t="s">
        <v>76</v>
      </c>
      <c r="E148" s="9" t="s">
        <v>54</v>
      </c>
      <c r="F148" s="10"/>
      <c r="G148" s="11"/>
    </row>
    <row r="149" spans="1:7" ht="36" customHeight="1" x14ac:dyDescent="0.3">
      <c r="A149" s="5"/>
      <c r="B149" s="6"/>
      <c r="C149" s="158" t="s">
        <v>117</v>
      </c>
      <c r="D149" s="8" t="s">
        <v>5</v>
      </c>
      <c r="E149" s="9">
        <v>200</v>
      </c>
      <c r="F149" s="10"/>
      <c r="G149" s="11" t="s">
        <v>118</v>
      </c>
    </row>
    <row r="150" spans="1:7" ht="36" customHeight="1" x14ac:dyDescent="0.3">
      <c r="A150" s="5"/>
      <c r="B150" s="6"/>
      <c r="C150" s="16" t="s">
        <v>19</v>
      </c>
      <c r="D150" s="8" t="s">
        <v>11</v>
      </c>
      <c r="E150" s="9" t="s">
        <v>20</v>
      </c>
      <c r="F150" s="10"/>
      <c r="G150" s="11" t="s">
        <v>73</v>
      </c>
    </row>
    <row r="151" spans="1:7" ht="36" customHeight="1" x14ac:dyDescent="0.3">
      <c r="A151" s="5"/>
      <c r="B151" s="6"/>
      <c r="C151" s="17"/>
      <c r="D151" s="8" t="s">
        <v>9</v>
      </c>
      <c r="E151" s="9" t="s">
        <v>12</v>
      </c>
      <c r="F151" s="10"/>
      <c r="G151" s="11"/>
    </row>
    <row r="152" spans="1:7" ht="36" customHeight="1" x14ac:dyDescent="0.3">
      <c r="A152" s="5"/>
      <c r="B152" s="6"/>
      <c r="C152" s="17"/>
      <c r="D152" s="8" t="s">
        <v>49</v>
      </c>
      <c r="E152" s="19" t="s">
        <v>201</v>
      </c>
      <c r="F152" s="47"/>
      <c r="G152" s="48"/>
    </row>
    <row r="153" spans="1:7" ht="36" customHeight="1" thickBot="1" x14ac:dyDescent="0.35">
      <c r="A153" s="5"/>
      <c r="B153" s="6"/>
      <c r="C153" s="36"/>
      <c r="D153" s="8" t="s">
        <v>53</v>
      </c>
      <c r="E153" s="96" t="s">
        <v>168</v>
      </c>
      <c r="F153" s="63"/>
      <c r="G153" s="64"/>
    </row>
    <row r="154" spans="1:7" ht="36" customHeight="1" thickBot="1" x14ac:dyDescent="0.35">
      <c r="A154" s="25"/>
      <c r="B154" s="26"/>
      <c r="C154" s="27" t="s">
        <v>202</v>
      </c>
      <c r="D154" s="28" t="s">
        <v>105</v>
      </c>
      <c r="E154" s="29" t="s">
        <v>190</v>
      </c>
      <c r="F154" s="29" t="s">
        <v>200</v>
      </c>
      <c r="G154" s="30"/>
    </row>
    <row r="155" spans="1:7" ht="36" customHeight="1" x14ac:dyDescent="0.3">
      <c r="A155" s="72">
        <v>43496</v>
      </c>
      <c r="B155" s="99" t="s">
        <v>55</v>
      </c>
      <c r="C155" s="114" t="s">
        <v>16</v>
      </c>
      <c r="D155" s="32" t="s">
        <v>17</v>
      </c>
      <c r="E155" s="33">
        <v>270</v>
      </c>
      <c r="F155" s="34"/>
      <c r="G155" s="38" t="s">
        <v>203</v>
      </c>
    </row>
    <row r="156" spans="1:7" s="4" customFormat="1" ht="33.75" customHeight="1" x14ac:dyDescent="0.3">
      <c r="A156" s="5"/>
      <c r="B156" s="6"/>
      <c r="C156" s="7" t="s">
        <v>139</v>
      </c>
      <c r="D156" s="95" t="s">
        <v>14</v>
      </c>
      <c r="E156" s="96">
        <v>50</v>
      </c>
      <c r="F156" s="63"/>
      <c r="G156" s="64"/>
    </row>
    <row r="157" spans="1:7" ht="36" customHeight="1" thickBot="1" x14ac:dyDescent="0.35">
      <c r="A157" s="5"/>
      <c r="B157" s="6"/>
      <c r="C157" s="76" t="s">
        <v>204</v>
      </c>
      <c r="D157" s="21" t="s">
        <v>29</v>
      </c>
      <c r="E157" s="22">
        <v>40</v>
      </c>
      <c r="F157" s="77"/>
      <c r="G157" s="78"/>
    </row>
    <row r="158" spans="1:7" ht="36" customHeight="1" thickBot="1" x14ac:dyDescent="0.35">
      <c r="A158" s="5"/>
      <c r="B158" s="6"/>
      <c r="C158" s="168" t="s">
        <v>205</v>
      </c>
      <c r="D158" s="169" t="s">
        <v>206</v>
      </c>
      <c r="E158" s="169" t="s">
        <v>207</v>
      </c>
      <c r="F158" s="170" t="s">
        <v>193</v>
      </c>
      <c r="G158" s="171"/>
    </row>
    <row r="159" spans="1:7" ht="36" customHeight="1" thickBot="1" x14ac:dyDescent="0.35">
      <c r="A159" s="25"/>
      <c r="B159" s="26"/>
      <c r="C159" s="27" t="s">
        <v>208</v>
      </c>
      <c r="D159" s="28" t="s">
        <v>209</v>
      </c>
      <c r="E159" s="29" t="s">
        <v>210</v>
      </c>
      <c r="F159" s="29" t="s">
        <v>197</v>
      </c>
      <c r="G159" s="30"/>
    </row>
  </sheetData>
  <mergeCells count="86">
    <mergeCell ref="A146:A154"/>
    <mergeCell ref="B146:B154"/>
    <mergeCell ref="C146:C148"/>
    <mergeCell ref="C150:C153"/>
    <mergeCell ref="A155:A159"/>
    <mergeCell ref="B155:B159"/>
    <mergeCell ref="A130:A131"/>
    <mergeCell ref="B130:B131"/>
    <mergeCell ref="C130:G133"/>
    <mergeCell ref="A132:A133"/>
    <mergeCell ref="B132:B133"/>
    <mergeCell ref="A134:A145"/>
    <mergeCell ref="B134:B145"/>
    <mergeCell ref="C134:C137"/>
    <mergeCell ref="C139:C140"/>
    <mergeCell ref="C141:C144"/>
    <mergeCell ref="A122:A125"/>
    <mergeCell ref="B122:B125"/>
    <mergeCell ref="A126:A128"/>
    <mergeCell ref="B126:B128"/>
    <mergeCell ref="C126:G128"/>
    <mergeCell ref="A129:G129"/>
    <mergeCell ref="A108:A117"/>
    <mergeCell ref="B108:B117"/>
    <mergeCell ref="C108:C113"/>
    <mergeCell ref="C115:C116"/>
    <mergeCell ref="A118:A121"/>
    <mergeCell ref="B118:B121"/>
    <mergeCell ref="C119:C120"/>
    <mergeCell ref="A96:A101"/>
    <mergeCell ref="B96:B101"/>
    <mergeCell ref="C96:C97"/>
    <mergeCell ref="C98:C99"/>
    <mergeCell ref="A102:G102"/>
    <mergeCell ref="A103:A107"/>
    <mergeCell ref="B103:B107"/>
    <mergeCell ref="A85:A88"/>
    <mergeCell ref="B85:B88"/>
    <mergeCell ref="C85:C86"/>
    <mergeCell ref="A89:A95"/>
    <mergeCell ref="B89:B95"/>
    <mergeCell ref="C89:C91"/>
    <mergeCell ref="C93:C94"/>
    <mergeCell ref="A70:G70"/>
    <mergeCell ref="A71:A78"/>
    <mergeCell ref="B71:B78"/>
    <mergeCell ref="C72:C76"/>
    <mergeCell ref="A79:A84"/>
    <mergeCell ref="B79:B84"/>
    <mergeCell ref="C79:C80"/>
    <mergeCell ref="A54:A62"/>
    <mergeCell ref="B54:B62"/>
    <mergeCell ref="C54:C57"/>
    <mergeCell ref="C59:C60"/>
    <mergeCell ref="A63:A69"/>
    <mergeCell ref="B63:B69"/>
    <mergeCell ref="C63:C66"/>
    <mergeCell ref="C67:C68"/>
    <mergeCell ref="A40:A41"/>
    <mergeCell ref="B40:B41"/>
    <mergeCell ref="A42:A53"/>
    <mergeCell ref="B42:B53"/>
    <mergeCell ref="C42:C44"/>
    <mergeCell ref="C46:C52"/>
    <mergeCell ref="A19:A26"/>
    <mergeCell ref="B19:B26"/>
    <mergeCell ref="C20:C22"/>
    <mergeCell ref="A27:G27"/>
    <mergeCell ref="A28:A39"/>
    <mergeCell ref="B28:B39"/>
    <mergeCell ref="C29:C32"/>
    <mergeCell ref="C33:C34"/>
    <mergeCell ref="C36:C38"/>
    <mergeCell ref="A11:A13"/>
    <mergeCell ref="B11:B13"/>
    <mergeCell ref="C11:G13"/>
    <mergeCell ref="A14:A18"/>
    <mergeCell ref="B14:B18"/>
    <mergeCell ref="C14:C17"/>
    <mergeCell ref="A1:G1"/>
    <mergeCell ref="A2:A6"/>
    <mergeCell ref="B2:B6"/>
    <mergeCell ref="C3:C5"/>
    <mergeCell ref="A7:A10"/>
    <mergeCell ref="B7:B10"/>
    <mergeCell ref="C7:C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70" fitToHeight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view="pageBreakPreview" zoomScale="87" zoomScaleNormal="87" zoomScaleSheetLayoutView="87" workbookViewId="0">
      <selection activeCell="D121" sqref="D121"/>
    </sheetView>
  </sheetViews>
  <sheetFormatPr defaultColWidth="9" defaultRowHeight="36" customHeight="1" x14ac:dyDescent="0.3"/>
  <cols>
    <col min="1" max="1" width="12.375" style="124" customWidth="1"/>
    <col min="2" max="2" width="7.25" style="125" customWidth="1"/>
    <col min="3" max="3" width="21.875" style="126" customWidth="1"/>
    <col min="4" max="4" width="22.5" style="12" customWidth="1"/>
    <col min="5" max="5" width="15.375" style="127" customWidth="1"/>
    <col min="6" max="6" width="24.25" style="127" customWidth="1"/>
    <col min="7" max="7" width="28.125" style="128" customWidth="1"/>
    <col min="8" max="8" width="42.5" style="4" customWidth="1"/>
    <col min="9" max="16384" width="9" style="12"/>
  </cols>
  <sheetData>
    <row r="1" spans="1:8" s="4" customFormat="1" ht="108" customHeight="1" thickBot="1" x14ac:dyDescent="0.35">
      <c r="A1" s="1" t="s">
        <v>0</v>
      </c>
      <c r="B1" s="2"/>
      <c r="C1" s="2"/>
      <c r="D1" s="2"/>
      <c r="E1" s="2"/>
      <c r="F1" s="2"/>
      <c r="G1" s="3"/>
    </row>
    <row r="2" spans="1:8" ht="31.5" customHeight="1" x14ac:dyDescent="0.3">
      <c r="A2" s="5">
        <v>43864</v>
      </c>
      <c r="B2" s="6" t="s">
        <v>1</v>
      </c>
      <c r="C2" s="31" t="s">
        <v>16</v>
      </c>
      <c r="D2" s="8" t="s">
        <v>17</v>
      </c>
      <c r="E2" s="9">
        <v>174</v>
      </c>
      <c r="F2" s="10"/>
      <c r="G2" s="11"/>
      <c r="H2" s="12"/>
    </row>
    <row r="3" spans="1:8" s="4" customFormat="1" ht="31.5" customHeight="1" x14ac:dyDescent="0.3">
      <c r="A3" s="5"/>
      <c r="B3" s="6"/>
      <c r="C3" s="36"/>
      <c r="D3" s="8" t="s">
        <v>75</v>
      </c>
      <c r="E3" s="44">
        <v>100</v>
      </c>
      <c r="F3" s="59"/>
      <c r="G3" s="60"/>
    </row>
    <row r="4" spans="1:8" s="4" customFormat="1" ht="31.5" customHeight="1" x14ac:dyDescent="0.3">
      <c r="A4" s="5"/>
      <c r="B4" s="6"/>
      <c r="C4" s="16" t="s">
        <v>141</v>
      </c>
      <c r="D4" s="14" t="s">
        <v>5</v>
      </c>
      <c r="E4" s="50">
        <v>200</v>
      </c>
      <c r="F4" s="59"/>
      <c r="G4" s="60"/>
    </row>
    <row r="5" spans="1:8" s="4" customFormat="1" ht="31.5" customHeight="1" thickBot="1" x14ac:dyDescent="0.35">
      <c r="A5" s="5"/>
      <c r="B5" s="6"/>
      <c r="C5" s="36"/>
      <c r="D5" s="14" t="s">
        <v>142</v>
      </c>
      <c r="E5" s="50" t="s">
        <v>20</v>
      </c>
      <c r="F5" s="59"/>
      <c r="G5" s="60"/>
    </row>
    <row r="6" spans="1:8" ht="31.5" customHeight="1" thickBot="1" x14ac:dyDescent="0.35">
      <c r="A6" s="25"/>
      <c r="B6" s="26"/>
      <c r="C6" s="27"/>
      <c r="D6" s="28"/>
      <c r="E6" s="29"/>
      <c r="F6" s="29"/>
      <c r="G6" s="30"/>
      <c r="H6" s="12"/>
    </row>
    <row r="7" spans="1:8" ht="31.5" customHeight="1" x14ac:dyDescent="0.3">
      <c r="A7" s="5">
        <v>43865</v>
      </c>
      <c r="B7" s="6" t="s">
        <v>15</v>
      </c>
      <c r="C7" s="16" t="s">
        <v>43</v>
      </c>
      <c r="D7" s="95" t="s">
        <v>211</v>
      </c>
      <c r="E7" s="96">
        <v>64</v>
      </c>
      <c r="F7" s="63"/>
      <c r="G7" s="64"/>
    </row>
    <row r="8" spans="1:8" ht="31.5" customHeight="1" x14ac:dyDescent="0.3">
      <c r="A8" s="5"/>
      <c r="B8" s="6"/>
      <c r="C8" s="17"/>
      <c r="D8" s="95" t="s">
        <v>13</v>
      </c>
      <c r="E8" s="96">
        <v>192</v>
      </c>
      <c r="F8" s="63"/>
      <c r="G8" s="64"/>
    </row>
    <row r="9" spans="1:8" ht="31.5" customHeight="1" x14ac:dyDescent="0.3">
      <c r="A9" s="5"/>
      <c r="B9" s="6"/>
      <c r="C9" s="17"/>
      <c r="D9" s="95" t="s">
        <v>14</v>
      </c>
      <c r="E9" s="96">
        <v>64</v>
      </c>
      <c r="F9" s="63"/>
      <c r="G9" s="64"/>
    </row>
    <row r="10" spans="1:8" s="4" customFormat="1" ht="31.5" customHeight="1" x14ac:dyDescent="0.3">
      <c r="A10" s="5"/>
      <c r="B10" s="6"/>
      <c r="C10" s="36"/>
      <c r="D10" s="95" t="s">
        <v>44</v>
      </c>
      <c r="E10" s="96">
        <v>80</v>
      </c>
      <c r="F10" s="63"/>
      <c r="G10" s="64"/>
    </row>
    <row r="11" spans="1:8" s="4" customFormat="1" ht="31.5" customHeight="1" x14ac:dyDescent="0.3">
      <c r="A11" s="5"/>
      <c r="B11" s="6"/>
      <c r="C11" s="16" t="s">
        <v>102</v>
      </c>
      <c r="D11" s="95" t="s">
        <v>212</v>
      </c>
      <c r="E11" s="96">
        <v>30</v>
      </c>
      <c r="F11" s="63"/>
      <c r="G11" s="64"/>
    </row>
    <row r="12" spans="1:8" s="4" customFormat="1" ht="31.5" customHeight="1" x14ac:dyDescent="0.3">
      <c r="A12" s="5"/>
      <c r="B12" s="6"/>
      <c r="C12" s="17"/>
      <c r="D12" s="95" t="s">
        <v>31</v>
      </c>
      <c r="E12" s="96">
        <v>20</v>
      </c>
      <c r="F12" s="63"/>
      <c r="G12" s="64"/>
    </row>
    <row r="13" spans="1:8" s="4" customFormat="1" ht="31.5" customHeight="1" x14ac:dyDescent="0.3">
      <c r="A13" s="5"/>
      <c r="B13" s="6"/>
      <c r="C13" s="36"/>
      <c r="D13" s="95" t="s">
        <v>7</v>
      </c>
      <c r="E13" s="96" t="s">
        <v>50</v>
      </c>
      <c r="F13" s="63"/>
      <c r="G13" s="64"/>
    </row>
    <row r="14" spans="1:8" s="4" customFormat="1" ht="31.5" customHeight="1" x14ac:dyDescent="0.3">
      <c r="A14" s="5"/>
      <c r="B14" s="6"/>
      <c r="C14" s="13" t="s">
        <v>213</v>
      </c>
      <c r="D14" s="8" t="s">
        <v>126</v>
      </c>
      <c r="E14" s="44">
        <v>100</v>
      </c>
      <c r="F14" s="74" t="s">
        <v>214</v>
      </c>
      <c r="G14" s="172" t="s">
        <v>73</v>
      </c>
    </row>
    <row r="15" spans="1:8" s="4" customFormat="1" ht="31.5" customHeight="1" x14ac:dyDescent="0.3">
      <c r="A15" s="5"/>
      <c r="B15" s="6"/>
      <c r="C15" s="97" t="s">
        <v>6</v>
      </c>
      <c r="D15" s="173" t="s">
        <v>11</v>
      </c>
      <c r="E15" s="96" t="s">
        <v>50</v>
      </c>
      <c r="F15" s="131"/>
      <c r="G15" s="11" t="s">
        <v>73</v>
      </c>
    </row>
    <row r="16" spans="1:8" s="4" customFormat="1" ht="31.5" customHeight="1" x14ac:dyDescent="0.3">
      <c r="A16" s="5"/>
      <c r="B16" s="6"/>
      <c r="C16" s="84"/>
      <c r="D16" s="82" t="s">
        <v>7</v>
      </c>
      <c r="E16" s="9" t="s">
        <v>62</v>
      </c>
      <c r="F16" s="131"/>
      <c r="G16" s="11"/>
    </row>
    <row r="17" spans="1:7" s="4" customFormat="1" ht="31.5" customHeight="1" thickBot="1" x14ac:dyDescent="0.35">
      <c r="A17" s="5"/>
      <c r="B17" s="6"/>
      <c r="C17" s="51" t="s">
        <v>61</v>
      </c>
      <c r="D17" s="14" t="s">
        <v>25</v>
      </c>
      <c r="E17" s="50">
        <v>50</v>
      </c>
      <c r="F17" s="174"/>
      <c r="G17" s="175"/>
    </row>
    <row r="18" spans="1:7" s="4" customFormat="1" ht="31.5" customHeight="1" thickBot="1" x14ac:dyDescent="0.35">
      <c r="A18" s="25"/>
      <c r="B18" s="26"/>
      <c r="C18" s="27"/>
      <c r="D18" s="28"/>
      <c r="E18" s="29"/>
      <c r="F18" s="29"/>
      <c r="G18" s="30"/>
    </row>
    <row r="19" spans="1:7" s="4" customFormat="1" ht="31.5" customHeight="1" x14ac:dyDescent="0.3">
      <c r="A19" s="5">
        <v>43866</v>
      </c>
      <c r="B19" s="6" t="s">
        <v>21</v>
      </c>
      <c r="C19" s="72" t="s">
        <v>16</v>
      </c>
      <c r="D19" s="80" t="s">
        <v>17</v>
      </c>
      <c r="E19" s="33">
        <v>150</v>
      </c>
      <c r="F19" s="129"/>
      <c r="G19" s="35" t="s">
        <v>203</v>
      </c>
    </row>
    <row r="20" spans="1:7" s="4" customFormat="1" ht="31.5" customHeight="1" x14ac:dyDescent="0.3">
      <c r="A20" s="5"/>
      <c r="B20" s="6"/>
      <c r="C20" s="5"/>
      <c r="D20" s="82" t="s">
        <v>75</v>
      </c>
      <c r="E20" s="9">
        <v>100</v>
      </c>
      <c r="F20" s="131"/>
      <c r="G20" s="11"/>
    </row>
    <row r="21" spans="1:7" s="4" customFormat="1" ht="31.5" customHeight="1" x14ac:dyDescent="0.3">
      <c r="A21" s="5"/>
      <c r="B21" s="6"/>
      <c r="C21" s="84"/>
      <c r="D21" s="173" t="s">
        <v>76</v>
      </c>
      <c r="E21" s="96" t="s">
        <v>54</v>
      </c>
      <c r="F21" s="131"/>
      <c r="G21" s="11"/>
    </row>
    <row r="22" spans="1:7" s="4" customFormat="1" ht="31.5" customHeight="1" x14ac:dyDescent="0.3">
      <c r="A22" s="5"/>
      <c r="B22" s="6"/>
      <c r="C22" s="151" t="s">
        <v>69</v>
      </c>
      <c r="D22" s="173" t="s">
        <v>70</v>
      </c>
      <c r="E22" s="96">
        <v>100</v>
      </c>
      <c r="F22" s="176"/>
      <c r="G22" s="64" t="s">
        <v>215</v>
      </c>
    </row>
    <row r="23" spans="1:7" s="4" customFormat="1" ht="31.5" customHeight="1" x14ac:dyDescent="0.3">
      <c r="A23" s="5"/>
      <c r="B23" s="6"/>
      <c r="C23" s="16" t="s">
        <v>82</v>
      </c>
      <c r="D23" s="95" t="s">
        <v>14</v>
      </c>
      <c r="E23" s="96">
        <v>50</v>
      </c>
      <c r="F23" s="63"/>
      <c r="G23" s="64"/>
    </row>
    <row r="24" spans="1:7" s="4" customFormat="1" ht="31.5" customHeight="1" thickBot="1" x14ac:dyDescent="0.35">
      <c r="A24" s="5"/>
      <c r="B24" s="6"/>
      <c r="C24" s="20"/>
      <c r="D24" s="108" t="s">
        <v>59</v>
      </c>
      <c r="E24" s="22">
        <v>50</v>
      </c>
      <c r="F24" s="177"/>
      <c r="G24" s="78"/>
    </row>
    <row r="25" spans="1:7" s="4" customFormat="1" ht="31.5" customHeight="1" thickBot="1" x14ac:dyDescent="0.35">
      <c r="A25" s="25"/>
      <c r="B25" s="26"/>
      <c r="C25" s="143" t="s">
        <v>216</v>
      </c>
      <c r="D25" s="144" t="s">
        <v>195</v>
      </c>
      <c r="E25" s="144" t="s">
        <v>217</v>
      </c>
      <c r="F25" s="144" t="s">
        <v>200</v>
      </c>
      <c r="G25" s="145"/>
    </row>
    <row r="26" spans="1:7" s="4" customFormat="1" ht="31.5" customHeight="1" x14ac:dyDescent="0.3">
      <c r="A26" s="5">
        <v>43867</v>
      </c>
      <c r="B26" s="6" t="s">
        <v>41</v>
      </c>
      <c r="C26" s="72" t="s">
        <v>69</v>
      </c>
      <c r="D26" s="82" t="s">
        <v>70</v>
      </c>
      <c r="E26" s="9">
        <v>50</v>
      </c>
      <c r="F26" s="178" t="s">
        <v>218</v>
      </c>
      <c r="G26" s="179" t="s">
        <v>73</v>
      </c>
    </row>
    <row r="27" spans="1:7" s="4" customFormat="1" ht="31.5" customHeight="1" x14ac:dyDescent="0.3">
      <c r="A27" s="5"/>
      <c r="B27" s="6"/>
      <c r="C27" s="5"/>
      <c r="D27" s="82" t="s">
        <v>59</v>
      </c>
      <c r="E27" s="9">
        <v>20</v>
      </c>
      <c r="F27" s="180"/>
      <c r="G27" s="181"/>
    </row>
    <row r="28" spans="1:7" s="4" customFormat="1" ht="31.5" customHeight="1" x14ac:dyDescent="0.3">
      <c r="A28" s="5"/>
      <c r="B28" s="6"/>
      <c r="C28" s="84"/>
      <c r="D28" s="82" t="s">
        <v>7</v>
      </c>
      <c r="E28" s="9" t="s">
        <v>62</v>
      </c>
      <c r="F28" s="180"/>
      <c r="G28" s="181"/>
    </row>
    <row r="29" spans="1:7" s="4" customFormat="1" ht="31.5" customHeight="1" x14ac:dyDescent="0.3">
      <c r="A29" s="5"/>
      <c r="B29" s="6"/>
      <c r="C29" s="13" t="s">
        <v>107</v>
      </c>
      <c r="D29" s="8" t="s">
        <v>13</v>
      </c>
      <c r="E29" s="9">
        <v>200</v>
      </c>
      <c r="F29" s="131"/>
      <c r="G29" s="11"/>
    </row>
    <row r="30" spans="1:7" s="4" customFormat="1" ht="31.5" customHeight="1" x14ac:dyDescent="0.3">
      <c r="A30" s="5"/>
      <c r="B30" s="6"/>
      <c r="C30" s="16" t="s">
        <v>34</v>
      </c>
      <c r="D30" s="8" t="s">
        <v>7</v>
      </c>
      <c r="E30" s="9" t="s">
        <v>35</v>
      </c>
      <c r="F30" s="182"/>
      <c r="G30" s="172" t="s">
        <v>219</v>
      </c>
    </row>
    <row r="31" spans="1:7" s="4" customFormat="1" ht="31.5" customHeight="1" x14ac:dyDescent="0.3">
      <c r="A31" s="5"/>
      <c r="B31" s="6"/>
      <c r="C31" s="17"/>
      <c r="D31" s="8" t="s">
        <v>9</v>
      </c>
      <c r="E31" s="9" t="s">
        <v>220</v>
      </c>
      <c r="F31" s="182"/>
      <c r="G31" s="172"/>
    </row>
    <row r="32" spans="1:7" s="4" customFormat="1" ht="31.5" customHeight="1" x14ac:dyDescent="0.3">
      <c r="A32" s="5"/>
      <c r="B32" s="6"/>
      <c r="C32" s="36"/>
      <c r="D32" s="8" t="s">
        <v>221</v>
      </c>
      <c r="E32" s="9" t="s">
        <v>168</v>
      </c>
      <c r="F32" s="183"/>
      <c r="G32" s="184"/>
    </row>
    <row r="33" spans="1:7" s="4" customFormat="1" ht="31.5" customHeight="1" x14ac:dyDescent="0.3">
      <c r="A33" s="5"/>
      <c r="B33" s="6"/>
      <c r="C33" s="13" t="s">
        <v>181</v>
      </c>
      <c r="D33" s="8" t="s">
        <v>142</v>
      </c>
      <c r="E33" s="9" t="s">
        <v>35</v>
      </c>
      <c r="F33" s="183"/>
      <c r="G33" s="184" t="s">
        <v>73</v>
      </c>
    </row>
    <row r="34" spans="1:7" s="4" customFormat="1" ht="31.5" customHeight="1" thickBot="1" x14ac:dyDescent="0.35">
      <c r="A34" s="25"/>
      <c r="B34" s="26"/>
      <c r="C34" s="143"/>
      <c r="D34" s="144"/>
      <c r="E34" s="144"/>
      <c r="F34" s="144"/>
      <c r="G34" s="145"/>
    </row>
    <row r="35" spans="1:7" s="4" customFormat="1" ht="31.5" customHeight="1" x14ac:dyDescent="0.3">
      <c r="A35" s="5">
        <v>43868</v>
      </c>
      <c r="B35" s="75" t="s">
        <v>55</v>
      </c>
      <c r="C35" s="31" t="s">
        <v>28</v>
      </c>
      <c r="D35" s="8" t="s">
        <v>29</v>
      </c>
      <c r="E35" s="9">
        <v>170</v>
      </c>
      <c r="F35" s="74" t="s">
        <v>218</v>
      </c>
      <c r="G35" s="185" t="s">
        <v>222</v>
      </c>
    </row>
    <row r="36" spans="1:7" s="4" customFormat="1" ht="31.5" customHeight="1" x14ac:dyDescent="0.3">
      <c r="A36" s="5"/>
      <c r="B36" s="75"/>
      <c r="C36" s="17"/>
      <c r="D36" s="8" t="s">
        <v>31</v>
      </c>
      <c r="E36" s="9">
        <v>30</v>
      </c>
      <c r="F36" s="182"/>
      <c r="G36" s="185"/>
    </row>
    <row r="37" spans="1:7" s="4" customFormat="1" ht="31.5" customHeight="1" x14ac:dyDescent="0.3">
      <c r="A37" s="5"/>
      <c r="B37" s="75"/>
      <c r="C37" s="17"/>
      <c r="D37" s="8" t="s">
        <v>44</v>
      </c>
      <c r="E37" s="9">
        <v>10</v>
      </c>
      <c r="F37" s="182"/>
      <c r="G37" s="185"/>
    </row>
    <row r="38" spans="1:7" s="4" customFormat="1" ht="31.5" customHeight="1" x14ac:dyDescent="0.3">
      <c r="A38" s="5"/>
      <c r="B38" s="75"/>
      <c r="C38" s="36"/>
      <c r="D38" s="8" t="s">
        <v>7</v>
      </c>
      <c r="E38" s="44" t="s">
        <v>62</v>
      </c>
      <c r="F38" s="183"/>
      <c r="G38" s="186"/>
    </row>
    <row r="39" spans="1:7" s="4" customFormat="1" ht="31.5" customHeight="1" x14ac:dyDescent="0.3">
      <c r="A39" s="5"/>
      <c r="B39" s="75"/>
      <c r="C39" s="7" t="s">
        <v>4</v>
      </c>
      <c r="D39" s="14" t="s">
        <v>5</v>
      </c>
      <c r="E39" s="15">
        <v>80</v>
      </c>
      <c r="F39" s="106"/>
      <c r="G39" s="187"/>
    </row>
    <row r="40" spans="1:7" s="4" customFormat="1" ht="32.25" customHeight="1" x14ac:dyDescent="0.3">
      <c r="A40" s="5"/>
      <c r="B40" s="75"/>
      <c r="C40" s="101" t="s">
        <v>95</v>
      </c>
      <c r="D40" s="100" t="s">
        <v>57</v>
      </c>
      <c r="E40" s="15">
        <v>120</v>
      </c>
      <c r="F40" s="106"/>
      <c r="G40" s="188" t="s">
        <v>73</v>
      </c>
    </row>
    <row r="41" spans="1:7" s="4" customFormat="1" ht="31.5" customHeight="1" x14ac:dyDescent="0.3">
      <c r="A41" s="5"/>
      <c r="B41" s="75"/>
      <c r="C41" s="189"/>
      <c r="D41" s="8"/>
      <c r="E41" s="9"/>
      <c r="F41" s="183"/>
      <c r="G41" s="186"/>
    </row>
    <row r="42" spans="1:7" s="4" customFormat="1" ht="31.5" customHeight="1" thickBot="1" x14ac:dyDescent="0.35">
      <c r="A42" s="25"/>
      <c r="B42" s="79"/>
      <c r="C42" s="147"/>
      <c r="D42" s="148"/>
      <c r="E42" s="148"/>
      <c r="F42" s="148"/>
      <c r="G42" s="149"/>
    </row>
    <row r="43" spans="1:7" s="4" customFormat="1" ht="108.75" customHeight="1" thickBot="1" x14ac:dyDescent="0.35">
      <c r="A43" s="1" t="s">
        <v>0</v>
      </c>
      <c r="B43" s="2"/>
      <c r="C43" s="2"/>
      <c r="D43" s="2"/>
      <c r="E43" s="2"/>
      <c r="F43" s="2"/>
      <c r="G43" s="3"/>
    </row>
    <row r="44" spans="1:7" s="4" customFormat="1" ht="31.5" customHeight="1" x14ac:dyDescent="0.3">
      <c r="A44" s="5">
        <v>43871</v>
      </c>
      <c r="B44" s="6" t="s">
        <v>1</v>
      </c>
      <c r="C44" s="31" t="s">
        <v>74</v>
      </c>
      <c r="D44" s="32" t="s">
        <v>13</v>
      </c>
      <c r="E44" s="190">
        <v>168</v>
      </c>
      <c r="F44" s="191" t="s">
        <v>145</v>
      </c>
      <c r="G44" s="192"/>
    </row>
    <row r="45" spans="1:7" s="4" customFormat="1" ht="31.5" customHeight="1" x14ac:dyDescent="0.3">
      <c r="A45" s="5"/>
      <c r="B45" s="6"/>
      <c r="C45" s="36"/>
      <c r="D45" s="43" t="s">
        <v>223</v>
      </c>
      <c r="E45" s="44" t="s">
        <v>64</v>
      </c>
      <c r="F45" s="10"/>
      <c r="G45" s="11"/>
    </row>
    <row r="46" spans="1:7" s="4" customFormat="1" ht="32.25" customHeight="1" x14ac:dyDescent="0.3">
      <c r="A46" s="5"/>
      <c r="B46" s="6"/>
      <c r="C46" s="151" t="s">
        <v>61</v>
      </c>
      <c r="D46" s="85" t="s">
        <v>25</v>
      </c>
      <c r="E46" s="9">
        <v>100</v>
      </c>
      <c r="F46" s="152"/>
      <c r="G46" s="11"/>
    </row>
    <row r="47" spans="1:7" s="4" customFormat="1" ht="32.25" customHeight="1" x14ac:dyDescent="0.3">
      <c r="A47" s="5"/>
      <c r="B47" s="6"/>
      <c r="C47" s="97" t="s">
        <v>141</v>
      </c>
      <c r="D47" s="82" t="s">
        <v>29</v>
      </c>
      <c r="E47" s="9">
        <v>100</v>
      </c>
      <c r="F47" s="131"/>
      <c r="G47" s="11"/>
    </row>
    <row r="48" spans="1:7" s="4" customFormat="1" ht="32.25" customHeight="1" thickBot="1" x14ac:dyDescent="0.35">
      <c r="A48" s="5"/>
      <c r="B48" s="6"/>
      <c r="C48" s="25"/>
      <c r="D48" s="193" t="s">
        <v>3</v>
      </c>
      <c r="E48" s="162">
        <v>100</v>
      </c>
      <c r="F48" s="177"/>
      <c r="G48" s="24"/>
    </row>
    <row r="49" spans="1:7" s="4" customFormat="1" ht="32.25" customHeight="1" thickBot="1" x14ac:dyDescent="0.35">
      <c r="A49" s="25"/>
      <c r="B49" s="26"/>
      <c r="C49" s="27"/>
      <c r="D49" s="90"/>
      <c r="E49" s="91"/>
      <c r="F49" s="91"/>
      <c r="G49" s="92"/>
    </row>
    <row r="50" spans="1:7" s="4" customFormat="1" ht="32.25" customHeight="1" x14ac:dyDescent="0.3">
      <c r="A50" s="72">
        <v>43872</v>
      </c>
      <c r="B50" s="73" t="s">
        <v>15</v>
      </c>
      <c r="C50" s="194" t="s">
        <v>16</v>
      </c>
      <c r="D50" s="80" t="s">
        <v>17</v>
      </c>
      <c r="E50" s="15">
        <v>290</v>
      </c>
      <c r="F50" s="129"/>
      <c r="G50" s="195"/>
    </row>
    <row r="51" spans="1:7" s="4" customFormat="1" ht="32.25" customHeight="1" x14ac:dyDescent="0.3">
      <c r="A51" s="5"/>
      <c r="B51" s="75"/>
      <c r="C51" s="196"/>
      <c r="D51" s="82" t="s">
        <v>18</v>
      </c>
      <c r="E51" s="9">
        <v>127</v>
      </c>
      <c r="F51" s="131"/>
      <c r="G51" s="197"/>
    </row>
    <row r="52" spans="1:7" s="4" customFormat="1" ht="32.25" customHeight="1" x14ac:dyDescent="0.3">
      <c r="A52" s="5"/>
      <c r="B52" s="75"/>
      <c r="C52" s="198" t="s">
        <v>82</v>
      </c>
      <c r="D52" s="82" t="s">
        <v>14</v>
      </c>
      <c r="E52" s="15">
        <v>90</v>
      </c>
      <c r="F52" s="131"/>
      <c r="G52" s="197"/>
    </row>
    <row r="53" spans="1:7" s="4" customFormat="1" ht="32.25" customHeight="1" x14ac:dyDescent="0.3">
      <c r="A53" s="5"/>
      <c r="B53" s="75"/>
      <c r="C53" s="199"/>
      <c r="D53" s="82" t="s">
        <v>224</v>
      </c>
      <c r="E53" s="9" t="s">
        <v>225</v>
      </c>
      <c r="F53" s="131"/>
      <c r="G53" s="197"/>
    </row>
    <row r="54" spans="1:7" s="4" customFormat="1" ht="32.25" customHeight="1" thickBot="1" x14ac:dyDescent="0.35">
      <c r="A54" s="5"/>
      <c r="B54" s="75"/>
      <c r="C54" s="200"/>
      <c r="D54" s="82" t="s">
        <v>226</v>
      </c>
      <c r="E54" s="9" t="s">
        <v>12</v>
      </c>
      <c r="F54" s="201"/>
      <c r="G54" s="202"/>
    </row>
    <row r="55" spans="1:7" s="4" customFormat="1" ht="32.25" customHeight="1" thickBot="1" x14ac:dyDescent="0.35">
      <c r="A55" s="25"/>
      <c r="B55" s="79"/>
      <c r="C55" s="203" t="s">
        <v>227</v>
      </c>
      <c r="D55" s="90" t="s">
        <v>228</v>
      </c>
      <c r="E55" s="91" t="s">
        <v>229</v>
      </c>
      <c r="F55" s="29" t="s">
        <v>200</v>
      </c>
      <c r="G55" s="30"/>
    </row>
    <row r="56" spans="1:7" s="4" customFormat="1" ht="32.25" customHeight="1" x14ac:dyDescent="0.3">
      <c r="A56" s="72">
        <v>43873</v>
      </c>
      <c r="B56" s="99" t="s">
        <v>21</v>
      </c>
      <c r="C56" s="31" t="s">
        <v>43</v>
      </c>
      <c r="D56" s="14" t="s">
        <v>230</v>
      </c>
      <c r="E56" s="15">
        <v>30</v>
      </c>
      <c r="F56" s="37"/>
      <c r="G56" s="204" t="s">
        <v>73</v>
      </c>
    </row>
    <row r="57" spans="1:7" s="4" customFormat="1" ht="32.25" customHeight="1" x14ac:dyDescent="0.3">
      <c r="A57" s="5"/>
      <c r="B57" s="6"/>
      <c r="C57" s="17"/>
      <c r="D57" s="14" t="s">
        <v>29</v>
      </c>
      <c r="E57" s="15">
        <v>80</v>
      </c>
      <c r="F57" s="37"/>
      <c r="G57" s="11"/>
    </row>
    <row r="58" spans="1:7" s="4" customFormat="1" ht="32.25" customHeight="1" x14ac:dyDescent="0.3">
      <c r="A58" s="5"/>
      <c r="B58" s="6"/>
      <c r="C58" s="13" t="s">
        <v>231</v>
      </c>
      <c r="D58" s="8" t="s">
        <v>232</v>
      </c>
      <c r="E58" s="9" t="s">
        <v>233</v>
      </c>
      <c r="F58" s="10"/>
      <c r="G58" s="11"/>
    </row>
    <row r="59" spans="1:7" s="4" customFormat="1" ht="32.25" customHeight="1" x14ac:dyDescent="0.3">
      <c r="A59" s="5"/>
      <c r="B59" s="6"/>
      <c r="C59" s="5" t="s">
        <v>61</v>
      </c>
      <c r="D59" s="82" t="s">
        <v>25</v>
      </c>
      <c r="E59" s="9">
        <v>50</v>
      </c>
      <c r="F59" s="37"/>
      <c r="G59" s="38"/>
    </row>
    <row r="60" spans="1:7" s="4" customFormat="1" ht="32.25" customHeight="1" thickBot="1" x14ac:dyDescent="0.35">
      <c r="A60" s="5"/>
      <c r="B60" s="6"/>
      <c r="C60" s="25"/>
      <c r="D60" s="108" t="s">
        <v>59</v>
      </c>
      <c r="E60" s="22">
        <v>50</v>
      </c>
      <c r="F60" s="77"/>
      <c r="G60" s="78"/>
    </row>
    <row r="61" spans="1:7" s="4" customFormat="1" ht="32.25" customHeight="1" thickBot="1" x14ac:dyDescent="0.35">
      <c r="A61" s="25"/>
      <c r="B61" s="26"/>
      <c r="C61" s="143" t="s">
        <v>169</v>
      </c>
      <c r="D61" s="144" t="s">
        <v>234</v>
      </c>
      <c r="E61" s="144" t="s">
        <v>235</v>
      </c>
      <c r="F61" s="144" t="s">
        <v>200</v>
      </c>
      <c r="G61" s="149"/>
    </row>
    <row r="62" spans="1:7" s="4" customFormat="1" ht="32.25" customHeight="1" thickBot="1" x14ac:dyDescent="0.35">
      <c r="A62" s="72">
        <v>43874</v>
      </c>
      <c r="B62" s="73" t="s">
        <v>41</v>
      </c>
      <c r="C62" s="150" t="s">
        <v>16</v>
      </c>
      <c r="D62" s="93" t="s">
        <v>17</v>
      </c>
      <c r="E62" s="9">
        <v>536</v>
      </c>
      <c r="F62" s="10"/>
      <c r="G62" s="11"/>
    </row>
    <row r="63" spans="1:7" s="4" customFormat="1" ht="32.25" customHeight="1" thickBot="1" x14ac:dyDescent="0.35">
      <c r="A63" s="25"/>
      <c r="B63" s="79"/>
      <c r="C63" s="27"/>
      <c r="D63" s="28"/>
      <c r="E63" s="29"/>
      <c r="F63" s="29"/>
      <c r="G63" s="30"/>
    </row>
    <row r="64" spans="1:7" s="4" customFormat="1" ht="32.25" customHeight="1" x14ac:dyDescent="0.3">
      <c r="A64" s="5">
        <v>43875</v>
      </c>
      <c r="B64" s="75" t="s">
        <v>55</v>
      </c>
      <c r="C64" s="72" t="s">
        <v>16</v>
      </c>
      <c r="D64" s="82" t="s">
        <v>17</v>
      </c>
      <c r="E64" s="9">
        <v>25</v>
      </c>
      <c r="F64" s="131"/>
      <c r="G64" s="64" t="s">
        <v>122</v>
      </c>
    </row>
    <row r="65" spans="1:7" s="4" customFormat="1" ht="32.25" customHeight="1" x14ac:dyDescent="0.3">
      <c r="A65" s="5"/>
      <c r="B65" s="75"/>
      <c r="C65" s="84"/>
      <c r="D65" s="82" t="s">
        <v>236</v>
      </c>
      <c r="E65" s="9">
        <v>200</v>
      </c>
      <c r="F65" s="152"/>
      <c r="G65" s="11"/>
    </row>
    <row r="66" spans="1:7" s="4" customFormat="1" ht="32.25" customHeight="1" x14ac:dyDescent="0.3">
      <c r="A66" s="5"/>
      <c r="B66" s="75"/>
      <c r="C66" s="7" t="s">
        <v>19</v>
      </c>
      <c r="D66" s="14" t="s">
        <v>237</v>
      </c>
      <c r="E66" s="15" t="s">
        <v>20</v>
      </c>
      <c r="F66" s="37" t="s">
        <v>144</v>
      </c>
      <c r="G66" s="205"/>
    </row>
    <row r="67" spans="1:7" s="4" customFormat="1" ht="32.25" customHeight="1" x14ac:dyDescent="0.3">
      <c r="A67" s="5"/>
      <c r="B67" s="75"/>
      <c r="C67" s="97" t="s">
        <v>6</v>
      </c>
      <c r="D67" s="100" t="s">
        <v>11</v>
      </c>
      <c r="E67" s="15" t="s">
        <v>62</v>
      </c>
      <c r="F67" s="106"/>
      <c r="G67" s="38"/>
    </row>
    <row r="68" spans="1:7" s="4" customFormat="1" ht="32.25" customHeight="1" thickBot="1" x14ac:dyDescent="0.35">
      <c r="A68" s="5"/>
      <c r="B68" s="75"/>
      <c r="C68" s="25"/>
      <c r="D68" s="100" t="s">
        <v>7</v>
      </c>
      <c r="E68" s="15" t="s">
        <v>50</v>
      </c>
      <c r="F68" s="106"/>
      <c r="G68" s="38"/>
    </row>
    <row r="69" spans="1:7" s="4" customFormat="1" ht="32.25" customHeight="1" thickBot="1" x14ac:dyDescent="0.35">
      <c r="A69" s="25"/>
      <c r="B69" s="79"/>
      <c r="C69" s="27"/>
      <c r="D69" s="28"/>
      <c r="E69" s="29"/>
      <c r="F69" s="29"/>
      <c r="G69" s="30"/>
    </row>
    <row r="70" spans="1:7" s="4" customFormat="1" ht="108.75" customHeight="1" thickBot="1" x14ac:dyDescent="0.35">
      <c r="A70" s="1" t="s">
        <v>0</v>
      </c>
      <c r="B70" s="2"/>
      <c r="C70" s="2"/>
      <c r="D70" s="2"/>
      <c r="E70" s="2"/>
      <c r="F70" s="2"/>
      <c r="G70" s="3"/>
    </row>
    <row r="71" spans="1:7" s="4" customFormat="1" ht="33.75" customHeight="1" thickBot="1" x14ac:dyDescent="0.35">
      <c r="A71" s="72">
        <v>43878</v>
      </c>
      <c r="B71" s="99" t="s">
        <v>1</v>
      </c>
      <c r="C71" s="206" t="s">
        <v>16</v>
      </c>
      <c r="D71" s="207" t="s">
        <v>17</v>
      </c>
      <c r="E71" s="208">
        <v>281</v>
      </c>
      <c r="F71" s="209"/>
      <c r="G71" s="210" t="s">
        <v>184</v>
      </c>
    </row>
    <row r="72" spans="1:7" s="4" customFormat="1" ht="33.75" customHeight="1" thickBot="1" x14ac:dyDescent="0.35">
      <c r="A72" s="5"/>
      <c r="B72" s="6"/>
      <c r="C72" s="109"/>
      <c r="D72" s="110"/>
      <c r="E72" s="111"/>
      <c r="F72" s="112"/>
      <c r="G72" s="113"/>
    </row>
    <row r="73" spans="1:7" s="4" customFormat="1" ht="32.25" customHeight="1" x14ac:dyDescent="0.3">
      <c r="A73" s="72">
        <v>43879</v>
      </c>
      <c r="B73" s="99" t="s">
        <v>15</v>
      </c>
      <c r="C73" s="5" t="s">
        <v>56</v>
      </c>
      <c r="D73" s="82" t="s">
        <v>57</v>
      </c>
      <c r="E73" s="9">
        <v>100</v>
      </c>
      <c r="F73" s="152" t="s">
        <v>218</v>
      </c>
      <c r="G73" s="211"/>
    </row>
    <row r="74" spans="1:7" s="4" customFormat="1" ht="32.25" customHeight="1" x14ac:dyDescent="0.3">
      <c r="A74" s="5"/>
      <c r="B74" s="6"/>
      <c r="C74" s="84"/>
      <c r="D74" s="82" t="s">
        <v>59</v>
      </c>
      <c r="E74" s="9">
        <v>50</v>
      </c>
      <c r="F74" s="152"/>
      <c r="G74" s="205"/>
    </row>
    <row r="75" spans="1:7" s="4" customFormat="1" ht="32.25" customHeight="1" x14ac:dyDescent="0.3">
      <c r="A75" s="5"/>
      <c r="B75" s="6"/>
      <c r="C75" s="97" t="s">
        <v>22</v>
      </c>
      <c r="D75" s="82" t="s">
        <v>238</v>
      </c>
      <c r="E75" s="9">
        <v>53</v>
      </c>
      <c r="F75" s="131" t="s">
        <v>239</v>
      </c>
      <c r="G75" s="159"/>
    </row>
    <row r="76" spans="1:7" s="4" customFormat="1" ht="32.25" customHeight="1" x14ac:dyDescent="0.3">
      <c r="A76" s="5"/>
      <c r="B76" s="6"/>
      <c r="C76" s="212"/>
      <c r="D76" s="100" t="s">
        <v>240</v>
      </c>
      <c r="E76" s="15">
        <v>51</v>
      </c>
      <c r="F76" s="106" t="s">
        <v>239</v>
      </c>
      <c r="G76" s="38"/>
    </row>
    <row r="77" spans="1:7" s="4" customFormat="1" ht="33.75" customHeight="1" x14ac:dyDescent="0.3">
      <c r="A77" s="5"/>
      <c r="B77" s="6"/>
      <c r="C77" s="7" t="s">
        <v>32</v>
      </c>
      <c r="D77" s="14" t="s">
        <v>241</v>
      </c>
      <c r="E77" s="15">
        <v>50</v>
      </c>
      <c r="F77" s="37"/>
      <c r="G77" s="38" t="s">
        <v>242</v>
      </c>
    </row>
    <row r="78" spans="1:7" s="4" customFormat="1" ht="32.25" customHeight="1" x14ac:dyDescent="0.3">
      <c r="A78" s="5"/>
      <c r="B78" s="6"/>
      <c r="C78" s="87" t="s">
        <v>60</v>
      </c>
      <c r="D78" s="82" t="s">
        <v>3</v>
      </c>
      <c r="E78" s="9">
        <v>50</v>
      </c>
      <c r="F78" s="152" t="s">
        <v>111</v>
      </c>
      <c r="G78" s="211"/>
    </row>
    <row r="79" spans="1:7" s="4" customFormat="1" ht="32.25" customHeight="1" thickBot="1" x14ac:dyDescent="0.35">
      <c r="A79" s="5"/>
      <c r="B79" s="6"/>
      <c r="C79" s="213" t="s">
        <v>82</v>
      </c>
      <c r="D79" s="82" t="s">
        <v>59</v>
      </c>
      <c r="E79" s="9">
        <v>100</v>
      </c>
      <c r="F79" s="152"/>
      <c r="G79" s="211"/>
    </row>
    <row r="80" spans="1:7" s="4" customFormat="1" ht="33.75" customHeight="1" thickBot="1" x14ac:dyDescent="0.35">
      <c r="A80" s="25"/>
      <c r="B80" s="26"/>
      <c r="C80" s="27" t="s">
        <v>112</v>
      </c>
      <c r="D80" s="28" t="s">
        <v>243</v>
      </c>
      <c r="E80" s="29" t="s">
        <v>244</v>
      </c>
      <c r="F80" s="29" t="s">
        <v>40</v>
      </c>
      <c r="G80" s="30"/>
    </row>
    <row r="81" spans="1:7" s="4" customFormat="1" ht="33.75" customHeight="1" x14ac:dyDescent="0.3">
      <c r="A81" s="5">
        <v>43880</v>
      </c>
      <c r="B81" s="6" t="s">
        <v>21</v>
      </c>
      <c r="C81" s="17" t="s">
        <v>43</v>
      </c>
      <c r="D81" s="14" t="s">
        <v>14</v>
      </c>
      <c r="E81" s="15">
        <v>64</v>
      </c>
      <c r="F81" s="37"/>
      <c r="G81" s="38" t="s">
        <v>203</v>
      </c>
    </row>
    <row r="82" spans="1:7" s="4" customFormat="1" ht="33.75" customHeight="1" x14ac:dyDescent="0.3">
      <c r="A82" s="5"/>
      <c r="B82" s="6"/>
      <c r="C82" s="17"/>
      <c r="D82" s="14" t="s">
        <v>125</v>
      </c>
      <c r="E82" s="15">
        <v>64</v>
      </c>
      <c r="F82" s="37"/>
      <c r="G82" s="38"/>
    </row>
    <row r="83" spans="1:7" s="4" customFormat="1" ht="33.75" customHeight="1" x14ac:dyDescent="0.3">
      <c r="A83" s="5"/>
      <c r="B83" s="6"/>
      <c r="C83" s="17"/>
      <c r="D83" s="14" t="s">
        <v>59</v>
      </c>
      <c r="E83" s="15">
        <v>64</v>
      </c>
      <c r="F83" s="37"/>
      <c r="G83" s="38"/>
    </row>
    <row r="84" spans="1:7" s="4" customFormat="1" ht="33.75" customHeight="1" x14ac:dyDescent="0.3">
      <c r="A84" s="5"/>
      <c r="B84" s="6"/>
      <c r="C84" s="36"/>
      <c r="D84" s="8" t="s">
        <v>148</v>
      </c>
      <c r="E84" s="9" t="s">
        <v>47</v>
      </c>
      <c r="F84" s="37"/>
      <c r="G84" s="38"/>
    </row>
    <row r="85" spans="1:7" s="4" customFormat="1" ht="33.75" customHeight="1" thickBot="1" x14ac:dyDescent="0.35">
      <c r="A85" s="5"/>
      <c r="B85" s="6"/>
      <c r="C85" s="158" t="s">
        <v>19</v>
      </c>
      <c r="D85" s="18" t="s">
        <v>11</v>
      </c>
      <c r="E85" s="19" t="s">
        <v>20</v>
      </c>
      <c r="F85" s="47"/>
      <c r="G85" s="48"/>
    </row>
    <row r="86" spans="1:7" s="4" customFormat="1" ht="33.75" customHeight="1" thickBot="1" x14ac:dyDescent="0.35">
      <c r="A86" s="25"/>
      <c r="B86" s="26"/>
      <c r="C86" s="27" t="s">
        <v>202</v>
      </c>
      <c r="D86" s="28" t="s">
        <v>245</v>
      </c>
      <c r="E86" s="29" t="s">
        <v>190</v>
      </c>
      <c r="F86" s="29" t="s">
        <v>200</v>
      </c>
      <c r="G86" s="30"/>
    </row>
    <row r="87" spans="1:7" s="4" customFormat="1" ht="33.75" customHeight="1" x14ac:dyDescent="0.3">
      <c r="A87" s="5">
        <v>43881</v>
      </c>
      <c r="B87" s="6" t="s">
        <v>41</v>
      </c>
      <c r="C87" s="31" t="s">
        <v>16</v>
      </c>
      <c r="D87" s="32" t="s">
        <v>17</v>
      </c>
      <c r="E87" s="33">
        <v>344</v>
      </c>
      <c r="F87" s="10"/>
      <c r="G87" s="11"/>
    </row>
    <row r="88" spans="1:7" s="4" customFormat="1" ht="33.75" customHeight="1" x14ac:dyDescent="0.3">
      <c r="A88" s="5"/>
      <c r="B88" s="6"/>
      <c r="C88" s="36"/>
      <c r="D88" s="14" t="s">
        <v>18</v>
      </c>
      <c r="E88" s="9">
        <v>117</v>
      </c>
      <c r="F88" s="10"/>
      <c r="G88" s="11"/>
    </row>
    <row r="89" spans="1:7" s="4" customFormat="1" ht="33.75" customHeight="1" thickBot="1" x14ac:dyDescent="0.35">
      <c r="A89" s="5"/>
      <c r="B89" s="6"/>
      <c r="C89" s="189" t="s">
        <v>176</v>
      </c>
      <c r="D89" s="14" t="s">
        <v>86</v>
      </c>
      <c r="E89" s="9">
        <v>100</v>
      </c>
      <c r="F89" s="10"/>
      <c r="G89" s="11" t="s">
        <v>246</v>
      </c>
    </row>
    <row r="90" spans="1:7" s="4" customFormat="1" ht="33.75" customHeight="1" thickBot="1" x14ac:dyDescent="0.35">
      <c r="A90" s="25"/>
      <c r="B90" s="26"/>
      <c r="C90" s="27"/>
      <c r="D90" s="28"/>
      <c r="E90" s="29"/>
      <c r="F90" s="29"/>
      <c r="G90" s="30"/>
    </row>
    <row r="91" spans="1:7" s="4" customFormat="1" ht="33.75" customHeight="1" x14ac:dyDescent="0.3">
      <c r="A91" s="5">
        <v>43882</v>
      </c>
      <c r="B91" s="6" t="s">
        <v>55</v>
      </c>
      <c r="C91" s="72" t="s">
        <v>247</v>
      </c>
      <c r="D91" s="80" t="s">
        <v>248</v>
      </c>
      <c r="E91" s="33">
        <v>50</v>
      </c>
      <c r="F91" s="34"/>
      <c r="G91" s="35"/>
    </row>
    <row r="92" spans="1:7" s="4" customFormat="1" ht="33.75" customHeight="1" x14ac:dyDescent="0.3">
      <c r="A92" s="5"/>
      <c r="B92" s="6"/>
      <c r="C92" s="84"/>
      <c r="D92" s="100" t="s">
        <v>93</v>
      </c>
      <c r="E92" s="15">
        <v>100</v>
      </c>
      <c r="F92" s="37"/>
      <c r="G92" s="11"/>
    </row>
    <row r="93" spans="1:7" s="4" customFormat="1" ht="33.75" customHeight="1" x14ac:dyDescent="0.3">
      <c r="A93" s="5"/>
      <c r="B93" s="6"/>
      <c r="C93" s="87" t="s">
        <v>107</v>
      </c>
      <c r="D93" s="82" t="s">
        <v>13</v>
      </c>
      <c r="E93" s="9">
        <v>200</v>
      </c>
      <c r="F93" s="10"/>
      <c r="G93" s="11"/>
    </row>
    <row r="94" spans="1:7" s="4" customFormat="1" ht="33.75" customHeight="1" thickBot="1" x14ac:dyDescent="0.35">
      <c r="A94" s="5"/>
      <c r="B94" s="6"/>
      <c r="C94" s="213" t="s">
        <v>152</v>
      </c>
      <c r="D94" s="85" t="s">
        <v>7</v>
      </c>
      <c r="E94" s="19" t="s">
        <v>35</v>
      </c>
      <c r="F94" s="47"/>
      <c r="G94" s="48"/>
    </row>
    <row r="95" spans="1:7" s="4" customFormat="1" ht="33.75" customHeight="1" thickBot="1" x14ac:dyDescent="0.35">
      <c r="A95" s="25"/>
      <c r="B95" s="26"/>
      <c r="C95" s="27"/>
      <c r="D95" s="28"/>
      <c r="E95" s="29"/>
      <c r="F95" s="29"/>
      <c r="G95" s="30"/>
    </row>
    <row r="96" spans="1:7" s="4" customFormat="1" ht="108.75" customHeight="1" thickBot="1" x14ac:dyDescent="0.35">
      <c r="A96" s="1" t="s">
        <v>0</v>
      </c>
      <c r="B96" s="2"/>
      <c r="C96" s="2"/>
      <c r="D96" s="2"/>
      <c r="E96" s="2"/>
      <c r="F96" s="2"/>
      <c r="G96" s="3"/>
    </row>
    <row r="97" spans="1:8" ht="31.5" customHeight="1" x14ac:dyDescent="0.3">
      <c r="A97" s="72">
        <v>43885</v>
      </c>
      <c r="B97" s="99" t="s">
        <v>1</v>
      </c>
      <c r="C97" s="31" t="s">
        <v>82</v>
      </c>
      <c r="D97" s="8" t="s">
        <v>14</v>
      </c>
      <c r="E97" s="9">
        <v>55</v>
      </c>
      <c r="F97" s="10"/>
      <c r="G97" s="11"/>
      <c r="H97" s="12"/>
    </row>
    <row r="98" spans="1:8" ht="31.5" customHeight="1" x14ac:dyDescent="0.3">
      <c r="A98" s="5"/>
      <c r="B98" s="6"/>
      <c r="C98" s="17"/>
      <c r="D98" s="8" t="s">
        <v>59</v>
      </c>
      <c r="E98" s="44">
        <v>20</v>
      </c>
      <c r="F98" s="63"/>
      <c r="G98" s="64"/>
      <c r="H98" s="12"/>
    </row>
    <row r="99" spans="1:8" s="4" customFormat="1" ht="31.5" customHeight="1" x14ac:dyDescent="0.3">
      <c r="A99" s="5"/>
      <c r="B99" s="6"/>
      <c r="C99" s="36"/>
      <c r="D99" s="8" t="s">
        <v>249</v>
      </c>
      <c r="E99" s="44">
        <v>25</v>
      </c>
      <c r="F99" s="59"/>
      <c r="G99" s="60"/>
    </row>
    <row r="100" spans="1:8" s="4" customFormat="1" ht="33.75" customHeight="1" x14ac:dyDescent="0.3">
      <c r="A100" s="5"/>
      <c r="B100" s="6"/>
      <c r="C100" s="16" t="s">
        <v>74</v>
      </c>
      <c r="D100" s="95" t="s">
        <v>7</v>
      </c>
      <c r="E100" s="96" t="s">
        <v>250</v>
      </c>
      <c r="F100" s="10"/>
      <c r="G100" s="11"/>
    </row>
    <row r="101" spans="1:8" s="4" customFormat="1" ht="33.75" customHeight="1" x14ac:dyDescent="0.3">
      <c r="A101" s="5"/>
      <c r="B101" s="6"/>
      <c r="C101" s="17"/>
      <c r="D101" s="95" t="s">
        <v>11</v>
      </c>
      <c r="E101" s="96" t="s">
        <v>98</v>
      </c>
      <c r="F101" s="63"/>
      <c r="G101" s="64"/>
    </row>
    <row r="102" spans="1:8" s="4" customFormat="1" ht="33.75" customHeight="1" thickBot="1" x14ac:dyDescent="0.35">
      <c r="A102" s="5"/>
      <c r="B102" s="6"/>
      <c r="C102" s="36"/>
      <c r="D102" s="8" t="s">
        <v>13</v>
      </c>
      <c r="E102" s="9">
        <v>150</v>
      </c>
      <c r="F102" s="10"/>
      <c r="G102" s="11"/>
    </row>
    <row r="103" spans="1:8" s="4" customFormat="1" ht="33.75" customHeight="1" thickBot="1" x14ac:dyDescent="0.35">
      <c r="A103" s="25"/>
      <c r="B103" s="26"/>
      <c r="C103" s="27"/>
      <c r="D103" s="28"/>
      <c r="E103" s="29"/>
      <c r="F103" s="29"/>
      <c r="G103" s="30"/>
    </row>
    <row r="104" spans="1:8" s="4" customFormat="1" ht="33.75" customHeight="1" x14ac:dyDescent="0.3">
      <c r="A104" s="72">
        <v>43886</v>
      </c>
      <c r="B104" s="99" t="s">
        <v>15</v>
      </c>
      <c r="C104" s="31" t="s">
        <v>16</v>
      </c>
      <c r="D104" s="8" t="s">
        <v>17</v>
      </c>
      <c r="E104" s="9">
        <v>97</v>
      </c>
      <c r="F104" s="37"/>
      <c r="G104" s="38"/>
    </row>
    <row r="105" spans="1:8" s="4" customFormat="1" ht="33.75" customHeight="1" x14ac:dyDescent="0.3">
      <c r="A105" s="5"/>
      <c r="B105" s="6"/>
      <c r="C105" s="36"/>
      <c r="D105" s="8" t="s">
        <v>18</v>
      </c>
      <c r="E105" s="9">
        <v>48</v>
      </c>
      <c r="F105" s="10"/>
      <c r="G105" s="11"/>
    </row>
    <row r="106" spans="1:8" s="4" customFormat="1" ht="33.75" customHeight="1" thickBot="1" x14ac:dyDescent="0.35">
      <c r="A106" s="5"/>
      <c r="B106" s="6"/>
      <c r="C106" s="13" t="s">
        <v>61</v>
      </c>
      <c r="D106" s="8" t="s">
        <v>25</v>
      </c>
      <c r="E106" s="9">
        <v>100</v>
      </c>
      <c r="F106" s="10"/>
      <c r="G106" s="11"/>
    </row>
    <row r="107" spans="1:8" s="4" customFormat="1" ht="33.75" customHeight="1" thickBot="1" x14ac:dyDescent="0.35">
      <c r="A107" s="25"/>
      <c r="B107" s="26"/>
      <c r="C107" s="27" t="s">
        <v>251</v>
      </c>
      <c r="D107" s="28" t="s">
        <v>252</v>
      </c>
      <c r="E107" s="29" t="s">
        <v>253</v>
      </c>
      <c r="F107" s="29" t="s">
        <v>254</v>
      </c>
      <c r="G107" s="30"/>
    </row>
    <row r="108" spans="1:8" s="4" customFormat="1" ht="33.75" customHeight="1" x14ac:dyDescent="0.3">
      <c r="A108" s="72">
        <v>43887</v>
      </c>
      <c r="B108" s="99" t="s">
        <v>21</v>
      </c>
      <c r="C108" s="114" t="s">
        <v>69</v>
      </c>
      <c r="D108" s="32" t="s">
        <v>70</v>
      </c>
      <c r="E108" s="33">
        <v>100</v>
      </c>
      <c r="F108" s="34"/>
      <c r="G108" s="35"/>
    </row>
    <row r="109" spans="1:8" s="4" customFormat="1" ht="33.75" customHeight="1" x14ac:dyDescent="0.3">
      <c r="A109" s="5"/>
      <c r="B109" s="6"/>
      <c r="C109" s="16" t="s">
        <v>43</v>
      </c>
      <c r="D109" s="14" t="s">
        <v>255</v>
      </c>
      <c r="E109" s="15">
        <v>128</v>
      </c>
      <c r="F109" s="37"/>
      <c r="G109" s="38"/>
    </row>
    <row r="110" spans="1:8" s="4" customFormat="1" ht="33.75" customHeight="1" x14ac:dyDescent="0.3">
      <c r="A110" s="5"/>
      <c r="B110" s="6"/>
      <c r="C110" s="17"/>
      <c r="D110" s="8" t="s">
        <v>256</v>
      </c>
      <c r="E110" s="9">
        <v>64</v>
      </c>
      <c r="F110" s="10"/>
      <c r="G110" s="11"/>
    </row>
    <row r="111" spans="1:8" s="4" customFormat="1" ht="33.75" customHeight="1" x14ac:dyDescent="0.3">
      <c r="A111" s="5"/>
      <c r="B111" s="6"/>
      <c r="C111" s="17"/>
      <c r="D111" s="8" t="s">
        <v>14</v>
      </c>
      <c r="E111" s="9">
        <v>64</v>
      </c>
      <c r="F111" s="10"/>
      <c r="G111" s="11"/>
    </row>
    <row r="112" spans="1:8" s="4" customFormat="1" ht="33.75" customHeight="1" x14ac:dyDescent="0.3">
      <c r="A112" s="5"/>
      <c r="B112" s="6"/>
      <c r="C112" s="36"/>
      <c r="D112" s="8" t="s">
        <v>31</v>
      </c>
      <c r="E112" s="9">
        <v>40</v>
      </c>
      <c r="F112" s="10"/>
      <c r="G112" s="11"/>
    </row>
    <row r="113" spans="1:7" s="4" customFormat="1" ht="33.75" customHeight="1" x14ac:dyDescent="0.3">
      <c r="A113" s="5"/>
      <c r="B113" s="6"/>
      <c r="C113" s="16" t="s">
        <v>247</v>
      </c>
      <c r="D113" s="8" t="s">
        <v>14</v>
      </c>
      <c r="E113" s="9">
        <v>100</v>
      </c>
      <c r="F113" s="10"/>
      <c r="G113" s="11" t="s">
        <v>257</v>
      </c>
    </row>
    <row r="114" spans="1:7" s="4" customFormat="1" ht="33.75" customHeight="1" x14ac:dyDescent="0.3">
      <c r="A114" s="5"/>
      <c r="B114" s="6"/>
      <c r="C114" s="36"/>
      <c r="D114" s="8" t="s">
        <v>258</v>
      </c>
      <c r="E114" s="9">
        <v>10</v>
      </c>
      <c r="F114" s="10"/>
      <c r="G114" s="11"/>
    </row>
    <row r="115" spans="1:7" s="4" customFormat="1" ht="33.75" customHeight="1" thickBot="1" x14ac:dyDescent="0.35">
      <c r="A115" s="5"/>
      <c r="B115" s="6"/>
      <c r="C115" s="51" t="s">
        <v>117</v>
      </c>
      <c r="D115" s="161" t="s">
        <v>5</v>
      </c>
      <c r="E115" s="162">
        <v>200</v>
      </c>
      <c r="F115" s="23"/>
      <c r="G115" s="24"/>
    </row>
    <row r="116" spans="1:7" s="4" customFormat="1" ht="33.75" customHeight="1" thickBot="1" x14ac:dyDescent="0.35">
      <c r="A116" s="25"/>
      <c r="B116" s="26"/>
      <c r="C116" s="214"/>
      <c r="D116" s="215"/>
      <c r="E116" s="111"/>
      <c r="F116" s="216"/>
      <c r="G116" s="113"/>
    </row>
    <row r="117" spans="1:7" s="4" customFormat="1" ht="33.75" customHeight="1" x14ac:dyDescent="0.3">
      <c r="A117" s="72">
        <v>43888</v>
      </c>
      <c r="B117" s="99" t="s">
        <v>41</v>
      </c>
      <c r="C117" s="17" t="s">
        <v>16</v>
      </c>
      <c r="D117" s="14" t="s">
        <v>17</v>
      </c>
      <c r="E117" s="19">
        <v>75</v>
      </c>
      <c r="F117" s="37"/>
      <c r="G117" s="38"/>
    </row>
    <row r="118" spans="1:7" s="4" customFormat="1" ht="33.75" customHeight="1" x14ac:dyDescent="0.3">
      <c r="A118" s="5"/>
      <c r="B118" s="6"/>
      <c r="C118" s="36"/>
      <c r="D118" s="95" t="s">
        <v>75</v>
      </c>
      <c r="E118" s="96">
        <v>100</v>
      </c>
      <c r="F118" s="10"/>
      <c r="G118" s="11"/>
    </row>
    <row r="119" spans="1:7" s="4" customFormat="1" ht="33.75" customHeight="1" x14ac:dyDescent="0.3">
      <c r="A119" s="5"/>
      <c r="B119" s="6"/>
      <c r="C119" s="16" t="s">
        <v>141</v>
      </c>
      <c r="D119" s="8" t="s">
        <v>5</v>
      </c>
      <c r="E119" s="9">
        <v>200</v>
      </c>
      <c r="F119" s="10"/>
      <c r="G119" s="11"/>
    </row>
    <row r="120" spans="1:7" s="4" customFormat="1" ht="33.75" customHeight="1" x14ac:dyDescent="0.3">
      <c r="A120" s="5"/>
      <c r="B120" s="6"/>
      <c r="C120" s="36"/>
      <c r="D120" s="8" t="s">
        <v>142</v>
      </c>
      <c r="E120" s="9" t="s">
        <v>259</v>
      </c>
      <c r="F120" s="10"/>
      <c r="G120" s="11"/>
    </row>
    <row r="121" spans="1:7" s="4" customFormat="1" ht="33.75" customHeight="1" x14ac:dyDescent="0.3">
      <c r="A121" s="5"/>
      <c r="B121" s="6"/>
      <c r="C121" s="16" t="s">
        <v>82</v>
      </c>
      <c r="D121" s="8" t="s">
        <v>25</v>
      </c>
      <c r="E121" s="9">
        <v>50</v>
      </c>
      <c r="F121" s="10"/>
      <c r="G121" s="11"/>
    </row>
    <row r="122" spans="1:7" s="4" customFormat="1" ht="33.75" customHeight="1" x14ac:dyDescent="0.3">
      <c r="A122" s="5"/>
      <c r="B122" s="6"/>
      <c r="C122" s="17"/>
      <c r="D122" s="8" t="s">
        <v>83</v>
      </c>
      <c r="E122" s="9">
        <v>30</v>
      </c>
      <c r="F122" s="10"/>
      <c r="G122" s="11"/>
    </row>
    <row r="123" spans="1:7" s="4" customFormat="1" ht="33.75" customHeight="1" thickBot="1" x14ac:dyDescent="0.35">
      <c r="A123" s="5"/>
      <c r="B123" s="6"/>
      <c r="C123" s="20"/>
      <c r="D123" s="193" t="s">
        <v>59</v>
      </c>
      <c r="E123" s="9">
        <v>20</v>
      </c>
      <c r="F123" s="167"/>
      <c r="G123" s="24"/>
    </row>
    <row r="124" spans="1:7" s="4" customFormat="1" ht="33.75" customHeight="1" thickBot="1" x14ac:dyDescent="0.35">
      <c r="A124" s="25"/>
      <c r="B124" s="26"/>
      <c r="C124" s="27" t="s">
        <v>260</v>
      </c>
      <c r="D124" s="28" t="s">
        <v>261</v>
      </c>
      <c r="E124" s="29" t="s">
        <v>262</v>
      </c>
      <c r="F124" s="29" t="s">
        <v>200</v>
      </c>
      <c r="G124" s="30"/>
    </row>
    <row r="125" spans="1:7" s="4" customFormat="1" ht="33.75" customHeight="1" x14ac:dyDescent="0.3">
      <c r="A125" s="72">
        <v>43889</v>
      </c>
      <c r="B125" s="99" t="s">
        <v>55</v>
      </c>
      <c r="C125" s="114" t="s">
        <v>16</v>
      </c>
      <c r="D125" s="32" t="s">
        <v>17</v>
      </c>
      <c r="E125" s="33">
        <v>363</v>
      </c>
      <c r="F125" s="34"/>
      <c r="G125" s="35"/>
    </row>
    <row r="126" spans="1:7" s="4" customFormat="1" ht="33.75" customHeight="1" thickBot="1" x14ac:dyDescent="0.35">
      <c r="A126" s="5"/>
      <c r="B126" s="6"/>
      <c r="C126" s="51"/>
      <c r="D126" s="161"/>
      <c r="E126" s="162"/>
      <c r="F126" s="23"/>
      <c r="G126" s="24"/>
    </row>
    <row r="127" spans="1:7" s="4" customFormat="1" ht="33.75" customHeight="1" thickBot="1" x14ac:dyDescent="0.35">
      <c r="A127" s="25"/>
      <c r="B127" s="26"/>
      <c r="C127" s="214"/>
      <c r="D127" s="215"/>
      <c r="E127" s="111"/>
      <c r="F127" s="216"/>
      <c r="G127" s="113"/>
    </row>
  </sheetData>
  <mergeCells count="75">
    <mergeCell ref="A117:A124"/>
    <mergeCell ref="B117:B124"/>
    <mergeCell ref="C117:C118"/>
    <mergeCell ref="C119:C120"/>
    <mergeCell ref="C121:C123"/>
    <mergeCell ref="A125:A127"/>
    <mergeCell ref="B125:B127"/>
    <mergeCell ref="A104:A107"/>
    <mergeCell ref="B104:B107"/>
    <mergeCell ref="C104:C105"/>
    <mergeCell ref="A108:A116"/>
    <mergeCell ref="B108:B116"/>
    <mergeCell ref="C109:C112"/>
    <mergeCell ref="C113:C114"/>
    <mergeCell ref="A91:A95"/>
    <mergeCell ref="B91:B95"/>
    <mergeCell ref="C91:C92"/>
    <mergeCell ref="A96:G96"/>
    <mergeCell ref="A97:A103"/>
    <mergeCell ref="B97:B103"/>
    <mergeCell ref="C97:C99"/>
    <mergeCell ref="C100:C102"/>
    <mergeCell ref="A81:A86"/>
    <mergeCell ref="B81:B86"/>
    <mergeCell ref="C81:C84"/>
    <mergeCell ref="A87:A90"/>
    <mergeCell ref="B87:B90"/>
    <mergeCell ref="C87:C88"/>
    <mergeCell ref="A70:G70"/>
    <mergeCell ref="A71:A72"/>
    <mergeCell ref="B71:B72"/>
    <mergeCell ref="A73:A80"/>
    <mergeCell ref="B73:B80"/>
    <mergeCell ref="C73:C74"/>
    <mergeCell ref="C75:C76"/>
    <mergeCell ref="A62:A63"/>
    <mergeCell ref="B62:B63"/>
    <mergeCell ref="A64:A69"/>
    <mergeCell ref="B64:B69"/>
    <mergeCell ref="C64:C65"/>
    <mergeCell ref="C67:C68"/>
    <mergeCell ref="A50:A55"/>
    <mergeCell ref="B50:B55"/>
    <mergeCell ref="C50:C51"/>
    <mergeCell ref="C52:C54"/>
    <mergeCell ref="A56:A61"/>
    <mergeCell ref="B56:B61"/>
    <mergeCell ref="C56:C57"/>
    <mergeCell ref="C59:C60"/>
    <mergeCell ref="A35:A42"/>
    <mergeCell ref="B35:B42"/>
    <mergeCell ref="C35:C38"/>
    <mergeCell ref="A43:G43"/>
    <mergeCell ref="A44:A49"/>
    <mergeCell ref="B44:B49"/>
    <mergeCell ref="C44:C45"/>
    <mergeCell ref="C47:C48"/>
    <mergeCell ref="A19:A25"/>
    <mergeCell ref="B19:B25"/>
    <mergeCell ref="C19:C21"/>
    <mergeCell ref="C23:C24"/>
    <mergeCell ref="A26:A34"/>
    <mergeCell ref="B26:B34"/>
    <mergeCell ref="C26:C28"/>
    <mergeCell ref="C30:C32"/>
    <mergeCell ref="A1:G1"/>
    <mergeCell ref="A2:A6"/>
    <mergeCell ref="B2:B6"/>
    <mergeCell ref="C2:C3"/>
    <mergeCell ref="C4:C5"/>
    <mergeCell ref="A7:A18"/>
    <mergeCell ref="B7:B18"/>
    <mergeCell ref="C7:C10"/>
    <mergeCell ref="C11:C13"/>
    <mergeCell ref="C15:C16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70" fitToHeight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view="pageBreakPreview" topLeftCell="A72" zoomScale="87" zoomScaleNormal="87" zoomScaleSheetLayoutView="87" workbookViewId="0">
      <selection activeCell="D121" sqref="D121"/>
    </sheetView>
  </sheetViews>
  <sheetFormatPr defaultColWidth="9" defaultRowHeight="36" customHeight="1" x14ac:dyDescent="0.3"/>
  <cols>
    <col min="1" max="1" width="12.375" style="124" customWidth="1"/>
    <col min="2" max="2" width="7.25" style="125" customWidth="1"/>
    <col min="3" max="3" width="21.875" style="126" customWidth="1"/>
    <col min="4" max="4" width="22.5" style="12" customWidth="1"/>
    <col min="5" max="5" width="15.375" style="127" customWidth="1"/>
    <col min="6" max="6" width="24.25" style="127" customWidth="1"/>
    <col min="7" max="7" width="28.125" style="128" customWidth="1"/>
    <col min="8" max="8" width="42.5" style="4" customWidth="1"/>
    <col min="9" max="16384" width="9" style="12"/>
  </cols>
  <sheetData>
    <row r="1" spans="1:8" s="4" customFormat="1" ht="108" customHeight="1" thickBot="1" x14ac:dyDescent="0.35">
      <c r="A1" s="1" t="s">
        <v>0</v>
      </c>
      <c r="B1" s="2"/>
      <c r="C1" s="2"/>
      <c r="D1" s="2"/>
      <c r="E1" s="2"/>
      <c r="F1" s="2"/>
      <c r="G1" s="3"/>
    </row>
    <row r="2" spans="1:8" ht="31.5" customHeight="1" x14ac:dyDescent="0.3">
      <c r="A2" s="5">
        <v>43892</v>
      </c>
      <c r="B2" s="6" t="s">
        <v>1</v>
      </c>
      <c r="C2" s="114" t="s">
        <v>22</v>
      </c>
      <c r="D2" s="8" t="s">
        <v>25</v>
      </c>
      <c r="E2" s="9">
        <v>100</v>
      </c>
      <c r="F2" s="10" t="s">
        <v>263</v>
      </c>
      <c r="G2" s="11"/>
      <c r="H2" s="12"/>
    </row>
    <row r="3" spans="1:8" s="4" customFormat="1" ht="33.75" customHeight="1" x14ac:dyDescent="0.3">
      <c r="A3" s="5"/>
      <c r="B3" s="6"/>
      <c r="C3" s="13" t="s">
        <v>4</v>
      </c>
      <c r="D3" s="8" t="s">
        <v>5</v>
      </c>
      <c r="E3" s="9">
        <v>80</v>
      </c>
      <c r="F3" s="10"/>
      <c r="G3" s="11" t="s">
        <v>73</v>
      </c>
    </row>
    <row r="4" spans="1:8" s="4" customFormat="1" ht="33.75" customHeight="1" x14ac:dyDescent="0.3">
      <c r="A4" s="5"/>
      <c r="B4" s="6"/>
      <c r="C4" s="16" t="s">
        <v>6</v>
      </c>
      <c r="D4" s="8" t="s">
        <v>11</v>
      </c>
      <c r="E4" s="9" t="s">
        <v>20</v>
      </c>
      <c r="F4" s="10"/>
      <c r="G4" s="11"/>
    </row>
    <row r="5" spans="1:8" s="4" customFormat="1" ht="33.75" customHeight="1" thickBot="1" x14ac:dyDescent="0.35">
      <c r="A5" s="5"/>
      <c r="B5" s="6"/>
      <c r="C5" s="36"/>
      <c r="D5" s="8" t="s">
        <v>7</v>
      </c>
      <c r="E5" s="9" t="s">
        <v>20</v>
      </c>
      <c r="F5" s="10"/>
      <c r="G5" s="11"/>
    </row>
    <row r="6" spans="1:8" ht="31.5" customHeight="1" thickBot="1" x14ac:dyDescent="0.35">
      <c r="A6" s="25"/>
      <c r="B6" s="26"/>
      <c r="C6" s="27" t="s">
        <v>264</v>
      </c>
      <c r="D6" s="28" t="s">
        <v>265</v>
      </c>
      <c r="E6" s="29" t="s">
        <v>266</v>
      </c>
      <c r="F6" s="29" t="s">
        <v>115</v>
      </c>
      <c r="G6" s="217" t="s">
        <v>267</v>
      </c>
      <c r="H6" s="12"/>
    </row>
    <row r="7" spans="1:8" ht="31.5" customHeight="1" x14ac:dyDescent="0.3">
      <c r="A7" s="5">
        <v>43893</v>
      </c>
      <c r="B7" s="6" t="s">
        <v>15</v>
      </c>
      <c r="C7" s="31" t="s">
        <v>16</v>
      </c>
      <c r="D7" s="93" t="s">
        <v>17</v>
      </c>
      <c r="E7" s="218">
        <v>304</v>
      </c>
      <c r="F7" s="41"/>
      <c r="G7" s="42"/>
    </row>
    <row r="8" spans="1:8" s="4" customFormat="1" ht="31.5" customHeight="1" x14ac:dyDescent="0.3">
      <c r="A8" s="5"/>
      <c r="B8" s="6"/>
      <c r="C8" s="36"/>
      <c r="D8" s="8" t="s">
        <v>75</v>
      </c>
      <c r="E8" s="9">
        <v>200</v>
      </c>
      <c r="F8" s="10"/>
      <c r="G8" s="11"/>
    </row>
    <row r="9" spans="1:8" s="4" customFormat="1" ht="33.75" customHeight="1" x14ac:dyDescent="0.3">
      <c r="A9" s="5"/>
      <c r="B9" s="6"/>
      <c r="C9" s="16" t="s">
        <v>19</v>
      </c>
      <c r="D9" s="18" t="s">
        <v>13</v>
      </c>
      <c r="E9" s="19">
        <v>50</v>
      </c>
      <c r="F9" s="47"/>
      <c r="G9" s="48" t="s">
        <v>111</v>
      </c>
    </row>
    <row r="10" spans="1:8" s="4" customFormat="1" ht="33.75" customHeight="1" x14ac:dyDescent="0.3">
      <c r="A10" s="5"/>
      <c r="B10" s="6"/>
      <c r="C10" s="36"/>
      <c r="D10" s="8" t="s">
        <v>11</v>
      </c>
      <c r="E10" s="9" t="s">
        <v>20</v>
      </c>
      <c r="F10" s="10"/>
      <c r="G10" s="11"/>
    </row>
    <row r="11" spans="1:8" s="4" customFormat="1" ht="31.5" customHeight="1" x14ac:dyDescent="0.3">
      <c r="A11" s="5"/>
      <c r="B11" s="6"/>
      <c r="C11" s="5" t="s">
        <v>82</v>
      </c>
      <c r="D11" s="100" t="s">
        <v>14</v>
      </c>
      <c r="E11" s="15">
        <v>23</v>
      </c>
      <c r="F11" s="106"/>
      <c r="G11" s="38" t="s">
        <v>268</v>
      </c>
    </row>
    <row r="12" spans="1:8" s="4" customFormat="1" ht="31.5" customHeight="1" thickBot="1" x14ac:dyDescent="0.35">
      <c r="A12" s="5"/>
      <c r="B12" s="6"/>
      <c r="C12" s="84"/>
      <c r="D12" s="173" t="s">
        <v>59</v>
      </c>
      <c r="E12" s="96">
        <v>100</v>
      </c>
      <c r="F12" s="131"/>
      <c r="G12" s="11"/>
    </row>
    <row r="13" spans="1:8" s="4" customFormat="1" ht="31.5" customHeight="1" thickBot="1" x14ac:dyDescent="0.35">
      <c r="A13" s="25"/>
      <c r="B13" s="26"/>
      <c r="C13" s="27"/>
      <c r="D13" s="28"/>
      <c r="E13" s="29"/>
      <c r="F13" s="29"/>
      <c r="G13" s="30"/>
    </row>
    <row r="14" spans="1:8" s="4" customFormat="1" ht="31.5" customHeight="1" x14ac:dyDescent="0.3">
      <c r="A14" s="5">
        <v>43894</v>
      </c>
      <c r="B14" s="6" t="s">
        <v>21</v>
      </c>
      <c r="C14" s="101" t="s">
        <v>61</v>
      </c>
      <c r="D14" s="173" t="s">
        <v>25</v>
      </c>
      <c r="E14" s="96">
        <v>100</v>
      </c>
      <c r="F14" s="131"/>
      <c r="G14" s="11"/>
    </row>
    <row r="15" spans="1:8" s="4" customFormat="1" ht="33.75" customHeight="1" x14ac:dyDescent="0.3">
      <c r="A15" s="5"/>
      <c r="B15" s="6"/>
      <c r="C15" s="13" t="s">
        <v>32</v>
      </c>
      <c r="D15" s="8" t="s">
        <v>191</v>
      </c>
      <c r="E15" s="9">
        <v>384</v>
      </c>
      <c r="F15" s="10"/>
      <c r="G15" s="11"/>
    </row>
    <row r="16" spans="1:8" s="4" customFormat="1" ht="31.5" customHeight="1" x14ac:dyDescent="0.3">
      <c r="A16" s="5"/>
      <c r="B16" s="6"/>
      <c r="C16" s="16" t="s">
        <v>107</v>
      </c>
      <c r="D16" s="8" t="s">
        <v>13</v>
      </c>
      <c r="E16" s="9">
        <v>200</v>
      </c>
      <c r="F16" s="131"/>
      <c r="G16" s="219"/>
    </row>
    <row r="17" spans="1:7" s="4" customFormat="1" ht="31.5" customHeight="1" x14ac:dyDescent="0.3">
      <c r="A17" s="5"/>
      <c r="B17" s="6"/>
      <c r="C17" s="17"/>
      <c r="D17" s="14" t="s">
        <v>3</v>
      </c>
      <c r="E17" s="15">
        <v>30</v>
      </c>
      <c r="F17" s="106"/>
      <c r="G17" s="187"/>
    </row>
    <row r="18" spans="1:7" s="4" customFormat="1" ht="32.25" customHeight="1" thickBot="1" x14ac:dyDescent="0.35">
      <c r="A18" s="5"/>
      <c r="B18" s="6"/>
      <c r="C18" s="20"/>
      <c r="D18" s="193" t="s">
        <v>31</v>
      </c>
      <c r="E18" s="162">
        <v>200</v>
      </c>
      <c r="F18" s="220"/>
      <c r="G18" s="221"/>
    </row>
    <row r="19" spans="1:7" s="4" customFormat="1" ht="31.5" customHeight="1" thickBot="1" x14ac:dyDescent="0.35">
      <c r="A19" s="25"/>
      <c r="B19" s="26"/>
      <c r="C19" s="143" t="s">
        <v>269</v>
      </c>
      <c r="D19" s="144" t="s">
        <v>270</v>
      </c>
      <c r="E19" s="144" t="s">
        <v>271</v>
      </c>
      <c r="F19" s="144" t="s">
        <v>272</v>
      </c>
      <c r="G19" s="222" t="s">
        <v>273</v>
      </c>
    </row>
    <row r="20" spans="1:7" s="4" customFormat="1" ht="31.5" customHeight="1" x14ac:dyDescent="0.3">
      <c r="A20" s="5">
        <v>43895</v>
      </c>
      <c r="B20" s="6" t="s">
        <v>41</v>
      </c>
      <c r="C20" s="72" t="s">
        <v>28</v>
      </c>
      <c r="D20" s="82" t="s">
        <v>29</v>
      </c>
      <c r="E20" s="9">
        <v>120</v>
      </c>
      <c r="F20" s="178" t="s">
        <v>218</v>
      </c>
      <c r="G20" s="179"/>
    </row>
    <row r="21" spans="1:7" s="4" customFormat="1" ht="31.5" customHeight="1" x14ac:dyDescent="0.3">
      <c r="A21" s="5"/>
      <c r="B21" s="6"/>
      <c r="C21" s="5"/>
      <c r="D21" s="82" t="s">
        <v>44</v>
      </c>
      <c r="E21" s="9">
        <v>10</v>
      </c>
      <c r="F21" s="180"/>
      <c r="G21" s="181"/>
    </row>
    <row r="22" spans="1:7" s="4" customFormat="1" ht="31.5" customHeight="1" x14ac:dyDescent="0.3">
      <c r="A22" s="5"/>
      <c r="B22" s="6"/>
      <c r="C22" s="84"/>
      <c r="D22" s="82" t="s">
        <v>7</v>
      </c>
      <c r="E22" s="9" t="s">
        <v>20</v>
      </c>
      <c r="F22" s="180"/>
      <c r="G22" s="181"/>
    </row>
    <row r="23" spans="1:7" s="4" customFormat="1" ht="31.5" customHeight="1" x14ac:dyDescent="0.3">
      <c r="A23" s="5"/>
      <c r="B23" s="6"/>
      <c r="C23" s="13" t="s">
        <v>139</v>
      </c>
      <c r="D23" s="8" t="s">
        <v>3</v>
      </c>
      <c r="E23" s="9">
        <v>37</v>
      </c>
      <c r="F23" s="131"/>
      <c r="G23" s="11"/>
    </row>
    <row r="24" spans="1:7" s="4" customFormat="1" ht="31.5" customHeight="1" x14ac:dyDescent="0.3">
      <c r="A24" s="5"/>
      <c r="B24" s="6"/>
      <c r="C24" s="16" t="s">
        <v>74</v>
      </c>
      <c r="D24" s="8" t="s">
        <v>13</v>
      </c>
      <c r="E24" s="9">
        <v>200</v>
      </c>
      <c r="F24" s="183"/>
      <c r="G24" s="186"/>
    </row>
    <row r="25" spans="1:7" s="4" customFormat="1" ht="31.5" customHeight="1" x14ac:dyDescent="0.3">
      <c r="A25" s="5"/>
      <c r="B25" s="6"/>
      <c r="C25" s="17"/>
      <c r="D25" s="8" t="s">
        <v>7</v>
      </c>
      <c r="E25" s="9" t="s">
        <v>274</v>
      </c>
      <c r="F25" s="183"/>
      <c r="G25" s="186"/>
    </row>
    <row r="26" spans="1:7" s="4" customFormat="1" ht="31.5" customHeight="1" x14ac:dyDescent="0.3">
      <c r="A26" s="5"/>
      <c r="B26" s="6"/>
      <c r="C26" s="17"/>
      <c r="D26" s="8" t="s">
        <v>9</v>
      </c>
      <c r="E26" s="9" t="s">
        <v>62</v>
      </c>
      <c r="F26" s="183"/>
      <c r="G26" s="186"/>
    </row>
    <row r="27" spans="1:7" s="4" customFormat="1" ht="31.5" customHeight="1" x14ac:dyDescent="0.3">
      <c r="A27" s="5"/>
      <c r="B27" s="6"/>
      <c r="C27" s="17"/>
      <c r="D27" s="8" t="s">
        <v>53</v>
      </c>
      <c r="E27" s="9" t="s">
        <v>168</v>
      </c>
      <c r="F27" s="183"/>
      <c r="G27" s="186"/>
    </row>
    <row r="28" spans="1:7" s="4" customFormat="1" ht="31.5" customHeight="1" thickBot="1" x14ac:dyDescent="0.35">
      <c r="A28" s="5"/>
      <c r="B28" s="6"/>
      <c r="C28" s="20"/>
      <c r="D28" s="21" t="s">
        <v>11</v>
      </c>
      <c r="E28" s="22" t="s">
        <v>156</v>
      </c>
      <c r="F28" s="223"/>
      <c r="G28" s="224"/>
    </row>
    <row r="29" spans="1:7" s="4" customFormat="1" ht="31.5" customHeight="1" thickBot="1" x14ac:dyDescent="0.35">
      <c r="A29" s="25"/>
      <c r="B29" s="26"/>
      <c r="C29" s="143" t="s">
        <v>66</v>
      </c>
      <c r="D29" s="90" t="s">
        <v>265</v>
      </c>
      <c r="E29" s="144" t="s">
        <v>275</v>
      </c>
      <c r="F29" s="144" t="s">
        <v>40</v>
      </c>
      <c r="G29" s="222" t="s">
        <v>276</v>
      </c>
    </row>
    <row r="30" spans="1:7" s="4" customFormat="1" ht="31.5" customHeight="1" x14ac:dyDescent="0.3">
      <c r="A30" s="5">
        <v>43896</v>
      </c>
      <c r="B30" s="75" t="s">
        <v>55</v>
      </c>
      <c r="C30" s="31" t="s">
        <v>16</v>
      </c>
      <c r="D30" s="8" t="s">
        <v>17</v>
      </c>
      <c r="E30" s="9">
        <v>94</v>
      </c>
      <c r="F30" s="74"/>
      <c r="G30" s="185" t="s">
        <v>277</v>
      </c>
    </row>
    <row r="31" spans="1:7" s="4" customFormat="1" ht="31.5" customHeight="1" x14ac:dyDescent="0.3">
      <c r="A31" s="5"/>
      <c r="B31" s="75"/>
      <c r="C31" s="17"/>
      <c r="D31" s="8" t="s">
        <v>18</v>
      </c>
      <c r="E31" s="9">
        <v>47</v>
      </c>
      <c r="F31" s="74"/>
      <c r="G31" s="185"/>
    </row>
    <row r="32" spans="1:7" s="4" customFormat="1" ht="31.5" customHeight="1" x14ac:dyDescent="0.3">
      <c r="A32" s="5"/>
      <c r="B32" s="75"/>
      <c r="C32" s="36"/>
      <c r="D32" s="8" t="s">
        <v>76</v>
      </c>
      <c r="E32" s="9" t="s">
        <v>278</v>
      </c>
      <c r="F32" s="183"/>
      <c r="G32" s="186"/>
    </row>
    <row r="33" spans="1:7" s="4" customFormat="1" ht="32.25" customHeight="1" thickBot="1" x14ac:dyDescent="0.35">
      <c r="A33" s="5"/>
      <c r="B33" s="75"/>
      <c r="C33" s="107" t="s">
        <v>247</v>
      </c>
      <c r="D33" s="108" t="s">
        <v>279</v>
      </c>
      <c r="E33" s="22">
        <v>50</v>
      </c>
      <c r="F33" s="225"/>
      <c r="G33" s="78"/>
    </row>
    <row r="34" spans="1:7" s="4" customFormat="1" ht="31.5" customHeight="1" thickBot="1" x14ac:dyDescent="0.35">
      <c r="A34" s="25"/>
      <c r="B34" s="79"/>
      <c r="C34" s="147"/>
      <c r="D34" s="148"/>
      <c r="E34" s="148"/>
      <c r="F34" s="148"/>
      <c r="G34" s="149"/>
    </row>
    <row r="35" spans="1:7" s="4" customFormat="1" ht="108.75" customHeight="1" thickBot="1" x14ac:dyDescent="0.35">
      <c r="A35" s="1" t="s">
        <v>0</v>
      </c>
      <c r="B35" s="2"/>
      <c r="C35" s="2"/>
      <c r="D35" s="2"/>
      <c r="E35" s="2"/>
      <c r="F35" s="2"/>
      <c r="G35" s="3"/>
    </row>
    <row r="36" spans="1:7" s="4" customFormat="1" ht="31.5" customHeight="1" x14ac:dyDescent="0.3">
      <c r="A36" s="5">
        <v>43899</v>
      </c>
      <c r="B36" s="6" t="s">
        <v>1</v>
      </c>
      <c r="C36" s="31" t="s">
        <v>16</v>
      </c>
      <c r="D36" s="32" t="s">
        <v>17</v>
      </c>
      <c r="E36" s="190">
        <v>163</v>
      </c>
      <c r="F36" s="191"/>
      <c r="G36" s="192"/>
    </row>
    <row r="37" spans="1:7" s="4" customFormat="1" ht="31.5" customHeight="1" x14ac:dyDescent="0.3">
      <c r="A37" s="5"/>
      <c r="B37" s="6"/>
      <c r="C37" s="36"/>
      <c r="D37" s="43" t="s">
        <v>18</v>
      </c>
      <c r="E37" s="44">
        <v>107</v>
      </c>
      <c r="F37" s="10"/>
      <c r="G37" s="11"/>
    </row>
    <row r="38" spans="1:7" s="4" customFormat="1" ht="32.25" customHeight="1" thickBot="1" x14ac:dyDescent="0.35">
      <c r="A38" s="5"/>
      <c r="B38" s="6"/>
      <c r="C38" s="76" t="s">
        <v>102</v>
      </c>
      <c r="D38" s="21" t="s">
        <v>7</v>
      </c>
      <c r="E38" s="66" t="s">
        <v>50</v>
      </c>
      <c r="F38" s="225"/>
      <c r="G38" s="78"/>
    </row>
    <row r="39" spans="1:7" s="4" customFormat="1" ht="32.25" customHeight="1" thickBot="1" x14ac:dyDescent="0.35">
      <c r="A39" s="25"/>
      <c r="B39" s="26"/>
      <c r="C39" s="89"/>
      <c r="D39" s="90"/>
      <c r="E39" s="91"/>
      <c r="F39" s="91"/>
      <c r="G39" s="92"/>
    </row>
    <row r="40" spans="1:7" s="4" customFormat="1" ht="32.25" customHeight="1" x14ac:dyDescent="0.3">
      <c r="A40" s="72">
        <v>43900</v>
      </c>
      <c r="B40" s="73" t="s">
        <v>15</v>
      </c>
      <c r="C40" s="226" t="s">
        <v>82</v>
      </c>
      <c r="D40" s="80" t="s">
        <v>14</v>
      </c>
      <c r="E40" s="33">
        <v>50</v>
      </c>
      <c r="F40" s="129"/>
      <c r="G40" s="195"/>
    </row>
    <row r="41" spans="1:7" s="4" customFormat="1" ht="32.25" customHeight="1" x14ac:dyDescent="0.3">
      <c r="A41" s="5"/>
      <c r="B41" s="75"/>
      <c r="C41" s="84"/>
      <c r="D41" s="100" t="s">
        <v>83</v>
      </c>
      <c r="E41" s="15">
        <v>20</v>
      </c>
      <c r="F41" s="106"/>
      <c r="G41" s="227"/>
    </row>
    <row r="42" spans="1:7" s="4" customFormat="1" ht="32.25" customHeight="1" x14ac:dyDescent="0.3">
      <c r="A42" s="5"/>
      <c r="B42" s="75"/>
      <c r="C42" s="228"/>
      <c r="D42" s="82" t="s">
        <v>59</v>
      </c>
      <c r="E42" s="9">
        <v>30</v>
      </c>
      <c r="F42" s="131"/>
      <c r="G42" s="197"/>
    </row>
    <row r="43" spans="1:7" s="4" customFormat="1" ht="32.25" customHeight="1" x14ac:dyDescent="0.3">
      <c r="A43" s="5"/>
      <c r="B43" s="75"/>
      <c r="C43" s="87" t="s">
        <v>19</v>
      </c>
      <c r="D43" s="100" t="s">
        <v>11</v>
      </c>
      <c r="E43" s="15" t="s">
        <v>20</v>
      </c>
      <c r="F43" s="106"/>
      <c r="G43" s="227"/>
    </row>
    <row r="44" spans="1:7" s="4" customFormat="1" ht="32.25" customHeight="1" x14ac:dyDescent="0.3">
      <c r="A44" s="5"/>
      <c r="B44" s="75"/>
      <c r="C44" s="5" t="s">
        <v>43</v>
      </c>
      <c r="D44" s="14" t="s">
        <v>29</v>
      </c>
      <c r="E44" s="15">
        <v>40</v>
      </c>
      <c r="F44" s="37"/>
      <c r="G44" s="38"/>
    </row>
    <row r="45" spans="1:7" s="4" customFormat="1" ht="32.25" customHeight="1" x14ac:dyDescent="0.3">
      <c r="A45" s="5"/>
      <c r="B45" s="75"/>
      <c r="C45" s="5"/>
      <c r="D45" s="8" t="s">
        <v>14</v>
      </c>
      <c r="E45" s="9">
        <v>64</v>
      </c>
      <c r="F45" s="10"/>
      <c r="G45" s="11"/>
    </row>
    <row r="46" spans="1:7" s="4" customFormat="1" ht="32.25" customHeight="1" x14ac:dyDescent="0.3">
      <c r="A46" s="5"/>
      <c r="B46" s="75"/>
      <c r="C46" s="5"/>
      <c r="D46" s="8" t="s">
        <v>44</v>
      </c>
      <c r="E46" s="9">
        <v>40</v>
      </c>
      <c r="F46" s="10"/>
      <c r="G46" s="11"/>
    </row>
    <row r="47" spans="1:7" s="4" customFormat="1" ht="32.25" customHeight="1" x14ac:dyDescent="0.3">
      <c r="A47" s="5"/>
      <c r="B47" s="75"/>
      <c r="C47" s="5"/>
      <c r="D47" s="14" t="s">
        <v>59</v>
      </c>
      <c r="E47" s="15">
        <v>128</v>
      </c>
      <c r="F47" s="37"/>
      <c r="G47" s="38"/>
    </row>
    <row r="48" spans="1:7" s="4" customFormat="1" ht="32.25" customHeight="1" x14ac:dyDescent="0.3">
      <c r="A48" s="5"/>
      <c r="B48" s="75"/>
      <c r="C48" s="5"/>
      <c r="D48" s="14" t="s">
        <v>280</v>
      </c>
      <c r="E48" s="15">
        <v>20</v>
      </c>
      <c r="F48" s="37"/>
      <c r="G48" s="38"/>
    </row>
    <row r="49" spans="1:7" s="4" customFormat="1" ht="32.25" customHeight="1" thickBot="1" x14ac:dyDescent="0.35">
      <c r="A49" s="5"/>
      <c r="B49" s="75"/>
      <c r="C49" s="84"/>
      <c r="D49" s="21" t="s">
        <v>223</v>
      </c>
      <c r="E49" s="22" t="s">
        <v>47</v>
      </c>
      <c r="F49" s="37"/>
      <c r="G49" s="38"/>
    </row>
    <row r="50" spans="1:7" s="4" customFormat="1" ht="32.25" customHeight="1" thickBot="1" x14ac:dyDescent="0.35">
      <c r="A50" s="25"/>
      <c r="B50" s="79"/>
      <c r="C50" s="203" t="s">
        <v>37</v>
      </c>
      <c r="D50" s="90" t="s">
        <v>265</v>
      </c>
      <c r="E50" s="91" t="s">
        <v>121</v>
      </c>
      <c r="F50" s="29" t="s">
        <v>115</v>
      </c>
      <c r="G50" s="217" t="s">
        <v>267</v>
      </c>
    </row>
    <row r="51" spans="1:7" s="4" customFormat="1" ht="32.25" customHeight="1" x14ac:dyDescent="0.3">
      <c r="A51" s="72">
        <v>43901</v>
      </c>
      <c r="B51" s="99" t="s">
        <v>21</v>
      </c>
      <c r="C51" s="114" t="s">
        <v>16</v>
      </c>
      <c r="D51" s="32" t="s">
        <v>17</v>
      </c>
      <c r="E51" s="33">
        <v>260</v>
      </c>
      <c r="F51" s="34"/>
      <c r="G51" s="204"/>
    </row>
    <row r="52" spans="1:7" s="4" customFormat="1" ht="32.25" customHeight="1" x14ac:dyDescent="0.3">
      <c r="A52" s="5"/>
      <c r="B52" s="6"/>
      <c r="C52" s="5" t="s">
        <v>6</v>
      </c>
      <c r="D52" s="14" t="s">
        <v>11</v>
      </c>
      <c r="E52" s="15" t="s">
        <v>20</v>
      </c>
      <c r="F52" s="37"/>
      <c r="G52" s="38"/>
    </row>
    <row r="53" spans="1:7" s="4" customFormat="1" ht="32.25" customHeight="1" x14ac:dyDescent="0.3">
      <c r="A53" s="5"/>
      <c r="B53" s="6"/>
      <c r="C53" s="5"/>
      <c r="D53" s="8" t="s">
        <v>7</v>
      </c>
      <c r="E53" s="9" t="s">
        <v>20</v>
      </c>
      <c r="F53" s="10"/>
      <c r="G53" s="11"/>
    </row>
    <row r="54" spans="1:7" s="4" customFormat="1" ht="32.25" customHeight="1" x14ac:dyDescent="0.3">
      <c r="A54" s="5"/>
      <c r="B54" s="6"/>
      <c r="C54" s="84"/>
      <c r="D54" s="8" t="s">
        <v>49</v>
      </c>
      <c r="E54" s="9" t="s">
        <v>54</v>
      </c>
      <c r="F54" s="10"/>
      <c r="G54" s="11"/>
    </row>
    <row r="55" spans="1:7" s="4" customFormat="1" ht="32.25" customHeight="1" x14ac:dyDescent="0.3">
      <c r="A55" s="5"/>
      <c r="B55" s="6"/>
      <c r="C55" s="5" t="s">
        <v>61</v>
      </c>
      <c r="D55" s="82" t="s">
        <v>59</v>
      </c>
      <c r="E55" s="9">
        <v>50</v>
      </c>
      <c r="F55" s="37"/>
      <c r="G55" s="38" t="s">
        <v>281</v>
      </c>
    </row>
    <row r="56" spans="1:7" s="4" customFormat="1" ht="32.25" customHeight="1" thickBot="1" x14ac:dyDescent="0.35">
      <c r="A56" s="5"/>
      <c r="B56" s="6"/>
      <c r="C56" s="25"/>
      <c r="D56" s="108" t="s">
        <v>25</v>
      </c>
      <c r="E56" s="22">
        <v>50</v>
      </c>
      <c r="F56" s="77"/>
      <c r="G56" s="78"/>
    </row>
    <row r="57" spans="1:7" s="4" customFormat="1" ht="32.25" customHeight="1" thickBot="1" x14ac:dyDescent="0.35">
      <c r="A57" s="25"/>
      <c r="B57" s="26"/>
      <c r="C57" s="143" t="s">
        <v>66</v>
      </c>
      <c r="D57" s="90" t="s">
        <v>265</v>
      </c>
      <c r="E57" s="144" t="s">
        <v>282</v>
      </c>
      <c r="F57" s="144" t="s">
        <v>40</v>
      </c>
      <c r="G57" s="149" t="s">
        <v>267</v>
      </c>
    </row>
    <row r="58" spans="1:7" s="4" customFormat="1" ht="32.25" customHeight="1" x14ac:dyDescent="0.3">
      <c r="A58" s="5">
        <v>43902</v>
      </c>
      <c r="B58" s="75" t="s">
        <v>41</v>
      </c>
      <c r="C58" s="97" t="s">
        <v>69</v>
      </c>
      <c r="D58" s="8" t="s">
        <v>70</v>
      </c>
      <c r="E58" s="9">
        <v>50</v>
      </c>
      <c r="F58" s="10" t="s">
        <v>218</v>
      </c>
      <c r="G58" s="11"/>
    </row>
    <row r="59" spans="1:7" s="4" customFormat="1" ht="32.25" customHeight="1" x14ac:dyDescent="0.3">
      <c r="A59" s="5"/>
      <c r="B59" s="75"/>
      <c r="C59" s="84"/>
      <c r="D59" s="8" t="s">
        <v>7</v>
      </c>
      <c r="E59" s="9" t="s">
        <v>62</v>
      </c>
      <c r="F59" s="10"/>
      <c r="G59" s="11"/>
    </row>
    <row r="60" spans="1:7" s="4" customFormat="1" ht="32.25" customHeight="1" x14ac:dyDescent="0.3">
      <c r="A60" s="5"/>
      <c r="B60" s="75"/>
      <c r="C60" s="97" t="s">
        <v>74</v>
      </c>
      <c r="D60" s="8" t="s">
        <v>13</v>
      </c>
      <c r="E60" s="9">
        <v>100</v>
      </c>
      <c r="F60" s="10"/>
      <c r="G60" s="11"/>
    </row>
    <row r="61" spans="1:7" s="4" customFormat="1" ht="32.25" customHeight="1" x14ac:dyDescent="0.3">
      <c r="A61" s="5"/>
      <c r="B61" s="75"/>
      <c r="C61" s="5"/>
      <c r="D61" s="14" t="s">
        <v>11</v>
      </c>
      <c r="E61" s="15" t="s">
        <v>156</v>
      </c>
      <c r="F61" s="37"/>
      <c r="G61" s="38"/>
    </row>
    <row r="62" spans="1:7" s="4" customFormat="1" ht="32.25" customHeight="1" thickBot="1" x14ac:dyDescent="0.35">
      <c r="A62" s="5"/>
      <c r="B62" s="75"/>
      <c r="C62" s="25"/>
      <c r="D62" s="18" t="s">
        <v>7</v>
      </c>
      <c r="E62" s="19" t="s">
        <v>128</v>
      </c>
      <c r="F62" s="47"/>
      <c r="G62" s="48"/>
    </row>
    <row r="63" spans="1:7" s="4" customFormat="1" ht="32.25" customHeight="1" thickBot="1" x14ac:dyDescent="0.35">
      <c r="A63" s="25"/>
      <c r="B63" s="79"/>
      <c r="C63" s="27"/>
      <c r="D63" s="28"/>
      <c r="E63" s="29"/>
      <c r="F63" s="29"/>
      <c r="G63" s="30"/>
    </row>
    <row r="64" spans="1:7" s="4" customFormat="1" ht="32.25" customHeight="1" x14ac:dyDescent="0.3">
      <c r="A64" s="5">
        <v>43903</v>
      </c>
      <c r="B64" s="75" t="s">
        <v>55</v>
      </c>
      <c r="C64" s="72" t="s">
        <v>16</v>
      </c>
      <c r="D64" s="82" t="s">
        <v>17</v>
      </c>
      <c r="E64" s="9">
        <v>467</v>
      </c>
      <c r="F64" s="131"/>
      <c r="G64" s="64"/>
    </row>
    <row r="65" spans="1:7" s="4" customFormat="1" ht="32.25" customHeight="1" thickBot="1" x14ac:dyDescent="0.35">
      <c r="A65" s="5"/>
      <c r="B65" s="75"/>
      <c r="C65" s="84"/>
      <c r="D65" s="82" t="s">
        <v>18</v>
      </c>
      <c r="E65" s="9">
        <v>19</v>
      </c>
      <c r="F65" s="152"/>
      <c r="G65" s="11"/>
    </row>
    <row r="66" spans="1:7" s="4" customFormat="1" ht="32.25" customHeight="1" thickBot="1" x14ac:dyDescent="0.35">
      <c r="A66" s="25"/>
      <c r="B66" s="79"/>
      <c r="C66" s="27"/>
      <c r="D66" s="28"/>
      <c r="E66" s="29"/>
      <c r="F66" s="29"/>
      <c r="G66" s="30"/>
    </row>
    <row r="67" spans="1:7" s="4" customFormat="1" ht="108.75" customHeight="1" thickBot="1" x14ac:dyDescent="0.35">
      <c r="A67" s="1" t="s">
        <v>0</v>
      </c>
      <c r="B67" s="2"/>
      <c r="C67" s="2"/>
      <c r="D67" s="2"/>
      <c r="E67" s="2"/>
      <c r="F67" s="2"/>
      <c r="G67" s="3"/>
    </row>
    <row r="68" spans="1:7" s="4" customFormat="1" ht="31.5" customHeight="1" x14ac:dyDescent="0.3">
      <c r="A68" s="72">
        <v>43906</v>
      </c>
      <c r="B68" s="99" t="s">
        <v>1</v>
      </c>
      <c r="C68" s="160" t="s">
        <v>16</v>
      </c>
      <c r="D68" s="229" t="s">
        <v>17</v>
      </c>
      <c r="E68" s="218">
        <v>256</v>
      </c>
      <c r="F68" s="230"/>
      <c r="G68" s="231" t="s">
        <v>283</v>
      </c>
    </row>
    <row r="69" spans="1:7" s="4" customFormat="1" ht="31.5" customHeight="1" x14ac:dyDescent="0.3">
      <c r="A69" s="5"/>
      <c r="B69" s="6"/>
      <c r="C69" s="97" t="s">
        <v>28</v>
      </c>
      <c r="D69" s="82" t="s">
        <v>29</v>
      </c>
      <c r="E69" s="9">
        <v>50</v>
      </c>
      <c r="F69" s="152"/>
      <c r="G69" s="232"/>
    </row>
    <row r="70" spans="1:7" s="4" customFormat="1" ht="31.5" customHeight="1" x14ac:dyDescent="0.3">
      <c r="A70" s="5"/>
      <c r="B70" s="6"/>
      <c r="C70" s="5"/>
      <c r="D70" s="82" t="s">
        <v>31</v>
      </c>
      <c r="E70" s="9">
        <v>30</v>
      </c>
      <c r="F70" s="152"/>
      <c r="G70" s="232"/>
    </row>
    <row r="71" spans="1:7" s="4" customFormat="1" ht="31.5" customHeight="1" x14ac:dyDescent="0.3">
      <c r="A71" s="5"/>
      <c r="B71" s="6"/>
      <c r="C71" s="84"/>
      <c r="D71" s="100" t="s">
        <v>7</v>
      </c>
      <c r="E71" s="15" t="s">
        <v>10</v>
      </c>
      <c r="F71" s="154"/>
      <c r="G71" s="188"/>
    </row>
    <row r="72" spans="1:7" s="4" customFormat="1" ht="31.5" customHeight="1" thickBot="1" x14ac:dyDescent="0.35">
      <c r="A72" s="5"/>
      <c r="B72" s="6"/>
      <c r="C72" s="213" t="s">
        <v>69</v>
      </c>
      <c r="D72" s="193" t="s">
        <v>70</v>
      </c>
      <c r="E72" s="162">
        <v>100</v>
      </c>
      <c r="F72" s="233" t="s">
        <v>284</v>
      </c>
      <c r="G72" s="221" t="s">
        <v>73</v>
      </c>
    </row>
    <row r="73" spans="1:7" s="4" customFormat="1" ht="31.5" customHeight="1" thickBot="1" x14ac:dyDescent="0.35">
      <c r="A73" s="5"/>
      <c r="B73" s="6"/>
      <c r="C73" s="109"/>
      <c r="D73" s="110"/>
      <c r="E73" s="111"/>
      <c r="F73" s="112"/>
      <c r="G73" s="113"/>
    </row>
    <row r="74" spans="1:7" s="4" customFormat="1" ht="31.5" customHeight="1" x14ac:dyDescent="0.3">
      <c r="A74" s="72">
        <v>43907</v>
      </c>
      <c r="B74" s="99" t="s">
        <v>15</v>
      </c>
      <c r="C74" s="151" t="s">
        <v>16</v>
      </c>
      <c r="D74" s="82" t="s">
        <v>17</v>
      </c>
      <c r="E74" s="9">
        <v>512</v>
      </c>
      <c r="F74" s="152"/>
      <c r="G74" s="64" t="s">
        <v>203</v>
      </c>
    </row>
    <row r="75" spans="1:7" s="4" customFormat="1" ht="31.5" customHeight="1" x14ac:dyDescent="0.3">
      <c r="A75" s="5"/>
      <c r="B75" s="6"/>
      <c r="C75" s="97" t="s">
        <v>82</v>
      </c>
      <c r="D75" s="82" t="s">
        <v>14</v>
      </c>
      <c r="E75" s="9">
        <v>30</v>
      </c>
      <c r="F75" s="131"/>
      <c r="G75" s="232" t="s">
        <v>285</v>
      </c>
    </row>
    <row r="76" spans="1:7" s="4" customFormat="1" ht="31.5" customHeight="1" x14ac:dyDescent="0.3">
      <c r="A76" s="5"/>
      <c r="B76" s="6"/>
      <c r="C76" s="5"/>
      <c r="D76" s="100" t="s">
        <v>59</v>
      </c>
      <c r="E76" s="15">
        <v>50</v>
      </c>
      <c r="F76" s="106"/>
      <c r="G76" s="105"/>
    </row>
    <row r="77" spans="1:7" s="4" customFormat="1" ht="31.5" customHeight="1" thickBot="1" x14ac:dyDescent="0.35">
      <c r="A77" s="5"/>
      <c r="B77" s="6"/>
      <c r="C77" s="5"/>
      <c r="D77" s="100" t="s">
        <v>286</v>
      </c>
      <c r="E77" s="15">
        <v>20</v>
      </c>
      <c r="F77" s="106"/>
      <c r="G77" s="105"/>
    </row>
    <row r="78" spans="1:7" s="4" customFormat="1" ht="31.5" customHeight="1" thickBot="1" x14ac:dyDescent="0.35">
      <c r="A78" s="25"/>
      <c r="B78" s="26"/>
      <c r="C78" s="27" t="s">
        <v>287</v>
      </c>
      <c r="D78" s="28" t="s">
        <v>265</v>
      </c>
      <c r="E78" s="29" t="s">
        <v>288</v>
      </c>
      <c r="F78" s="29" t="s">
        <v>115</v>
      </c>
      <c r="G78" s="234" t="s">
        <v>276</v>
      </c>
    </row>
    <row r="79" spans="1:7" s="4" customFormat="1" ht="31.5" customHeight="1" x14ac:dyDescent="0.3">
      <c r="A79" s="5">
        <v>43908</v>
      </c>
      <c r="B79" s="6" t="s">
        <v>21</v>
      </c>
      <c r="C79" s="31" t="s">
        <v>16</v>
      </c>
      <c r="D79" s="14" t="s">
        <v>17</v>
      </c>
      <c r="E79" s="15">
        <v>119</v>
      </c>
      <c r="F79" s="37"/>
      <c r="G79" s="38" t="s">
        <v>289</v>
      </c>
    </row>
    <row r="80" spans="1:7" s="4" customFormat="1" ht="31.5" customHeight="1" x14ac:dyDescent="0.3">
      <c r="A80" s="5"/>
      <c r="B80" s="6"/>
      <c r="C80" s="36"/>
      <c r="D80" s="14" t="s">
        <v>290</v>
      </c>
      <c r="E80" s="15">
        <v>100</v>
      </c>
      <c r="F80" s="37"/>
      <c r="G80" s="38"/>
    </row>
    <row r="81" spans="1:7" s="4" customFormat="1" ht="31.5" customHeight="1" x14ac:dyDescent="0.3">
      <c r="A81" s="5"/>
      <c r="B81" s="6"/>
      <c r="C81" s="16" t="s">
        <v>2</v>
      </c>
      <c r="D81" s="14" t="s">
        <v>5</v>
      </c>
      <c r="E81" s="9">
        <v>200</v>
      </c>
      <c r="F81" s="10"/>
      <c r="G81" s="11"/>
    </row>
    <row r="82" spans="1:7" s="4" customFormat="1" ht="31.5" customHeight="1" x14ac:dyDescent="0.3">
      <c r="A82" s="5"/>
      <c r="B82" s="6"/>
      <c r="C82" s="36"/>
      <c r="D82" s="14" t="s">
        <v>142</v>
      </c>
      <c r="E82" s="9" t="s">
        <v>62</v>
      </c>
      <c r="F82" s="10"/>
      <c r="G82" s="11"/>
    </row>
    <row r="83" spans="1:7" s="4" customFormat="1" ht="31.5" customHeight="1" thickBot="1" x14ac:dyDescent="0.35">
      <c r="A83" s="5"/>
      <c r="B83" s="6"/>
      <c r="C83" s="101" t="s">
        <v>34</v>
      </c>
      <c r="D83" s="82" t="s">
        <v>7</v>
      </c>
      <c r="E83" s="9" t="s">
        <v>35</v>
      </c>
      <c r="F83" s="37"/>
      <c r="G83" s="38"/>
    </row>
    <row r="84" spans="1:7" s="4" customFormat="1" ht="31.5" customHeight="1" thickBot="1" x14ac:dyDescent="0.35">
      <c r="A84" s="25"/>
      <c r="B84" s="26"/>
      <c r="C84" s="27"/>
      <c r="D84" s="28"/>
      <c r="E84" s="29"/>
      <c r="F84" s="29"/>
      <c r="G84" s="30"/>
    </row>
    <row r="85" spans="1:7" s="4" customFormat="1" ht="31.5" customHeight="1" x14ac:dyDescent="0.3">
      <c r="A85" s="72">
        <v>43909</v>
      </c>
      <c r="B85" s="99" t="s">
        <v>41</v>
      </c>
      <c r="C85" s="114" t="s">
        <v>291</v>
      </c>
      <c r="D85" s="32" t="s">
        <v>7</v>
      </c>
      <c r="E85" s="33" t="s">
        <v>64</v>
      </c>
      <c r="F85" s="34" t="s">
        <v>292</v>
      </c>
      <c r="G85" s="11"/>
    </row>
    <row r="86" spans="1:7" s="4" customFormat="1" ht="31.5" customHeight="1" x14ac:dyDescent="0.3">
      <c r="A86" s="5"/>
      <c r="B86" s="6"/>
      <c r="C86" s="101" t="s">
        <v>293</v>
      </c>
      <c r="D86" s="100" t="s">
        <v>44</v>
      </c>
      <c r="E86" s="15">
        <v>30</v>
      </c>
      <c r="F86" s="10"/>
      <c r="G86" s="11"/>
    </row>
    <row r="87" spans="1:7" s="4" customFormat="1" ht="31.5" customHeight="1" thickBot="1" x14ac:dyDescent="0.35">
      <c r="A87" s="5"/>
      <c r="B87" s="6"/>
      <c r="C87" s="235" t="s">
        <v>19</v>
      </c>
      <c r="D87" s="100" t="s">
        <v>9</v>
      </c>
      <c r="E87" s="15" t="s">
        <v>10</v>
      </c>
      <c r="F87" s="10"/>
      <c r="G87" s="11"/>
    </row>
    <row r="88" spans="1:7" s="4" customFormat="1" ht="31.5" customHeight="1" thickBot="1" x14ac:dyDescent="0.35">
      <c r="A88" s="5"/>
      <c r="B88" s="6"/>
      <c r="C88" s="27" t="s">
        <v>294</v>
      </c>
      <c r="D88" s="28" t="s">
        <v>265</v>
      </c>
      <c r="E88" s="29" t="s">
        <v>295</v>
      </c>
      <c r="F88" s="29" t="s">
        <v>254</v>
      </c>
      <c r="G88" s="234" t="s">
        <v>276</v>
      </c>
    </row>
    <row r="89" spans="1:7" s="4" customFormat="1" ht="31.5" customHeight="1" thickBot="1" x14ac:dyDescent="0.35">
      <c r="A89" s="25"/>
      <c r="B89" s="26"/>
      <c r="C89" s="27" t="s">
        <v>296</v>
      </c>
      <c r="D89" s="28" t="s">
        <v>265</v>
      </c>
      <c r="E89" s="29" t="s">
        <v>297</v>
      </c>
      <c r="F89" s="29" t="s">
        <v>40</v>
      </c>
      <c r="G89" s="234" t="s">
        <v>267</v>
      </c>
    </row>
    <row r="90" spans="1:7" s="4" customFormat="1" ht="31.5" customHeight="1" x14ac:dyDescent="0.3">
      <c r="A90" s="5">
        <v>43910</v>
      </c>
      <c r="B90" s="6" t="s">
        <v>55</v>
      </c>
      <c r="C90" s="101" t="s">
        <v>16</v>
      </c>
      <c r="D90" s="100" t="s">
        <v>17</v>
      </c>
      <c r="E90" s="15">
        <v>68</v>
      </c>
      <c r="F90" s="34"/>
      <c r="G90" s="35" t="s">
        <v>203</v>
      </c>
    </row>
    <row r="91" spans="1:7" s="4" customFormat="1" ht="31.5" customHeight="1" x14ac:dyDescent="0.3">
      <c r="A91" s="5"/>
      <c r="B91" s="6"/>
      <c r="C91" s="101" t="s">
        <v>181</v>
      </c>
      <c r="D91" s="100" t="s">
        <v>142</v>
      </c>
      <c r="E91" s="15" t="s">
        <v>64</v>
      </c>
      <c r="F91" s="37"/>
      <c r="G91" s="38"/>
    </row>
    <row r="92" spans="1:7" s="4" customFormat="1" ht="31.5" customHeight="1" x14ac:dyDescent="0.3">
      <c r="A92" s="5"/>
      <c r="B92" s="6"/>
      <c r="C92" s="87" t="s">
        <v>60</v>
      </c>
      <c r="D92" s="100" t="s">
        <v>3</v>
      </c>
      <c r="E92" s="15">
        <v>100</v>
      </c>
      <c r="F92" s="37" t="s">
        <v>298</v>
      </c>
      <c r="G92" s="38" t="s">
        <v>73</v>
      </c>
    </row>
    <row r="93" spans="1:7" s="4" customFormat="1" ht="31.5" customHeight="1" x14ac:dyDescent="0.3">
      <c r="A93" s="5"/>
      <c r="B93" s="6"/>
      <c r="C93" s="151" t="s">
        <v>176</v>
      </c>
      <c r="D93" s="100" t="s">
        <v>86</v>
      </c>
      <c r="E93" s="15">
        <v>100</v>
      </c>
      <c r="F93" s="37"/>
      <c r="G93" s="38" t="s">
        <v>73</v>
      </c>
    </row>
    <row r="94" spans="1:7" s="4" customFormat="1" ht="31.5" customHeight="1" x14ac:dyDescent="0.3">
      <c r="A94" s="5"/>
      <c r="B94" s="6"/>
      <c r="C94" s="97" t="s">
        <v>43</v>
      </c>
      <c r="D94" s="82" t="s">
        <v>84</v>
      </c>
      <c r="E94" s="9">
        <v>20</v>
      </c>
      <c r="F94" s="37" t="s">
        <v>218</v>
      </c>
      <c r="G94" s="11" t="s">
        <v>73</v>
      </c>
    </row>
    <row r="95" spans="1:7" s="4" customFormat="1" ht="31.5" customHeight="1" x14ac:dyDescent="0.3">
      <c r="A95" s="5"/>
      <c r="B95" s="6"/>
      <c r="C95" s="5"/>
      <c r="D95" s="82" t="s">
        <v>211</v>
      </c>
      <c r="E95" s="9">
        <v>64</v>
      </c>
      <c r="F95" s="10"/>
      <c r="G95" s="11"/>
    </row>
    <row r="96" spans="1:7" s="4" customFormat="1" ht="31.5" customHeight="1" thickBot="1" x14ac:dyDescent="0.35">
      <c r="A96" s="5"/>
      <c r="B96" s="6"/>
      <c r="C96" s="5"/>
      <c r="D96" s="85" t="s">
        <v>29</v>
      </c>
      <c r="E96" s="19">
        <v>40</v>
      </c>
      <c r="F96" s="47"/>
      <c r="G96" s="48"/>
    </row>
    <row r="97" spans="1:7" s="4" customFormat="1" ht="31.5" customHeight="1" thickBot="1" x14ac:dyDescent="0.35">
      <c r="A97" s="25"/>
      <c r="B97" s="26"/>
      <c r="C97" s="27"/>
      <c r="D97" s="28"/>
      <c r="E97" s="29"/>
      <c r="F97" s="29"/>
      <c r="G97" s="30"/>
    </row>
    <row r="98" spans="1:7" s="4" customFormat="1" ht="108.75" customHeight="1" thickBot="1" x14ac:dyDescent="0.35">
      <c r="A98" s="1" t="s">
        <v>0</v>
      </c>
      <c r="B98" s="2"/>
      <c r="C98" s="2"/>
      <c r="D98" s="2"/>
      <c r="E98" s="2"/>
      <c r="F98" s="2"/>
      <c r="G98" s="3"/>
    </row>
    <row r="99" spans="1:7" s="4" customFormat="1" ht="30.75" customHeight="1" x14ac:dyDescent="0.3">
      <c r="A99" s="72">
        <v>43913</v>
      </c>
      <c r="B99" s="99" t="s">
        <v>1</v>
      </c>
      <c r="C99" s="31" t="s">
        <v>175</v>
      </c>
      <c r="D99" s="32" t="s">
        <v>23</v>
      </c>
      <c r="E99" s="33">
        <v>99</v>
      </c>
      <c r="F99" s="34"/>
      <c r="G99" s="35"/>
    </row>
    <row r="100" spans="1:7" s="4" customFormat="1" ht="30.75" customHeight="1" x14ac:dyDescent="0.3">
      <c r="A100" s="5"/>
      <c r="B100" s="6"/>
      <c r="C100" s="17"/>
      <c r="D100" s="8" t="s">
        <v>7</v>
      </c>
      <c r="E100" s="9" t="s">
        <v>62</v>
      </c>
      <c r="F100" s="10"/>
      <c r="G100" s="11"/>
    </row>
    <row r="101" spans="1:7" s="4" customFormat="1" ht="30.75" customHeight="1" x14ac:dyDescent="0.3">
      <c r="A101" s="5"/>
      <c r="B101" s="6"/>
      <c r="C101" s="36"/>
      <c r="D101" s="100" t="s">
        <v>9</v>
      </c>
      <c r="E101" s="106" t="s">
        <v>259</v>
      </c>
      <c r="F101" s="106"/>
      <c r="G101" s="38"/>
    </row>
    <row r="102" spans="1:7" s="4" customFormat="1" ht="30.75" customHeight="1" x14ac:dyDescent="0.3">
      <c r="A102" s="5"/>
      <c r="B102" s="6"/>
      <c r="C102" s="87" t="s">
        <v>6</v>
      </c>
      <c r="D102" s="82" t="s">
        <v>7</v>
      </c>
      <c r="E102" s="131" t="s">
        <v>50</v>
      </c>
      <c r="F102" s="131"/>
      <c r="G102" s="11"/>
    </row>
    <row r="103" spans="1:7" s="4" customFormat="1" ht="30.75" customHeight="1" x14ac:dyDescent="0.3">
      <c r="A103" s="5"/>
      <c r="B103" s="6"/>
      <c r="C103" s="17" t="s">
        <v>74</v>
      </c>
      <c r="D103" s="14" t="s">
        <v>13</v>
      </c>
      <c r="E103" s="15">
        <v>165</v>
      </c>
      <c r="F103" s="236" t="s">
        <v>145</v>
      </c>
      <c r="G103" s="38"/>
    </row>
    <row r="104" spans="1:7" s="4" customFormat="1" ht="30.75" customHeight="1" x14ac:dyDescent="0.3">
      <c r="A104" s="5"/>
      <c r="B104" s="6"/>
      <c r="C104" s="17"/>
      <c r="D104" s="8" t="s">
        <v>49</v>
      </c>
      <c r="E104" s="9" t="s">
        <v>199</v>
      </c>
      <c r="F104" s="236"/>
      <c r="G104" s="11"/>
    </row>
    <row r="105" spans="1:7" s="4" customFormat="1" ht="30.75" customHeight="1" thickBot="1" x14ac:dyDescent="0.35">
      <c r="A105" s="5"/>
      <c r="B105" s="6"/>
      <c r="C105" s="17"/>
      <c r="D105" s="18" t="s">
        <v>223</v>
      </c>
      <c r="E105" s="19" t="s">
        <v>64</v>
      </c>
      <c r="F105" s="236"/>
      <c r="G105" s="48"/>
    </row>
    <row r="106" spans="1:7" s="4" customFormat="1" ht="30.75" customHeight="1" thickBot="1" x14ac:dyDescent="0.35">
      <c r="A106" s="25"/>
      <c r="B106" s="26"/>
      <c r="C106" s="27"/>
      <c r="D106" s="28"/>
      <c r="E106" s="29"/>
      <c r="F106" s="29"/>
      <c r="G106" s="30"/>
    </row>
    <row r="107" spans="1:7" s="4" customFormat="1" ht="30.75" customHeight="1" x14ac:dyDescent="0.3">
      <c r="A107" s="72">
        <v>43914</v>
      </c>
      <c r="B107" s="99" t="s">
        <v>15</v>
      </c>
      <c r="C107" s="31" t="s">
        <v>43</v>
      </c>
      <c r="D107" s="82" t="s">
        <v>14</v>
      </c>
      <c r="E107" s="9">
        <v>64</v>
      </c>
      <c r="F107" s="10"/>
      <c r="G107" s="11"/>
    </row>
    <row r="108" spans="1:7" s="4" customFormat="1" ht="30.75" customHeight="1" x14ac:dyDescent="0.3">
      <c r="A108" s="5"/>
      <c r="B108" s="6"/>
      <c r="C108" s="17"/>
      <c r="D108" s="82" t="s">
        <v>148</v>
      </c>
      <c r="E108" s="9" t="s">
        <v>62</v>
      </c>
      <c r="F108" s="10"/>
      <c r="G108" s="11"/>
    </row>
    <row r="109" spans="1:7" s="4" customFormat="1" ht="30.75" customHeight="1" x14ac:dyDescent="0.3">
      <c r="A109" s="5"/>
      <c r="B109" s="6"/>
      <c r="C109" s="17"/>
      <c r="D109" s="82" t="s">
        <v>173</v>
      </c>
      <c r="E109" s="19" t="s">
        <v>12</v>
      </c>
      <c r="F109" s="47"/>
      <c r="G109" s="48"/>
    </row>
    <row r="110" spans="1:7" s="4" customFormat="1" ht="30.75" customHeight="1" x14ac:dyDescent="0.3">
      <c r="A110" s="5"/>
      <c r="B110" s="6"/>
      <c r="C110" s="17"/>
      <c r="D110" s="82" t="s">
        <v>172</v>
      </c>
      <c r="E110" s="9" t="s">
        <v>12</v>
      </c>
      <c r="F110" s="10"/>
      <c r="G110" s="11"/>
    </row>
    <row r="111" spans="1:7" s="4" customFormat="1" ht="30.75" customHeight="1" x14ac:dyDescent="0.3">
      <c r="A111" s="5"/>
      <c r="B111" s="6"/>
      <c r="C111" s="36"/>
      <c r="D111" s="82" t="s">
        <v>174</v>
      </c>
      <c r="E111" s="9" t="s">
        <v>12</v>
      </c>
      <c r="F111" s="10"/>
      <c r="G111" s="11"/>
    </row>
    <row r="112" spans="1:7" s="4" customFormat="1" ht="30.75" customHeight="1" x14ac:dyDescent="0.3">
      <c r="A112" s="5"/>
      <c r="B112" s="6"/>
      <c r="C112" s="16" t="s">
        <v>34</v>
      </c>
      <c r="D112" s="82" t="s">
        <v>7</v>
      </c>
      <c r="E112" s="9" t="s">
        <v>155</v>
      </c>
      <c r="F112" s="63"/>
      <c r="G112" s="11"/>
    </row>
    <row r="113" spans="1:7" s="4" customFormat="1" ht="30.75" customHeight="1" x14ac:dyDescent="0.3">
      <c r="A113" s="5"/>
      <c r="B113" s="6"/>
      <c r="C113" s="36"/>
      <c r="D113" s="82" t="s">
        <v>49</v>
      </c>
      <c r="E113" s="9" t="s">
        <v>12</v>
      </c>
      <c r="F113" s="63"/>
      <c r="G113" s="11"/>
    </row>
    <row r="114" spans="1:7" s="4" customFormat="1" ht="30.75" customHeight="1" x14ac:dyDescent="0.3">
      <c r="A114" s="5"/>
      <c r="B114" s="6"/>
      <c r="C114" s="16" t="s">
        <v>19</v>
      </c>
      <c r="D114" s="82" t="s">
        <v>7</v>
      </c>
      <c r="E114" s="9" t="s">
        <v>259</v>
      </c>
      <c r="F114" s="63"/>
      <c r="G114" s="11"/>
    </row>
    <row r="115" spans="1:7" s="4" customFormat="1" ht="30.75" customHeight="1" thickBot="1" x14ac:dyDescent="0.35">
      <c r="A115" s="5"/>
      <c r="B115" s="6"/>
      <c r="C115" s="20"/>
      <c r="D115" s="8" t="s">
        <v>9</v>
      </c>
      <c r="E115" s="9" t="s">
        <v>12</v>
      </c>
      <c r="F115" s="61"/>
      <c r="G115" s="11"/>
    </row>
    <row r="116" spans="1:7" s="4" customFormat="1" ht="30.75" customHeight="1" thickBot="1" x14ac:dyDescent="0.35">
      <c r="A116" s="25"/>
      <c r="B116" s="26"/>
      <c r="C116" s="27"/>
      <c r="D116" s="28"/>
      <c r="E116" s="29"/>
      <c r="F116" s="29"/>
      <c r="G116" s="30"/>
    </row>
    <row r="117" spans="1:7" s="4" customFormat="1" ht="30.75" customHeight="1" x14ac:dyDescent="0.3">
      <c r="A117" s="72">
        <v>43915</v>
      </c>
      <c r="B117" s="99" t="s">
        <v>21</v>
      </c>
      <c r="C117" s="31" t="s">
        <v>56</v>
      </c>
      <c r="D117" s="32" t="s">
        <v>57</v>
      </c>
      <c r="E117" s="33">
        <v>50</v>
      </c>
      <c r="F117" s="34" t="s">
        <v>218</v>
      </c>
      <c r="G117" s="35"/>
    </row>
    <row r="118" spans="1:7" s="4" customFormat="1" ht="30.75" customHeight="1" x14ac:dyDescent="0.3">
      <c r="A118" s="5"/>
      <c r="B118" s="6"/>
      <c r="C118" s="36"/>
      <c r="D118" s="8" t="s">
        <v>59</v>
      </c>
      <c r="E118" s="9">
        <v>250</v>
      </c>
      <c r="F118" s="10"/>
      <c r="G118" s="11"/>
    </row>
    <row r="119" spans="1:7" s="4" customFormat="1" ht="30.75" customHeight="1" x14ac:dyDescent="0.3">
      <c r="A119" s="5"/>
      <c r="B119" s="6"/>
      <c r="C119" s="16" t="s">
        <v>61</v>
      </c>
      <c r="D119" s="8" t="s">
        <v>25</v>
      </c>
      <c r="E119" s="9">
        <v>75</v>
      </c>
      <c r="F119" s="10"/>
      <c r="G119" s="11" t="s">
        <v>268</v>
      </c>
    </row>
    <row r="120" spans="1:7" s="4" customFormat="1" ht="30.75" customHeight="1" x14ac:dyDescent="0.3">
      <c r="A120" s="5"/>
      <c r="B120" s="6"/>
      <c r="C120" s="36"/>
      <c r="D120" s="100" t="s">
        <v>14</v>
      </c>
      <c r="E120" s="9">
        <v>25</v>
      </c>
      <c r="F120" s="106"/>
      <c r="G120" s="38"/>
    </row>
    <row r="121" spans="1:7" s="4" customFormat="1" ht="30.75" customHeight="1" x14ac:dyDescent="0.3">
      <c r="A121" s="5"/>
      <c r="B121" s="6"/>
      <c r="C121" s="16" t="s">
        <v>6</v>
      </c>
      <c r="D121" s="100" t="s">
        <v>53</v>
      </c>
      <c r="E121" s="9" t="s">
        <v>199</v>
      </c>
      <c r="F121" s="106"/>
      <c r="G121" s="38" t="s">
        <v>299</v>
      </c>
    </row>
    <row r="122" spans="1:7" s="4" customFormat="1" ht="30.75" customHeight="1" x14ac:dyDescent="0.3">
      <c r="A122" s="5"/>
      <c r="B122" s="6"/>
      <c r="C122" s="17"/>
      <c r="D122" s="100" t="s">
        <v>221</v>
      </c>
      <c r="E122" s="9" t="s">
        <v>199</v>
      </c>
      <c r="F122" s="106"/>
      <c r="G122" s="38"/>
    </row>
    <row r="123" spans="1:7" s="4" customFormat="1" ht="30.75" customHeight="1" x14ac:dyDescent="0.3">
      <c r="A123" s="5"/>
      <c r="B123" s="6"/>
      <c r="C123" s="36"/>
      <c r="D123" s="100" t="s">
        <v>3</v>
      </c>
      <c r="E123" s="9">
        <v>20</v>
      </c>
      <c r="F123" s="106"/>
      <c r="G123" s="38"/>
    </row>
    <row r="124" spans="1:7" s="4" customFormat="1" ht="30.75" customHeight="1" x14ac:dyDescent="0.3">
      <c r="A124" s="5"/>
      <c r="B124" s="6"/>
      <c r="C124" s="16" t="s">
        <v>82</v>
      </c>
      <c r="D124" s="100" t="s">
        <v>83</v>
      </c>
      <c r="E124" s="9">
        <v>50</v>
      </c>
      <c r="F124" s="106"/>
      <c r="G124" s="38" t="s">
        <v>300</v>
      </c>
    </row>
    <row r="125" spans="1:7" s="4" customFormat="1" ht="30.75" customHeight="1" x14ac:dyDescent="0.3">
      <c r="A125" s="5"/>
      <c r="B125" s="6"/>
      <c r="C125" s="17"/>
      <c r="D125" s="100" t="s">
        <v>59</v>
      </c>
      <c r="E125" s="9">
        <v>50</v>
      </c>
      <c r="F125" s="106"/>
      <c r="G125" s="38"/>
    </row>
    <row r="126" spans="1:7" s="4" customFormat="1" ht="30.75" customHeight="1" x14ac:dyDescent="0.3">
      <c r="A126" s="5"/>
      <c r="B126" s="6"/>
      <c r="C126" s="36"/>
      <c r="D126" s="100" t="s">
        <v>7</v>
      </c>
      <c r="E126" s="9" t="s">
        <v>12</v>
      </c>
      <c r="F126" s="106"/>
      <c r="G126" s="38"/>
    </row>
    <row r="127" spans="1:7" s="4" customFormat="1" ht="30.75" customHeight="1" x14ac:dyDescent="0.3">
      <c r="A127" s="5"/>
      <c r="B127" s="6"/>
      <c r="C127" s="16" t="s">
        <v>107</v>
      </c>
      <c r="D127" s="8" t="s">
        <v>13</v>
      </c>
      <c r="E127" s="9">
        <v>200</v>
      </c>
      <c r="F127" s="10"/>
      <c r="G127" s="11"/>
    </row>
    <row r="128" spans="1:7" s="4" customFormat="1" ht="30.75" customHeight="1" thickBot="1" x14ac:dyDescent="0.35">
      <c r="A128" s="5"/>
      <c r="B128" s="6"/>
      <c r="C128" s="20"/>
      <c r="D128" s="8" t="s">
        <v>59</v>
      </c>
      <c r="E128" s="9">
        <v>30</v>
      </c>
      <c r="F128" s="10"/>
      <c r="G128" s="11"/>
    </row>
    <row r="129" spans="1:7" s="4" customFormat="1" ht="30.75" customHeight="1" thickBot="1" x14ac:dyDescent="0.35">
      <c r="A129" s="25"/>
      <c r="B129" s="26"/>
      <c r="C129" s="27"/>
      <c r="D129" s="28"/>
      <c r="E129" s="29"/>
      <c r="F129" s="29"/>
      <c r="G129" s="30"/>
    </row>
    <row r="130" spans="1:7" s="4" customFormat="1" ht="30.75" customHeight="1" x14ac:dyDescent="0.3">
      <c r="A130" s="72">
        <v>43916</v>
      </c>
      <c r="B130" s="99" t="s">
        <v>41</v>
      </c>
      <c r="C130" s="31" t="s">
        <v>16</v>
      </c>
      <c r="D130" s="32" t="s">
        <v>17</v>
      </c>
      <c r="E130" s="218">
        <v>405</v>
      </c>
      <c r="F130" s="34"/>
      <c r="G130" s="35"/>
    </row>
    <row r="131" spans="1:7" s="4" customFormat="1" ht="30.75" customHeight="1" x14ac:dyDescent="0.3">
      <c r="A131" s="5"/>
      <c r="B131" s="6"/>
      <c r="C131" s="17"/>
      <c r="D131" s="95" t="s">
        <v>75</v>
      </c>
      <c r="E131" s="96">
        <v>100</v>
      </c>
      <c r="F131" s="37"/>
      <c r="G131" s="38"/>
    </row>
    <row r="132" spans="1:7" s="4" customFormat="1" ht="30.75" customHeight="1" x14ac:dyDescent="0.3">
      <c r="A132" s="5"/>
      <c r="B132" s="6"/>
      <c r="C132" s="36"/>
      <c r="D132" s="8" t="s">
        <v>18</v>
      </c>
      <c r="E132" s="9">
        <v>18</v>
      </c>
      <c r="F132" s="10"/>
      <c r="G132" s="11"/>
    </row>
    <row r="133" spans="1:7" s="4" customFormat="1" ht="30.75" customHeight="1" thickBot="1" x14ac:dyDescent="0.35">
      <c r="A133" s="5"/>
      <c r="B133" s="6"/>
      <c r="C133" s="13" t="s">
        <v>117</v>
      </c>
      <c r="D133" s="8" t="s">
        <v>5</v>
      </c>
      <c r="E133" s="9">
        <v>200</v>
      </c>
      <c r="F133" s="10"/>
      <c r="G133" s="11" t="s">
        <v>301</v>
      </c>
    </row>
    <row r="134" spans="1:7" s="4" customFormat="1" ht="30.75" customHeight="1" thickBot="1" x14ac:dyDescent="0.35">
      <c r="A134" s="25"/>
      <c r="B134" s="26"/>
      <c r="C134" s="27" t="s">
        <v>302</v>
      </c>
      <c r="D134" s="28" t="s">
        <v>265</v>
      </c>
      <c r="E134" s="29" t="s">
        <v>303</v>
      </c>
      <c r="F134" s="29" t="s">
        <v>40</v>
      </c>
      <c r="G134" s="30" t="s">
        <v>276</v>
      </c>
    </row>
    <row r="135" spans="1:7" s="4" customFormat="1" ht="30.75" customHeight="1" x14ac:dyDescent="0.3">
      <c r="A135" s="72">
        <v>43917</v>
      </c>
      <c r="B135" s="99" t="s">
        <v>55</v>
      </c>
      <c r="C135" s="31" t="s">
        <v>16</v>
      </c>
      <c r="D135" s="32" t="s">
        <v>17</v>
      </c>
      <c r="E135" s="218">
        <v>180</v>
      </c>
      <c r="F135" s="34"/>
      <c r="G135" s="35" t="s">
        <v>203</v>
      </c>
    </row>
    <row r="136" spans="1:7" s="4" customFormat="1" ht="30.75" customHeight="1" x14ac:dyDescent="0.3">
      <c r="A136" s="5"/>
      <c r="B136" s="6"/>
      <c r="C136" s="36"/>
      <c r="D136" s="8" t="s">
        <v>76</v>
      </c>
      <c r="E136" s="9" t="s">
        <v>54</v>
      </c>
      <c r="F136" s="10"/>
      <c r="G136" s="11"/>
    </row>
    <row r="137" spans="1:7" s="4" customFormat="1" ht="30.75" customHeight="1" x14ac:dyDescent="0.3">
      <c r="A137" s="5"/>
      <c r="B137" s="6"/>
      <c r="C137" s="16" t="s">
        <v>19</v>
      </c>
      <c r="D137" s="18" t="s">
        <v>11</v>
      </c>
      <c r="E137" s="19" t="s">
        <v>20</v>
      </c>
      <c r="F137" s="47"/>
      <c r="G137" s="48"/>
    </row>
    <row r="138" spans="1:7" s="4" customFormat="1" ht="30.75" customHeight="1" x14ac:dyDescent="0.3">
      <c r="A138" s="5"/>
      <c r="B138" s="6"/>
      <c r="C138" s="17"/>
      <c r="D138" s="8" t="s">
        <v>7</v>
      </c>
      <c r="E138" s="9" t="s">
        <v>62</v>
      </c>
      <c r="F138" s="10"/>
      <c r="G138" s="11"/>
    </row>
    <row r="139" spans="1:7" s="4" customFormat="1" ht="30.75" customHeight="1" x14ac:dyDescent="0.3">
      <c r="A139" s="5"/>
      <c r="B139" s="6"/>
      <c r="C139" s="36"/>
      <c r="D139" s="8" t="s">
        <v>9</v>
      </c>
      <c r="E139" s="9" t="s">
        <v>10</v>
      </c>
      <c r="F139" s="10"/>
      <c r="G139" s="11"/>
    </row>
    <row r="140" spans="1:7" s="4" customFormat="1" ht="30.75" customHeight="1" x14ac:dyDescent="0.3">
      <c r="A140" s="5"/>
      <c r="B140" s="6"/>
      <c r="C140" s="17" t="s">
        <v>74</v>
      </c>
      <c r="D140" s="18" t="s">
        <v>13</v>
      </c>
      <c r="E140" s="19">
        <v>100</v>
      </c>
      <c r="F140" s="47"/>
      <c r="G140" s="48" t="s">
        <v>73</v>
      </c>
    </row>
    <row r="141" spans="1:7" s="4" customFormat="1" ht="30.75" customHeight="1" x14ac:dyDescent="0.3">
      <c r="A141" s="5"/>
      <c r="B141" s="6"/>
      <c r="C141" s="17"/>
      <c r="D141" s="95" t="s">
        <v>146</v>
      </c>
      <c r="E141" s="96">
        <v>50</v>
      </c>
      <c r="F141" s="63"/>
      <c r="G141" s="64"/>
    </row>
    <row r="142" spans="1:7" s="4" customFormat="1" ht="30.75" customHeight="1" x14ac:dyDescent="0.3">
      <c r="A142" s="5"/>
      <c r="B142" s="6"/>
      <c r="C142" s="17"/>
      <c r="D142" s="95" t="s">
        <v>304</v>
      </c>
      <c r="E142" s="96">
        <v>50</v>
      </c>
      <c r="F142" s="63"/>
      <c r="G142" s="64"/>
    </row>
    <row r="143" spans="1:7" s="4" customFormat="1" ht="30.75" customHeight="1" x14ac:dyDescent="0.3">
      <c r="A143" s="5"/>
      <c r="B143" s="6"/>
      <c r="C143" s="17"/>
      <c r="D143" s="95" t="s">
        <v>44</v>
      </c>
      <c r="E143" s="96">
        <v>3</v>
      </c>
      <c r="F143" s="63"/>
      <c r="G143" s="64"/>
    </row>
    <row r="144" spans="1:7" s="4" customFormat="1" ht="30.75" customHeight="1" x14ac:dyDescent="0.3">
      <c r="A144" s="5"/>
      <c r="B144" s="6"/>
      <c r="C144" s="17"/>
      <c r="D144" s="8" t="s">
        <v>7</v>
      </c>
      <c r="E144" s="9" t="s">
        <v>155</v>
      </c>
      <c r="F144" s="10"/>
      <c r="G144" s="11"/>
    </row>
    <row r="145" spans="1:7" s="4" customFormat="1" ht="30.75" customHeight="1" thickBot="1" x14ac:dyDescent="0.35">
      <c r="A145" s="5"/>
      <c r="B145" s="6"/>
      <c r="C145" s="20"/>
      <c r="D145" s="161" t="s">
        <v>11</v>
      </c>
      <c r="E145" s="162" t="s">
        <v>98</v>
      </c>
      <c r="F145" s="23"/>
      <c r="G145" s="24"/>
    </row>
    <row r="146" spans="1:7" s="4" customFormat="1" ht="30.75" customHeight="1" thickBot="1" x14ac:dyDescent="0.35">
      <c r="A146" s="25"/>
      <c r="B146" s="26"/>
      <c r="C146" s="27"/>
      <c r="D146" s="28"/>
      <c r="E146" s="29"/>
      <c r="F146" s="29"/>
      <c r="G146" s="30"/>
    </row>
    <row r="147" spans="1:7" s="4" customFormat="1" ht="108.75" customHeight="1" thickBot="1" x14ac:dyDescent="0.35">
      <c r="A147" s="1" t="s">
        <v>0</v>
      </c>
      <c r="B147" s="2"/>
      <c r="C147" s="2"/>
      <c r="D147" s="2"/>
      <c r="E147" s="2"/>
      <c r="F147" s="2"/>
      <c r="G147" s="3"/>
    </row>
    <row r="148" spans="1:7" s="4" customFormat="1" ht="33.75" customHeight="1" thickBot="1" x14ac:dyDescent="0.35">
      <c r="A148" s="5">
        <v>43920</v>
      </c>
      <c r="B148" s="6" t="s">
        <v>1</v>
      </c>
      <c r="C148" s="13" t="s">
        <v>181</v>
      </c>
      <c r="D148" s="95" t="s">
        <v>7</v>
      </c>
      <c r="E148" s="96" t="s">
        <v>35</v>
      </c>
      <c r="F148" s="10"/>
      <c r="G148" s="11" t="s">
        <v>104</v>
      </c>
    </row>
    <row r="149" spans="1:7" s="4" customFormat="1" ht="33.75" customHeight="1" thickBot="1" x14ac:dyDescent="0.35">
      <c r="A149" s="25"/>
      <c r="B149" s="26"/>
      <c r="C149" s="27"/>
      <c r="D149" s="28"/>
      <c r="E149" s="29"/>
      <c r="F149" s="29"/>
      <c r="G149" s="30"/>
    </row>
    <row r="150" spans="1:7" s="4" customFormat="1" ht="33.75" customHeight="1" x14ac:dyDescent="0.3">
      <c r="A150" s="5">
        <v>43921</v>
      </c>
      <c r="B150" s="6" t="s">
        <v>15</v>
      </c>
      <c r="C150" s="13" t="s">
        <v>69</v>
      </c>
      <c r="D150" s="95" t="s">
        <v>70</v>
      </c>
      <c r="E150" s="96">
        <v>100</v>
      </c>
      <c r="F150" s="63" t="s">
        <v>284</v>
      </c>
      <c r="G150" s="64" t="s">
        <v>122</v>
      </c>
    </row>
    <row r="151" spans="1:7" s="4" customFormat="1" ht="33.75" customHeight="1" thickBot="1" x14ac:dyDescent="0.35">
      <c r="A151" s="5"/>
      <c r="B151" s="6"/>
      <c r="C151" s="7" t="s">
        <v>305</v>
      </c>
      <c r="D151" s="8" t="s">
        <v>306</v>
      </c>
      <c r="E151" s="9"/>
      <c r="F151" s="10"/>
      <c r="G151" s="11"/>
    </row>
    <row r="152" spans="1:7" s="4" customFormat="1" ht="33.75" customHeight="1" thickBot="1" x14ac:dyDescent="0.35">
      <c r="A152" s="25"/>
      <c r="B152" s="26"/>
      <c r="C152" s="27" t="s">
        <v>112</v>
      </c>
      <c r="D152" s="28" t="s">
        <v>265</v>
      </c>
      <c r="E152" s="29" t="s">
        <v>275</v>
      </c>
      <c r="F152" s="29" t="s">
        <v>40</v>
      </c>
      <c r="G152" s="30" t="s">
        <v>276</v>
      </c>
    </row>
    <row r="153" spans="1:7" ht="31.5" customHeight="1" x14ac:dyDescent="0.3">
      <c r="A153" s="72">
        <v>43922</v>
      </c>
      <c r="B153" s="99" t="s">
        <v>21</v>
      </c>
      <c r="C153" s="31" t="s">
        <v>307</v>
      </c>
      <c r="D153" s="32" t="s">
        <v>29</v>
      </c>
      <c r="E153" s="33">
        <v>200</v>
      </c>
      <c r="F153" s="34" t="s">
        <v>218</v>
      </c>
      <c r="G153" s="35"/>
    </row>
    <row r="154" spans="1:7" s="4" customFormat="1" ht="33.75" customHeight="1" x14ac:dyDescent="0.3">
      <c r="A154" s="5"/>
      <c r="B154" s="6"/>
      <c r="C154" s="17"/>
      <c r="D154" s="18" t="s">
        <v>44</v>
      </c>
      <c r="E154" s="19">
        <v>10</v>
      </c>
      <c r="F154" s="47"/>
      <c r="G154" s="48"/>
    </row>
    <row r="155" spans="1:7" s="4" customFormat="1" ht="33.75" customHeight="1" x14ac:dyDescent="0.3">
      <c r="A155" s="5"/>
      <c r="B155" s="6"/>
      <c r="C155" s="36"/>
      <c r="D155" s="8" t="s">
        <v>7</v>
      </c>
      <c r="E155" s="9" t="s">
        <v>50</v>
      </c>
      <c r="F155" s="10"/>
      <c r="G155" s="11"/>
    </row>
    <row r="156" spans="1:7" s="4" customFormat="1" ht="33.75" customHeight="1" thickBot="1" x14ac:dyDescent="0.35">
      <c r="A156" s="25"/>
      <c r="B156" s="26"/>
      <c r="C156" s="214"/>
      <c r="D156" s="215"/>
      <c r="E156" s="111"/>
      <c r="F156" s="216"/>
      <c r="G156" s="113"/>
    </row>
    <row r="157" spans="1:7" s="4" customFormat="1" ht="33.75" customHeight="1" x14ac:dyDescent="0.3">
      <c r="A157" s="5">
        <v>43923</v>
      </c>
      <c r="B157" s="6" t="s">
        <v>41</v>
      </c>
      <c r="C157" s="17" t="s">
        <v>6</v>
      </c>
      <c r="D157" s="8" t="s">
        <v>11</v>
      </c>
      <c r="E157" s="9" t="s">
        <v>20</v>
      </c>
      <c r="F157" s="37" t="s">
        <v>218</v>
      </c>
      <c r="G157" s="38"/>
    </row>
    <row r="158" spans="1:7" s="4" customFormat="1" ht="33.75" customHeight="1" x14ac:dyDescent="0.3">
      <c r="A158" s="5"/>
      <c r="B158" s="6"/>
      <c r="C158" s="17"/>
      <c r="D158" s="8" t="s">
        <v>7</v>
      </c>
      <c r="E158" s="9" t="s">
        <v>62</v>
      </c>
      <c r="F158" s="37"/>
      <c r="G158" s="38"/>
    </row>
    <row r="159" spans="1:7" s="4" customFormat="1" ht="33.75" customHeight="1" x14ac:dyDescent="0.3">
      <c r="A159" s="5"/>
      <c r="B159" s="6"/>
      <c r="C159" s="17"/>
      <c r="D159" s="8" t="s">
        <v>9</v>
      </c>
      <c r="E159" s="9" t="s">
        <v>10</v>
      </c>
      <c r="F159" s="37"/>
      <c r="G159" s="38"/>
    </row>
    <row r="160" spans="1:7" s="4" customFormat="1" ht="33.75" customHeight="1" x14ac:dyDescent="0.3">
      <c r="A160" s="5"/>
      <c r="B160" s="6"/>
      <c r="C160" s="36"/>
      <c r="D160" s="8" t="s">
        <v>13</v>
      </c>
      <c r="E160" s="9">
        <v>30</v>
      </c>
      <c r="F160" s="37"/>
      <c r="G160" s="38"/>
    </row>
    <row r="161" spans="1:7" s="4" customFormat="1" ht="33.75" customHeight="1" x14ac:dyDescent="0.3">
      <c r="A161" s="5"/>
      <c r="B161" s="6"/>
      <c r="C161" s="13" t="s">
        <v>61</v>
      </c>
      <c r="D161" s="82" t="s">
        <v>25</v>
      </c>
      <c r="E161" s="9">
        <v>100</v>
      </c>
      <c r="F161" s="37"/>
      <c r="G161" s="38" t="s">
        <v>285</v>
      </c>
    </row>
    <row r="162" spans="1:7" s="4" customFormat="1" ht="33.75" customHeight="1" x14ac:dyDescent="0.3">
      <c r="A162" s="5"/>
      <c r="B162" s="6"/>
      <c r="C162" s="16" t="s">
        <v>107</v>
      </c>
      <c r="D162" s="82" t="s">
        <v>7</v>
      </c>
      <c r="E162" s="9" t="s">
        <v>12</v>
      </c>
      <c r="F162" s="37"/>
      <c r="G162" s="38" t="s">
        <v>73</v>
      </c>
    </row>
    <row r="163" spans="1:7" s="4" customFormat="1" ht="33.75" customHeight="1" x14ac:dyDescent="0.3">
      <c r="A163" s="5"/>
      <c r="B163" s="6"/>
      <c r="C163" s="36"/>
      <c r="D163" s="82" t="s">
        <v>9</v>
      </c>
      <c r="E163" s="9" t="s">
        <v>12</v>
      </c>
      <c r="F163" s="37"/>
      <c r="G163" s="38"/>
    </row>
    <row r="164" spans="1:7" s="4" customFormat="1" ht="33.75" customHeight="1" x14ac:dyDescent="0.3">
      <c r="A164" s="5"/>
      <c r="B164" s="6"/>
      <c r="C164" s="13" t="s">
        <v>213</v>
      </c>
      <c r="D164" s="8" t="s">
        <v>3</v>
      </c>
      <c r="E164" s="9">
        <v>100</v>
      </c>
      <c r="F164" s="10" t="s">
        <v>308</v>
      </c>
      <c r="G164" s="11" t="s">
        <v>73</v>
      </c>
    </row>
    <row r="165" spans="1:7" s="4" customFormat="1" ht="33.75" customHeight="1" thickBot="1" x14ac:dyDescent="0.35">
      <c r="A165" s="5"/>
      <c r="B165" s="6"/>
      <c r="C165" s="213" t="s">
        <v>309</v>
      </c>
      <c r="D165" s="193" t="s">
        <v>310</v>
      </c>
      <c r="E165" s="220"/>
      <c r="F165" s="220"/>
      <c r="G165" s="24"/>
    </row>
    <row r="166" spans="1:7" s="4" customFormat="1" ht="33.75" customHeight="1" thickBot="1" x14ac:dyDescent="0.35">
      <c r="A166" s="25"/>
      <c r="B166" s="26"/>
      <c r="C166" s="27"/>
      <c r="D166" s="28"/>
      <c r="E166" s="29"/>
      <c r="F166" s="29"/>
      <c r="G166" s="30"/>
    </row>
    <row r="167" spans="1:7" s="4" customFormat="1" ht="33.75" customHeight="1" x14ac:dyDescent="0.3">
      <c r="A167" s="72">
        <v>43924</v>
      </c>
      <c r="B167" s="99" t="s">
        <v>55</v>
      </c>
      <c r="C167" s="31" t="s">
        <v>16</v>
      </c>
      <c r="D167" s="32" t="s">
        <v>17</v>
      </c>
      <c r="E167" s="218">
        <v>302</v>
      </c>
      <c r="F167" s="34"/>
      <c r="G167" s="35" t="s">
        <v>277</v>
      </c>
    </row>
    <row r="168" spans="1:7" s="4" customFormat="1" ht="33.75" customHeight="1" x14ac:dyDescent="0.3">
      <c r="A168" s="5"/>
      <c r="B168" s="6"/>
      <c r="C168" s="36"/>
      <c r="D168" s="8"/>
      <c r="E168" s="9"/>
      <c r="F168" s="10"/>
      <c r="G168" s="11"/>
    </row>
    <row r="169" spans="1:7" s="4" customFormat="1" ht="33.75" customHeight="1" thickBot="1" x14ac:dyDescent="0.35">
      <c r="A169" s="5"/>
      <c r="B169" s="6"/>
      <c r="C169" s="13"/>
      <c r="D169" s="82"/>
      <c r="E169" s="9"/>
      <c r="F169" s="37"/>
      <c r="G169" s="38"/>
    </row>
    <row r="170" spans="1:7" s="4" customFormat="1" ht="33.75" customHeight="1" thickBot="1" x14ac:dyDescent="0.35">
      <c r="A170" s="25"/>
      <c r="B170" s="26"/>
      <c r="C170" s="27"/>
      <c r="D170" s="28"/>
      <c r="E170" s="29"/>
      <c r="F170" s="29"/>
      <c r="G170" s="30"/>
    </row>
  </sheetData>
  <mergeCells count="95">
    <mergeCell ref="A157:A166"/>
    <mergeCell ref="B157:B166"/>
    <mergeCell ref="C157:C160"/>
    <mergeCell ref="C162:C163"/>
    <mergeCell ref="A167:A170"/>
    <mergeCell ref="B167:B170"/>
    <mergeCell ref="C167:C168"/>
    <mergeCell ref="A147:G147"/>
    <mergeCell ref="A148:A149"/>
    <mergeCell ref="B148:B149"/>
    <mergeCell ref="A150:A152"/>
    <mergeCell ref="B150:B152"/>
    <mergeCell ref="A153:A156"/>
    <mergeCell ref="B153:B156"/>
    <mergeCell ref="C153:C155"/>
    <mergeCell ref="C124:C126"/>
    <mergeCell ref="C127:C128"/>
    <mergeCell ref="A130:A134"/>
    <mergeCell ref="B130:B134"/>
    <mergeCell ref="C130:C132"/>
    <mergeCell ref="A135:A146"/>
    <mergeCell ref="B135:B146"/>
    <mergeCell ref="C135:C136"/>
    <mergeCell ref="C137:C139"/>
    <mergeCell ref="C140:C145"/>
    <mergeCell ref="A107:A116"/>
    <mergeCell ref="B107:B116"/>
    <mergeCell ref="C107:C111"/>
    <mergeCell ref="C112:C113"/>
    <mergeCell ref="C114:C115"/>
    <mergeCell ref="A117:A129"/>
    <mergeCell ref="B117:B129"/>
    <mergeCell ref="C117:C118"/>
    <mergeCell ref="C119:C120"/>
    <mergeCell ref="C121:C123"/>
    <mergeCell ref="A90:A97"/>
    <mergeCell ref="B90:B97"/>
    <mergeCell ref="C94:C96"/>
    <mergeCell ref="A98:G98"/>
    <mergeCell ref="A99:A106"/>
    <mergeCell ref="B99:B106"/>
    <mergeCell ref="C99:C101"/>
    <mergeCell ref="C103:C105"/>
    <mergeCell ref="F103:F105"/>
    <mergeCell ref="A79:A84"/>
    <mergeCell ref="B79:B84"/>
    <mergeCell ref="C79:C80"/>
    <mergeCell ref="C81:C82"/>
    <mergeCell ref="A85:A89"/>
    <mergeCell ref="B85:B89"/>
    <mergeCell ref="A67:G67"/>
    <mergeCell ref="A68:A73"/>
    <mergeCell ref="B68:B73"/>
    <mergeCell ref="C69:C71"/>
    <mergeCell ref="A74:A78"/>
    <mergeCell ref="B74:B78"/>
    <mergeCell ref="C75:C77"/>
    <mergeCell ref="A58:A63"/>
    <mergeCell ref="B58:B63"/>
    <mergeCell ref="C58:C59"/>
    <mergeCell ref="C60:C62"/>
    <mergeCell ref="A64:A66"/>
    <mergeCell ref="B64:B66"/>
    <mergeCell ref="C64:C65"/>
    <mergeCell ref="A40:A50"/>
    <mergeCell ref="B40:B50"/>
    <mergeCell ref="C40:C42"/>
    <mergeCell ref="C44:C49"/>
    <mergeCell ref="A51:A57"/>
    <mergeCell ref="B51:B57"/>
    <mergeCell ref="C52:C54"/>
    <mergeCell ref="C55:C56"/>
    <mergeCell ref="A30:A34"/>
    <mergeCell ref="B30:B34"/>
    <mergeCell ref="C30:C32"/>
    <mergeCell ref="A35:G35"/>
    <mergeCell ref="A36:A39"/>
    <mergeCell ref="B36:B39"/>
    <mergeCell ref="C36:C37"/>
    <mergeCell ref="A14:A19"/>
    <mergeCell ref="B14:B19"/>
    <mergeCell ref="C16:C18"/>
    <mergeCell ref="A20:A29"/>
    <mergeCell ref="B20:B29"/>
    <mergeCell ref="C20:C22"/>
    <mergeCell ref="C24:C28"/>
    <mergeCell ref="A1:G1"/>
    <mergeCell ref="A2:A6"/>
    <mergeCell ref="B2:B6"/>
    <mergeCell ref="C4:C5"/>
    <mergeCell ref="A7:A13"/>
    <mergeCell ref="B7:B13"/>
    <mergeCell ref="C7:C8"/>
    <mergeCell ref="C9:C10"/>
    <mergeCell ref="C11:C12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70" fitToHeight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view="pageBreakPreview" topLeftCell="A79" zoomScale="87" zoomScaleNormal="87" zoomScaleSheetLayoutView="87" workbookViewId="0">
      <selection activeCell="D121" sqref="D121"/>
    </sheetView>
  </sheetViews>
  <sheetFormatPr defaultColWidth="9" defaultRowHeight="36" customHeight="1" x14ac:dyDescent="0.3"/>
  <cols>
    <col min="1" max="1" width="12.375" style="124" customWidth="1"/>
    <col min="2" max="2" width="7.25" style="125" customWidth="1"/>
    <col min="3" max="3" width="21.875" style="126" customWidth="1"/>
    <col min="4" max="4" width="22.5" style="12" customWidth="1"/>
    <col min="5" max="5" width="15.375" style="127" customWidth="1"/>
    <col min="6" max="6" width="24.25" style="127" customWidth="1"/>
    <col min="7" max="7" width="28.125" style="128" customWidth="1"/>
    <col min="8" max="8" width="42.5" style="4" customWidth="1"/>
    <col min="9" max="16384" width="9" style="12"/>
  </cols>
  <sheetData>
    <row r="1" spans="1:8" s="4" customFormat="1" ht="108" customHeight="1" thickBot="1" x14ac:dyDescent="0.35">
      <c r="A1" s="1" t="s">
        <v>0</v>
      </c>
      <c r="B1" s="2"/>
      <c r="C1" s="2"/>
      <c r="D1" s="2"/>
      <c r="E1" s="2"/>
      <c r="F1" s="2"/>
      <c r="G1" s="3"/>
    </row>
    <row r="2" spans="1:8" ht="31.5" customHeight="1" x14ac:dyDescent="0.3">
      <c r="A2" s="5">
        <v>43927</v>
      </c>
      <c r="B2" s="6" t="s">
        <v>1</v>
      </c>
      <c r="C2" s="114" t="s">
        <v>311</v>
      </c>
      <c r="D2" s="8" t="s">
        <v>7</v>
      </c>
      <c r="E2" s="9" t="s">
        <v>64</v>
      </c>
      <c r="F2" s="10"/>
      <c r="G2" s="11" t="s">
        <v>301</v>
      </c>
      <c r="H2" s="12"/>
    </row>
    <row r="3" spans="1:8" s="4" customFormat="1" ht="33.75" customHeight="1" x14ac:dyDescent="0.3">
      <c r="A3" s="5"/>
      <c r="B3" s="6"/>
      <c r="C3" s="13" t="s">
        <v>32</v>
      </c>
      <c r="D3" s="8" t="s">
        <v>191</v>
      </c>
      <c r="E3" s="9">
        <v>384</v>
      </c>
      <c r="F3" s="10" t="s">
        <v>312</v>
      </c>
      <c r="G3" s="219" t="s">
        <v>313</v>
      </c>
    </row>
    <row r="4" spans="1:8" s="4" customFormat="1" ht="33.75" customHeight="1" x14ac:dyDescent="0.3">
      <c r="A4" s="5"/>
      <c r="B4" s="6"/>
      <c r="C4" s="7" t="s">
        <v>107</v>
      </c>
      <c r="D4" s="8" t="s">
        <v>223</v>
      </c>
      <c r="E4" s="9" t="s">
        <v>50</v>
      </c>
      <c r="F4" s="10"/>
      <c r="G4" s="219" t="s">
        <v>73</v>
      </c>
    </row>
    <row r="5" spans="1:8" s="4" customFormat="1" ht="33.75" customHeight="1" x14ac:dyDescent="0.3">
      <c r="A5" s="5"/>
      <c r="B5" s="6"/>
      <c r="C5" s="7" t="s">
        <v>34</v>
      </c>
      <c r="D5" s="8" t="s">
        <v>49</v>
      </c>
      <c r="E5" s="9" t="s">
        <v>62</v>
      </c>
      <c r="F5" s="10" t="s">
        <v>314</v>
      </c>
      <c r="G5" s="219"/>
    </row>
    <row r="6" spans="1:8" s="4" customFormat="1" ht="33.75" customHeight="1" x14ac:dyDescent="0.3">
      <c r="A6" s="5"/>
      <c r="B6" s="6"/>
      <c r="C6" s="7" t="s">
        <v>315</v>
      </c>
      <c r="D6" s="8" t="s">
        <v>13</v>
      </c>
      <c r="E6" s="9">
        <v>50</v>
      </c>
      <c r="F6" s="10"/>
      <c r="G6" s="219" t="s">
        <v>73</v>
      </c>
    </row>
    <row r="7" spans="1:8" s="4" customFormat="1" ht="33.75" customHeight="1" thickBot="1" x14ac:dyDescent="0.35">
      <c r="A7" s="5"/>
      <c r="B7" s="6"/>
      <c r="C7" s="7" t="s">
        <v>139</v>
      </c>
      <c r="D7" s="8" t="s">
        <v>14</v>
      </c>
      <c r="E7" s="9">
        <v>100</v>
      </c>
      <c r="F7" s="10"/>
      <c r="G7" s="11" t="s">
        <v>73</v>
      </c>
    </row>
    <row r="8" spans="1:8" ht="31.5" customHeight="1" thickBot="1" x14ac:dyDescent="0.35">
      <c r="A8" s="25"/>
      <c r="B8" s="26"/>
      <c r="C8" s="27"/>
      <c r="D8" s="28"/>
      <c r="E8" s="29"/>
      <c r="F8" s="29"/>
      <c r="G8" s="217"/>
      <c r="H8" s="12"/>
    </row>
    <row r="9" spans="1:8" s="4" customFormat="1" ht="33.75" customHeight="1" x14ac:dyDescent="0.3">
      <c r="A9" s="5">
        <v>43928</v>
      </c>
      <c r="B9" s="6" t="s">
        <v>15</v>
      </c>
      <c r="C9" s="16" t="s">
        <v>43</v>
      </c>
      <c r="D9" s="8" t="s">
        <v>13</v>
      </c>
      <c r="E9" s="9">
        <v>50</v>
      </c>
      <c r="F9" s="37"/>
      <c r="G9" s="38"/>
    </row>
    <row r="10" spans="1:8" s="4" customFormat="1" ht="31.5" customHeight="1" x14ac:dyDescent="0.3">
      <c r="A10" s="5"/>
      <c r="B10" s="6"/>
      <c r="C10" s="17"/>
      <c r="D10" s="82" t="s">
        <v>44</v>
      </c>
      <c r="E10" s="9">
        <v>40</v>
      </c>
      <c r="F10" s="10"/>
      <c r="G10" s="11"/>
    </row>
    <row r="11" spans="1:8" s="4" customFormat="1" ht="31.5" customHeight="1" x14ac:dyDescent="0.3">
      <c r="A11" s="5"/>
      <c r="B11" s="6"/>
      <c r="C11" s="17"/>
      <c r="D11" s="82" t="s">
        <v>59</v>
      </c>
      <c r="E11" s="9">
        <v>64</v>
      </c>
      <c r="F11" s="10"/>
      <c r="G11" s="11"/>
    </row>
    <row r="12" spans="1:8" s="4" customFormat="1" ht="33.75" customHeight="1" x14ac:dyDescent="0.3">
      <c r="A12" s="5"/>
      <c r="B12" s="6"/>
      <c r="C12" s="36"/>
      <c r="D12" s="8" t="s">
        <v>223</v>
      </c>
      <c r="E12" s="9" t="s">
        <v>47</v>
      </c>
      <c r="F12" s="10"/>
      <c r="G12" s="11"/>
    </row>
    <row r="13" spans="1:8" s="4" customFormat="1" ht="31.5" customHeight="1" thickBot="1" x14ac:dyDescent="0.35">
      <c r="A13" s="5"/>
      <c r="B13" s="6"/>
      <c r="C13" s="213" t="s">
        <v>316</v>
      </c>
      <c r="D13" s="173" t="s">
        <v>317</v>
      </c>
      <c r="E13" s="96">
        <v>64</v>
      </c>
      <c r="F13" s="131" t="s">
        <v>318</v>
      </c>
      <c r="G13" s="11" t="s">
        <v>73</v>
      </c>
    </row>
    <row r="14" spans="1:8" s="4" customFormat="1" ht="31.5" customHeight="1" thickBot="1" x14ac:dyDescent="0.35">
      <c r="A14" s="25"/>
      <c r="B14" s="26"/>
      <c r="C14" s="27"/>
      <c r="D14" s="28"/>
      <c r="E14" s="29"/>
      <c r="F14" s="29"/>
      <c r="G14" s="30"/>
    </row>
    <row r="15" spans="1:8" ht="31.5" customHeight="1" x14ac:dyDescent="0.3">
      <c r="A15" s="5">
        <v>43929</v>
      </c>
      <c r="B15" s="6" t="s">
        <v>21</v>
      </c>
      <c r="C15" s="31" t="s">
        <v>16</v>
      </c>
      <c r="D15" s="32" t="s">
        <v>17</v>
      </c>
      <c r="E15" s="33">
        <v>116</v>
      </c>
      <c r="F15" s="34"/>
      <c r="G15" s="35"/>
    </row>
    <row r="16" spans="1:8" s="4" customFormat="1" ht="33.75" customHeight="1" x14ac:dyDescent="0.3">
      <c r="A16" s="5"/>
      <c r="B16" s="6"/>
      <c r="C16" s="17"/>
      <c r="D16" s="18" t="s">
        <v>290</v>
      </c>
      <c r="E16" s="19">
        <v>100</v>
      </c>
      <c r="F16" s="47"/>
      <c r="G16" s="48"/>
    </row>
    <row r="17" spans="1:7" s="4" customFormat="1" ht="33.75" customHeight="1" x14ac:dyDescent="0.3">
      <c r="A17" s="5"/>
      <c r="B17" s="6"/>
      <c r="C17" s="36"/>
      <c r="D17" s="8" t="s">
        <v>76</v>
      </c>
      <c r="E17" s="9" t="s">
        <v>12</v>
      </c>
      <c r="F17" s="10"/>
      <c r="G17" s="11"/>
    </row>
    <row r="18" spans="1:7" s="4" customFormat="1" ht="31.5" customHeight="1" x14ac:dyDescent="0.3">
      <c r="A18" s="5"/>
      <c r="B18" s="6"/>
      <c r="C18" s="13" t="s">
        <v>74</v>
      </c>
      <c r="D18" s="14" t="s">
        <v>319</v>
      </c>
      <c r="E18" s="15" t="s">
        <v>64</v>
      </c>
      <c r="F18" s="106" t="s">
        <v>145</v>
      </c>
      <c r="G18" s="187"/>
    </row>
    <row r="19" spans="1:7" s="4" customFormat="1" ht="32.25" customHeight="1" thickBot="1" x14ac:dyDescent="0.35">
      <c r="A19" s="5"/>
      <c r="B19" s="6"/>
      <c r="C19" s="51" t="s">
        <v>92</v>
      </c>
      <c r="D19" s="193" t="s">
        <v>126</v>
      </c>
      <c r="E19" s="162">
        <v>150</v>
      </c>
      <c r="F19" s="220"/>
      <c r="G19" s="221"/>
    </row>
    <row r="20" spans="1:7" s="4" customFormat="1" ht="31.5" customHeight="1" thickBot="1" x14ac:dyDescent="0.35">
      <c r="A20" s="25"/>
      <c r="B20" s="26"/>
      <c r="C20" s="143" t="s">
        <v>320</v>
      </c>
      <c r="D20" s="28" t="s">
        <v>265</v>
      </c>
      <c r="E20" s="144" t="s">
        <v>321</v>
      </c>
      <c r="F20" s="144" t="s">
        <v>322</v>
      </c>
      <c r="G20" s="222" t="s">
        <v>267</v>
      </c>
    </row>
    <row r="21" spans="1:7" s="4" customFormat="1" ht="31.5" customHeight="1" x14ac:dyDescent="0.3">
      <c r="A21" s="5">
        <v>43930</v>
      </c>
      <c r="B21" s="6" t="s">
        <v>41</v>
      </c>
      <c r="C21" s="72" t="s">
        <v>107</v>
      </c>
      <c r="D21" s="82" t="s">
        <v>7</v>
      </c>
      <c r="E21" s="9" t="s">
        <v>323</v>
      </c>
      <c r="F21" s="178"/>
      <c r="G21" s="179"/>
    </row>
    <row r="22" spans="1:7" s="4" customFormat="1" ht="31.5" customHeight="1" x14ac:dyDescent="0.3">
      <c r="A22" s="5"/>
      <c r="B22" s="6"/>
      <c r="C22" s="5"/>
      <c r="D22" s="82" t="s">
        <v>324</v>
      </c>
      <c r="E22" s="9" t="s">
        <v>50</v>
      </c>
      <c r="F22" s="180"/>
      <c r="G22" s="181"/>
    </row>
    <row r="23" spans="1:7" s="4" customFormat="1" ht="31.5" customHeight="1" x14ac:dyDescent="0.3">
      <c r="A23" s="5"/>
      <c r="B23" s="6"/>
      <c r="C23" s="84"/>
      <c r="D23" s="8" t="s">
        <v>11</v>
      </c>
      <c r="E23" s="9" t="s">
        <v>62</v>
      </c>
      <c r="F23" s="131"/>
      <c r="G23" s="11"/>
    </row>
    <row r="24" spans="1:7" s="4" customFormat="1" ht="31.5" customHeight="1" x14ac:dyDescent="0.3">
      <c r="A24" s="5"/>
      <c r="B24" s="6"/>
      <c r="C24" s="16" t="s">
        <v>43</v>
      </c>
      <c r="D24" s="8" t="s">
        <v>14</v>
      </c>
      <c r="E24" s="9">
        <v>64</v>
      </c>
      <c r="F24" s="183"/>
      <c r="G24" s="186"/>
    </row>
    <row r="25" spans="1:7" s="4" customFormat="1" ht="31.5" customHeight="1" x14ac:dyDescent="0.3">
      <c r="A25" s="5"/>
      <c r="B25" s="6"/>
      <c r="C25" s="36"/>
      <c r="D25" s="95" t="s">
        <v>29</v>
      </c>
      <c r="E25" s="96">
        <v>80</v>
      </c>
      <c r="F25" s="182"/>
      <c r="G25" s="185"/>
    </row>
    <row r="26" spans="1:7" s="4" customFormat="1" ht="31.5" customHeight="1" x14ac:dyDescent="0.3">
      <c r="A26" s="5"/>
      <c r="B26" s="6"/>
      <c r="C26" s="16" t="s">
        <v>325</v>
      </c>
      <c r="D26" s="95" t="s">
        <v>326</v>
      </c>
      <c r="E26" s="96">
        <v>101</v>
      </c>
      <c r="F26" s="182"/>
      <c r="G26" s="185" t="s">
        <v>301</v>
      </c>
    </row>
    <row r="27" spans="1:7" s="4" customFormat="1" ht="31.5" customHeight="1" x14ac:dyDescent="0.3">
      <c r="A27" s="5"/>
      <c r="B27" s="6"/>
      <c r="C27" s="36"/>
      <c r="D27" s="95" t="s">
        <v>7</v>
      </c>
      <c r="E27" s="96" t="s">
        <v>201</v>
      </c>
      <c r="F27" s="182"/>
      <c r="G27" s="185"/>
    </row>
    <row r="28" spans="1:7" s="4" customFormat="1" ht="31.5" customHeight="1" x14ac:dyDescent="0.3">
      <c r="A28" s="5"/>
      <c r="B28" s="6"/>
      <c r="C28" s="13" t="s">
        <v>327</v>
      </c>
      <c r="D28" s="95" t="s">
        <v>5</v>
      </c>
      <c r="E28" s="96">
        <v>70</v>
      </c>
      <c r="F28" s="182"/>
      <c r="G28" s="185" t="s">
        <v>73</v>
      </c>
    </row>
    <row r="29" spans="1:7" s="4" customFormat="1" ht="31.5" customHeight="1" x14ac:dyDescent="0.3">
      <c r="A29" s="5"/>
      <c r="B29" s="6"/>
      <c r="C29" s="158" t="s">
        <v>315</v>
      </c>
      <c r="D29" s="95" t="s">
        <v>13</v>
      </c>
      <c r="E29" s="96">
        <v>100</v>
      </c>
      <c r="F29" s="182"/>
      <c r="G29" s="185"/>
    </row>
    <row r="30" spans="1:7" s="4" customFormat="1" ht="31.5" customHeight="1" x14ac:dyDescent="0.3">
      <c r="A30" s="5"/>
      <c r="B30" s="6"/>
      <c r="C30" s="16" t="s">
        <v>74</v>
      </c>
      <c r="D30" s="95" t="s">
        <v>7</v>
      </c>
      <c r="E30" s="96" t="s">
        <v>97</v>
      </c>
      <c r="F30" s="182"/>
      <c r="G30" s="185" t="s">
        <v>73</v>
      </c>
    </row>
    <row r="31" spans="1:7" s="4" customFormat="1" ht="31.5" customHeight="1" x14ac:dyDescent="0.3">
      <c r="A31" s="5"/>
      <c r="B31" s="6"/>
      <c r="C31" s="17"/>
      <c r="D31" s="95" t="s">
        <v>11</v>
      </c>
      <c r="E31" s="96" t="s">
        <v>156</v>
      </c>
      <c r="F31" s="182"/>
      <c r="G31" s="185"/>
    </row>
    <row r="32" spans="1:7" s="4" customFormat="1" ht="31.5" customHeight="1" x14ac:dyDescent="0.3">
      <c r="A32" s="5"/>
      <c r="B32" s="6"/>
      <c r="C32" s="17"/>
      <c r="D32" s="95" t="s">
        <v>142</v>
      </c>
      <c r="E32" s="96" t="s">
        <v>259</v>
      </c>
      <c r="F32" s="182"/>
      <c r="G32" s="185"/>
    </row>
    <row r="33" spans="1:7" s="4" customFormat="1" ht="31.5" customHeight="1" x14ac:dyDescent="0.3">
      <c r="A33" s="5"/>
      <c r="B33" s="6"/>
      <c r="C33" s="17"/>
      <c r="D33" s="95" t="s">
        <v>13</v>
      </c>
      <c r="E33" s="96">
        <v>200</v>
      </c>
      <c r="F33" s="182"/>
      <c r="G33" s="185"/>
    </row>
    <row r="34" spans="1:7" s="4" customFormat="1" ht="31.5" customHeight="1" thickBot="1" x14ac:dyDescent="0.35">
      <c r="A34" s="5"/>
      <c r="B34" s="6"/>
      <c r="C34" s="20"/>
      <c r="D34" s="21" t="s">
        <v>44</v>
      </c>
      <c r="E34" s="22">
        <v>3</v>
      </c>
      <c r="F34" s="223"/>
      <c r="G34" s="224"/>
    </row>
    <row r="35" spans="1:7" s="4" customFormat="1" ht="31.5" customHeight="1" thickBot="1" x14ac:dyDescent="0.35">
      <c r="A35" s="25"/>
      <c r="B35" s="26"/>
      <c r="C35" s="143"/>
      <c r="D35" s="90"/>
      <c r="E35" s="144"/>
      <c r="F35" s="144"/>
      <c r="G35" s="222"/>
    </row>
    <row r="36" spans="1:7" s="4" customFormat="1" ht="31.5" customHeight="1" x14ac:dyDescent="0.3">
      <c r="A36" s="5">
        <v>43931</v>
      </c>
      <c r="B36" s="75" t="s">
        <v>55</v>
      </c>
      <c r="C36" s="31" t="s">
        <v>69</v>
      </c>
      <c r="D36" s="32" t="s">
        <v>70</v>
      </c>
      <c r="E36" s="33">
        <v>50</v>
      </c>
      <c r="F36" s="178" t="s">
        <v>218</v>
      </c>
      <c r="G36" s="237" t="s">
        <v>328</v>
      </c>
    </row>
    <row r="37" spans="1:7" s="4" customFormat="1" ht="31.5" customHeight="1" x14ac:dyDescent="0.3">
      <c r="A37" s="5"/>
      <c r="B37" s="75"/>
      <c r="C37" s="36"/>
      <c r="D37" s="8" t="s">
        <v>7</v>
      </c>
      <c r="E37" s="9" t="s">
        <v>62</v>
      </c>
      <c r="F37" s="183"/>
      <c r="G37" s="186"/>
    </row>
    <row r="38" spans="1:7" s="4" customFormat="1" ht="32.25" customHeight="1" thickBot="1" x14ac:dyDescent="0.35">
      <c r="A38" s="5"/>
      <c r="B38" s="75"/>
      <c r="C38" s="107"/>
      <c r="D38" s="108"/>
      <c r="E38" s="22"/>
      <c r="F38" s="225"/>
      <c r="G38" s="78"/>
    </row>
    <row r="39" spans="1:7" s="4" customFormat="1" ht="31.5" customHeight="1" thickBot="1" x14ac:dyDescent="0.35">
      <c r="A39" s="25"/>
      <c r="B39" s="79"/>
      <c r="C39" s="147"/>
      <c r="D39" s="148"/>
      <c r="E39" s="148"/>
      <c r="F39" s="148"/>
      <c r="G39" s="149"/>
    </row>
    <row r="40" spans="1:7" s="4" customFormat="1" ht="108.75" customHeight="1" thickBot="1" x14ac:dyDescent="0.35">
      <c r="A40" s="1" t="s">
        <v>0</v>
      </c>
      <c r="B40" s="2"/>
      <c r="C40" s="2"/>
      <c r="D40" s="2"/>
      <c r="E40" s="2"/>
      <c r="F40" s="2"/>
      <c r="G40" s="3"/>
    </row>
    <row r="41" spans="1:7" s="4" customFormat="1" ht="31.5" customHeight="1" x14ac:dyDescent="0.3">
      <c r="A41" s="5">
        <v>43934</v>
      </c>
      <c r="B41" s="6" t="s">
        <v>1</v>
      </c>
      <c r="C41" s="31" t="s">
        <v>82</v>
      </c>
      <c r="D41" s="32" t="s">
        <v>14</v>
      </c>
      <c r="E41" s="190">
        <v>50</v>
      </c>
      <c r="F41" s="191"/>
      <c r="G41" s="192"/>
    </row>
    <row r="42" spans="1:7" s="4" customFormat="1" ht="31.5" customHeight="1" x14ac:dyDescent="0.3">
      <c r="A42" s="5"/>
      <c r="B42" s="6"/>
      <c r="C42" s="36"/>
      <c r="D42" s="43" t="s">
        <v>59</v>
      </c>
      <c r="E42" s="44">
        <v>50</v>
      </c>
      <c r="F42" s="10"/>
      <c r="G42" s="11"/>
    </row>
    <row r="43" spans="1:7" s="4" customFormat="1" ht="32.25" customHeight="1" thickBot="1" x14ac:dyDescent="0.35">
      <c r="A43" s="5"/>
      <c r="B43" s="6"/>
      <c r="C43" s="107" t="s">
        <v>61</v>
      </c>
      <c r="D43" s="108" t="s">
        <v>25</v>
      </c>
      <c r="E43" s="22">
        <v>100</v>
      </c>
      <c r="F43" s="225"/>
      <c r="G43" s="78"/>
    </row>
    <row r="44" spans="1:7" s="4" customFormat="1" ht="32.25" customHeight="1" thickBot="1" x14ac:dyDescent="0.35">
      <c r="A44" s="25"/>
      <c r="B44" s="26"/>
      <c r="C44" s="89"/>
      <c r="D44" s="90"/>
      <c r="E44" s="91"/>
      <c r="F44" s="91"/>
      <c r="G44" s="92"/>
    </row>
    <row r="45" spans="1:7" s="4" customFormat="1" ht="32.25" customHeight="1" x14ac:dyDescent="0.3">
      <c r="A45" s="72">
        <v>43935</v>
      </c>
      <c r="B45" s="73" t="s">
        <v>15</v>
      </c>
      <c r="C45" s="87" t="s">
        <v>6</v>
      </c>
      <c r="D45" s="100" t="s">
        <v>7</v>
      </c>
      <c r="E45" s="15" t="s">
        <v>50</v>
      </c>
      <c r="F45" s="106"/>
      <c r="G45" s="188" t="s">
        <v>73</v>
      </c>
    </row>
    <row r="46" spans="1:7" s="4" customFormat="1" ht="32.25" customHeight="1" x14ac:dyDescent="0.3">
      <c r="A46" s="5"/>
      <c r="B46" s="75"/>
      <c r="C46" s="87" t="s">
        <v>2</v>
      </c>
      <c r="D46" s="100" t="s">
        <v>5</v>
      </c>
      <c r="E46" s="15">
        <v>100</v>
      </c>
      <c r="F46" s="106"/>
      <c r="G46" s="188"/>
    </row>
    <row r="47" spans="1:7" s="4" customFormat="1" ht="32.25" customHeight="1" x14ac:dyDescent="0.3">
      <c r="A47" s="5"/>
      <c r="B47" s="75"/>
      <c r="C47" s="5" t="s">
        <v>107</v>
      </c>
      <c r="D47" s="14" t="s">
        <v>49</v>
      </c>
      <c r="E47" s="15" t="s">
        <v>329</v>
      </c>
      <c r="F47" s="37"/>
      <c r="G47" s="38"/>
    </row>
    <row r="48" spans="1:7" s="4" customFormat="1" ht="32.25" customHeight="1" x14ac:dyDescent="0.3">
      <c r="A48" s="5"/>
      <c r="B48" s="75"/>
      <c r="C48" s="5"/>
      <c r="D48" s="14" t="s">
        <v>7</v>
      </c>
      <c r="E48" s="15" t="s">
        <v>62</v>
      </c>
      <c r="F48" s="37"/>
      <c r="G48" s="38"/>
    </row>
    <row r="49" spans="1:7" s="4" customFormat="1" ht="32.25" customHeight="1" thickBot="1" x14ac:dyDescent="0.35">
      <c r="A49" s="5"/>
      <c r="B49" s="75"/>
      <c r="C49" s="25"/>
      <c r="D49" s="21" t="s">
        <v>11</v>
      </c>
      <c r="E49" s="22" t="s">
        <v>62</v>
      </c>
      <c r="F49" s="23"/>
      <c r="G49" s="24"/>
    </row>
    <row r="50" spans="1:7" s="4" customFormat="1" ht="32.25" customHeight="1" thickBot="1" x14ac:dyDescent="0.35">
      <c r="A50" s="25"/>
      <c r="B50" s="79"/>
      <c r="C50" s="143" t="s">
        <v>37</v>
      </c>
      <c r="D50" s="90" t="s">
        <v>265</v>
      </c>
      <c r="E50" s="144" t="s">
        <v>262</v>
      </c>
      <c r="F50" s="144" t="s">
        <v>200</v>
      </c>
      <c r="G50" s="222" t="s">
        <v>267</v>
      </c>
    </row>
    <row r="51" spans="1:7" s="4" customFormat="1" ht="32.25" customHeight="1" x14ac:dyDescent="0.3">
      <c r="A51" s="5">
        <v>43936</v>
      </c>
      <c r="B51" s="6" t="s">
        <v>21</v>
      </c>
      <c r="C51" s="238" t="s">
        <v>330</v>
      </c>
      <c r="D51" s="239"/>
      <c r="E51" s="239"/>
      <c r="F51" s="239"/>
      <c r="G51" s="240"/>
    </row>
    <row r="52" spans="1:7" s="4" customFormat="1" ht="32.25" customHeight="1" x14ac:dyDescent="0.3">
      <c r="A52" s="5"/>
      <c r="B52" s="6"/>
      <c r="C52" s="241"/>
      <c r="D52" s="242"/>
      <c r="E52" s="242"/>
      <c r="F52" s="242"/>
      <c r="G52" s="243"/>
    </row>
    <row r="53" spans="1:7" s="4" customFormat="1" ht="32.25" customHeight="1" thickBot="1" x14ac:dyDescent="0.35">
      <c r="A53" s="25"/>
      <c r="B53" s="26"/>
      <c r="C53" s="244"/>
      <c r="D53" s="245"/>
      <c r="E53" s="245"/>
      <c r="F53" s="245"/>
      <c r="G53" s="246"/>
    </row>
    <row r="54" spans="1:7" s="4" customFormat="1" ht="32.25" customHeight="1" x14ac:dyDescent="0.3">
      <c r="A54" s="5">
        <v>43937</v>
      </c>
      <c r="B54" s="75" t="s">
        <v>41</v>
      </c>
      <c r="C54" s="97" t="s">
        <v>32</v>
      </c>
      <c r="D54" s="8" t="s">
        <v>331</v>
      </c>
      <c r="E54" s="9">
        <v>50</v>
      </c>
      <c r="F54" s="10"/>
      <c r="G54" s="11"/>
    </row>
    <row r="55" spans="1:7" s="4" customFormat="1" ht="32.25" customHeight="1" x14ac:dyDescent="0.3">
      <c r="A55" s="5"/>
      <c r="B55" s="75"/>
      <c r="C55" s="84"/>
      <c r="D55" s="14" t="s">
        <v>332</v>
      </c>
      <c r="E55" s="15">
        <v>50</v>
      </c>
      <c r="F55" s="37"/>
      <c r="G55" s="38"/>
    </row>
    <row r="56" spans="1:7" s="4" customFormat="1" ht="32.25" customHeight="1" x14ac:dyDescent="0.3">
      <c r="A56" s="5"/>
      <c r="B56" s="75"/>
      <c r="C56" s="87" t="s">
        <v>333</v>
      </c>
      <c r="D56" s="14" t="s">
        <v>7</v>
      </c>
      <c r="E56" s="15" t="s">
        <v>334</v>
      </c>
      <c r="F56" s="37"/>
      <c r="G56" s="11"/>
    </row>
    <row r="57" spans="1:7" s="4" customFormat="1" ht="32.25" customHeight="1" thickBot="1" x14ac:dyDescent="0.35">
      <c r="A57" s="5"/>
      <c r="B57" s="75"/>
      <c r="C57" s="101" t="s">
        <v>4</v>
      </c>
      <c r="D57" s="82" t="s">
        <v>335</v>
      </c>
      <c r="E57" s="9">
        <v>80</v>
      </c>
      <c r="F57" s="131"/>
      <c r="G57" s="38" t="s">
        <v>336</v>
      </c>
    </row>
    <row r="58" spans="1:7" s="4" customFormat="1" ht="32.25" customHeight="1" thickBot="1" x14ac:dyDescent="0.35">
      <c r="A58" s="25"/>
      <c r="B58" s="79"/>
      <c r="C58" s="27"/>
      <c r="D58" s="28"/>
      <c r="E58" s="29"/>
      <c r="F58" s="29"/>
      <c r="G58" s="30"/>
    </row>
    <row r="59" spans="1:7" s="4" customFormat="1" ht="32.25" customHeight="1" x14ac:dyDescent="0.3">
      <c r="A59" s="5">
        <v>43938</v>
      </c>
      <c r="B59" s="75" t="s">
        <v>55</v>
      </c>
      <c r="C59" s="72" t="s">
        <v>2</v>
      </c>
      <c r="D59" s="100" t="s">
        <v>5</v>
      </c>
      <c r="E59" s="15">
        <v>100</v>
      </c>
      <c r="F59" s="106" t="s">
        <v>337</v>
      </c>
      <c r="G59" s="35"/>
    </row>
    <row r="60" spans="1:7" s="4" customFormat="1" ht="32.25" customHeight="1" x14ac:dyDescent="0.3">
      <c r="A60" s="5"/>
      <c r="B60" s="75"/>
      <c r="C60" s="84"/>
      <c r="D60" s="100" t="s">
        <v>142</v>
      </c>
      <c r="E60" s="15" t="s">
        <v>259</v>
      </c>
      <c r="F60" s="106"/>
      <c r="G60" s="188"/>
    </row>
    <row r="61" spans="1:7" s="4" customFormat="1" ht="32.25" customHeight="1" thickBot="1" x14ac:dyDescent="0.35">
      <c r="A61" s="5"/>
      <c r="B61" s="75"/>
      <c r="C61" s="101" t="s">
        <v>6</v>
      </c>
      <c r="D61" s="100" t="s">
        <v>14</v>
      </c>
      <c r="E61" s="15">
        <v>20</v>
      </c>
      <c r="F61" s="106"/>
      <c r="G61" s="188" t="s">
        <v>257</v>
      </c>
    </row>
    <row r="62" spans="1:7" s="4" customFormat="1" ht="32.25" customHeight="1" thickBot="1" x14ac:dyDescent="0.35">
      <c r="A62" s="25"/>
      <c r="B62" s="79"/>
      <c r="C62" s="27"/>
      <c r="D62" s="28"/>
      <c r="E62" s="29"/>
      <c r="F62" s="29"/>
      <c r="G62" s="30"/>
    </row>
    <row r="63" spans="1:7" s="4" customFormat="1" ht="108.75" customHeight="1" thickBot="1" x14ac:dyDescent="0.35">
      <c r="A63" s="1" t="s">
        <v>0</v>
      </c>
      <c r="B63" s="2"/>
      <c r="C63" s="2"/>
      <c r="D63" s="2"/>
      <c r="E63" s="2"/>
      <c r="F63" s="2"/>
      <c r="G63" s="3"/>
    </row>
    <row r="64" spans="1:7" s="4" customFormat="1" ht="30.75" customHeight="1" x14ac:dyDescent="0.3">
      <c r="A64" s="72">
        <v>43941</v>
      </c>
      <c r="B64" s="99" t="s">
        <v>1</v>
      </c>
      <c r="C64" s="31" t="s">
        <v>16</v>
      </c>
      <c r="D64" s="14" t="s">
        <v>17</v>
      </c>
      <c r="E64" s="15">
        <v>314</v>
      </c>
      <c r="F64" s="37"/>
      <c r="G64" s="38"/>
    </row>
    <row r="65" spans="1:7" s="4" customFormat="1" ht="30.75" customHeight="1" x14ac:dyDescent="0.3">
      <c r="A65" s="5"/>
      <c r="B65" s="6"/>
      <c r="C65" s="36"/>
      <c r="D65" s="14" t="s">
        <v>76</v>
      </c>
      <c r="E65" s="15" t="s">
        <v>338</v>
      </c>
      <c r="F65" s="37"/>
      <c r="G65" s="38"/>
    </row>
    <row r="66" spans="1:7" s="4" customFormat="1" ht="30.75" customHeight="1" x14ac:dyDescent="0.3">
      <c r="A66" s="5"/>
      <c r="B66" s="6"/>
      <c r="C66" s="158" t="s">
        <v>107</v>
      </c>
      <c r="D66" s="14" t="s">
        <v>7</v>
      </c>
      <c r="E66" s="15" t="s">
        <v>339</v>
      </c>
      <c r="F66" s="37"/>
      <c r="G66" s="38"/>
    </row>
    <row r="67" spans="1:7" s="4" customFormat="1" ht="30.75" customHeight="1" x14ac:dyDescent="0.3">
      <c r="A67" s="5"/>
      <c r="B67" s="6"/>
      <c r="C67" s="97" t="s">
        <v>82</v>
      </c>
      <c r="D67" s="8" t="s">
        <v>14</v>
      </c>
      <c r="E67" s="9">
        <v>50</v>
      </c>
      <c r="F67" s="10"/>
      <c r="G67" s="11"/>
    </row>
    <row r="68" spans="1:7" s="4" customFormat="1" ht="30.75" customHeight="1" thickBot="1" x14ac:dyDescent="0.35">
      <c r="A68" s="5"/>
      <c r="B68" s="6"/>
      <c r="C68" s="25"/>
      <c r="D68" s="193" t="s">
        <v>59</v>
      </c>
      <c r="E68" s="162">
        <v>50</v>
      </c>
      <c r="F68" s="233"/>
      <c r="G68" s="221"/>
    </row>
    <row r="69" spans="1:7" s="4" customFormat="1" ht="30.75" customHeight="1" thickBot="1" x14ac:dyDescent="0.35">
      <c r="A69" s="5"/>
      <c r="B69" s="6"/>
      <c r="C69" s="109"/>
      <c r="D69" s="110"/>
      <c r="E69" s="111"/>
      <c r="F69" s="112"/>
      <c r="G69" s="113"/>
    </row>
    <row r="70" spans="1:7" s="4" customFormat="1" ht="30.75" customHeight="1" x14ac:dyDescent="0.3">
      <c r="A70" s="72">
        <v>43942</v>
      </c>
      <c r="B70" s="99" t="s">
        <v>15</v>
      </c>
      <c r="C70" s="151" t="s">
        <v>176</v>
      </c>
      <c r="D70" s="82" t="s">
        <v>86</v>
      </c>
      <c r="E70" s="9">
        <v>100</v>
      </c>
      <c r="F70" s="152" t="s">
        <v>340</v>
      </c>
      <c r="G70" s="64"/>
    </row>
    <row r="71" spans="1:7" s="4" customFormat="1" ht="30.75" customHeight="1" x14ac:dyDescent="0.3">
      <c r="A71" s="5"/>
      <c r="B71" s="6"/>
      <c r="C71" s="87" t="s">
        <v>28</v>
      </c>
      <c r="D71" s="82" t="s">
        <v>29</v>
      </c>
      <c r="E71" s="9">
        <v>80</v>
      </c>
      <c r="F71" s="131"/>
      <c r="G71" s="232" t="s">
        <v>73</v>
      </c>
    </row>
    <row r="72" spans="1:7" s="4" customFormat="1" ht="30.75" customHeight="1" x14ac:dyDescent="0.3">
      <c r="A72" s="5"/>
      <c r="B72" s="6"/>
      <c r="C72" s="97" t="s">
        <v>6</v>
      </c>
      <c r="D72" s="173" t="s">
        <v>14</v>
      </c>
      <c r="E72" s="96">
        <v>35</v>
      </c>
      <c r="F72" s="176"/>
      <c r="G72" s="247"/>
    </row>
    <row r="73" spans="1:7" s="4" customFormat="1" ht="30.75" customHeight="1" thickBot="1" x14ac:dyDescent="0.35">
      <c r="A73" s="5"/>
      <c r="B73" s="6"/>
      <c r="C73" s="25"/>
      <c r="D73" s="108" t="s">
        <v>11</v>
      </c>
      <c r="E73" s="22" t="s">
        <v>20</v>
      </c>
      <c r="F73" s="177"/>
      <c r="G73" s="248"/>
    </row>
    <row r="74" spans="1:7" s="4" customFormat="1" ht="30.75" customHeight="1" thickBot="1" x14ac:dyDescent="0.35">
      <c r="A74" s="25"/>
      <c r="B74" s="26"/>
      <c r="C74" s="27" t="s">
        <v>66</v>
      </c>
      <c r="D74" s="90" t="s">
        <v>265</v>
      </c>
      <c r="E74" s="144" t="s">
        <v>341</v>
      </c>
      <c r="F74" s="144" t="s">
        <v>342</v>
      </c>
      <c r="G74" s="222" t="s">
        <v>276</v>
      </c>
    </row>
    <row r="75" spans="1:7" s="4" customFormat="1" ht="30.75" customHeight="1" x14ac:dyDescent="0.3">
      <c r="A75" s="5">
        <v>43943</v>
      </c>
      <c r="B75" s="6" t="s">
        <v>21</v>
      </c>
      <c r="C75" s="31" t="s">
        <v>43</v>
      </c>
      <c r="D75" s="32" t="s">
        <v>125</v>
      </c>
      <c r="E75" s="33">
        <v>128</v>
      </c>
      <c r="F75" s="34" t="s">
        <v>218</v>
      </c>
      <c r="G75" s="35"/>
    </row>
    <row r="76" spans="1:7" s="4" customFormat="1" ht="30.75" customHeight="1" x14ac:dyDescent="0.3">
      <c r="A76" s="5"/>
      <c r="B76" s="6"/>
      <c r="C76" s="17"/>
      <c r="D76" s="14" t="s">
        <v>211</v>
      </c>
      <c r="E76" s="15">
        <v>64</v>
      </c>
      <c r="F76" s="37"/>
      <c r="G76" s="38"/>
    </row>
    <row r="77" spans="1:7" s="4" customFormat="1" ht="30.75" customHeight="1" x14ac:dyDescent="0.3">
      <c r="A77" s="5"/>
      <c r="B77" s="6"/>
      <c r="C77" s="17"/>
      <c r="D77" s="14" t="s">
        <v>31</v>
      </c>
      <c r="E77" s="15">
        <v>40</v>
      </c>
      <c r="F77" s="37"/>
      <c r="G77" s="38"/>
    </row>
    <row r="78" spans="1:7" s="4" customFormat="1" ht="30.75" customHeight="1" x14ac:dyDescent="0.3">
      <c r="A78" s="5"/>
      <c r="B78" s="6"/>
      <c r="C78" s="17"/>
      <c r="D78" s="14" t="s">
        <v>29</v>
      </c>
      <c r="E78" s="15">
        <v>40</v>
      </c>
      <c r="F78" s="37"/>
      <c r="G78" s="38"/>
    </row>
    <row r="79" spans="1:7" s="4" customFormat="1" ht="30.75" customHeight="1" x14ac:dyDescent="0.3">
      <c r="A79" s="5"/>
      <c r="B79" s="6"/>
      <c r="C79" s="36"/>
      <c r="D79" s="14" t="s">
        <v>343</v>
      </c>
      <c r="E79" s="15">
        <v>50</v>
      </c>
      <c r="F79" s="37"/>
      <c r="G79" s="38"/>
    </row>
    <row r="80" spans="1:7" s="4" customFormat="1" ht="30.75" customHeight="1" x14ac:dyDescent="0.3">
      <c r="A80" s="5"/>
      <c r="B80" s="6"/>
      <c r="C80" s="17" t="s">
        <v>74</v>
      </c>
      <c r="D80" s="14" t="s">
        <v>344</v>
      </c>
      <c r="E80" s="15">
        <v>100</v>
      </c>
      <c r="F80" s="106"/>
      <c r="G80" s="187" t="s">
        <v>73</v>
      </c>
    </row>
    <row r="81" spans="1:7" s="4" customFormat="1" ht="30.75" customHeight="1" x14ac:dyDescent="0.3">
      <c r="A81" s="5"/>
      <c r="B81" s="6"/>
      <c r="C81" s="17"/>
      <c r="D81" s="8" t="s">
        <v>146</v>
      </c>
      <c r="E81" s="9">
        <v>102</v>
      </c>
      <c r="F81" s="131"/>
      <c r="G81" s="219"/>
    </row>
    <row r="82" spans="1:7" s="4" customFormat="1" ht="30.75" customHeight="1" x14ac:dyDescent="0.3">
      <c r="A82" s="5"/>
      <c r="B82" s="6"/>
      <c r="C82" s="17"/>
      <c r="D82" s="14" t="s">
        <v>13</v>
      </c>
      <c r="E82" s="15">
        <v>106</v>
      </c>
      <c r="F82" s="37"/>
      <c r="G82" s="38"/>
    </row>
    <row r="83" spans="1:7" s="4" customFormat="1" ht="30.75" customHeight="1" x14ac:dyDescent="0.3">
      <c r="A83" s="5"/>
      <c r="B83" s="6"/>
      <c r="C83" s="17"/>
      <c r="D83" s="14" t="s">
        <v>25</v>
      </c>
      <c r="E83" s="15">
        <v>20</v>
      </c>
      <c r="F83" s="37"/>
      <c r="G83" s="38"/>
    </row>
    <row r="84" spans="1:7" s="4" customFormat="1" ht="30.75" customHeight="1" x14ac:dyDescent="0.3">
      <c r="A84" s="5"/>
      <c r="B84" s="6"/>
      <c r="C84" s="17"/>
      <c r="D84" s="14" t="s">
        <v>7</v>
      </c>
      <c r="E84" s="15" t="s">
        <v>97</v>
      </c>
      <c r="F84" s="37"/>
      <c r="G84" s="38"/>
    </row>
    <row r="85" spans="1:7" s="4" customFormat="1" ht="30.75" customHeight="1" x14ac:dyDescent="0.3">
      <c r="A85" s="5"/>
      <c r="B85" s="6"/>
      <c r="C85" s="36"/>
      <c r="D85" s="14" t="s">
        <v>11</v>
      </c>
      <c r="E85" s="15" t="s">
        <v>156</v>
      </c>
      <c r="F85" s="37"/>
      <c r="G85" s="38"/>
    </row>
    <row r="86" spans="1:7" s="4" customFormat="1" ht="30.75" customHeight="1" x14ac:dyDescent="0.3">
      <c r="A86" s="5"/>
      <c r="B86" s="6"/>
      <c r="C86" s="17" t="s">
        <v>74</v>
      </c>
      <c r="D86" s="14" t="s">
        <v>13</v>
      </c>
      <c r="E86" s="15">
        <v>112</v>
      </c>
      <c r="F86" s="37" t="s">
        <v>145</v>
      </c>
      <c r="G86" s="38"/>
    </row>
    <row r="87" spans="1:7" s="4" customFormat="1" ht="30.75" customHeight="1" x14ac:dyDescent="0.3">
      <c r="A87" s="5"/>
      <c r="B87" s="6"/>
      <c r="C87" s="17"/>
      <c r="D87" s="14" t="s">
        <v>146</v>
      </c>
      <c r="E87" s="15">
        <v>56</v>
      </c>
      <c r="F87" s="37"/>
      <c r="G87" s="38"/>
    </row>
    <row r="88" spans="1:7" s="4" customFormat="1" ht="30.75" customHeight="1" x14ac:dyDescent="0.3">
      <c r="A88" s="5"/>
      <c r="B88" s="6"/>
      <c r="C88" s="36"/>
      <c r="D88" s="14" t="s">
        <v>223</v>
      </c>
      <c r="E88" s="15" t="s">
        <v>8</v>
      </c>
      <c r="F88" s="37"/>
      <c r="G88" s="38"/>
    </row>
    <row r="89" spans="1:7" s="4" customFormat="1" ht="30.75" customHeight="1" x14ac:dyDescent="0.3">
      <c r="A89" s="5"/>
      <c r="B89" s="6"/>
      <c r="C89" s="87" t="s">
        <v>109</v>
      </c>
      <c r="D89" s="8" t="s">
        <v>142</v>
      </c>
      <c r="E89" s="9" t="s">
        <v>35</v>
      </c>
      <c r="F89" s="10"/>
      <c r="G89" s="11" t="s">
        <v>257</v>
      </c>
    </row>
    <row r="90" spans="1:7" s="4" customFormat="1" ht="30.75" customHeight="1" x14ac:dyDescent="0.3">
      <c r="A90" s="5"/>
      <c r="B90" s="6"/>
      <c r="C90" s="16" t="s">
        <v>107</v>
      </c>
      <c r="D90" s="8" t="s">
        <v>13</v>
      </c>
      <c r="E90" s="9">
        <v>200</v>
      </c>
      <c r="F90" s="10"/>
      <c r="G90" s="11"/>
    </row>
    <row r="91" spans="1:7" s="4" customFormat="1" ht="30.75" customHeight="1" x14ac:dyDescent="0.3">
      <c r="A91" s="5"/>
      <c r="B91" s="6"/>
      <c r="C91" s="17"/>
      <c r="D91" s="8" t="s">
        <v>7</v>
      </c>
      <c r="E91" s="9" t="s">
        <v>345</v>
      </c>
      <c r="F91" s="63"/>
      <c r="G91" s="64"/>
    </row>
    <row r="92" spans="1:7" s="4" customFormat="1" ht="30.75" customHeight="1" thickBot="1" x14ac:dyDescent="0.35">
      <c r="A92" s="5"/>
      <c r="B92" s="6"/>
      <c r="C92" s="20"/>
      <c r="D92" s="161" t="s">
        <v>346</v>
      </c>
      <c r="E92" s="162" t="s">
        <v>347</v>
      </c>
      <c r="F92" s="77"/>
      <c r="G92" s="78"/>
    </row>
    <row r="93" spans="1:7" s="4" customFormat="1" ht="30.75" customHeight="1" thickBot="1" x14ac:dyDescent="0.35">
      <c r="A93" s="25"/>
      <c r="B93" s="26"/>
      <c r="C93" s="89" t="s">
        <v>348</v>
      </c>
      <c r="D93" s="90" t="s">
        <v>265</v>
      </c>
      <c r="E93" s="144" t="s">
        <v>68</v>
      </c>
      <c r="F93" s="144" t="s">
        <v>342</v>
      </c>
      <c r="G93" s="222" t="s">
        <v>267</v>
      </c>
    </row>
    <row r="94" spans="1:7" s="4" customFormat="1" ht="30.75" customHeight="1" x14ac:dyDescent="0.3">
      <c r="A94" s="5">
        <v>43944</v>
      </c>
      <c r="B94" s="6" t="s">
        <v>41</v>
      </c>
      <c r="C94" s="114" t="s">
        <v>117</v>
      </c>
      <c r="D94" s="32" t="s">
        <v>5</v>
      </c>
      <c r="E94" s="33">
        <v>200</v>
      </c>
      <c r="F94" s="129"/>
      <c r="G94" s="130" t="s">
        <v>301</v>
      </c>
    </row>
    <row r="95" spans="1:7" s="4" customFormat="1" ht="30.75" customHeight="1" x14ac:dyDescent="0.3">
      <c r="A95" s="5"/>
      <c r="B95" s="6"/>
      <c r="C95" s="5" t="s">
        <v>82</v>
      </c>
      <c r="D95" s="100" t="s">
        <v>14</v>
      </c>
      <c r="E95" s="15">
        <v>100</v>
      </c>
      <c r="F95" s="37"/>
      <c r="G95" s="38"/>
    </row>
    <row r="96" spans="1:7" s="4" customFormat="1" ht="30.75" customHeight="1" thickBot="1" x14ac:dyDescent="0.35">
      <c r="A96" s="5"/>
      <c r="B96" s="6"/>
      <c r="C96" s="84"/>
      <c r="D96" s="82" t="s">
        <v>7</v>
      </c>
      <c r="E96" s="9" t="s">
        <v>12</v>
      </c>
      <c r="F96" s="37"/>
      <c r="G96" s="11"/>
    </row>
    <row r="97" spans="1:7" s="4" customFormat="1" ht="30.75" customHeight="1" thickBot="1" x14ac:dyDescent="0.35">
      <c r="A97" s="25"/>
      <c r="B97" s="26"/>
      <c r="C97" s="27"/>
      <c r="D97" s="28"/>
      <c r="E97" s="29"/>
      <c r="F97" s="29"/>
      <c r="G97" s="30"/>
    </row>
    <row r="98" spans="1:7" s="4" customFormat="1" ht="30.75" customHeight="1" x14ac:dyDescent="0.3">
      <c r="A98" s="5">
        <v>43945</v>
      </c>
      <c r="B98" s="6" t="s">
        <v>55</v>
      </c>
      <c r="C98" s="150" t="s">
        <v>349</v>
      </c>
      <c r="D98" s="80" t="s">
        <v>59</v>
      </c>
      <c r="E98" s="33">
        <v>50</v>
      </c>
      <c r="F98" s="34"/>
      <c r="G98" s="35"/>
    </row>
    <row r="99" spans="1:7" s="4" customFormat="1" ht="30.75" customHeight="1" x14ac:dyDescent="0.3">
      <c r="A99" s="5"/>
      <c r="B99" s="6"/>
      <c r="C99" s="249"/>
      <c r="D99" s="100"/>
      <c r="E99" s="15"/>
      <c r="F99" s="37"/>
      <c r="G99" s="11"/>
    </row>
    <row r="100" spans="1:7" s="4" customFormat="1" ht="30.75" customHeight="1" thickBot="1" x14ac:dyDescent="0.35">
      <c r="A100" s="5"/>
      <c r="B100" s="6"/>
      <c r="C100" s="213"/>
      <c r="D100" s="108"/>
      <c r="E100" s="22"/>
      <c r="F100" s="77"/>
      <c r="G100" s="78"/>
    </row>
    <row r="101" spans="1:7" s="4" customFormat="1" ht="30.75" customHeight="1" thickBot="1" x14ac:dyDescent="0.35">
      <c r="A101" s="25"/>
      <c r="B101" s="26"/>
      <c r="C101" s="27"/>
      <c r="D101" s="90"/>
      <c r="E101" s="144"/>
      <c r="F101" s="144"/>
      <c r="G101" s="222"/>
    </row>
    <row r="102" spans="1:7" s="4" customFormat="1" ht="108.75" customHeight="1" thickBot="1" x14ac:dyDescent="0.35">
      <c r="A102" s="1" t="s">
        <v>0</v>
      </c>
      <c r="B102" s="2"/>
      <c r="C102" s="2"/>
      <c r="D102" s="2"/>
      <c r="E102" s="2"/>
      <c r="F102" s="2"/>
      <c r="G102" s="3"/>
    </row>
    <row r="103" spans="1:7" s="4" customFormat="1" ht="33.75" customHeight="1" x14ac:dyDescent="0.3">
      <c r="A103" s="72">
        <v>43948</v>
      </c>
      <c r="B103" s="99" t="s">
        <v>1</v>
      </c>
      <c r="C103" s="31" t="s">
        <v>16</v>
      </c>
      <c r="D103" s="8" t="s">
        <v>17</v>
      </c>
      <c r="E103" s="9">
        <f>181+309</f>
        <v>490</v>
      </c>
      <c r="F103" s="10"/>
      <c r="G103" s="11"/>
    </row>
    <row r="104" spans="1:7" s="4" customFormat="1" ht="33.75" customHeight="1" x14ac:dyDescent="0.3">
      <c r="A104" s="5"/>
      <c r="B104" s="6"/>
      <c r="C104" s="17"/>
      <c r="D104" s="95" t="s">
        <v>18</v>
      </c>
      <c r="E104" s="96">
        <v>2</v>
      </c>
      <c r="F104" s="10"/>
      <c r="G104" s="11"/>
    </row>
    <row r="105" spans="1:7" s="4" customFormat="1" ht="33.75" customHeight="1" thickBot="1" x14ac:dyDescent="0.35">
      <c r="A105" s="5"/>
      <c r="B105" s="6"/>
      <c r="C105" s="36"/>
      <c r="D105" s="8" t="s">
        <v>76</v>
      </c>
      <c r="E105" s="9" t="s">
        <v>350</v>
      </c>
      <c r="F105" s="10"/>
      <c r="G105" s="11"/>
    </row>
    <row r="106" spans="1:7" s="4" customFormat="1" ht="33.75" customHeight="1" thickBot="1" x14ac:dyDescent="0.35">
      <c r="A106" s="25"/>
      <c r="B106" s="26"/>
      <c r="C106" s="27"/>
      <c r="D106" s="28"/>
      <c r="E106" s="29"/>
      <c r="F106" s="29"/>
      <c r="G106" s="30"/>
    </row>
    <row r="107" spans="1:7" s="4" customFormat="1" ht="33.75" customHeight="1" x14ac:dyDescent="0.3">
      <c r="A107" s="72">
        <v>43949</v>
      </c>
      <c r="B107" s="99" t="s">
        <v>15</v>
      </c>
      <c r="C107" s="31" t="s">
        <v>43</v>
      </c>
      <c r="D107" s="8" t="s">
        <v>13</v>
      </c>
      <c r="E107" s="9">
        <v>100</v>
      </c>
      <c r="F107" s="37" t="s">
        <v>218</v>
      </c>
      <c r="G107" s="38"/>
    </row>
    <row r="108" spans="1:7" s="4" customFormat="1" ht="33.75" customHeight="1" x14ac:dyDescent="0.3">
      <c r="A108" s="5"/>
      <c r="B108" s="6"/>
      <c r="C108" s="17"/>
      <c r="D108" s="18" t="s">
        <v>59</v>
      </c>
      <c r="E108" s="19">
        <v>64</v>
      </c>
      <c r="F108" s="47"/>
      <c r="G108" s="48"/>
    </row>
    <row r="109" spans="1:7" s="4" customFormat="1" ht="33.75" customHeight="1" x14ac:dyDescent="0.3">
      <c r="A109" s="5"/>
      <c r="B109" s="6"/>
      <c r="C109" s="17"/>
      <c r="D109" s="8" t="s">
        <v>29</v>
      </c>
      <c r="E109" s="9">
        <v>40</v>
      </c>
      <c r="F109" s="10"/>
      <c r="G109" s="11"/>
    </row>
    <row r="110" spans="1:7" s="4" customFormat="1" ht="33.75" customHeight="1" x14ac:dyDescent="0.3">
      <c r="A110" s="5"/>
      <c r="B110" s="6"/>
      <c r="C110" s="17"/>
      <c r="D110" s="18" t="s">
        <v>44</v>
      </c>
      <c r="E110" s="19">
        <v>40</v>
      </c>
      <c r="F110" s="47"/>
      <c r="G110" s="48"/>
    </row>
    <row r="111" spans="1:7" s="4" customFormat="1" ht="33.75" customHeight="1" x14ac:dyDescent="0.3">
      <c r="A111" s="5"/>
      <c r="B111" s="6"/>
      <c r="C111" s="17"/>
      <c r="D111" s="95" t="s">
        <v>14</v>
      </c>
      <c r="E111" s="96">
        <v>64</v>
      </c>
      <c r="F111" s="63"/>
      <c r="G111" s="64"/>
    </row>
    <row r="112" spans="1:7" s="4" customFormat="1" ht="33.75" customHeight="1" x14ac:dyDescent="0.3">
      <c r="A112" s="5"/>
      <c r="B112" s="6"/>
      <c r="C112" s="36"/>
      <c r="D112" s="95" t="s">
        <v>126</v>
      </c>
      <c r="E112" s="96">
        <v>50</v>
      </c>
      <c r="F112" s="63"/>
      <c r="G112" s="64"/>
    </row>
    <row r="113" spans="1:7" s="4" customFormat="1" ht="33.75" customHeight="1" x14ac:dyDescent="0.3">
      <c r="A113" s="5"/>
      <c r="B113" s="6"/>
      <c r="C113" s="13" t="s">
        <v>247</v>
      </c>
      <c r="D113" s="95" t="s">
        <v>93</v>
      </c>
      <c r="E113" s="96">
        <v>100</v>
      </c>
      <c r="F113" s="63"/>
      <c r="G113" s="64"/>
    </row>
    <row r="114" spans="1:7" s="4" customFormat="1" ht="33.75" customHeight="1" x14ac:dyDescent="0.3">
      <c r="A114" s="5"/>
      <c r="B114" s="6"/>
      <c r="C114" s="13" t="s">
        <v>69</v>
      </c>
      <c r="D114" s="8" t="s">
        <v>70</v>
      </c>
      <c r="E114" s="9">
        <v>100</v>
      </c>
      <c r="F114" s="10" t="s">
        <v>351</v>
      </c>
      <c r="G114" s="11" t="s">
        <v>352</v>
      </c>
    </row>
    <row r="115" spans="1:7" s="4" customFormat="1" ht="33.75" customHeight="1" thickBot="1" x14ac:dyDescent="0.35">
      <c r="A115" s="5"/>
      <c r="B115" s="6"/>
      <c r="C115" s="250"/>
      <c r="D115" s="193"/>
      <c r="E115" s="9"/>
      <c r="F115" s="220"/>
      <c r="G115" s="24"/>
    </row>
    <row r="116" spans="1:7" s="4" customFormat="1" ht="33.75" customHeight="1" thickBot="1" x14ac:dyDescent="0.35">
      <c r="A116" s="25"/>
      <c r="B116" s="26"/>
      <c r="C116" s="27"/>
      <c r="D116" s="28"/>
      <c r="E116" s="29"/>
      <c r="F116" s="29"/>
      <c r="G116" s="30"/>
    </row>
    <row r="117" spans="1:7" s="4" customFormat="1" ht="33.75" customHeight="1" x14ac:dyDescent="0.3">
      <c r="A117" s="72">
        <v>43950</v>
      </c>
      <c r="B117" s="99" t="s">
        <v>21</v>
      </c>
      <c r="C117" s="31" t="s">
        <v>19</v>
      </c>
      <c r="D117" s="32" t="s">
        <v>353</v>
      </c>
      <c r="E117" s="33" t="s">
        <v>50</v>
      </c>
      <c r="F117" s="34"/>
      <c r="G117" s="35"/>
    </row>
    <row r="118" spans="1:7" s="4" customFormat="1" ht="33.75" customHeight="1" x14ac:dyDescent="0.3">
      <c r="A118" s="5"/>
      <c r="B118" s="6"/>
      <c r="C118" s="36"/>
      <c r="D118" s="8" t="s">
        <v>11</v>
      </c>
      <c r="E118" s="9" t="s">
        <v>62</v>
      </c>
      <c r="F118" s="10"/>
      <c r="G118" s="11"/>
    </row>
    <row r="119" spans="1:7" s="4" customFormat="1" ht="33.75" customHeight="1" x14ac:dyDescent="0.3">
      <c r="A119" s="5"/>
      <c r="B119" s="6"/>
      <c r="C119" s="13" t="s">
        <v>61</v>
      </c>
      <c r="D119" s="8" t="s">
        <v>25</v>
      </c>
      <c r="E119" s="9">
        <v>100</v>
      </c>
      <c r="F119" s="106"/>
      <c r="G119" s="38"/>
    </row>
    <row r="120" spans="1:7" s="4" customFormat="1" ht="33.75" customHeight="1" thickBot="1" x14ac:dyDescent="0.35">
      <c r="A120" s="5"/>
      <c r="B120" s="6"/>
      <c r="C120" s="51"/>
      <c r="D120" s="161"/>
      <c r="E120" s="162"/>
      <c r="F120" s="23"/>
      <c r="G120" s="24"/>
    </row>
    <row r="121" spans="1:7" s="4" customFormat="1" ht="33.75" customHeight="1" thickBot="1" x14ac:dyDescent="0.35">
      <c r="A121" s="25"/>
      <c r="B121" s="26"/>
      <c r="C121" s="89" t="s">
        <v>135</v>
      </c>
      <c r="D121" s="90" t="s">
        <v>265</v>
      </c>
      <c r="E121" s="144" t="s">
        <v>354</v>
      </c>
      <c r="F121" s="144" t="s">
        <v>342</v>
      </c>
      <c r="G121" s="251" t="s">
        <v>355</v>
      </c>
    </row>
    <row r="122" spans="1:7" s="4" customFormat="1" ht="33.75" customHeight="1" x14ac:dyDescent="0.3">
      <c r="A122" s="72">
        <v>43951</v>
      </c>
      <c r="B122" s="99" t="s">
        <v>41</v>
      </c>
      <c r="C122" s="252" t="s">
        <v>356</v>
      </c>
      <c r="D122" s="253"/>
      <c r="E122" s="253"/>
      <c r="F122" s="253"/>
      <c r="G122" s="254"/>
    </row>
    <row r="123" spans="1:7" s="4" customFormat="1" ht="33.75" customHeight="1" x14ac:dyDescent="0.3">
      <c r="A123" s="5"/>
      <c r="B123" s="6"/>
      <c r="C123" s="255"/>
      <c r="D123" s="256"/>
      <c r="E123" s="256"/>
      <c r="F123" s="256"/>
      <c r="G123" s="257"/>
    </row>
    <row r="124" spans="1:7" s="4" customFormat="1" ht="33.75" customHeight="1" thickBot="1" x14ac:dyDescent="0.35">
      <c r="A124" s="25"/>
      <c r="B124" s="26"/>
      <c r="C124" s="258"/>
      <c r="D124" s="259"/>
      <c r="E124" s="259"/>
      <c r="F124" s="259"/>
      <c r="G124" s="260"/>
    </row>
    <row r="125" spans="1:7" s="4" customFormat="1" ht="33.75" customHeight="1" x14ac:dyDescent="0.3">
      <c r="A125" s="72">
        <v>43952</v>
      </c>
      <c r="B125" s="99" t="s">
        <v>55</v>
      </c>
      <c r="C125" s="252" t="s">
        <v>357</v>
      </c>
      <c r="D125" s="253"/>
      <c r="E125" s="253"/>
      <c r="F125" s="253"/>
      <c r="G125" s="254"/>
    </row>
    <row r="126" spans="1:7" s="4" customFormat="1" ht="33.75" customHeight="1" x14ac:dyDescent="0.3">
      <c r="A126" s="5"/>
      <c r="B126" s="6"/>
      <c r="C126" s="255"/>
      <c r="D126" s="256"/>
      <c r="E126" s="256"/>
      <c r="F126" s="256"/>
      <c r="G126" s="257"/>
    </row>
    <row r="127" spans="1:7" s="4" customFormat="1" ht="33.75" customHeight="1" thickBot="1" x14ac:dyDescent="0.35">
      <c r="A127" s="25"/>
      <c r="B127" s="26"/>
      <c r="C127" s="258"/>
      <c r="D127" s="259"/>
      <c r="E127" s="259"/>
      <c r="F127" s="259"/>
      <c r="G127" s="260"/>
    </row>
  </sheetData>
  <mergeCells count="69">
    <mergeCell ref="A125:A127"/>
    <mergeCell ref="B125:B127"/>
    <mergeCell ref="C125:G127"/>
    <mergeCell ref="A117:A121"/>
    <mergeCell ref="B117:B121"/>
    <mergeCell ref="C117:C118"/>
    <mergeCell ref="A122:A124"/>
    <mergeCell ref="B122:B124"/>
    <mergeCell ref="C122:G124"/>
    <mergeCell ref="A103:A106"/>
    <mergeCell ref="B103:B106"/>
    <mergeCell ref="C103:C105"/>
    <mergeCell ref="A107:A116"/>
    <mergeCell ref="B107:B116"/>
    <mergeCell ref="C107:C112"/>
    <mergeCell ref="A94:A97"/>
    <mergeCell ref="B94:B97"/>
    <mergeCell ref="C95:C96"/>
    <mergeCell ref="A98:A101"/>
    <mergeCell ref="B98:B101"/>
    <mergeCell ref="A102:G102"/>
    <mergeCell ref="A75:A93"/>
    <mergeCell ref="B75:B93"/>
    <mergeCell ref="C75:C79"/>
    <mergeCell ref="C80:C85"/>
    <mergeCell ref="C86:C88"/>
    <mergeCell ref="C90:C92"/>
    <mergeCell ref="A63:G63"/>
    <mergeCell ref="A64:A69"/>
    <mergeCell ref="B64:B69"/>
    <mergeCell ref="C64:C65"/>
    <mergeCell ref="C67:C68"/>
    <mergeCell ref="A70:A74"/>
    <mergeCell ref="B70:B74"/>
    <mergeCell ref="C72:C73"/>
    <mergeCell ref="A54:A58"/>
    <mergeCell ref="B54:B58"/>
    <mergeCell ref="C54:C55"/>
    <mergeCell ref="A59:A62"/>
    <mergeCell ref="B59:B62"/>
    <mergeCell ref="C59:C60"/>
    <mergeCell ref="A45:A50"/>
    <mergeCell ref="B45:B50"/>
    <mergeCell ref="C47:C49"/>
    <mergeCell ref="A51:A53"/>
    <mergeCell ref="B51:B53"/>
    <mergeCell ref="C51:G53"/>
    <mergeCell ref="A36:A39"/>
    <mergeCell ref="B36:B39"/>
    <mergeCell ref="C36:C37"/>
    <mergeCell ref="A40:G40"/>
    <mergeCell ref="A41:A44"/>
    <mergeCell ref="B41:B44"/>
    <mergeCell ref="C41:C42"/>
    <mergeCell ref="A15:A20"/>
    <mergeCell ref="B15:B20"/>
    <mergeCell ref="C15:C17"/>
    <mergeCell ref="A21:A35"/>
    <mergeCell ref="B21:B35"/>
    <mergeCell ref="C21:C23"/>
    <mergeCell ref="C24:C25"/>
    <mergeCell ref="C26:C27"/>
    <mergeCell ref="C30:C34"/>
    <mergeCell ref="A1:G1"/>
    <mergeCell ref="A2:A8"/>
    <mergeCell ref="B2:B8"/>
    <mergeCell ref="A9:A14"/>
    <mergeCell ref="B9:B14"/>
    <mergeCell ref="C9:C12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70" fitToHeight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view="pageBreakPreview" topLeftCell="A101" zoomScale="87" zoomScaleNormal="87" zoomScaleSheetLayoutView="87" workbookViewId="0">
      <selection activeCell="D121" sqref="D121"/>
    </sheetView>
  </sheetViews>
  <sheetFormatPr defaultColWidth="9" defaultRowHeight="36" customHeight="1" x14ac:dyDescent="0.3"/>
  <cols>
    <col min="1" max="1" width="12.375" style="124" customWidth="1"/>
    <col min="2" max="2" width="7.25" style="125" customWidth="1"/>
    <col min="3" max="3" width="21.875" style="126" customWidth="1"/>
    <col min="4" max="4" width="22.5" style="12" customWidth="1"/>
    <col min="5" max="5" width="15.375" style="127" customWidth="1"/>
    <col min="6" max="6" width="24.25" style="127" customWidth="1"/>
    <col min="7" max="7" width="28.125" style="128" customWidth="1"/>
    <col min="8" max="8" width="42.5" style="4" customWidth="1"/>
    <col min="9" max="16384" width="9" style="12"/>
  </cols>
  <sheetData>
    <row r="1" spans="1:8" s="4" customFormat="1" ht="108" customHeight="1" thickBot="1" x14ac:dyDescent="0.35">
      <c r="A1" s="1" t="s">
        <v>0</v>
      </c>
      <c r="B1" s="2"/>
      <c r="C1" s="2"/>
      <c r="D1" s="2"/>
      <c r="E1" s="2"/>
      <c r="F1" s="2"/>
      <c r="G1" s="3"/>
    </row>
    <row r="2" spans="1:8" ht="31.5" customHeight="1" x14ac:dyDescent="0.3">
      <c r="A2" s="5">
        <v>43955</v>
      </c>
      <c r="B2" s="6" t="s">
        <v>1</v>
      </c>
      <c r="C2" s="252" t="s">
        <v>358</v>
      </c>
      <c r="D2" s="253"/>
      <c r="E2" s="253"/>
      <c r="F2" s="253"/>
      <c r="G2" s="254"/>
      <c r="H2" s="12"/>
    </row>
    <row r="3" spans="1:8" s="4" customFormat="1" ht="33.75" customHeight="1" x14ac:dyDescent="0.3">
      <c r="A3" s="5"/>
      <c r="B3" s="6"/>
      <c r="C3" s="255"/>
      <c r="D3" s="256"/>
      <c r="E3" s="256"/>
      <c r="F3" s="256"/>
      <c r="G3" s="257"/>
    </row>
    <row r="4" spans="1:8" ht="31.5" customHeight="1" thickBot="1" x14ac:dyDescent="0.35">
      <c r="A4" s="25"/>
      <c r="B4" s="26"/>
      <c r="C4" s="258"/>
      <c r="D4" s="259"/>
      <c r="E4" s="259"/>
      <c r="F4" s="259"/>
      <c r="G4" s="260"/>
      <c r="H4" s="12"/>
    </row>
    <row r="5" spans="1:8" ht="31.5" customHeight="1" x14ac:dyDescent="0.3">
      <c r="A5" s="5">
        <v>43956</v>
      </c>
      <c r="B5" s="6" t="s">
        <v>15</v>
      </c>
      <c r="C5" s="252" t="s">
        <v>359</v>
      </c>
      <c r="D5" s="253"/>
      <c r="E5" s="253"/>
      <c r="F5" s="253"/>
      <c r="G5" s="254"/>
      <c r="H5" s="12"/>
    </row>
    <row r="6" spans="1:8" s="4" customFormat="1" ht="33.75" customHeight="1" x14ac:dyDescent="0.3">
      <c r="A6" s="5"/>
      <c r="B6" s="6"/>
      <c r="C6" s="255"/>
      <c r="D6" s="256"/>
      <c r="E6" s="256"/>
      <c r="F6" s="256"/>
      <c r="G6" s="257"/>
    </row>
    <row r="7" spans="1:8" ht="31.5" customHeight="1" thickBot="1" x14ac:dyDescent="0.35">
      <c r="A7" s="25"/>
      <c r="B7" s="26"/>
      <c r="C7" s="258"/>
      <c r="D7" s="259"/>
      <c r="E7" s="259"/>
      <c r="F7" s="259"/>
      <c r="G7" s="260"/>
      <c r="H7" s="12"/>
    </row>
    <row r="8" spans="1:8" s="4" customFormat="1" ht="33.75" customHeight="1" x14ac:dyDescent="0.3">
      <c r="A8" s="5">
        <v>43957</v>
      </c>
      <c r="B8" s="6" t="s">
        <v>21</v>
      </c>
      <c r="C8" s="31" t="s">
        <v>307</v>
      </c>
      <c r="D8" s="229" t="s">
        <v>29</v>
      </c>
      <c r="E8" s="218">
        <v>200</v>
      </c>
      <c r="F8" s="261"/>
      <c r="G8" s="42"/>
    </row>
    <row r="9" spans="1:8" s="4" customFormat="1" ht="33.75" customHeight="1" x14ac:dyDescent="0.3">
      <c r="A9" s="5"/>
      <c r="B9" s="6"/>
      <c r="C9" s="17"/>
      <c r="D9" s="82" t="s">
        <v>31</v>
      </c>
      <c r="E9" s="9">
        <v>20</v>
      </c>
      <c r="F9" s="131"/>
      <c r="G9" s="11"/>
    </row>
    <row r="10" spans="1:8" s="4" customFormat="1" ht="33.75" customHeight="1" x14ac:dyDescent="0.3">
      <c r="A10" s="5"/>
      <c r="B10" s="6"/>
      <c r="C10" s="17"/>
      <c r="D10" s="85" t="s">
        <v>44</v>
      </c>
      <c r="E10" s="19">
        <v>10</v>
      </c>
      <c r="F10" s="201"/>
      <c r="G10" s="48"/>
    </row>
    <row r="11" spans="1:8" s="4" customFormat="1" ht="31.5" customHeight="1" x14ac:dyDescent="0.3">
      <c r="A11" s="5"/>
      <c r="B11" s="6"/>
      <c r="C11" s="36"/>
      <c r="D11" s="8" t="s">
        <v>7</v>
      </c>
      <c r="E11" s="9" t="s">
        <v>50</v>
      </c>
      <c r="F11" s="183"/>
      <c r="G11" s="186"/>
    </row>
    <row r="12" spans="1:8" s="4" customFormat="1" ht="31.5" customHeight="1" x14ac:dyDescent="0.3">
      <c r="A12" s="5"/>
      <c r="B12" s="6"/>
      <c r="C12" s="17" t="s">
        <v>43</v>
      </c>
      <c r="D12" s="14" t="s">
        <v>211</v>
      </c>
      <c r="E12" s="15">
        <v>64</v>
      </c>
      <c r="F12" s="106"/>
      <c r="G12" s="187"/>
    </row>
    <row r="13" spans="1:8" s="4" customFormat="1" ht="31.5" customHeight="1" x14ac:dyDescent="0.3">
      <c r="A13" s="5"/>
      <c r="B13" s="6"/>
      <c r="C13" s="17"/>
      <c r="D13" s="14" t="s">
        <v>14</v>
      </c>
      <c r="E13" s="15">
        <v>64</v>
      </c>
      <c r="F13" s="106"/>
      <c r="G13" s="187"/>
    </row>
    <row r="14" spans="1:8" s="4" customFormat="1" ht="31.5" customHeight="1" x14ac:dyDescent="0.3">
      <c r="A14" s="5"/>
      <c r="B14" s="6"/>
      <c r="C14" s="36"/>
      <c r="D14" s="8" t="s">
        <v>223</v>
      </c>
      <c r="E14" s="9" t="s">
        <v>360</v>
      </c>
      <c r="F14" s="131"/>
      <c r="G14" s="219"/>
    </row>
    <row r="15" spans="1:8" s="4" customFormat="1" ht="32.25" customHeight="1" thickBot="1" x14ac:dyDescent="0.35">
      <c r="A15" s="5"/>
      <c r="B15" s="6"/>
      <c r="C15" s="51" t="s">
        <v>34</v>
      </c>
      <c r="D15" s="193" t="s">
        <v>7</v>
      </c>
      <c r="E15" s="162" t="s">
        <v>35</v>
      </c>
      <c r="F15" s="220"/>
      <c r="G15" s="221" t="s">
        <v>73</v>
      </c>
    </row>
    <row r="16" spans="1:8" s="4" customFormat="1" ht="31.5" customHeight="1" thickBot="1" x14ac:dyDescent="0.35">
      <c r="A16" s="25"/>
      <c r="B16" s="26"/>
      <c r="C16" s="143"/>
      <c r="D16" s="28"/>
      <c r="E16" s="144"/>
      <c r="F16" s="144"/>
      <c r="G16" s="222"/>
    </row>
    <row r="17" spans="1:7" s="4" customFormat="1" ht="31.5" customHeight="1" x14ac:dyDescent="0.3">
      <c r="A17" s="5">
        <v>43958</v>
      </c>
      <c r="B17" s="6" t="s">
        <v>41</v>
      </c>
      <c r="C17" s="151" t="s">
        <v>16</v>
      </c>
      <c r="D17" s="82" t="s">
        <v>75</v>
      </c>
      <c r="E17" s="9">
        <v>200</v>
      </c>
      <c r="F17" s="180"/>
      <c r="G17" s="181"/>
    </row>
    <row r="18" spans="1:7" s="4" customFormat="1" ht="33.75" customHeight="1" x14ac:dyDescent="0.3">
      <c r="A18" s="5"/>
      <c r="B18" s="6"/>
      <c r="C18" s="16" t="s">
        <v>74</v>
      </c>
      <c r="D18" s="8" t="s">
        <v>13</v>
      </c>
      <c r="E18" s="9">
        <v>150</v>
      </c>
      <c r="F18" s="10"/>
      <c r="G18" s="11" t="s">
        <v>73</v>
      </c>
    </row>
    <row r="19" spans="1:7" s="4" customFormat="1" ht="33.75" customHeight="1" x14ac:dyDescent="0.3">
      <c r="A19" s="5"/>
      <c r="B19" s="6"/>
      <c r="C19" s="17"/>
      <c r="D19" s="100" t="s">
        <v>361</v>
      </c>
      <c r="E19" s="9">
        <v>100</v>
      </c>
      <c r="F19" s="37"/>
      <c r="G19" s="38"/>
    </row>
    <row r="20" spans="1:7" s="4" customFormat="1" ht="33.75" customHeight="1" x14ac:dyDescent="0.3">
      <c r="A20" s="5"/>
      <c r="B20" s="6"/>
      <c r="C20" s="17"/>
      <c r="D20" s="14" t="s">
        <v>11</v>
      </c>
      <c r="E20" s="9" t="s">
        <v>98</v>
      </c>
      <c r="F20" s="37"/>
      <c r="G20" s="38"/>
    </row>
    <row r="21" spans="1:7" s="4" customFormat="1" ht="33.75" customHeight="1" x14ac:dyDescent="0.3">
      <c r="A21" s="5"/>
      <c r="B21" s="6"/>
      <c r="C21" s="36"/>
      <c r="D21" s="100" t="s">
        <v>7</v>
      </c>
      <c r="E21" s="9" t="s">
        <v>155</v>
      </c>
      <c r="F21" s="106"/>
      <c r="G21" s="38"/>
    </row>
    <row r="22" spans="1:7" s="4" customFormat="1" ht="31.5" customHeight="1" x14ac:dyDescent="0.3">
      <c r="A22" s="5"/>
      <c r="B22" s="6"/>
      <c r="C22" s="16" t="s">
        <v>6</v>
      </c>
      <c r="D22" s="8" t="s">
        <v>11</v>
      </c>
      <c r="E22" s="9" t="s">
        <v>20</v>
      </c>
      <c r="F22" s="131"/>
      <c r="G22" s="219" t="s">
        <v>362</v>
      </c>
    </row>
    <row r="23" spans="1:7" s="4" customFormat="1" ht="31.5" customHeight="1" x14ac:dyDescent="0.3">
      <c r="A23" s="5"/>
      <c r="B23" s="6"/>
      <c r="C23" s="17"/>
      <c r="D23" s="8" t="s">
        <v>7</v>
      </c>
      <c r="E23" s="9" t="s">
        <v>363</v>
      </c>
      <c r="F23" s="131"/>
      <c r="G23" s="219"/>
    </row>
    <row r="24" spans="1:7" s="4" customFormat="1" ht="31.5" customHeight="1" x14ac:dyDescent="0.3">
      <c r="A24" s="5"/>
      <c r="B24" s="6"/>
      <c r="C24" s="17"/>
      <c r="D24" s="8" t="s">
        <v>49</v>
      </c>
      <c r="E24" s="9" t="s">
        <v>199</v>
      </c>
      <c r="F24" s="131"/>
      <c r="G24" s="219" t="s">
        <v>364</v>
      </c>
    </row>
    <row r="25" spans="1:7" s="4" customFormat="1" ht="31.5" customHeight="1" x14ac:dyDescent="0.3">
      <c r="A25" s="5"/>
      <c r="B25" s="6"/>
      <c r="C25" s="17"/>
      <c r="D25" s="8" t="s">
        <v>9</v>
      </c>
      <c r="E25" s="9" t="s">
        <v>10</v>
      </c>
      <c r="F25" s="131"/>
      <c r="G25" s="219"/>
    </row>
    <row r="26" spans="1:7" s="4" customFormat="1" ht="31.5" customHeight="1" x14ac:dyDescent="0.3">
      <c r="A26" s="5"/>
      <c r="B26" s="6"/>
      <c r="C26" s="36"/>
      <c r="D26" s="8" t="s">
        <v>13</v>
      </c>
      <c r="E26" s="9">
        <v>30</v>
      </c>
      <c r="F26" s="131"/>
      <c r="G26" s="219"/>
    </row>
    <row r="27" spans="1:7" s="4" customFormat="1" ht="31.5" customHeight="1" x14ac:dyDescent="0.3">
      <c r="A27" s="5"/>
      <c r="B27" s="6"/>
      <c r="C27" s="13" t="s">
        <v>152</v>
      </c>
      <c r="D27" s="8" t="s">
        <v>7</v>
      </c>
      <c r="E27" s="9" t="s">
        <v>35</v>
      </c>
      <c r="F27" s="131"/>
      <c r="G27" s="219" t="s">
        <v>365</v>
      </c>
    </row>
    <row r="28" spans="1:7" ht="31.5" customHeight="1" x14ac:dyDescent="0.3">
      <c r="A28" s="5"/>
      <c r="B28" s="6"/>
      <c r="C28" s="17" t="s">
        <v>56</v>
      </c>
      <c r="D28" s="14" t="s">
        <v>57</v>
      </c>
      <c r="E28" s="15">
        <v>100</v>
      </c>
      <c r="F28" s="37" t="s">
        <v>218</v>
      </c>
      <c r="G28" s="38"/>
    </row>
    <row r="29" spans="1:7" ht="31.5" customHeight="1" x14ac:dyDescent="0.3">
      <c r="A29" s="5"/>
      <c r="B29" s="6"/>
      <c r="C29" s="17"/>
      <c r="D29" s="14" t="s">
        <v>59</v>
      </c>
      <c r="E29" s="15">
        <v>100</v>
      </c>
      <c r="F29" s="37"/>
      <c r="G29" s="38"/>
    </row>
    <row r="30" spans="1:7" ht="31.5" customHeight="1" x14ac:dyDescent="0.3">
      <c r="A30" s="5"/>
      <c r="B30" s="6"/>
      <c r="C30" s="17"/>
      <c r="D30" s="14" t="s">
        <v>14</v>
      </c>
      <c r="E30" s="15">
        <v>50</v>
      </c>
      <c r="F30" s="37"/>
      <c r="G30" s="38"/>
    </row>
    <row r="31" spans="1:7" s="4" customFormat="1" ht="33.75" customHeight="1" thickBot="1" x14ac:dyDescent="0.35">
      <c r="A31" s="5"/>
      <c r="B31" s="6"/>
      <c r="C31" s="20"/>
      <c r="D31" s="21" t="s">
        <v>191</v>
      </c>
      <c r="E31" s="22">
        <v>50</v>
      </c>
      <c r="F31" s="77"/>
      <c r="G31" s="78"/>
    </row>
    <row r="32" spans="1:7" s="4" customFormat="1" ht="31.5" customHeight="1" thickBot="1" x14ac:dyDescent="0.35">
      <c r="A32" s="25"/>
      <c r="B32" s="26"/>
      <c r="C32" s="89" t="s">
        <v>135</v>
      </c>
      <c r="D32" s="90" t="s">
        <v>265</v>
      </c>
      <c r="E32" s="144" t="s">
        <v>366</v>
      </c>
      <c r="F32" s="144" t="s">
        <v>342</v>
      </c>
      <c r="G32" s="222" t="s">
        <v>276</v>
      </c>
    </row>
    <row r="33" spans="1:7" s="4" customFormat="1" ht="31.5" customHeight="1" x14ac:dyDescent="0.3">
      <c r="A33" s="5">
        <v>43959</v>
      </c>
      <c r="B33" s="75" t="s">
        <v>55</v>
      </c>
      <c r="C33" s="114" t="s">
        <v>16</v>
      </c>
      <c r="D33" s="32" t="s">
        <v>17</v>
      </c>
      <c r="E33" s="33">
        <v>103</v>
      </c>
      <c r="F33" s="178"/>
      <c r="G33" s="237"/>
    </row>
    <row r="34" spans="1:7" s="4" customFormat="1" ht="31.5" customHeight="1" x14ac:dyDescent="0.3">
      <c r="A34" s="5"/>
      <c r="B34" s="75"/>
      <c r="C34" s="158" t="s">
        <v>32</v>
      </c>
      <c r="D34" s="8" t="s">
        <v>191</v>
      </c>
      <c r="E34" s="9">
        <v>384</v>
      </c>
      <c r="F34" s="183"/>
      <c r="G34" s="186"/>
    </row>
    <row r="35" spans="1:7" s="4" customFormat="1" ht="31.5" customHeight="1" x14ac:dyDescent="0.3">
      <c r="A35" s="5"/>
      <c r="B35" s="75"/>
      <c r="C35" s="16" t="s">
        <v>6</v>
      </c>
      <c r="D35" s="8" t="s">
        <v>7</v>
      </c>
      <c r="E35" s="9" t="s">
        <v>20</v>
      </c>
      <c r="F35" s="183"/>
      <c r="G35" s="186"/>
    </row>
    <row r="36" spans="1:7" s="4" customFormat="1" ht="31.5" customHeight="1" thickBot="1" x14ac:dyDescent="0.35">
      <c r="A36" s="5"/>
      <c r="B36" s="75"/>
      <c r="C36" s="20"/>
      <c r="D36" s="21" t="s">
        <v>14</v>
      </c>
      <c r="E36" s="22">
        <v>10</v>
      </c>
      <c r="F36" s="223"/>
      <c r="G36" s="224"/>
    </row>
    <row r="37" spans="1:7" s="4" customFormat="1" ht="31.5" customHeight="1" thickBot="1" x14ac:dyDescent="0.35">
      <c r="A37" s="25"/>
      <c r="B37" s="79"/>
      <c r="C37" s="147"/>
      <c r="D37" s="148"/>
      <c r="E37" s="148"/>
      <c r="F37" s="148"/>
      <c r="G37" s="149"/>
    </row>
    <row r="38" spans="1:7" s="4" customFormat="1" ht="108.75" customHeight="1" thickBot="1" x14ac:dyDescent="0.35">
      <c r="A38" s="1" t="s">
        <v>0</v>
      </c>
      <c r="B38" s="2"/>
      <c r="C38" s="2"/>
      <c r="D38" s="2"/>
      <c r="E38" s="2"/>
      <c r="F38" s="2"/>
      <c r="G38" s="3"/>
    </row>
    <row r="39" spans="1:7" s="4" customFormat="1" ht="31.5" customHeight="1" x14ac:dyDescent="0.3">
      <c r="A39" s="5">
        <v>43962</v>
      </c>
      <c r="B39" s="6" t="s">
        <v>1</v>
      </c>
      <c r="C39" s="150" t="s">
        <v>2</v>
      </c>
      <c r="D39" s="80" t="s">
        <v>5</v>
      </c>
      <c r="E39" s="33">
        <v>200</v>
      </c>
      <c r="F39" s="191"/>
      <c r="G39" s="192"/>
    </row>
    <row r="40" spans="1:7" s="4" customFormat="1" ht="31.5" customHeight="1" x14ac:dyDescent="0.3">
      <c r="A40" s="5"/>
      <c r="B40" s="6"/>
      <c r="C40" s="16" t="s">
        <v>69</v>
      </c>
      <c r="D40" s="43" t="s">
        <v>70</v>
      </c>
      <c r="E40" s="44">
        <v>50</v>
      </c>
      <c r="F40" s="10"/>
      <c r="G40" s="11"/>
    </row>
    <row r="41" spans="1:7" s="4" customFormat="1" ht="31.5" customHeight="1" thickBot="1" x14ac:dyDescent="0.35">
      <c r="A41" s="5"/>
      <c r="B41" s="6"/>
      <c r="C41" s="20"/>
      <c r="D41" s="65" t="s">
        <v>7</v>
      </c>
      <c r="E41" s="66" t="s">
        <v>50</v>
      </c>
      <c r="F41" s="77"/>
      <c r="G41" s="78"/>
    </row>
    <row r="42" spans="1:7" s="4" customFormat="1" ht="32.25" customHeight="1" thickBot="1" x14ac:dyDescent="0.35">
      <c r="A42" s="25"/>
      <c r="B42" s="26"/>
      <c r="C42" s="89" t="s">
        <v>208</v>
      </c>
      <c r="D42" s="90" t="s">
        <v>265</v>
      </c>
      <c r="E42" s="144" t="s">
        <v>210</v>
      </c>
      <c r="F42" s="144" t="s">
        <v>200</v>
      </c>
      <c r="G42" s="222" t="s">
        <v>267</v>
      </c>
    </row>
    <row r="43" spans="1:7" s="4" customFormat="1" ht="32.25" customHeight="1" x14ac:dyDescent="0.3">
      <c r="A43" s="72">
        <v>43963</v>
      </c>
      <c r="B43" s="73" t="s">
        <v>15</v>
      </c>
      <c r="C43" s="114" t="s">
        <v>4</v>
      </c>
      <c r="D43" s="32" t="s">
        <v>5</v>
      </c>
      <c r="E43" s="190">
        <v>80</v>
      </c>
      <c r="F43" s="106"/>
      <c r="G43" s="188"/>
    </row>
    <row r="44" spans="1:7" s="4" customFormat="1" ht="31.5" customHeight="1" x14ac:dyDescent="0.3">
      <c r="A44" s="5"/>
      <c r="B44" s="75"/>
      <c r="C44" s="16" t="s">
        <v>82</v>
      </c>
      <c r="D44" s="61" t="s">
        <v>59</v>
      </c>
      <c r="E44" s="62">
        <v>50</v>
      </c>
      <c r="F44" s="63"/>
      <c r="G44" s="64" t="s">
        <v>362</v>
      </c>
    </row>
    <row r="45" spans="1:7" s="4" customFormat="1" ht="31.5" customHeight="1" x14ac:dyDescent="0.3">
      <c r="A45" s="5"/>
      <c r="B45" s="75"/>
      <c r="C45" s="17"/>
      <c r="D45" s="61" t="s">
        <v>14</v>
      </c>
      <c r="E45" s="62">
        <v>76</v>
      </c>
      <c r="F45" s="63"/>
      <c r="G45" s="64"/>
    </row>
    <row r="46" spans="1:7" s="4" customFormat="1" ht="31.5" customHeight="1" x14ac:dyDescent="0.3">
      <c r="A46" s="5"/>
      <c r="B46" s="75"/>
      <c r="C46" s="17"/>
      <c r="D46" s="61" t="s">
        <v>14</v>
      </c>
      <c r="E46" s="62">
        <v>24</v>
      </c>
      <c r="F46" s="63" t="s">
        <v>367</v>
      </c>
      <c r="G46" s="64"/>
    </row>
    <row r="47" spans="1:7" s="4" customFormat="1" ht="32.25" customHeight="1" x14ac:dyDescent="0.3">
      <c r="A47" s="5"/>
      <c r="B47" s="75"/>
      <c r="C47" s="36"/>
      <c r="D47" s="82" t="s">
        <v>11</v>
      </c>
      <c r="E47" s="9" t="s">
        <v>168</v>
      </c>
      <c r="F47" s="152"/>
      <c r="G47" s="11"/>
    </row>
    <row r="48" spans="1:7" s="4" customFormat="1" ht="32.25" customHeight="1" x14ac:dyDescent="0.3">
      <c r="A48" s="5"/>
      <c r="B48" s="75"/>
      <c r="C48" s="13" t="s">
        <v>92</v>
      </c>
      <c r="D48" s="82" t="s">
        <v>14</v>
      </c>
      <c r="E48" s="9">
        <v>100</v>
      </c>
      <c r="F48" s="152"/>
      <c r="G48" s="38" t="s">
        <v>73</v>
      </c>
    </row>
    <row r="49" spans="1:7" s="4" customFormat="1" ht="32.25" customHeight="1" x14ac:dyDescent="0.3">
      <c r="A49" s="5"/>
      <c r="B49" s="75"/>
      <c r="C49" s="5" t="s">
        <v>43</v>
      </c>
      <c r="D49" s="100" t="s">
        <v>125</v>
      </c>
      <c r="E49" s="15">
        <v>64</v>
      </c>
      <c r="F49" s="106"/>
      <c r="G49" s="188"/>
    </row>
    <row r="50" spans="1:7" s="4" customFormat="1" ht="32.25" customHeight="1" x14ac:dyDescent="0.3">
      <c r="A50" s="5"/>
      <c r="B50" s="75"/>
      <c r="C50" s="5"/>
      <c r="D50" s="14" t="s">
        <v>31</v>
      </c>
      <c r="E50" s="15">
        <v>50</v>
      </c>
      <c r="F50" s="37"/>
      <c r="G50" s="38"/>
    </row>
    <row r="51" spans="1:7" s="4" customFormat="1" ht="32.25" customHeight="1" x14ac:dyDescent="0.3">
      <c r="A51" s="5"/>
      <c r="B51" s="75"/>
      <c r="C51" s="5"/>
      <c r="D51" s="14" t="s">
        <v>29</v>
      </c>
      <c r="E51" s="15">
        <v>40</v>
      </c>
      <c r="F51" s="37"/>
      <c r="G51" s="38"/>
    </row>
    <row r="52" spans="1:7" s="4" customFormat="1" ht="32.25" customHeight="1" x14ac:dyDescent="0.3">
      <c r="A52" s="5"/>
      <c r="B52" s="75"/>
      <c r="C52" s="5"/>
      <c r="D52" s="14" t="s">
        <v>14</v>
      </c>
      <c r="E52" s="15">
        <v>64</v>
      </c>
      <c r="F52" s="37"/>
      <c r="G52" s="38"/>
    </row>
    <row r="53" spans="1:7" s="4" customFormat="1" ht="32.25" customHeight="1" thickBot="1" x14ac:dyDescent="0.35">
      <c r="A53" s="5"/>
      <c r="B53" s="75"/>
      <c r="C53" s="25"/>
      <c r="D53" s="21" t="s">
        <v>44</v>
      </c>
      <c r="E53" s="22">
        <v>40</v>
      </c>
      <c r="F53" s="23"/>
      <c r="G53" s="24"/>
    </row>
    <row r="54" spans="1:7" s="4" customFormat="1" ht="32.25" customHeight="1" thickBot="1" x14ac:dyDescent="0.35">
      <c r="A54" s="25"/>
      <c r="B54" s="79"/>
      <c r="C54" s="143"/>
      <c r="D54" s="90"/>
      <c r="E54" s="144"/>
      <c r="F54" s="144"/>
      <c r="G54" s="222"/>
    </row>
    <row r="55" spans="1:7" s="4" customFormat="1" ht="32.25" customHeight="1" x14ac:dyDescent="0.3">
      <c r="A55" s="5">
        <v>43964</v>
      </c>
      <c r="B55" s="6" t="s">
        <v>21</v>
      </c>
      <c r="C55" s="114" t="s">
        <v>32</v>
      </c>
      <c r="D55" s="32" t="s">
        <v>368</v>
      </c>
      <c r="E55" s="33">
        <v>50</v>
      </c>
      <c r="F55" s="178" t="s">
        <v>369</v>
      </c>
      <c r="G55" s="237"/>
    </row>
    <row r="56" spans="1:7" s="4" customFormat="1" ht="33.75" customHeight="1" x14ac:dyDescent="0.3">
      <c r="A56" s="5"/>
      <c r="B56" s="6"/>
      <c r="C56" s="16" t="s">
        <v>102</v>
      </c>
      <c r="D56" s="8" t="s">
        <v>7</v>
      </c>
      <c r="E56" s="9" t="s">
        <v>50</v>
      </c>
      <c r="F56" s="10"/>
      <c r="G56" s="11"/>
    </row>
    <row r="57" spans="1:7" s="4" customFormat="1" ht="33.75" customHeight="1" thickBot="1" x14ac:dyDescent="0.35">
      <c r="A57" s="5"/>
      <c r="B57" s="6"/>
      <c r="C57" s="20"/>
      <c r="D57" s="193" t="s">
        <v>31</v>
      </c>
      <c r="E57" s="22">
        <v>20</v>
      </c>
      <c r="F57" s="220"/>
      <c r="G57" s="24"/>
    </row>
    <row r="58" spans="1:7" s="4" customFormat="1" ht="32.25" customHeight="1" thickBot="1" x14ac:dyDescent="0.35">
      <c r="A58" s="25"/>
      <c r="B58" s="26"/>
      <c r="C58" s="147"/>
      <c r="D58" s="148"/>
      <c r="E58" s="148"/>
      <c r="F58" s="148"/>
      <c r="G58" s="149"/>
    </row>
    <row r="59" spans="1:7" s="4" customFormat="1" ht="32.25" customHeight="1" x14ac:dyDescent="0.3">
      <c r="A59" s="5">
        <v>43965</v>
      </c>
      <c r="B59" s="75" t="s">
        <v>41</v>
      </c>
      <c r="C59" s="150" t="s">
        <v>16</v>
      </c>
      <c r="D59" s="32" t="s">
        <v>17</v>
      </c>
      <c r="E59" s="33">
        <v>495</v>
      </c>
      <c r="F59" s="34"/>
      <c r="G59" s="11"/>
    </row>
    <row r="60" spans="1:7" s="4" customFormat="1" ht="32.25" customHeight="1" thickBot="1" x14ac:dyDescent="0.35">
      <c r="A60" s="5"/>
      <c r="B60" s="75"/>
      <c r="C60" s="76" t="s">
        <v>61</v>
      </c>
      <c r="D60" s="21" t="s">
        <v>25</v>
      </c>
      <c r="E60" s="22">
        <v>100</v>
      </c>
      <c r="F60" s="262"/>
      <c r="G60" s="224" t="s">
        <v>362</v>
      </c>
    </row>
    <row r="61" spans="1:7" s="4" customFormat="1" ht="32.25" customHeight="1" thickBot="1" x14ac:dyDescent="0.35">
      <c r="A61" s="25"/>
      <c r="B61" s="79"/>
      <c r="C61" s="89" t="s">
        <v>37</v>
      </c>
      <c r="D61" s="90" t="s">
        <v>265</v>
      </c>
      <c r="E61" s="144" t="s">
        <v>121</v>
      </c>
      <c r="F61" s="144" t="s">
        <v>200</v>
      </c>
      <c r="G61" s="222" t="s">
        <v>267</v>
      </c>
    </row>
    <row r="62" spans="1:7" s="4" customFormat="1" ht="32.25" customHeight="1" x14ac:dyDescent="0.3">
      <c r="A62" s="5">
        <v>43966</v>
      </c>
      <c r="B62" s="75" t="s">
        <v>55</v>
      </c>
      <c r="C62" s="72" t="s">
        <v>181</v>
      </c>
      <c r="D62" s="80" t="s">
        <v>142</v>
      </c>
      <c r="E62" s="33" t="s">
        <v>64</v>
      </c>
      <c r="F62" s="129" t="s">
        <v>370</v>
      </c>
      <c r="G62" s="35" t="s">
        <v>73</v>
      </c>
    </row>
    <row r="63" spans="1:7" s="4" customFormat="1" ht="32.25" customHeight="1" x14ac:dyDescent="0.3">
      <c r="A63" s="5"/>
      <c r="B63" s="75"/>
      <c r="C63" s="84"/>
      <c r="D63" s="100" t="s">
        <v>142</v>
      </c>
      <c r="E63" s="15" t="s">
        <v>371</v>
      </c>
      <c r="F63" s="106"/>
      <c r="G63" s="188"/>
    </row>
    <row r="64" spans="1:7" s="4" customFormat="1" ht="32.25" customHeight="1" x14ac:dyDescent="0.3">
      <c r="A64" s="5"/>
      <c r="B64" s="75"/>
      <c r="C64" s="16" t="s">
        <v>22</v>
      </c>
      <c r="D64" s="95" t="s">
        <v>23</v>
      </c>
      <c r="E64" s="96">
        <v>50</v>
      </c>
      <c r="F64" s="74" t="s">
        <v>94</v>
      </c>
      <c r="G64" s="185"/>
    </row>
    <row r="65" spans="1:7" s="4" customFormat="1" ht="32.25" customHeight="1" x14ac:dyDescent="0.3">
      <c r="A65" s="5"/>
      <c r="B65" s="75"/>
      <c r="C65" s="36"/>
      <c r="D65" s="82" t="s">
        <v>7</v>
      </c>
      <c r="E65" s="9" t="s">
        <v>12</v>
      </c>
      <c r="F65" s="152" t="s">
        <v>372</v>
      </c>
      <c r="G65" s="11"/>
    </row>
    <row r="66" spans="1:7" s="4" customFormat="1" ht="33.75" customHeight="1" x14ac:dyDescent="0.3">
      <c r="A66" s="5"/>
      <c r="B66" s="75"/>
      <c r="C66" s="13" t="s">
        <v>95</v>
      </c>
      <c r="D66" s="82" t="s">
        <v>57</v>
      </c>
      <c r="E66" s="9">
        <v>100</v>
      </c>
      <c r="F66" s="131"/>
      <c r="G66" s="11" t="s">
        <v>257</v>
      </c>
    </row>
    <row r="67" spans="1:7" s="4" customFormat="1" ht="32.25" customHeight="1" thickBot="1" x14ac:dyDescent="0.35">
      <c r="A67" s="5"/>
      <c r="B67" s="75"/>
      <c r="C67" s="158" t="s">
        <v>19</v>
      </c>
      <c r="D67" s="14" t="s">
        <v>373</v>
      </c>
      <c r="E67" s="9"/>
      <c r="F67" s="152"/>
      <c r="G67" s="11" t="s">
        <v>374</v>
      </c>
    </row>
    <row r="68" spans="1:7" s="4" customFormat="1" ht="32.25" customHeight="1" thickBot="1" x14ac:dyDescent="0.35">
      <c r="A68" s="25"/>
      <c r="B68" s="79"/>
      <c r="C68" s="27"/>
      <c r="D68" s="28"/>
      <c r="E68" s="29"/>
      <c r="F68" s="29"/>
      <c r="G68" s="30"/>
    </row>
    <row r="69" spans="1:7" s="4" customFormat="1" ht="108.75" customHeight="1" thickBot="1" x14ac:dyDescent="0.35">
      <c r="A69" s="1" t="s">
        <v>0</v>
      </c>
      <c r="B69" s="2"/>
      <c r="C69" s="2"/>
      <c r="D69" s="2"/>
      <c r="E69" s="2"/>
      <c r="F69" s="2"/>
      <c r="G69" s="3"/>
    </row>
    <row r="70" spans="1:7" s="4" customFormat="1" ht="32.25" customHeight="1" x14ac:dyDescent="0.3">
      <c r="A70" s="72">
        <v>43969</v>
      </c>
      <c r="B70" s="99" t="s">
        <v>1</v>
      </c>
      <c r="C70" s="31" t="s">
        <v>107</v>
      </c>
      <c r="D70" s="32" t="s">
        <v>11</v>
      </c>
      <c r="E70" s="33" t="s">
        <v>375</v>
      </c>
      <c r="F70" s="178"/>
      <c r="G70" s="237"/>
    </row>
    <row r="71" spans="1:7" s="4" customFormat="1" ht="32.25" customHeight="1" x14ac:dyDescent="0.3">
      <c r="A71" s="5"/>
      <c r="B71" s="6"/>
      <c r="C71" s="17"/>
      <c r="D71" s="14" t="s">
        <v>7</v>
      </c>
      <c r="E71" s="15" t="s">
        <v>35</v>
      </c>
      <c r="F71" s="180"/>
      <c r="G71" s="263"/>
    </row>
    <row r="72" spans="1:7" s="4" customFormat="1" ht="32.25" customHeight="1" x14ac:dyDescent="0.3">
      <c r="A72" s="5"/>
      <c r="B72" s="6"/>
      <c r="C72" s="17"/>
      <c r="D72" s="14" t="s">
        <v>9</v>
      </c>
      <c r="E72" s="15" t="s">
        <v>50</v>
      </c>
      <c r="F72" s="180"/>
      <c r="G72" s="263"/>
    </row>
    <row r="73" spans="1:7" s="4" customFormat="1" ht="32.25" customHeight="1" x14ac:dyDescent="0.3">
      <c r="A73" s="5"/>
      <c r="B73" s="6"/>
      <c r="C73" s="17"/>
      <c r="D73" s="14" t="s">
        <v>49</v>
      </c>
      <c r="E73" s="15" t="s">
        <v>62</v>
      </c>
      <c r="F73" s="180"/>
      <c r="G73" s="263"/>
    </row>
    <row r="74" spans="1:7" s="4" customFormat="1" ht="32.25" customHeight="1" thickBot="1" x14ac:dyDescent="0.35">
      <c r="A74" s="5"/>
      <c r="B74" s="6"/>
      <c r="C74" s="20"/>
      <c r="D74" s="161" t="s">
        <v>53</v>
      </c>
      <c r="E74" s="22" t="s">
        <v>62</v>
      </c>
      <c r="F74" s="223"/>
      <c r="G74" s="224"/>
    </row>
    <row r="75" spans="1:7" s="4" customFormat="1" ht="33.75" customHeight="1" thickBot="1" x14ac:dyDescent="0.35">
      <c r="A75" s="5"/>
      <c r="B75" s="6"/>
      <c r="C75" s="109"/>
      <c r="D75" s="110"/>
      <c r="E75" s="111"/>
      <c r="F75" s="112"/>
      <c r="G75" s="113"/>
    </row>
    <row r="76" spans="1:7" s="4" customFormat="1" ht="32.25" customHeight="1" x14ac:dyDescent="0.3">
      <c r="A76" s="72">
        <v>43970</v>
      </c>
      <c r="B76" s="99" t="s">
        <v>15</v>
      </c>
      <c r="C76" s="72" t="s">
        <v>16</v>
      </c>
      <c r="D76" s="82" t="s">
        <v>17</v>
      </c>
      <c r="E76" s="9">
        <v>321</v>
      </c>
      <c r="F76" s="152"/>
      <c r="G76" s="64"/>
    </row>
    <row r="77" spans="1:7" s="4" customFormat="1" ht="32.25" customHeight="1" thickBot="1" x14ac:dyDescent="0.35">
      <c r="A77" s="5"/>
      <c r="B77" s="6"/>
      <c r="C77" s="84"/>
      <c r="D77" s="108" t="s">
        <v>75</v>
      </c>
      <c r="E77" s="22">
        <v>100</v>
      </c>
      <c r="F77" s="177"/>
      <c r="G77" s="264"/>
    </row>
    <row r="78" spans="1:7" s="4" customFormat="1" ht="33.75" customHeight="1" thickBot="1" x14ac:dyDescent="0.35">
      <c r="A78" s="25"/>
      <c r="B78" s="26"/>
      <c r="C78" s="27"/>
      <c r="D78" s="90"/>
      <c r="E78" s="144"/>
      <c r="F78" s="144"/>
      <c r="G78" s="222"/>
    </row>
    <row r="79" spans="1:7" s="4" customFormat="1" ht="33.75" customHeight="1" x14ac:dyDescent="0.3">
      <c r="A79" s="5">
        <v>43971</v>
      </c>
      <c r="B79" s="6" t="s">
        <v>21</v>
      </c>
      <c r="C79" s="31" t="s">
        <v>74</v>
      </c>
      <c r="D79" s="14" t="s">
        <v>13</v>
      </c>
      <c r="E79" s="15">
        <v>100</v>
      </c>
      <c r="F79" s="37"/>
      <c r="G79" s="38"/>
    </row>
    <row r="80" spans="1:7" s="4" customFormat="1" ht="33.75" customHeight="1" x14ac:dyDescent="0.3">
      <c r="A80" s="5"/>
      <c r="B80" s="6"/>
      <c r="C80" s="17"/>
      <c r="D80" s="14" t="s">
        <v>7</v>
      </c>
      <c r="E80" s="15" t="s">
        <v>376</v>
      </c>
      <c r="F80" s="37"/>
      <c r="G80" s="38"/>
    </row>
    <row r="81" spans="1:7" s="4" customFormat="1" ht="33.75" customHeight="1" x14ac:dyDescent="0.3">
      <c r="A81" s="5"/>
      <c r="B81" s="6"/>
      <c r="C81" s="17"/>
      <c r="D81" s="14" t="s">
        <v>99</v>
      </c>
      <c r="E81" s="15" t="s">
        <v>62</v>
      </c>
      <c r="F81" s="37"/>
      <c r="G81" s="38"/>
    </row>
    <row r="82" spans="1:7" s="4" customFormat="1" ht="33.75" customHeight="1" x14ac:dyDescent="0.3">
      <c r="A82" s="5"/>
      <c r="B82" s="6"/>
      <c r="C82" s="36"/>
      <c r="D82" s="14" t="s">
        <v>11</v>
      </c>
      <c r="E82" s="15" t="s">
        <v>35</v>
      </c>
      <c r="F82" s="37"/>
      <c r="G82" s="38"/>
    </row>
    <row r="83" spans="1:7" s="4" customFormat="1" ht="33.75" customHeight="1" x14ac:dyDescent="0.3">
      <c r="A83" s="5"/>
      <c r="B83" s="6"/>
      <c r="C83" s="87" t="s">
        <v>69</v>
      </c>
      <c r="D83" s="8" t="s">
        <v>70</v>
      </c>
      <c r="E83" s="9">
        <v>100</v>
      </c>
      <c r="F83" s="10" t="s">
        <v>351</v>
      </c>
      <c r="G83" s="11" t="s">
        <v>73</v>
      </c>
    </row>
    <row r="84" spans="1:7" s="4" customFormat="1" ht="33.75" customHeight="1" x14ac:dyDescent="0.3">
      <c r="A84" s="5"/>
      <c r="B84" s="6"/>
      <c r="C84" s="16" t="s">
        <v>6</v>
      </c>
      <c r="D84" s="14" t="s">
        <v>11</v>
      </c>
      <c r="E84" s="9" t="s">
        <v>50</v>
      </c>
      <c r="F84" s="10"/>
      <c r="G84" s="11"/>
    </row>
    <row r="85" spans="1:7" s="4" customFormat="1" ht="33.75" customHeight="1" x14ac:dyDescent="0.3">
      <c r="A85" s="5"/>
      <c r="B85" s="6"/>
      <c r="C85" s="36"/>
      <c r="D85" s="14" t="s">
        <v>13</v>
      </c>
      <c r="E85" s="9">
        <v>50</v>
      </c>
      <c r="F85" s="10" t="s">
        <v>377</v>
      </c>
      <c r="G85" s="11"/>
    </row>
    <row r="86" spans="1:7" s="4" customFormat="1" ht="33.75" customHeight="1" x14ac:dyDescent="0.3">
      <c r="A86" s="5"/>
      <c r="B86" s="6"/>
      <c r="C86" s="16" t="s">
        <v>78</v>
      </c>
      <c r="D86" s="14" t="s">
        <v>378</v>
      </c>
      <c r="E86" s="9" t="s">
        <v>50</v>
      </c>
      <c r="F86" s="10"/>
      <c r="G86" s="11"/>
    </row>
    <row r="87" spans="1:7" s="4" customFormat="1" ht="33.75" customHeight="1" thickBot="1" x14ac:dyDescent="0.35">
      <c r="A87" s="5"/>
      <c r="B87" s="6"/>
      <c r="C87" s="20"/>
      <c r="D87" s="108" t="s">
        <v>379</v>
      </c>
      <c r="E87" s="22" t="s">
        <v>10</v>
      </c>
      <c r="F87" s="77"/>
      <c r="G87" s="78"/>
    </row>
    <row r="88" spans="1:7" s="4" customFormat="1" ht="33.75" customHeight="1" thickBot="1" x14ac:dyDescent="0.35">
      <c r="A88" s="25"/>
      <c r="B88" s="26"/>
      <c r="C88" s="89"/>
      <c r="D88" s="90"/>
      <c r="E88" s="144"/>
      <c r="F88" s="144"/>
      <c r="G88" s="222"/>
    </row>
    <row r="89" spans="1:7" s="4" customFormat="1" ht="32.25" customHeight="1" x14ac:dyDescent="0.3">
      <c r="A89" s="5">
        <v>43972</v>
      </c>
      <c r="B89" s="6" t="s">
        <v>41</v>
      </c>
      <c r="C89" s="87" t="s">
        <v>16</v>
      </c>
      <c r="D89" s="8" t="s">
        <v>17</v>
      </c>
      <c r="E89" s="9">
        <v>329</v>
      </c>
      <c r="F89" s="180"/>
      <c r="G89" s="263"/>
    </row>
    <row r="90" spans="1:7" s="4" customFormat="1" ht="32.25" customHeight="1" x14ac:dyDescent="0.3">
      <c r="A90" s="5"/>
      <c r="B90" s="6"/>
      <c r="C90" s="97" t="s">
        <v>82</v>
      </c>
      <c r="D90" s="8" t="s">
        <v>58</v>
      </c>
      <c r="E90" s="9">
        <v>10</v>
      </c>
      <c r="F90" s="10"/>
      <c r="G90" s="11"/>
    </row>
    <row r="91" spans="1:7" s="4" customFormat="1" ht="32.25" customHeight="1" x14ac:dyDescent="0.3">
      <c r="A91" s="5"/>
      <c r="B91" s="6"/>
      <c r="C91" s="5"/>
      <c r="D91" s="95" t="s">
        <v>286</v>
      </c>
      <c r="E91" s="96">
        <v>20</v>
      </c>
      <c r="F91" s="63"/>
      <c r="G91" s="64"/>
    </row>
    <row r="92" spans="1:7" s="4" customFormat="1" ht="32.25" customHeight="1" x14ac:dyDescent="0.3">
      <c r="A92" s="5"/>
      <c r="B92" s="6"/>
      <c r="C92" s="5"/>
      <c r="D92" s="95" t="s">
        <v>59</v>
      </c>
      <c r="E92" s="96">
        <v>50</v>
      </c>
      <c r="F92" s="63"/>
      <c r="G92" s="64"/>
    </row>
    <row r="93" spans="1:7" s="4" customFormat="1" ht="32.25" customHeight="1" thickBot="1" x14ac:dyDescent="0.35">
      <c r="A93" s="5"/>
      <c r="B93" s="6"/>
      <c r="C93" s="25"/>
      <c r="D93" s="21" t="s">
        <v>14</v>
      </c>
      <c r="E93" s="22">
        <v>20</v>
      </c>
      <c r="F93" s="77"/>
      <c r="G93" s="78"/>
    </row>
    <row r="94" spans="1:7" s="4" customFormat="1" ht="33.75" customHeight="1" thickBot="1" x14ac:dyDescent="0.35">
      <c r="A94" s="25"/>
      <c r="B94" s="26"/>
      <c r="C94" s="89" t="s">
        <v>66</v>
      </c>
      <c r="D94" s="90" t="s">
        <v>265</v>
      </c>
      <c r="E94" s="144" t="s">
        <v>380</v>
      </c>
      <c r="F94" s="144" t="s">
        <v>342</v>
      </c>
      <c r="G94" s="222" t="s">
        <v>267</v>
      </c>
    </row>
    <row r="95" spans="1:7" s="4" customFormat="1" ht="33.75" customHeight="1" x14ac:dyDescent="0.3">
      <c r="A95" s="5">
        <v>43973</v>
      </c>
      <c r="B95" s="6" t="s">
        <v>55</v>
      </c>
      <c r="C95" s="101" t="s">
        <v>176</v>
      </c>
      <c r="D95" s="100" t="s">
        <v>86</v>
      </c>
      <c r="E95" s="15">
        <v>100</v>
      </c>
      <c r="F95" s="34"/>
      <c r="G95" s="35"/>
    </row>
    <row r="96" spans="1:7" s="4" customFormat="1" ht="33.75" customHeight="1" x14ac:dyDescent="0.3">
      <c r="A96" s="5"/>
      <c r="B96" s="6"/>
      <c r="C96" s="87" t="s">
        <v>78</v>
      </c>
      <c r="D96" s="82" t="s">
        <v>44</v>
      </c>
      <c r="E96" s="9">
        <v>20</v>
      </c>
      <c r="F96" s="37"/>
      <c r="G96" s="11"/>
    </row>
    <row r="97" spans="1:7" s="4" customFormat="1" ht="33.75" customHeight="1" x14ac:dyDescent="0.3">
      <c r="A97" s="5"/>
      <c r="B97" s="6"/>
      <c r="C97" s="101"/>
      <c r="D97" s="100"/>
      <c r="E97" s="15"/>
      <c r="F97" s="10"/>
      <c r="G97" s="11"/>
    </row>
    <row r="98" spans="1:7" s="4" customFormat="1" ht="33.75" customHeight="1" thickBot="1" x14ac:dyDescent="0.35">
      <c r="A98" s="5"/>
      <c r="B98" s="6"/>
      <c r="C98" s="157"/>
      <c r="D98" s="108"/>
      <c r="E98" s="22"/>
      <c r="F98" s="77"/>
      <c r="G98" s="78"/>
    </row>
    <row r="99" spans="1:7" s="4" customFormat="1" ht="33.75" customHeight="1" thickBot="1" x14ac:dyDescent="0.35">
      <c r="A99" s="25"/>
      <c r="B99" s="26"/>
      <c r="C99" s="89" t="s">
        <v>208</v>
      </c>
      <c r="D99" s="90" t="s">
        <v>265</v>
      </c>
      <c r="E99" s="144" t="s">
        <v>354</v>
      </c>
      <c r="F99" s="144" t="s">
        <v>200</v>
      </c>
      <c r="G99" s="222" t="s">
        <v>267</v>
      </c>
    </row>
    <row r="100" spans="1:7" s="4" customFormat="1" ht="108.75" customHeight="1" thickBot="1" x14ac:dyDescent="0.35">
      <c r="A100" s="1" t="s">
        <v>0</v>
      </c>
      <c r="B100" s="2"/>
      <c r="C100" s="2"/>
      <c r="D100" s="2"/>
      <c r="E100" s="2"/>
      <c r="F100" s="2"/>
      <c r="G100" s="3"/>
    </row>
    <row r="101" spans="1:7" s="4" customFormat="1" ht="33.75" customHeight="1" x14ac:dyDescent="0.3">
      <c r="A101" s="72">
        <v>43976</v>
      </c>
      <c r="B101" s="99" t="s">
        <v>1</v>
      </c>
      <c r="C101" s="7" t="s">
        <v>102</v>
      </c>
      <c r="D101" s="14" t="s">
        <v>212</v>
      </c>
      <c r="E101" s="15">
        <v>50</v>
      </c>
      <c r="F101" s="81"/>
      <c r="G101" s="11"/>
    </row>
    <row r="102" spans="1:7" s="4" customFormat="1" ht="33.75" customHeight="1" x14ac:dyDescent="0.3">
      <c r="A102" s="5"/>
      <c r="B102" s="6"/>
      <c r="C102" s="101" t="s">
        <v>107</v>
      </c>
      <c r="D102" s="100" t="s">
        <v>13</v>
      </c>
      <c r="E102" s="15">
        <v>200</v>
      </c>
      <c r="F102" s="265"/>
      <c r="G102" s="11"/>
    </row>
    <row r="103" spans="1:7" s="4" customFormat="1" ht="33.75" customHeight="1" x14ac:dyDescent="0.3">
      <c r="A103" s="5"/>
      <c r="B103" s="6"/>
      <c r="C103" s="151" t="s">
        <v>82</v>
      </c>
      <c r="D103" s="100" t="s">
        <v>84</v>
      </c>
      <c r="E103" s="19">
        <v>48</v>
      </c>
      <c r="F103" s="266"/>
      <c r="G103" s="64"/>
    </row>
    <row r="104" spans="1:7" s="4" customFormat="1" ht="33.75" customHeight="1" x14ac:dyDescent="0.3">
      <c r="A104" s="5"/>
      <c r="B104" s="6"/>
      <c r="C104" s="16" t="s">
        <v>6</v>
      </c>
      <c r="D104" s="8" t="s">
        <v>9</v>
      </c>
      <c r="E104" s="96" t="s">
        <v>10</v>
      </c>
      <c r="F104" s="267"/>
      <c r="G104" s="64"/>
    </row>
    <row r="105" spans="1:7" s="4" customFormat="1" ht="33.75" customHeight="1" x14ac:dyDescent="0.3">
      <c r="A105" s="5"/>
      <c r="B105" s="6"/>
      <c r="C105" s="17"/>
      <c r="D105" s="95" t="s">
        <v>7</v>
      </c>
      <c r="E105" s="96" t="s">
        <v>12</v>
      </c>
      <c r="F105" s="267"/>
      <c r="G105" s="64"/>
    </row>
    <row r="106" spans="1:7" s="4" customFormat="1" ht="33.75" customHeight="1" thickBot="1" x14ac:dyDescent="0.35">
      <c r="A106" s="5"/>
      <c r="B106" s="6"/>
      <c r="C106" s="20"/>
      <c r="D106" s="108" t="s">
        <v>3</v>
      </c>
      <c r="E106" s="22">
        <v>15</v>
      </c>
      <c r="F106" s="268"/>
      <c r="G106" s="78"/>
    </row>
    <row r="107" spans="1:7" s="4" customFormat="1" ht="33.75" customHeight="1" thickBot="1" x14ac:dyDescent="0.35">
      <c r="A107" s="25"/>
      <c r="B107" s="26"/>
      <c r="C107" s="89"/>
      <c r="D107" s="90"/>
      <c r="E107" s="144"/>
      <c r="F107" s="144"/>
      <c r="G107" s="222"/>
    </row>
    <row r="108" spans="1:7" s="4" customFormat="1" ht="33.75" customHeight="1" x14ac:dyDescent="0.3">
      <c r="A108" s="72">
        <v>43977</v>
      </c>
      <c r="B108" s="99" t="s">
        <v>15</v>
      </c>
      <c r="C108" s="114" t="s">
        <v>74</v>
      </c>
      <c r="D108" s="32" t="s">
        <v>99</v>
      </c>
      <c r="E108" s="33" t="s">
        <v>64</v>
      </c>
      <c r="F108" s="37" t="s">
        <v>381</v>
      </c>
      <c r="G108" s="38"/>
    </row>
    <row r="109" spans="1:7" s="4" customFormat="1" ht="33.75" customHeight="1" x14ac:dyDescent="0.3">
      <c r="A109" s="5"/>
      <c r="B109" s="6"/>
      <c r="C109" s="17" t="s">
        <v>43</v>
      </c>
      <c r="D109" s="14" t="s">
        <v>44</v>
      </c>
      <c r="E109" s="15">
        <v>40</v>
      </c>
      <c r="F109" s="63"/>
      <c r="G109" s="64"/>
    </row>
    <row r="110" spans="1:7" s="4" customFormat="1" ht="33.75" customHeight="1" x14ac:dyDescent="0.3">
      <c r="A110" s="5"/>
      <c r="B110" s="6"/>
      <c r="C110" s="17"/>
      <c r="D110" s="14" t="s">
        <v>59</v>
      </c>
      <c r="E110" s="15">
        <v>64</v>
      </c>
      <c r="F110" s="63"/>
      <c r="G110" s="64"/>
    </row>
    <row r="111" spans="1:7" s="4" customFormat="1" ht="33.75" customHeight="1" x14ac:dyDescent="0.3">
      <c r="A111" s="5"/>
      <c r="B111" s="6"/>
      <c r="C111" s="17"/>
      <c r="D111" s="14" t="s">
        <v>29</v>
      </c>
      <c r="E111" s="15">
        <v>80</v>
      </c>
      <c r="F111" s="63"/>
      <c r="G111" s="64"/>
    </row>
    <row r="112" spans="1:7" s="4" customFormat="1" ht="33.75" customHeight="1" x14ac:dyDescent="0.3">
      <c r="A112" s="5"/>
      <c r="B112" s="6"/>
      <c r="C112" s="36"/>
      <c r="D112" s="8" t="s">
        <v>14</v>
      </c>
      <c r="E112" s="9">
        <v>64</v>
      </c>
      <c r="F112" s="10"/>
      <c r="G112" s="11"/>
    </row>
    <row r="113" spans="1:7" s="4" customFormat="1" ht="33.75" customHeight="1" thickBot="1" x14ac:dyDescent="0.35">
      <c r="A113" s="5"/>
      <c r="B113" s="6"/>
      <c r="C113" s="213" t="s">
        <v>117</v>
      </c>
      <c r="D113" s="193" t="s">
        <v>5</v>
      </c>
      <c r="E113" s="9">
        <v>200</v>
      </c>
      <c r="F113" s="220"/>
      <c r="G113" s="24" t="s">
        <v>301</v>
      </c>
    </row>
    <row r="114" spans="1:7" s="4" customFormat="1" ht="33.75" customHeight="1" thickBot="1" x14ac:dyDescent="0.35">
      <c r="A114" s="25"/>
      <c r="B114" s="26"/>
      <c r="C114" s="89" t="s">
        <v>112</v>
      </c>
      <c r="D114" s="90" t="s">
        <v>265</v>
      </c>
      <c r="E114" s="144" t="s">
        <v>288</v>
      </c>
      <c r="F114" s="144" t="s">
        <v>200</v>
      </c>
      <c r="G114" s="222" t="s">
        <v>276</v>
      </c>
    </row>
    <row r="115" spans="1:7" s="4" customFormat="1" ht="33.75" customHeight="1" x14ac:dyDescent="0.3">
      <c r="A115" s="72">
        <v>43978</v>
      </c>
      <c r="B115" s="99" t="s">
        <v>21</v>
      </c>
      <c r="C115" s="114" t="s">
        <v>61</v>
      </c>
      <c r="D115" s="32" t="s">
        <v>25</v>
      </c>
      <c r="E115" s="33">
        <v>100</v>
      </c>
      <c r="F115" s="34"/>
      <c r="G115" s="35"/>
    </row>
    <row r="116" spans="1:7" s="4" customFormat="1" ht="33.75" customHeight="1" x14ac:dyDescent="0.3">
      <c r="A116" s="5"/>
      <c r="B116" s="6"/>
      <c r="C116" s="16" t="s">
        <v>82</v>
      </c>
      <c r="D116" s="8" t="s">
        <v>59</v>
      </c>
      <c r="E116" s="9">
        <v>50</v>
      </c>
      <c r="F116" s="10"/>
      <c r="G116" s="11"/>
    </row>
    <row r="117" spans="1:7" s="4" customFormat="1" ht="33.75" customHeight="1" x14ac:dyDescent="0.3">
      <c r="A117" s="5"/>
      <c r="B117" s="6"/>
      <c r="C117" s="17"/>
      <c r="D117" s="8" t="s">
        <v>7</v>
      </c>
      <c r="E117" s="9" t="s">
        <v>12</v>
      </c>
      <c r="F117" s="10"/>
      <c r="G117" s="11"/>
    </row>
    <row r="118" spans="1:7" s="4" customFormat="1" ht="33.75" customHeight="1" x14ac:dyDescent="0.3">
      <c r="A118" s="5"/>
      <c r="B118" s="6"/>
      <c r="C118" s="36"/>
      <c r="D118" s="8" t="s">
        <v>11</v>
      </c>
      <c r="E118" s="9" t="s">
        <v>220</v>
      </c>
      <c r="F118" s="10"/>
      <c r="G118" s="11"/>
    </row>
    <row r="119" spans="1:7" s="4" customFormat="1" ht="33.75" customHeight="1" x14ac:dyDescent="0.3">
      <c r="A119" s="5"/>
      <c r="B119" s="6"/>
      <c r="C119" s="16" t="s">
        <v>74</v>
      </c>
      <c r="D119" s="8" t="s">
        <v>13</v>
      </c>
      <c r="E119" s="9">
        <v>168</v>
      </c>
      <c r="F119" s="10" t="s">
        <v>145</v>
      </c>
      <c r="G119" s="11"/>
    </row>
    <row r="120" spans="1:7" s="4" customFormat="1" ht="33.75" customHeight="1" x14ac:dyDescent="0.3">
      <c r="A120" s="5"/>
      <c r="B120" s="6"/>
      <c r="C120" s="17"/>
      <c r="D120" s="18" t="s">
        <v>7</v>
      </c>
      <c r="E120" s="19" t="s">
        <v>10</v>
      </c>
      <c r="F120" s="47"/>
      <c r="G120" s="48"/>
    </row>
    <row r="121" spans="1:7" s="4" customFormat="1" ht="33.75" customHeight="1" thickBot="1" x14ac:dyDescent="0.35">
      <c r="A121" s="5"/>
      <c r="B121" s="6"/>
      <c r="C121" s="20"/>
      <c r="D121" s="21" t="s">
        <v>108</v>
      </c>
      <c r="E121" s="22" t="s">
        <v>64</v>
      </c>
      <c r="F121" s="77"/>
      <c r="G121" s="78"/>
    </row>
    <row r="122" spans="1:7" s="4" customFormat="1" ht="33.75" customHeight="1" thickBot="1" x14ac:dyDescent="0.35">
      <c r="A122" s="25"/>
      <c r="B122" s="26"/>
      <c r="C122" s="89"/>
      <c r="D122" s="90"/>
      <c r="E122" s="144"/>
      <c r="F122" s="144"/>
      <c r="G122" s="222"/>
    </row>
    <row r="123" spans="1:7" s="4" customFormat="1" ht="33.75" customHeight="1" x14ac:dyDescent="0.3">
      <c r="A123" s="72">
        <v>43979</v>
      </c>
      <c r="B123" s="99" t="s">
        <v>41</v>
      </c>
      <c r="C123" s="31" t="s">
        <v>16</v>
      </c>
      <c r="D123" s="32" t="s">
        <v>17</v>
      </c>
      <c r="E123" s="33">
        <v>406</v>
      </c>
      <c r="F123" s="178"/>
      <c r="G123" s="237"/>
    </row>
    <row r="124" spans="1:7" s="4" customFormat="1" ht="33.75" customHeight="1" x14ac:dyDescent="0.3">
      <c r="A124" s="5"/>
      <c r="B124" s="6"/>
      <c r="C124" s="36"/>
      <c r="D124" s="14" t="s">
        <v>75</v>
      </c>
      <c r="E124" s="15">
        <v>100</v>
      </c>
      <c r="F124" s="180"/>
      <c r="G124" s="263"/>
    </row>
    <row r="125" spans="1:7" s="4" customFormat="1" ht="33.75" customHeight="1" x14ac:dyDescent="0.3">
      <c r="A125" s="5"/>
      <c r="B125" s="6"/>
      <c r="C125" s="16" t="s">
        <v>61</v>
      </c>
      <c r="D125" s="8" t="s">
        <v>14</v>
      </c>
      <c r="E125" s="9">
        <v>25</v>
      </c>
      <c r="F125" s="269"/>
      <c r="G125" s="186"/>
    </row>
    <row r="126" spans="1:7" s="4" customFormat="1" ht="33.75" customHeight="1" x14ac:dyDescent="0.3">
      <c r="A126" s="5"/>
      <c r="B126" s="6"/>
      <c r="C126" s="17"/>
      <c r="D126" s="18" t="s">
        <v>59</v>
      </c>
      <c r="E126" s="19">
        <v>25</v>
      </c>
      <c r="F126" s="270"/>
      <c r="G126" s="271"/>
    </row>
    <row r="127" spans="1:7" s="4" customFormat="1" ht="33.75" customHeight="1" thickBot="1" x14ac:dyDescent="0.35">
      <c r="A127" s="5"/>
      <c r="B127" s="6"/>
      <c r="C127" s="20"/>
      <c r="D127" s="108" t="s">
        <v>25</v>
      </c>
      <c r="E127" s="22">
        <v>50</v>
      </c>
      <c r="F127" s="225"/>
      <c r="G127" s="78"/>
    </row>
    <row r="128" spans="1:7" s="4" customFormat="1" ht="33.75" customHeight="1" thickBot="1" x14ac:dyDescent="0.35">
      <c r="A128" s="25"/>
      <c r="B128" s="26"/>
      <c r="C128" s="147"/>
      <c r="D128" s="148"/>
      <c r="E128" s="148"/>
      <c r="F128" s="148"/>
      <c r="G128" s="149"/>
    </row>
    <row r="129" spans="1:7" s="4" customFormat="1" ht="33.75" customHeight="1" x14ac:dyDescent="0.3">
      <c r="A129" s="72">
        <v>43980</v>
      </c>
      <c r="B129" s="99" t="s">
        <v>55</v>
      </c>
      <c r="C129" s="31" t="s">
        <v>16</v>
      </c>
      <c r="D129" s="32" t="s">
        <v>17</v>
      </c>
      <c r="E129" s="33">
        <v>210</v>
      </c>
      <c r="F129" s="178"/>
      <c r="G129" s="237"/>
    </row>
    <row r="130" spans="1:7" s="4" customFormat="1" ht="33.75" customHeight="1" x14ac:dyDescent="0.3">
      <c r="A130" s="5"/>
      <c r="B130" s="6"/>
      <c r="C130" s="17"/>
      <c r="D130" s="14" t="s">
        <v>18</v>
      </c>
      <c r="E130" s="15">
        <v>37</v>
      </c>
      <c r="F130" s="180"/>
      <c r="G130" s="263"/>
    </row>
    <row r="131" spans="1:7" s="4" customFormat="1" ht="33.75" customHeight="1" x14ac:dyDescent="0.3">
      <c r="A131" s="5"/>
      <c r="B131" s="6"/>
      <c r="C131" s="36"/>
      <c r="D131" s="8" t="s">
        <v>75</v>
      </c>
      <c r="E131" s="9">
        <v>100</v>
      </c>
      <c r="F131" s="183"/>
      <c r="G131" s="186"/>
    </row>
    <row r="132" spans="1:7" s="4" customFormat="1" ht="33.75" customHeight="1" thickBot="1" x14ac:dyDescent="0.35">
      <c r="A132" s="5"/>
      <c r="B132" s="6"/>
      <c r="C132" s="107" t="s">
        <v>382</v>
      </c>
      <c r="D132" s="108"/>
      <c r="E132" s="22"/>
      <c r="F132" s="225"/>
      <c r="G132" s="78"/>
    </row>
    <row r="133" spans="1:7" s="4" customFormat="1" ht="33.75" customHeight="1" thickBot="1" x14ac:dyDescent="0.35">
      <c r="A133" s="25"/>
      <c r="B133" s="26"/>
      <c r="C133" s="147"/>
      <c r="D133" s="148"/>
      <c r="E133" s="148"/>
      <c r="F133" s="148"/>
      <c r="G133" s="149"/>
    </row>
  </sheetData>
  <mergeCells count="71">
    <mergeCell ref="A123:A128"/>
    <mergeCell ref="B123:B128"/>
    <mergeCell ref="C123:C124"/>
    <mergeCell ref="C125:C127"/>
    <mergeCell ref="A129:A133"/>
    <mergeCell ref="B129:B133"/>
    <mergeCell ref="C129:C131"/>
    <mergeCell ref="A108:A114"/>
    <mergeCell ref="B108:B114"/>
    <mergeCell ref="C109:C112"/>
    <mergeCell ref="A115:A122"/>
    <mergeCell ref="B115:B122"/>
    <mergeCell ref="C116:C118"/>
    <mergeCell ref="C119:C121"/>
    <mergeCell ref="A95:A99"/>
    <mergeCell ref="B95:B99"/>
    <mergeCell ref="A100:G100"/>
    <mergeCell ref="A101:A107"/>
    <mergeCell ref="B101:B107"/>
    <mergeCell ref="C104:C106"/>
    <mergeCell ref="A79:A88"/>
    <mergeCell ref="B79:B88"/>
    <mergeCell ref="C79:C82"/>
    <mergeCell ref="C84:C85"/>
    <mergeCell ref="C86:C87"/>
    <mergeCell ref="A89:A94"/>
    <mergeCell ref="B89:B94"/>
    <mergeCell ref="C90:C93"/>
    <mergeCell ref="A69:G69"/>
    <mergeCell ref="A70:A75"/>
    <mergeCell ref="B70:B75"/>
    <mergeCell ref="C70:C74"/>
    <mergeCell ref="A76:A78"/>
    <mergeCell ref="B76:B78"/>
    <mergeCell ref="C76:C77"/>
    <mergeCell ref="A59:A61"/>
    <mergeCell ref="B59:B61"/>
    <mergeCell ref="A62:A68"/>
    <mergeCell ref="B62:B68"/>
    <mergeCell ref="C62:C63"/>
    <mergeCell ref="C64:C65"/>
    <mergeCell ref="A43:A54"/>
    <mergeCell ref="B43:B54"/>
    <mergeCell ref="C44:C47"/>
    <mergeCell ref="C49:C53"/>
    <mergeCell ref="A55:A58"/>
    <mergeCell ref="B55:B58"/>
    <mergeCell ref="C56:C57"/>
    <mergeCell ref="A33:A37"/>
    <mergeCell ref="B33:B37"/>
    <mergeCell ref="C35:C36"/>
    <mergeCell ref="A38:G38"/>
    <mergeCell ref="A39:A42"/>
    <mergeCell ref="B39:B42"/>
    <mergeCell ref="C40:C41"/>
    <mergeCell ref="A8:A16"/>
    <mergeCell ref="B8:B16"/>
    <mergeCell ref="C8:C11"/>
    <mergeCell ref="C12:C14"/>
    <mergeCell ref="A17:A32"/>
    <mergeCell ref="B17:B32"/>
    <mergeCell ref="C18:C21"/>
    <mergeCell ref="C22:C26"/>
    <mergeCell ref="C28:C31"/>
    <mergeCell ref="A1:G1"/>
    <mergeCell ref="A2:A4"/>
    <mergeCell ref="B2:B4"/>
    <mergeCell ref="C2:G4"/>
    <mergeCell ref="A5:A7"/>
    <mergeCell ref="B5:B7"/>
    <mergeCell ref="C5:G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70" fitToHeight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Views>
    <sheetView view="pageBreakPreview" topLeftCell="A64" zoomScale="87" zoomScaleNormal="87" zoomScaleSheetLayoutView="87" workbookViewId="0">
      <selection activeCell="D121" sqref="D121"/>
    </sheetView>
  </sheetViews>
  <sheetFormatPr defaultColWidth="9" defaultRowHeight="36" customHeight="1" x14ac:dyDescent="0.3"/>
  <cols>
    <col min="1" max="1" width="12.375" style="124" customWidth="1"/>
    <col min="2" max="2" width="7.25" style="125" customWidth="1"/>
    <col min="3" max="3" width="21.875" style="126" customWidth="1"/>
    <col min="4" max="4" width="22.5" style="12" customWidth="1"/>
    <col min="5" max="5" width="15.375" style="127" customWidth="1"/>
    <col min="6" max="6" width="24.25" style="127" customWidth="1"/>
    <col min="7" max="7" width="28.125" style="128" customWidth="1"/>
    <col min="8" max="8" width="42.5" style="4" customWidth="1"/>
    <col min="9" max="16384" width="9" style="12"/>
  </cols>
  <sheetData>
    <row r="1" spans="1:7" s="4" customFormat="1" ht="102" customHeight="1" thickBot="1" x14ac:dyDescent="0.35">
      <c r="A1" s="1" t="s">
        <v>0</v>
      </c>
      <c r="B1" s="2"/>
      <c r="C1" s="2"/>
      <c r="D1" s="2"/>
      <c r="E1" s="2"/>
      <c r="F1" s="2"/>
      <c r="G1" s="3"/>
    </row>
    <row r="2" spans="1:7" s="4" customFormat="1" ht="30" customHeight="1" x14ac:dyDescent="0.3">
      <c r="A2" s="72">
        <v>43983</v>
      </c>
      <c r="B2" s="73" t="s">
        <v>1</v>
      </c>
      <c r="C2" s="31" t="s">
        <v>247</v>
      </c>
      <c r="D2" s="8" t="s">
        <v>93</v>
      </c>
      <c r="E2" s="9">
        <v>100</v>
      </c>
      <c r="F2" s="183"/>
      <c r="G2" s="186"/>
    </row>
    <row r="3" spans="1:7" s="4" customFormat="1" ht="30" customHeight="1" x14ac:dyDescent="0.3">
      <c r="A3" s="5"/>
      <c r="B3" s="75"/>
      <c r="C3" s="36"/>
      <c r="D3" s="82" t="s">
        <v>279</v>
      </c>
      <c r="E3" s="9">
        <v>51</v>
      </c>
      <c r="F3" s="182"/>
      <c r="G3" s="185"/>
    </row>
    <row r="4" spans="1:7" s="4" customFormat="1" ht="30" customHeight="1" thickBot="1" x14ac:dyDescent="0.35">
      <c r="A4" s="5"/>
      <c r="B4" s="75"/>
      <c r="C4" s="76" t="s">
        <v>139</v>
      </c>
      <c r="D4" s="21" t="s">
        <v>14</v>
      </c>
      <c r="E4" s="22">
        <v>100</v>
      </c>
      <c r="F4" s="223"/>
      <c r="G4" s="224"/>
    </row>
    <row r="5" spans="1:7" s="4" customFormat="1" ht="30" customHeight="1" thickBot="1" x14ac:dyDescent="0.35">
      <c r="A5" s="25"/>
      <c r="B5" s="79"/>
      <c r="C5" s="147"/>
      <c r="D5" s="148"/>
      <c r="E5" s="148"/>
      <c r="F5" s="148"/>
      <c r="G5" s="149"/>
    </row>
    <row r="6" spans="1:7" s="4" customFormat="1" ht="30" customHeight="1" x14ac:dyDescent="0.3">
      <c r="A6" s="72">
        <v>43984</v>
      </c>
      <c r="B6" s="73" t="s">
        <v>15</v>
      </c>
      <c r="C6" s="31" t="s">
        <v>74</v>
      </c>
      <c r="D6" s="8" t="s">
        <v>7</v>
      </c>
      <c r="E6" s="9" t="s">
        <v>97</v>
      </c>
      <c r="F6" s="183" t="s">
        <v>383</v>
      </c>
      <c r="G6" s="186"/>
    </row>
    <row r="7" spans="1:7" s="4" customFormat="1" ht="30" customHeight="1" x14ac:dyDescent="0.3">
      <c r="A7" s="5"/>
      <c r="B7" s="75"/>
      <c r="C7" s="17"/>
      <c r="D7" s="95" t="s">
        <v>11</v>
      </c>
      <c r="E7" s="96" t="s">
        <v>156</v>
      </c>
      <c r="F7" s="272" t="s">
        <v>384</v>
      </c>
      <c r="G7" s="185"/>
    </row>
    <row r="8" spans="1:7" s="4" customFormat="1" ht="30" customHeight="1" x14ac:dyDescent="0.3">
      <c r="A8" s="5"/>
      <c r="B8" s="75"/>
      <c r="C8" s="17"/>
      <c r="D8" s="8" t="s">
        <v>9</v>
      </c>
      <c r="E8" s="96" t="s">
        <v>12</v>
      </c>
      <c r="F8" s="182"/>
      <c r="G8" s="185"/>
    </row>
    <row r="9" spans="1:7" s="4" customFormat="1" ht="30" customHeight="1" x14ac:dyDescent="0.3">
      <c r="A9" s="5"/>
      <c r="B9" s="75"/>
      <c r="C9" s="17"/>
      <c r="D9" s="95" t="s">
        <v>385</v>
      </c>
      <c r="E9" s="96" t="s">
        <v>12</v>
      </c>
      <c r="F9" s="182"/>
      <c r="G9" s="185"/>
    </row>
    <row r="10" spans="1:7" s="4" customFormat="1" ht="30" customHeight="1" x14ac:dyDescent="0.3">
      <c r="A10" s="5"/>
      <c r="B10" s="75"/>
      <c r="C10" s="17"/>
      <c r="D10" s="95" t="s">
        <v>13</v>
      </c>
      <c r="E10" s="96">
        <v>150</v>
      </c>
      <c r="F10" s="182"/>
      <c r="G10" s="185"/>
    </row>
    <row r="11" spans="1:7" s="4" customFormat="1" ht="30" customHeight="1" x14ac:dyDescent="0.3">
      <c r="A11" s="5"/>
      <c r="B11" s="75"/>
      <c r="C11" s="36"/>
      <c r="D11" s="95" t="s">
        <v>93</v>
      </c>
      <c r="E11" s="96">
        <v>30</v>
      </c>
      <c r="F11" s="182"/>
      <c r="G11" s="185"/>
    </row>
    <row r="12" spans="1:7" s="4" customFormat="1" ht="30" customHeight="1" x14ac:dyDescent="0.3">
      <c r="A12" s="5"/>
      <c r="B12" s="75"/>
      <c r="C12" s="16" t="s">
        <v>16</v>
      </c>
      <c r="D12" s="95" t="s">
        <v>17</v>
      </c>
      <c r="E12" s="96">
        <v>105</v>
      </c>
      <c r="F12" s="182"/>
      <c r="G12" s="185"/>
    </row>
    <row r="13" spans="1:7" s="4" customFormat="1" ht="30" customHeight="1" thickBot="1" x14ac:dyDescent="0.35">
      <c r="A13" s="5"/>
      <c r="B13" s="75"/>
      <c r="C13" s="20"/>
      <c r="D13" s="21" t="s">
        <v>18</v>
      </c>
      <c r="E13" s="22">
        <v>32</v>
      </c>
      <c r="F13" s="223"/>
      <c r="G13" s="224"/>
    </row>
    <row r="14" spans="1:7" s="4" customFormat="1" ht="30" customHeight="1" thickBot="1" x14ac:dyDescent="0.35">
      <c r="A14" s="25"/>
      <c r="B14" s="79"/>
      <c r="C14" s="147"/>
      <c r="D14" s="148"/>
      <c r="E14" s="148"/>
      <c r="F14" s="148"/>
      <c r="G14" s="149"/>
    </row>
    <row r="15" spans="1:7" s="4" customFormat="1" ht="30" customHeight="1" x14ac:dyDescent="0.3">
      <c r="A15" s="72">
        <v>43985</v>
      </c>
      <c r="B15" s="73" t="s">
        <v>21</v>
      </c>
      <c r="C15" s="114" t="s">
        <v>16</v>
      </c>
      <c r="D15" s="32" t="s">
        <v>17</v>
      </c>
      <c r="E15" s="33">
        <v>265</v>
      </c>
      <c r="F15" s="273"/>
      <c r="G15" s="237"/>
    </row>
    <row r="16" spans="1:7" s="4" customFormat="1" ht="30" customHeight="1" x14ac:dyDescent="0.3">
      <c r="A16" s="5"/>
      <c r="B16" s="75"/>
      <c r="C16" s="16" t="s">
        <v>43</v>
      </c>
      <c r="D16" s="173" t="s">
        <v>45</v>
      </c>
      <c r="E16" s="96">
        <v>20</v>
      </c>
      <c r="F16" s="176"/>
      <c r="G16" s="64"/>
    </row>
    <row r="17" spans="1:7" s="4" customFormat="1" ht="30" customHeight="1" x14ac:dyDescent="0.3">
      <c r="A17" s="5"/>
      <c r="B17" s="75"/>
      <c r="C17" s="17"/>
      <c r="D17" s="82" t="s">
        <v>59</v>
      </c>
      <c r="E17" s="9">
        <v>64</v>
      </c>
      <c r="F17" s="131"/>
      <c r="G17" s="11"/>
    </row>
    <row r="18" spans="1:7" s="4" customFormat="1" ht="30" customHeight="1" thickBot="1" x14ac:dyDescent="0.35">
      <c r="A18" s="5"/>
      <c r="B18" s="75"/>
      <c r="C18" s="20"/>
      <c r="D18" s="193" t="s">
        <v>211</v>
      </c>
      <c r="E18" s="162">
        <v>64</v>
      </c>
      <c r="F18" s="220"/>
      <c r="G18" s="24"/>
    </row>
    <row r="19" spans="1:7" s="4" customFormat="1" ht="30" customHeight="1" thickBot="1" x14ac:dyDescent="0.35">
      <c r="A19" s="25"/>
      <c r="B19" s="79"/>
      <c r="C19" s="143"/>
      <c r="D19" s="90"/>
      <c r="E19" s="144"/>
      <c r="F19" s="144"/>
      <c r="G19" s="222"/>
    </row>
    <row r="20" spans="1:7" s="4" customFormat="1" ht="30" customHeight="1" x14ac:dyDescent="0.3">
      <c r="A20" s="5">
        <v>43986</v>
      </c>
      <c r="B20" s="6" t="s">
        <v>41</v>
      </c>
      <c r="C20" s="114" t="s">
        <v>2</v>
      </c>
      <c r="D20" s="8" t="s">
        <v>5</v>
      </c>
      <c r="E20" s="9">
        <v>250</v>
      </c>
      <c r="F20" s="10"/>
      <c r="G20" s="11"/>
    </row>
    <row r="21" spans="1:7" s="4" customFormat="1" ht="30" customHeight="1" thickBot="1" x14ac:dyDescent="0.35">
      <c r="A21" s="5"/>
      <c r="B21" s="6"/>
      <c r="C21" s="51"/>
      <c r="D21" s="21"/>
      <c r="E21" s="22"/>
      <c r="F21" s="77"/>
      <c r="G21" s="78"/>
    </row>
    <row r="22" spans="1:7" s="4" customFormat="1" ht="30" customHeight="1" thickBot="1" x14ac:dyDescent="0.35">
      <c r="A22" s="25"/>
      <c r="B22" s="26"/>
      <c r="C22" s="89" t="s">
        <v>66</v>
      </c>
      <c r="D22" s="90" t="s">
        <v>265</v>
      </c>
      <c r="E22" s="144" t="s">
        <v>386</v>
      </c>
      <c r="F22" s="144" t="s">
        <v>342</v>
      </c>
      <c r="G22" s="222" t="s">
        <v>267</v>
      </c>
    </row>
    <row r="23" spans="1:7" s="4" customFormat="1" ht="30" customHeight="1" x14ac:dyDescent="0.3">
      <c r="A23" s="5">
        <v>43987</v>
      </c>
      <c r="B23" s="75" t="s">
        <v>55</v>
      </c>
      <c r="C23" s="16" t="s">
        <v>307</v>
      </c>
      <c r="D23" s="8" t="s">
        <v>29</v>
      </c>
      <c r="E23" s="9">
        <v>200</v>
      </c>
      <c r="F23" s="10"/>
      <c r="G23" s="11"/>
    </row>
    <row r="24" spans="1:7" s="4" customFormat="1" ht="30" customHeight="1" x14ac:dyDescent="0.3">
      <c r="A24" s="5"/>
      <c r="B24" s="75"/>
      <c r="C24" s="17"/>
      <c r="D24" s="14" t="s">
        <v>31</v>
      </c>
      <c r="E24" s="9">
        <v>30</v>
      </c>
      <c r="F24" s="37"/>
      <c r="G24" s="38"/>
    </row>
    <row r="25" spans="1:7" s="4" customFormat="1" ht="30" customHeight="1" x14ac:dyDescent="0.3">
      <c r="A25" s="5"/>
      <c r="B25" s="75"/>
      <c r="C25" s="17"/>
      <c r="D25" s="14" t="s">
        <v>44</v>
      </c>
      <c r="E25" s="9">
        <v>20</v>
      </c>
      <c r="F25" s="37"/>
      <c r="G25" s="38"/>
    </row>
    <row r="26" spans="1:7" s="4" customFormat="1" ht="30" customHeight="1" x14ac:dyDescent="0.3">
      <c r="A26" s="5"/>
      <c r="B26" s="75"/>
      <c r="C26" s="36"/>
      <c r="D26" s="100" t="s">
        <v>7</v>
      </c>
      <c r="E26" s="9" t="s">
        <v>20</v>
      </c>
      <c r="F26" s="106"/>
      <c r="G26" s="38"/>
    </row>
    <row r="27" spans="1:7" s="4" customFormat="1" ht="30" customHeight="1" thickBot="1" x14ac:dyDescent="0.35">
      <c r="A27" s="5"/>
      <c r="B27" s="75"/>
      <c r="C27" s="76"/>
      <c r="D27" s="108"/>
      <c r="E27" s="22"/>
      <c r="F27" s="177"/>
      <c r="G27" s="78"/>
    </row>
    <row r="28" spans="1:7" s="4" customFormat="1" ht="30" customHeight="1" thickBot="1" x14ac:dyDescent="0.35">
      <c r="A28" s="25"/>
      <c r="B28" s="79"/>
      <c r="C28" s="147"/>
      <c r="D28" s="148"/>
      <c r="E28" s="148"/>
      <c r="F28" s="148"/>
      <c r="G28" s="149"/>
    </row>
    <row r="29" spans="1:7" s="4" customFormat="1" ht="108.75" customHeight="1" thickBot="1" x14ac:dyDescent="0.35">
      <c r="A29" s="1" t="s">
        <v>0</v>
      </c>
      <c r="B29" s="2"/>
      <c r="C29" s="2"/>
      <c r="D29" s="2"/>
      <c r="E29" s="2"/>
      <c r="F29" s="2"/>
      <c r="G29" s="3"/>
    </row>
    <row r="30" spans="1:7" s="4" customFormat="1" ht="30" customHeight="1" x14ac:dyDescent="0.3">
      <c r="A30" s="5">
        <v>43990</v>
      </c>
      <c r="B30" s="6" t="s">
        <v>1</v>
      </c>
      <c r="C30" s="31" t="s">
        <v>107</v>
      </c>
      <c r="D30" s="43" t="s">
        <v>29</v>
      </c>
      <c r="E30" s="44">
        <v>100</v>
      </c>
      <c r="F30" s="10"/>
      <c r="G30" s="11"/>
    </row>
    <row r="31" spans="1:7" s="4" customFormat="1" ht="30" customHeight="1" x14ac:dyDescent="0.3">
      <c r="A31" s="5"/>
      <c r="B31" s="6"/>
      <c r="C31" s="36"/>
      <c r="D31" s="14" t="s">
        <v>7</v>
      </c>
      <c r="E31" s="9" t="s">
        <v>35</v>
      </c>
      <c r="F31" s="37"/>
      <c r="G31" s="38"/>
    </row>
    <row r="32" spans="1:7" s="4" customFormat="1" ht="30" customHeight="1" x14ac:dyDescent="0.3">
      <c r="A32" s="5"/>
      <c r="B32" s="6"/>
      <c r="C32" s="16" t="s">
        <v>16</v>
      </c>
      <c r="D32" s="100" t="s">
        <v>17</v>
      </c>
      <c r="E32" s="9">
        <v>21</v>
      </c>
      <c r="F32" s="106"/>
      <c r="G32" s="38"/>
    </row>
    <row r="33" spans="1:7" s="4" customFormat="1" ht="31.5" customHeight="1" x14ac:dyDescent="0.3">
      <c r="A33" s="5"/>
      <c r="B33" s="6"/>
      <c r="C33" s="36"/>
      <c r="D33" s="43" t="s">
        <v>18</v>
      </c>
      <c r="E33" s="44">
        <v>59</v>
      </c>
      <c r="F33" s="10"/>
      <c r="G33" s="11"/>
    </row>
    <row r="34" spans="1:7" s="4" customFormat="1" ht="31.5" customHeight="1" x14ac:dyDescent="0.3">
      <c r="A34" s="5"/>
      <c r="B34" s="6"/>
      <c r="C34" s="16" t="s">
        <v>61</v>
      </c>
      <c r="D34" s="61" t="s">
        <v>25</v>
      </c>
      <c r="E34" s="62">
        <v>50</v>
      </c>
      <c r="F34" s="63"/>
      <c r="G34" s="64" t="s">
        <v>285</v>
      </c>
    </row>
    <row r="35" spans="1:7" s="4" customFormat="1" ht="31.5" customHeight="1" thickBot="1" x14ac:dyDescent="0.35">
      <c r="A35" s="5"/>
      <c r="B35" s="6"/>
      <c r="C35" s="20"/>
      <c r="D35" s="65" t="s">
        <v>387</v>
      </c>
      <c r="E35" s="66">
        <v>45</v>
      </c>
      <c r="F35" s="77"/>
      <c r="G35" s="78"/>
    </row>
    <row r="36" spans="1:7" s="4" customFormat="1" ht="32.25" customHeight="1" thickBot="1" x14ac:dyDescent="0.35">
      <c r="A36" s="25"/>
      <c r="B36" s="26"/>
      <c r="C36" s="89"/>
      <c r="D36" s="90"/>
      <c r="E36" s="144"/>
      <c r="F36" s="144"/>
      <c r="G36" s="222"/>
    </row>
    <row r="37" spans="1:7" s="4" customFormat="1" ht="31.5" customHeight="1" x14ac:dyDescent="0.3">
      <c r="A37" s="5">
        <v>43991</v>
      </c>
      <c r="B37" s="75" t="s">
        <v>15</v>
      </c>
      <c r="C37" s="114" t="s">
        <v>16</v>
      </c>
      <c r="D37" s="61" t="s">
        <v>17</v>
      </c>
      <c r="E37" s="62">
        <v>442</v>
      </c>
      <c r="F37" s="63"/>
      <c r="G37" s="35"/>
    </row>
    <row r="38" spans="1:7" s="4" customFormat="1" ht="31.5" customHeight="1" x14ac:dyDescent="0.3">
      <c r="A38" s="5"/>
      <c r="B38" s="75"/>
      <c r="C38" s="16" t="s">
        <v>34</v>
      </c>
      <c r="D38" s="61" t="s">
        <v>7</v>
      </c>
      <c r="E38" s="62" t="s">
        <v>155</v>
      </c>
      <c r="F38" s="63"/>
      <c r="G38" s="64" t="s">
        <v>285</v>
      </c>
    </row>
    <row r="39" spans="1:7" s="4" customFormat="1" ht="31.5" customHeight="1" x14ac:dyDescent="0.3">
      <c r="A39" s="5"/>
      <c r="B39" s="75"/>
      <c r="C39" s="36"/>
      <c r="D39" s="43" t="s">
        <v>49</v>
      </c>
      <c r="E39" s="44" t="s">
        <v>12</v>
      </c>
      <c r="F39" s="10"/>
      <c r="G39" s="11"/>
    </row>
    <row r="40" spans="1:7" s="4" customFormat="1" ht="32.25" customHeight="1" x14ac:dyDescent="0.3">
      <c r="A40" s="5"/>
      <c r="B40" s="75"/>
      <c r="C40" s="97" t="s">
        <v>82</v>
      </c>
      <c r="D40" s="8" t="s">
        <v>14</v>
      </c>
      <c r="E40" s="9">
        <v>50</v>
      </c>
      <c r="F40" s="10"/>
      <c r="G40" s="11" t="s">
        <v>285</v>
      </c>
    </row>
    <row r="41" spans="1:7" s="4" customFormat="1" ht="32.25" customHeight="1" x14ac:dyDescent="0.3">
      <c r="A41" s="5"/>
      <c r="B41" s="75"/>
      <c r="C41" s="84"/>
      <c r="D41" s="8" t="s">
        <v>59</v>
      </c>
      <c r="E41" s="9">
        <v>50</v>
      </c>
      <c r="F41" s="37"/>
      <c r="G41" s="38"/>
    </row>
    <row r="42" spans="1:7" s="4" customFormat="1" ht="32.25" customHeight="1" x14ac:dyDescent="0.3">
      <c r="A42" s="5"/>
      <c r="B42" s="75"/>
      <c r="C42" s="16" t="s">
        <v>6</v>
      </c>
      <c r="D42" s="82" t="s">
        <v>7</v>
      </c>
      <c r="E42" s="9" t="s">
        <v>20</v>
      </c>
      <c r="F42" s="152" t="s">
        <v>388</v>
      </c>
      <c r="G42" s="11" t="s">
        <v>389</v>
      </c>
    </row>
    <row r="43" spans="1:7" s="4" customFormat="1" ht="32.25" customHeight="1" x14ac:dyDescent="0.3">
      <c r="A43" s="5"/>
      <c r="B43" s="75"/>
      <c r="C43" s="17"/>
      <c r="D43" s="100" t="s">
        <v>11</v>
      </c>
      <c r="E43" s="15" t="s">
        <v>20</v>
      </c>
      <c r="F43" s="154"/>
      <c r="G43" s="38"/>
    </row>
    <row r="44" spans="1:7" s="4" customFormat="1" ht="32.25" customHeight="1" thickBot="1" x14ac:dyDescent="0.35">
      <c r="A44" s="5"/>
      <c r="B44" s="75"/>
      <c r="C44" s="20"/>
      <c r="D44" s="193" t="s">
        <v>13</v>
      </c>
      <c r="E44" s="162">
        <v>20</v>
      </c>
      <c r="F44" s="233"/>
      <c r="G44" s="24"/>
    </row>
    <row r="45" spans="1:7" s="4" customFormat="1" ht="32.25" customHeight="1" thickBot="1" x14ac:dyDescent="0.35">
      <c r="A45" s="25"/>
      <c r="B45" s="79"/>
      <c r="C45" s="89" t="s">
        <v>390</v>
      </c>
      <c r="D45" s="90" t="s">
        <v>265</v>
      </c>
      <c r="E45" s="144" t="s">
        <v>391</v>
      </c>
      <c r="F45" s="144" t="s">
        <v>200</v>
      </c>
      <c r="G45" s="222" t="s">
        <v>276</v>
      </c>
    </row>
    <row r="46" spans="1:7" s="4" customFormat="1" ht="32.25" customHeight="1" x14ac:dyDescent="0.3">
      <c r="A46" s="5">
        <v>43992</v>
      </c>
      <c r="B46" s="6" t="s">
        <v>21</v>
      </c>
      <c r="C46" s="72" t="s">
        <v>74</v>
      </c>
      <c r="D46" s="80" t="s">
        <v>11</v>
      </c>
      <c r="E46" s="33" t="s">
        <v>98</v>
      </c>
      <c r="F46" s="178"/>
      <c r="G46" s="237" t="s">
        <v>73</v>
      </c>
    </row>
    <row r="47" spans="1:7" s="4" customFormat="1" ht="32.25" customHeight="1" x14ac:dyDescent="0.3">
      <c r="A47" s="5"/>
      <c r="B47" s="6"/>
      <c r="C47" s="5"/>
      <c r="D47" s="100" t="s">
        <v>7</v>
      </c>
      <c r="E47" s="15" t="s">
        <v>64</v>
      </c>
      <c r="F47" s="180"/>
      <c r="G47" s="263"/>
    </row>
    <row r="48" spans="1:7" s="4" customFormat="1" ht="32.25" customHeight="1" x14ac:dyDescent="0.3">
      <c r="A48" s="5"/>
      <c r="B48" s="6"/>
      <c r="C48" s="5"/>
      <c r="D48" s="100" t="s">
        <v>9</v>
      </c>
      <c r="E48" s="15" t="s">
        <v>12</v>
      </c>
      <c r="F48" s="180"/>
      <c r="G48" s="263"/>
    </row>
    <row r="49" spans="1:7" s="4" customFormat="1" ht="32.25" customHeight="1" x14ac:dyDescent="0.3">
      <c r="A49" s="5"/>
      <c r="B49" s="6"/>
      <c r="C49" s="5"/>
      <c r="D49" s="100" t="s">
        <v>49</v>
      </c>
      <c r="E49" s="15" t="s">
        <v>12</v>
      </c>
      <c r="F49" s="180"/>
      <c r="G49" s="263"/>
    </row>
    <row r="50" spans="1:7" s="4" customFormat="1" ht="32.25" customHeight="1" x14ac:dyDescent="0.3">
      <c r="A50" s="5"/>
      <c r="B50" s="6"/>
      <c r="C50" s="5"/>
      <c r="D50" s="100" t="s">
        <v>13</v>
      </c>
      <c r="E50" s="15">
        <v>50</v>
      </c>
      <c r="F50" s="180"/>
      <c r="G50" s="263"/>
    </row>
    <row r="51" spans="1:7" s="4" customFormat="1" ht="32.25" customHeight="1" x14ac:dyDescent="0.3">
      <c r="A51" s="5"/>
      <c r="B51" s="6"/>
      <c r="C51" s="84"/>
      <c r="D51" s="100" t="s">
        <v>29</v>
      </c>
      <c r="E51" s="15">
        <v>30</v>
      </c>
      <c r="F51" s="180"/>
      <c r="G51" s="263"/>
    </row>
    <row r="52" spans="1:7" s="4" customFormat="1" ht="32.25" customHeight="1" x14ac:dyDescent="0.3">
      <c r="A52" s="5"/>
      <c r="B52" s="6"/>
      <c r="C52" s="13" t="s">
        <v>32</v>
      </c>
      <c r="D52" s="8" t="s">
        <v>5</v>
      </c>
      <c r="E52" s="9">
        <v>384</v>
      </c>
      <c r="F52" s="269"/>
      <c r="G52" s="186" t="s">
        <v>73</v>
      </c>
    </row>
    <row r="53" spans="1:7" s="4" customFormat="1" ht="32.25" customHeight="1" x14ac:dyDescent="0.3">
      <c r="A53" s="5"/>
      <c r="B53" s="6"/>
      <c r="C53" s="17" t="s">
        <v>43</v>
      </c>
      <c r="D53" s="49" t="s">
        <v>392</v>
      </c>
      <c r="E53" s="50">
        <v>44</v>
      </c>
      <c r="F53" s="180"/>
      <c r="G53" s="263"/>
    </row>
    <row r="54" spans="1:7" s="4" customFormat="1" ht="32.25" customHeight="1" x14ac:dyDescent="0.3">
      <c r="A54" s="5"/>
      <c r="B54" s="6"/>
      <c r="C54" s="17"/>
      <c r="D54" s="43" t="s">
        <v>13</v>
      </c>
      <c r="E54" s="44">
        <v>100</v>
      </c>
      <c r="F54" s="180"/>
      <c r="G54" s="263"/>
    </row>
    <row r="55" spans="1:7" s="4" customFormat="1" ht="32.25" customHeight="1" x14ac:dyDescent="0.3">
      <c r="A55" s="5"/>
      <c r="B55" s="6"/>
      <c r="C55" s="17"/>
      <c r="D55" s="43" t="s">
        <v>14</v>
      </c>
      <c r="E55" s="44">
        <v>64</v>
      </c>
      <c r="F55" s="180"/>
      <c r="G55" s="263"/>
    </row>
    <row r="56" spans="1:7" s="4" customFormat="1" ht="32.25" customHeight="1" x14ac:dyDescent="0.3">
      <c r="A56" s="5"/>
      <c r="B56" s="6"/>
      <c r="C56" s="36"/>
      <c r="D56" s="43" t="s">
        <v>44</v>
      </c>
      <c r="E56" s="44">
        <v>40</v>
      </c>
      <c r="F56" s="180"/>
      <c r="G56" s="263"/>
    </row>
    <row r="57" spans="1:7" s="4" customFormat="1" ht="32.25" customHeight="1" x14ac:dyDescent="0.3">
      <c r="A57" s="5"/>
      <c r="B57" s="6"/>
      <c r="C57" s="13" t="s">
        <v>61</v>
      </c>
      <c r="D57" s="49" t="s">
        <v>25</v>
      </c>
      <c r="E57" s="50">
        <v>100</v>
      </c>
      <c r="F57" s="180"/>
      <c r="G57" s="263" t="s">
        <v>285</v>
      </c>
    </row>
    <row r="58" spans="1:7" s="4" customFormat="1" ht="32.25" customHeight="1" x14ac:dyDescent="0.3">
      <c r="A58" s="5"/>
      <c r="B58" s="6"/>
      <c r="C58" s="13" t="s">
        <v>82</v>
      </c>
      <c r="D58" s="49" t="s">
        <v>25</v>
      </c>
      <c r="E58" s="50">
        <v>40</v>
      </c>
      <c r="F58" s="180" t="s">
        <v>393</v>
      </c>
      <c r="G58" s="263"/>
    </row>
    <row r="59" spans="1:7" s="4" customFormat="1" ht="33.75" customHeight="1" x14ac:dyDescent="0.3">
      <c r="A59" s="5"/>
      <c r="B59" s="6"/>
      <c r="C59" s="17" t="s">
        <v>56</v>
      </c>
      <c r="D59" s="14" t="s">
        <v>57</v>
      </c>
      <c r="E59" s="15">
        <v>150</v>
      </c>
      <c r="F59" s="37" t="s">
        <v>218</v>
      </c>
      <c r="G59" s="38"/>
    </row>
    <row r="60" spans="1:7" s="4" customFormat="1" ht="33.75" customHeight="1" thickBot="1" x14ac:dyDescent="0.35">
      <c r="A60" s="5"/>
      <c r="B60" s="6"/>
      <c r="C60" s="20"/>
      <c r="D60" s="193" t="s">
        <v>7</v>
      </c>
      <c r="E60" s="22" t="s">
        <v>10</v>
      </c>
      <c r="F60" s="220"/>
      <c r="G60" s="24"/>
    </row>
    <row r="61" spans="1:7" s="4" customFormat="1" ht="32.25" customHeight="1" thickBot="1" x14ac:dyDescent="0.35">
      <c r="A61" s="25"/>
      <c r="B61" s="26"/>
      <c r="C61" s="147"/>
      <c r="D61" s="148"/>
      <c r="E61" s="148"/>
      <c r="F61" s="148"/>
      <c r="G61" s="149"/>
    </row>
    <row r="62" spans="1:7" s="4" customFormat="1" ht="32.25" customHeight="1" x14ac:dyDescent="0.3">
      <c r="A62" s="5">
        <v>43993</v>
      </c>
      <c r="B62" s="75" t="s">
        <v>41</v>
      </c>
      <c r="C62" s="72" t="s">
        <v>16</v>
      </c>
      <c r="D62" s="32" t="s">
        <v>17</v>
      </c>
      <c r="E62" s="33">
        <v>168</v>
      </c>
      <c r="F62" s="34"/>
      <c r="G62" s="35"/>
    </row>
    <row r="63" spans="1:7" s="4" customFormat="1" ht="32.25" customHeight="1" x14ac:dyDescent="0.3">
      <c r="A63" s="5"/>
      <c r="B63" s="75"/>
      <c r="C63" s="84"/>
      <c r="D63" s="8" t="s">
        <v>75</v>
      </c>
      <c r="E63" s="9">
        <v>200</v>
      </c>
      <c r="F63" s="10"/>
      <c r="G63" s="11"/>
    </row>
    <row r="64" spans="1:7" s="4" customFormat="1" ht="32.25" customHeight="1" x14ac:dyDescent="0.3">
      <c r="A64" s="5"/>
      <c r="B64" s="75"/>
      <c r="C64" s="97" t="s">
        <v>82</v>
      </c>
      <c r="D64" s="95" t="s">
        <v>25</v>
      </c>
      <c r="E64" s="96">
        <v>60</v>
      </c>
      <c r="F64" s="63"/>
      <c r="G64" s="64"/>
    </row>
    <row r="65" spans="1:7" s="4" customFormat="1" ht="32.25" customHeight="1" x14ac:dyDescent="0.3">
      <c r="A65" s="5"/>
      <c r="B65" s="75"/>
      <c r="C65" s="5"/>
      <c r="D65" s="95" t="s">
        <v>59</v>
      </c>
      <c r="E65" s="96">
        <v>10</v>
      </c>
      <c r="F65" s="63"/>
      <c r="G65" s="64"/>
    </row>
    <row r="66" spans="1:7" s="4" customFormat="1" ht="32.25" customHeight="1" x14ac:dyDescent="0.3">
      <c r="A66" s="5"/>
      <c r="B66" s="75"/>
      <c r="C66" s="84"/>
      <c r="D66" s="8" t="s">
        <v>83</v>
      </c>
      <c r="E66" s="9">
        <v>50</v>
      </c>
      <c r="F66" s="10"/>
      <c r="G66" s="11"/>
    </row>
    <row r="67" spans="1:7" s="4" customFormat="1" ht="32.25" customHeight="1" thickBot="1" x14ac:dyDescent="0.35">
      <c r="A67" s="5"/>
      <c r="B67" s="75"/>
      <c r="C67" s="51" t="s">
        <v>69</v>
      </c>
      <c r="D67" s="161" t="s">
        <v>70</v>
      </c>
      <c r="E67" s="162">
        <v>100</v>
      </c>
      <c r="F67" s="233" t="s">
        <v>284</v>
      </c>
      <c r="G67" s="24" t="s">
        <v>285</v>
      </c>
    </row>
    <row r="68" spans="1:7" s="4" customFormat="1" ht="32.25" customHeight="1" thickBot="1" x14ac:dyDescent="0.35">
      <c r="A68" s="25"/>
      <c r="B68" s="79"/>
      <c r="C68" s="89"/>
      <c r="D68" s="90"/>
      <c r="E68" s="144"/>
      <c r="F68" s="144"/>
      <c r="G68" s="222"/>
    </row>
    <row r="69" spans="1:7" s="4" customFormat="1" ht="32.25" customHeight="1" thickBot="1" x14ac:dyDescent="0.35">
      <c r="A69" s="5">
        <v>43994</v>
      </c>
      <c r="B69" s="75" t="s">
        <v>55</v>
      </c>
      <c r="C69" s="150" t="s">
        <v>16</v>
      </c>
      <c r="D69" s="80" t="s">
        <v>17</v>
      </c>
      <c r="E69" s="33">
        <v>500</v>
      </c>
      <c r="F69" s="129"/>
      <c r="G69" s="35"/>
    </row>
    <row r="70" spans="1:7" s="4" customFormat="1" ht="32.25" customHeight="1" thickBot="1" x14ac:dyDescent="0.35">
      <c r="A70" s="25"/>
      <c r="B70" s="79"/>
      <c r="C70" s="27"/>
      <c r="D70" s="28"/>
      <c r="E70" s="29"/>
      <c r="F70" s="29"/>
      <c r="G70" s="30"/>
    </row>
    <row r="71" spans="1:7" s="4" customFormat="1" ht="108.75" customHeight="1" thickBot="1" x14ac:dyDescent="0.35">
      <c r="A71" s="1" t="s">
        <v>0</v>
      </c>
      <c r="B71" s="2"/>
      <c r="C71" s="2"/>
      <c r="D71" s="2"/>
      <c r="E71" s="2"/>
      <c r="F71" s="2"/>
      <c r="G71" s="3"/>
    </row>
    <row r="72" spans="1:7" s="4" customFormat="1" ht="32.25" customHeight="1" x14ac:dyDescent="0.3">
      <c r="A72" s="72">
        <v>43997</v>
      </c>
      <c r="B72" s="99" t="s">
        <v>1</v>
      </c>
      <c r="C72" s="114" t="s">
        <v>32</v>
      </c>
      <c r="D72" s="32" t="s">
        <v>394</v>
      </c>
      <c r="E72" s="33">
        <v>50</v>
      </c>
      <c r="F72" s="178"/>
      <c r="G72" s="237" t="s">
        <v>203</v>
      </c>
    </row>
    <row r="73" spans="1:7" s="4" customFormat="1" ht="32.25" customHeight="1" x14ac:dyDescent="0.3">
      <c r="A73" s="5"/>
      <c r="B73" s="6"/>
      <c r="C73" s="153" t="s">
        <v>22</v>
      </c>
      <c r="D73" s="100" t="s">
        <v>25</v>
      </c>
      <c r="E73" s="15">
        <v>50</v>
      </c>
      <c r="F73" s="180" t="s">
        <v>27</v>
      </c>
      <c r="G73" s="263"/>
    </row>
    <row r="74" spans="1:7" s="4" customFormat="1" ht="32.25" customHeight="1" x14ac:dyDescent="0.3">
      <c r="A74" s="5"/>
      <c r="B74" s="6"/>
      <c r="C74" s="16" t="s">
        <v>6</v>
      </c>
      <c r="D74" s="14" t="s">
        <v>13</v>
      </c>
      <c r="E74" s="15">
        <v>40</v>
      </c>
      <c r="F74" s="180"/>
      <c r="G74" s="263" t="s">
        <v>285</v>
      </c>
    </row>
    <row r="75" spans="1:7" s="4" customFormat="1" ht="32.25" customHeight="1" x14ac:dyDescent="0.3">
      <c r="A75" s="5"/>
      <c r="B75" s="6"/>
      <c r="C75" s="17"/>
      <c r="D75" s="8" t="s">
        <v>7</v>
      </c>
      <c r="E75" s="9" t="s">
        <v>62</v>
      </c>
      <c r="F75" s="269"/>
      <c r="G75" s="186"/>
    </row>
    <row r="76" spans="1:7" s="4" customFormat="1" ht="32.25" customHeight="1" x14ac:dyDescent="0.3">
      <c r="A76" s="5"/>
      <c r="B76" s="6"/>
      <c r="C76" s="36"/>
      <c r="D76" s="8" t="s">
        <v>11</v>
      </c>
      <c r="E76" s="9" t="s">
        <v>259</v>
      </c>
      <c r="F76" s="269"/>
      <c r="G76" s="186"/>
    </row>
    <row r="77" spans="1:7" s="4" customFormat="1" ht="32.25" customHeight="1" x14ac:dyDescent="0.3">
      <c r="A77" s="5"/>
      <c r="B77" s="6"/>
      <c r="C77" s="7" t="s">
        <v>107</v>
      </c>
      <c r="D77" s="14" t="s">
        <v>13</v>
      </c>
      <c r="E77" s="15">
        <v>100</v>
      </c>
      <c r="F77" s="180"/>
      <c r="G77" s="263" t="s">
        <v>73</v>
      </c>
    </row>
    <row r="78" spans="1:7" s="4" customFormat="1" ht="32.25" customHeight="1" x14ac:dyDescent="0.3">
      <c r="A78" s="5"/>
      <c r="B78" s="6"/>
      <c r="C78" s="16" t="s">
        <v>61</v>
      </c>
      <c r="D78" s="8" t="s">
        <v>25</v>
      </c>
      <c r="E78" s="19">
        <v>100</v>
      </c>
      <c r="F78" s="270"/>
      <c r="G78" s="271"/>
    </row>
    <row r="79" spans="1:7" s="4" customFormat="1" ht="32.25" customHeight="1" thickBot="1" x14ac:dyDescent="0.35">
      <c r="A79" s="5"/>
      <c r="B79" s="6"/>
      <c r="C79" s="20"/>
      <c r="D79" s="161" t="s">
        <v>395</v>
      </c>
      <c r="E79" s="22">
        <v>15</v>
      </c>
      <c r="F79" s="223"/>
      <c r="G79" s="224"/>
    </row>
    <row r="80" spans="1:7" s="4" customFormat="1" ht="33.75" customHeight="1" thickBot="1" x14ac:dyDescent="0.35">
      <c r="A80" s="5"/>
      <c r="B80" s="6"/>
      <c r="C80" s="109"/>
      <c r="D80" s="110"/>
      <c r="E80" s="111"/>
      <c r="F80" s="112"/>
      <c r="G80" s="113"/>
    </row>
    <row r="81" spans="1:7" s="4" customFormat="1" ht="32.25" customHeight="1" x14ac:dyDescent="0.3">
      <c r="A81" s="72">
        <v>43998</v>
      </c>
      <c r="B81" s="99" t="s">
        <v>15</v>
      </c>
      <c r="C81" s="72" t="s">
        <v>16</v>
      </c>
      <c r="D81" s="32" t="s">
        <v>17</v>
      </c>
      <c r="E81" s="33">
        <v>447</v>
      </c>
      <c r="F81" s="34"/>
      <c r="G81" s="35"/>
    </row>
    <row r="82" spans="1:7" s="4" customFormat="1" ht="32.25" customHeight="1" thickBot="1" x14ac:dyDescent="0.35">
      <c r="A82" s="5"/>
      <c r="B82" s="6"/>
      <c r="C82" s="25"/>
      <c r="D82" s="21" t="s">
        <v>75</v>
      </c>
      <c r="E82" s="22">
        <v>100</v>
      </c>
      <c r="F82" s="77"/>
      <c r="G82" s="78"/>
    </row>
    <row r="83" spans="1:7" s="4" customFormat="1" ht="33.75" customHeight="1" thickBot="1" x14ac:dyDescent="0.35">
      <c r="A83" s="25"/>
      <c r="B83" s="26"/>
      <c r="C83" s="89"/>
      <c r="D83" s="90"/>
      <c r="E83" s="144"/>
      <c r="F83" s="144"/>
      <c r="G83" s="222"/>
    </row>
    <row r="84" spans="1:7" s="4" customFormat="1" ht="32.25" customHeight="1" x14ac:dyDescent="0.3">
      <c r="A84" s="5">
        <v>43999</v>
      </c>
      <c r="B84" s="6" t="s">
        <v>21</v>
      </c>
      <c r="C84" s="13" t="s">
        <v>4</v>
      </c>
      <c r="D84" s="82" t="s">
        <v>335</v>
      </c>
      <c r="E84" s="9">
        <v>80</v>
      </c>
      <c r="F84" s="152"/>
      <c r="G84" s="38" t="s">
        <v>73</v>
      </c>
    </row>
    <row r="85" spans="1:7" s="4" customFormat="1" ht="33.75" customHeight="1" x14ac:dyDescent="0.3">
      <c r="A85" s="5"/>
      <c r="B85" s="6"/>
      <c r="C85" s="87" t="s">
        <v>291</v>
      </c>
      <c r="D85" s="8" t="s">
        <v>7</v>
      </c>
      <c r="E85" s="9" t="s">
        <v>64</v>
      </c>
      <c r="F85" s="10"/>
      <c r="G85" s="11"/>
    </row>
    <row r="86" spans="1:7" s="4" customFormat="1" ht="33.75" customHeight="1" x14ac:dyDescent="0.3">
      <c r="A86" s="5"/>
      <c r="B86" s="6"/>
      <c r="C86" s="16" t="s">
        <v>16</v>
      </c>
      <c r="D86" s="8" t="s">
        <v>17</v>
      </c>
      <c r="E86" s="9">
        <v>191</v>
      </c>
      <c r="F86" s="10"/>
      <c r="G86" s="11"/>
    </row>
    <row r="87" spans="1:7" s="4" customFormat="1" ht="33.75" customHeight="1" x14ac:dyDescent="0.3">
      <c r="A87" s="5"/>
      <c r="B87" s="6"/>
      <c r="C87" s="36"/>
      <c r="D87" s="14" t="s">
        <v>18</v>
      </c>
      <c r="E87" s="9">
        <v>50</v>
      </c>
      <c r="F87" s="10"/>
      <c r="G87" s="11"/>
    </row>
    <row r="88" spans="1:7" s="4" customFormat="1" ht="33.75" customHeight="1" x14ac:dyDescent="0.3">
      <c r="A88" s="5"/>
      <c r="B88" s="6"/>
      <c r="C88" s="16" t="s">
        <v>6</v>
      </c>
      <c r="D88" s="8" t="s">
        <v>7</v>
      </c>
      <c r="E88" s="9" t="s">
        <v>50</v>
      </c>
      <c r="F88" s="63"/>
      <c r="G88" s="64" t="s">
        <v>285</v>
      </c>
    </row>
    <row r="89" spans="1:7" s="4" customFormat="1" ht="33.75" customHeight="1" thickBot="1" x14ac:dyDescent="0.35">
      <c r="A89" s="5"/>
      <c r="B89" s="6"/>
      <c r="C89" s="20"/>
      <c r="D89" s="161" t="s">
        <v>11</v>
      </c>
      <c r="E89" s="162" t="s">
        <v>259</v>
      </c>
      <c r="F89" s="77"/>
      <c r="G89" s="78"/>
    </row>
    <row r="90" spans="1:7" s="4" customFormat="1" ht="33.75" customHeight="1" thickBot="1" x14ac:dyDescent="0.35">
      <c r="A90" s="25"/>
      <c r="B90" s="26"/>
      <c r="C90" s="89"/>
      <c r="D90" s="90"/>
      <c r="E90" s="144" t="s">
        <v>396</v>
      </c>
      <c r="F90" s="144"/>
      <c r="G90" s="222"/>
    </row>
    <row r="91" spans="1:7" s="4" customFormat="1" ht="32.25" customHeight="1" x14ac:dyDescent="0.3">
      <c r="A91" s="5">
        <v>44000</v>
      </c>
      <c r="B91" s="6" t="s">
        <v>41</v>
      </c>
      <c r="C91" s="72" t="s">
        <v>16</v>
      </c>
      <c r="D91" s="32" t="s">
        <v>17</v>
      </c>
      <c r="E91" s="33">
        <v>448</v>
      </c>
      <c r="F91" s="34"/>
      <c r="G91" s="35"/>
    </row>
    <row r="92" spans="1:7" s="4" customFormat="1" ht="32.25" customHeight="1" x14ac:dyDescent="0.3">
      <c r="A92" s="5"/>
      <c r="B92" s="6"/>
      <c r="C92" s="84"/>
      <c r="D92" s="8" t="s">
        <v>75</v>
      </c>
      <c r="E92" s="9">
        <v>100</v>
      </c>
      <c r="F92" s="10"/>
      <c r="G92" s="11"/>
    </row>
    <row r="93" spans="1:7" s="4" customFormat="1" ht="32.25" customHeight="1" x14ac:dyDescent="0.3">
      <c r="A93" s="5"/>
      <c r="B93" s="6"/>
      <c r="C93" s="97" t="s">
        <v>102</v>
      </c>
      <c r="D93" s="95" t="s">
        <v>397</v>
      </c>
      <c r="E93" s="96">
        <v>51</v>
      </c>
      <c r="F93" s="63"/>
      <c r="G93" s="64" t="s">
        <v>73</v>
      </c>
    </row>
    <row r="94" spans="1:7" s="4" customFormat="1" ht="32.25" customHeight="1" x14ac:dyDescent="0.3">
      <c r="A94" s="5"/>
      <c r="B94" s="6"/>
      <c r="C94" s="84"/>
      <c r="D94" s="95" t="s">
        <v>7</v>
      </c>
      <c r="E94" s="96" t="s">
        <v>50</v>
      </c>
      <c r="F94" s="63"/>
      <c r="G94" s="64"/>
    </row>
    <row r="95" spans="1:7" s="4" customFormat="1" ht="32.25" customHeight="1" x14ac:dyDescent="0.3">
      <c r="A95" s="5"/>
      <c r="B95" s="6"/>
      <c r="C95" s="97" t="s">
        <v>82</v>
      </c>
      <c r="D95" s="95" t="s">
        <v>59</v>
      </c>
      <c r="E95" s="96">
        <v>50</v>
      </c>
      <c r="F95" s="63"/>
      <c r="G95" s="64" t="s">
        <v>285</v>
      </c>
    </row>
    <row r="96" spans="1:7" s="4" customFormat="1" ht="32.25" customHeight="1" x14ac:dyDescent="0.3">
      <c r="A96" s="5"/>
      <c r="B96" s="6"/>
      <c r="C96" s="5"/>
      <c r="D96" s="8" t="s">
        <v>14</v>
      </c>
      <c r="E96" s="9">
        <v>50</v>
      </c>
      <c r="F96" s="63"/>
      <c r="G96" s="64"/>
    </row>
    <row r="97" spans="1:7" s="4" customFormat="1" ht="32.25" customHeight="1" thickBot="1" x14ac:dyDescent="0.35">
      <c r="A97" s="5"/>
      <c r="B97" s="6"/>
      <c r="C97" s="25"/>
      <c r="D97" s="161" t="s">
        <v>11</v>
      </c>
      <c r="E97" s="162" t="s">
        <v>10</v>
      </c>
      <c r="F97" s="77"/>
      <c r="G97" s="78"/>
    </row>
    <row r="98" spans="1:7" s="4" customFormat="1" ht="33.75" customHeight="1" thickBot="1" x14ac:dyDescent="0.35">
      <c r="A98" s="25"/>
      <c r="B98" s="26"/>
      <c r="C98" s="89"/>
      <c r="D98" s="90"/>
      <c r="E98" s="144"/>
      <c r="F98" s="144"/>
      <c r="G98" s="222"/>
    </row>
    <row r="99" spans="1:7" s="4" customFormat="1" ht="32.25" customHeight="1" x14ac:dyDescent="0.3">
      <c r="A99" s="5">
        <v>44001</v>
      </c>
      <c r="B99" s="6" t="s">
        <v>55</v>
      </c>
      <c r="C99" s="72" t="s">
        <v>16</v>
      </c>
      <c r="D99" s="32" t="s">
        <v>17</v>
      </c>
      <c r="E99" s="33">
        <v>320</v>
      </c>
      <c r="F99" s="34"/>
      <c r="G99" s="35" t="s">
        <v>122</v>
      </c>
    </row>
    <row r="100" spans="1:7" s="4" customFormat="1" ht="32.25" customHeight="1" x14ac:dyDescent="0.3">
      <c r="A100" s="5"/>
      <c r="B100" s="6"/>
      <c r="C100" s="84"/>
      <c r="D100" s="8" t="s">
        <v>75</v>
      </c>
      <c r="E100" s="9">
        <v>200</v>
      </c>
      <c r="F100" s="10"/>
      <c r="G100" s="11" t="s">
        <v>277</v>
      </c>
    </row>
    <row r="101" spans="1:7" s="4" customFormat="1" ht="32.25" customHeight="1" thickBot="1" x14ac:dyDescent="0.35">
      <c r="A101" s="5"/>
      <c r="B101" s="6"/>
      <c r="C101" s="76" t="s">
        <v>107</v>
      </c>
      <c r="D101" s="21" t="s">
        <v>13</v>
      </c>
      <c r="E101" s="22">
        <v>150</v>
      </c>
      <c r="F101" s="262"/>
      <c r="G101" s="224" t="s">
        <v>73</v>
      </c>
    </row>
    <row r="102" spans="1:7" s="4" customFormat="1" ht="33.75" customHeight="1" thickBot="1" x14ac:dyDescent="0.35">
      <c r="A102" s="25"/>
      <c r="B102" s="26"/>
      <c r="C102" s="89"/>
      <c r="D102" s="90"/>
      <c r="E102" s="144"/>
      <c r="F102" s="144"/>
      <c r="G102" s="222"/>
    </row>
    <row r="103" spans="1:7" s="4" customFormat="1" ht="108.75" customHeight="1" thickBot="1" x14ac:dyDescent="0.35">
      <c r="A103" s="1" t="s">
        <v>0</v>
      </c>
      <c r="B103" s="2"/>
      <c r="C103" s="2"/>
      <c r="D103" s="2"/>
      <c r="E103" s="2"/>
      <c r="F103" s="2"/>
      <c r="G103" s="3"/>
    </row>
    <row r="104" spans="1:7" s="4" customFormat="1" ht="33.75" customHeight="1" x14ac:dyDescent="0.3">
      <c r="A104" s="72">
        <v>44004</v>
      </c>
      <c r="B104" s="99" t="s">
        <v>1</v>
      </c>
      <c r="C104" s="7" t="s">
        <v>176</v>
      </c>
      <c r="D104" s="14" t="s">
        <v>86</v>
      </c>
      <c r="E104" s="15">
        <v>100</v>
      </c>
      <c r="F104" s="81"/>
      <c r="G104" s="11" t="s">
        <v>73</v>
      </c>
    </row>
    <row r="105" spans="1:7" s="4" customFormat="1" ht="33.75" customHeight="1" x14ac:dyDescent="0.3">
      <c r="A105" s="5"/>
      <c r="B105" s="6"/>
      <c r="C105" s="16" t="s">
        <v>69</v>
      </c>
      <c r="D105" s="8" t="s">
        <v>70</v>
      </c>
      <c r="E105" s="9">
        <v>50</v>
      </c>
      <c r="F105" s="10" t="s">
        <v>218</v>
      </c>
      <c r="G105" s="11" t="s">
        <v>285</v>
      </c>
    </row>
    <row r="106" spans="1:7" s="4" customFormat="1" ht="33.75" customHeight="1" thickBot="1" x14ac:dyDescent="0.35">
      <c r="A106" s="5"/>
      <c r="B106" s="6"/>
      <c r="C106" s="20"/>
      <c r="D106" s="161" t="s">
        <v>7</v>
      </c>
      <c r="E106" s="162" t="s">
        <v>50</v>
      </c>
      <c r="F106" s="23"/>
      <c r="G106" s="78" t="s">
        <v>184</v>
      </c>
    </row>
    <row r="107" spans="1:7" s="4" customFormat="1" ht="32.25" customHeight="1" thickBot="1" x14ac:dyDescent="0.35">
      <c r="A107" s="25"/>
      <c r="B107" s="26"/>
      <c r="C107" s="89" t="s">
        <v>112</v>
      </c>
      <c r="D107" s="90" t="s">
        <v>265</v>
      </c>
      <c r="E107" s="144" t="s">
        <v>398</v>
      </c>
      <c r="F107" s="144" t="s">
        <v>342</v>
      </c>
      <c r="G107" s="222" t="s">
        <v>276</v>
      </c>
    </row>
    <row r="108" spans="1:7" s="4" customFormat="1" ht="33.75" customHeight="1" x14ac:dyDescent="0.3">
      <c r="A108" s="72">
        <v>44005</v>
      </c>
      <c r="B108" s="99" t="s">
        <v>15</v>
      </c>
      <c r="C108" s="274" t="s">
        <v>22</v>
      </c>
      <c r="D108" s="8" t="s">
        <v>23</v>
      </c>
      <c r="E108" s="9">
        <v>100</v>
      </c>
      <c r="F108" s="37" t="s">
        <v>24</v>
      </c>
      <c r="G108" s="38" t="s">
        <v>399</v>
      </c>
    </row>
    <row r="109" spans="1:7" s="4" customFormat="1" ht="33.75" customHeight="1" x14ac:dyDescent="0.3">
      <c r="A109" s="5"/>
      <c r="B109" s="6"/>
      <c r="C109" s="13" t="s">
        <v>175</v>
      </c>
      <c r="D109" s="8" t="s">
        <v>23</v>
      </c>
      <c r="E109" s="9">
        <v>100</v>
      </c>
      <c r="F109" s="10"/>
      <c r="G109" s="64" t="s">
        <v>164</v>
      </c>
    </row>
    <row r="110" spans="1:7" s="4" customFormat="1" ht="33.75" customHeight="1" x14ac:dyDescent="0.3">
      <c r="A110" s="5"/>
      <c r="B110" s="6"/>
      <c r="C110" s="13" t="s">
        <v>152</v>
      </c>
      <c r="D110" s="8" t="s">
        <v>7</v>
      </c>
      <c r="E110" s="9" t="s">
        <v>35</v>
      </c>
      <c r="F110" s="37"/>
      <c r="G110" s="11"/>
    </row>
    <row r="111" spans="1:7" s="4" customFormat="1" ht="33.75" customHeight="1" x14ac:dyDescent="0.3">
      <c r="A111" s="5"/>
      <c r="B111" s="6"/>
      <c r="C111" s="17" t="s">
        <v>74</v>
      </c>
      <c r="D111" s="14" t="s">
        <v>7</v>
      </c>
      <c r="E111" s="15" t="s">
        <v>97</v>
      </c>
      <c r="F111" s="37"/>
      <c r="G111" s="38" t="s">
        <v>73</v>
      </c>
    </row>
    <row r="112" spans="1:7" s="4" customFormat="1" ht="33.75" customHeight="1" x14ac:dyDescent="0.3">
      <c r="A112" s="5"/>
      <c r="B112" s="6"/>
      <c r="C112" s="17"/>
      <c r="D112" s="8" t="s">
        <v>11</v>
      </c>
      <c r="E112" s="9" t="s">
        <v>98</v>
      </c>
      <c r="F112" s="10"/>
      <c r="G112" s="11"/>
    </row>
    <row r="113" spans="1:7" s="4" customFormat="1" ht="33.75" customHeight="1" x14ac:dyDescent="0.3">
      <c r="A113" s="5"/>
      <c r="B113" s="6"/>
      <c r="C113" s="17"/>
      <c r="D113" s="8" t="s">
        <v>23</v>
      </c>
      <c r="E113" s="9">
        <v>10</v>
      </c>
      <c r="F113" s="10"/>
      <c r="G113" s="11"/>
    </row>
    <row r="114" spans="1:7" s="4" customFormat="1" ht="33.75" customHeight="1" thickBot="1" x14ac:dyDescent="0.35">
      <c r="A114" s="5"/>
      <c r="B114" s="6"/>
      <c r="C114" s="20"/>
      <c r="D114" s="193" t="s">
        <v>13</v>
      </c>
      <c r="E114" s="22">
        <v>100</v>
      </c>
      <c r="F114" s="220"/>
      <c r="G114" s="24"/>
    </row>
    <row r="115" spans="1:7" s="4" customFormat="1" ht="32.25" customHeight="1" thickBot="1" x14ac:dyDescent="0.35">
      <c r="A115" s="25"/>
      <c r="B115" s="26"/>
      <c r="C115" s="89" t="s">
        <v>66</v>
      </c>
      <c r="D115" s="90" t="s">
        <v>265</v>
      </c>
      <c r="E115" s="144" t="s">
        <v>400</v>
      </c>
      <c r="F115" s="144" t="s">
        <v>342</v>
      </c>
      <c r="G115" s="222" t="s">
        <v>276</v>
      </c>
    </row>
    <row r="116" spans="1:7" s="4" customFormat="1" ht="33.75" customHeight="1" x14ac:dyDescent="0.3">
      <c r="A116" s="72">
        <v>44006</v>
      </c>
      <c r="B116" s="99" t="s">
        <v>21</v>
      </c>
      <c r="C116" s="31" t="s">
        <v>16</v>
      </c>
      <c r="D116" s="32" t="s">
        <v>17</v>
      </c>
      <c r="E116" s="33">
        <v>361</v>
      </c>
      <c r="F116" s="34"/>
      <c r="G116" s="35"/>
    </row>
    <row r="117" spans="1:7" s="4" customFormat="1" ht="33.75" customHeight="1" x14ac:dyDescent="0.3">
      <c r="A117" s="5"/>
      <c r="B117" s="6"/>
      <c r="C117" s="36"/>
      <c r="D117" s="14" t="s">
        <v>18</v>
      </c>
      <c r="E117" s="15">
        <v>44</v>
      </c>
      <c r="F117" s="37"/>
      <c r="G117" s="38"/>
    </row>
    <row r="118" spans="1:7" s="4" customFormat="1" ht="33.75" customHeight="1" x14ac:dyDescent="0.3">
      <c r="A118" s="5"/>
      <c r="B118" s="6"/>
      <c r="C118" s="158" t="s">
        <v>61</v>
      </c>
      <c r="D118" s="14" t="s">
        <v>25</v>
      </c>
      <c r="E118" s="15">
        <v>100</v>
      </c>
      <c r="F118" s="37"/>
      <c r="G118" s="38" t="s">
        <v>285</v>
      </c>
    </row>
    <row r="119" spans="1:7" s="4" customFormat="1" ht="33.75" customHeight="1" x14ac:dyDescent="0.3">
      <c r="A119" s="5"/>
      <c r="B119" s="6"/>
      <c r="C119" s="16" t="s">
        <v>6</v>
      </c>
      <c r="D119" s="8" t="s">
        <v>7</v>
      </c>
      <c r="E119" s="9" t="s">
        <v>50</v>
      </c>
      <c r="F119" s="10"/>
      <c r="G119" s="11"/>
    </row>
    <row r="120" spans="1:7" s="4" customFormat="1" ht="33.75" customHeight="1" thickBot="1" x14ac:dyDescent="0.35">
      <c r="A120" s="5"/>
      <c r="B120" s="6"/>
      <c r="C120" s="20"/>
      <c r="D120" s="193" t="s">
        <v>13</v>
      </c>
      <c r="E120" s="162">
        <v>30</v>
      </c>
      <c r="F120" s="167"/>
      <c r="G120" s="24"/>
    </row>
    <row r="121" spans="1:7" s="4" customFormat="1" ht="33.75" customHeight="1" thickBot="1" x14ac:dyDescent="0.35">
      <c r="A121" s="25"/>
      <c r="B121" s="26"/>
      <c r="C121" s="89"/>
      <c r="D121" s="90"/>
      <c r="E121" s="144"/>
      <c r="F121" s="144"/>
      <c r="G121" s="222"/>
    </row>
    <row r="122" spans="1:7" s="4" customFormat="1" ht="33.75" customHeight="1" x14ac:dyDescent="0.3">
      <c r="A122" s="72">
        <v>44007</v>
      </c>
      <c r="B122" s="99" t="s">
        <v>41</v>
      </c>
      <c r="C122" s="31" t="s">
        <v>43</v>
      </c>
      <c r="D122" s="14" t="s">
        <v>211</v>
      </c>
      <c r="E122" s="15">
        <v>128</v>
      </c>
      <c r="F122" s="275" t="s">
        <v>218</v>
      </c>
      <c r="G122" s="11"/>
    </row>
    <row r="123" spans="1:7" s="4" customFormat="1" ht="33.75" customHeight="1" x14ac:dyDescent="0.3">
      <c r="A123" s="5"/>
      <c r="B123" s="6"/>
      <c r="C123" s="17"/>
      <c r="D123" s="14" t="s">
        <v>187</v>
      </c>
      <c r="E123" s="15">
        <v>52</v>
      </c>
      <c r="F123" s="104"/>
      <c r="G123" s="38"/>
    </row>
    <row r="124" spans="1:7" s="4" customFormat="1" ht="33.75" customHeight="1" x14ac:dyDescent="0.3">
      <c r="A124" s="5"/>
      <c r="B124" s="6"/>
      <c r="C124" s="17"/>
      <c r="D124" s="14" t="s">
        <v>29</v>
      </c>
      <c r="E124" s="15">
        <v>40</v>
      </c>
      <c r="F124" s="104"/>
      <c r="G124" s="38"/>
    </row>
    <row r="125" spans="1:7" s="4" customFormat="1" ht="33.75" customHeight="1" x14ac:dyDescent="0.3">
      <c r="A125" s="5"/>
      <c r="B125" s="6"/>
      <c r="C125" s="17"/>
      <c r="D125" s="14" t="s">
        <v>59</v>
      </c>
      <c r="E125" s="15">
        <v>100</v>
      </c>
      <c r="F125" s="104"/>
      <c r="G125" s="38"/>
    </row>
    <row r="126" spans="1:7" s="4" customFormat="1" ht="33.75" customHeight="1" x14ac:dyDescent="0.3">
      <c r="A126" s="5"/>
      <c r="B126" s="6"/>
      <c r="C126" s="36"/>
      <c r="D126" s="14" t="s">
        <v>14</v>
      </c>
      <c r="E126" s="15">
        <v>64</v>
      </c>
      <c r="F126" s="180"/>
      <c r="G126" s="263"/>
    </row>
    <row r="127" spans="1:7" s="4" customFormat="1" ht="33.75" customHeight="1" x14ac:dyDescent="0.3">
      <c r="A127" s="5"/>
      <c r="B127" s="6"/>
      <c r="C127" s="16" t="s">
        <v>82</v>
      </c>
      <c r="D127" s="14" t="s">
        <v>59</v>
      </c>
      <c r="E127" s="15">
        <v>50</v>
      </c>
      <c r="F127" s="180"/>
      <c r="G127" s="263" t="s">
        <v>285</v>
      </c>
    </row>
    <row r="128" spans="1:7" s="4" customFormat="1" ht="33.75" customHeight="1" x14ac:dyDescent="0.3">
      <c r="A128" s="5"/>
      <c r="B128" s="6"/>
      <c r="C128" s="36"/>
      <c r="D128" s="14" t="s">
        <v>14</v>
      </c>
      <c r="E128" s="15">
        <v>50</v>
      </c>
      <c r="F128" s="180"/>
      <c r="G128" s="263"/>
    </row>
    <row r="129" spans="1:7" s="4" customFormat="1" ht="33.75" customHeight="1" x14ac:dyDescent="0.3">
      <c r="A129" s="5"/>
      <c r="B129" s="6"/>
      <c r="C129" s="158" t="s">
        <v>325</v>
      </c>
      <c r="D129" s="14" t="s">
        <v>326</v>
      </c>
      <c r="E129" s="15">
        <v>152</v>
      </c>
      <c r="F129" s="180"/>
      <c r="G129" s="263" t="s">
        <v>73</v>
      </c>
    </row>
    <row r="130" spans="1:7" s="4" customFormat="1" ht="33.75" customHeight="1" x14ac:dyDescent="0.3">
      <c r="A130" s="5"/>
      <c r="B130" s="6"/>
      <c r="C130" s="16" t="s">
        <v>56</v>
      </c>
      <c r="D130" s="8" t="s">
        <v>59</v>
      </c>
      <c r="E130" s="9">
        <v>100</v>
      </c>
      <c r="F130" s="269"/>
      <c r="G130" s="186"/>
    </row>
    <row r="131" spans="1:7" s="4" customFormat="1" ht="33.75" customHeight="1" x14ac:dyDescent="0.3">
      <c r="A131" s="5"/>
      <c r="B131" s="6"/>
      <c r="C131" s="17"/>
      <c r="D131" s="82" t="s">
        <v>58</v>
      </c>
      <c r="E131" s="9">
        <v>50</v>
      </c>
      <c r="F131" s="74"/>
      <c r="G131" s="185"/>
    </row>
    <row r="132" spans="1:7" s="4" customFormat="1" ht="33.75" customHeight="1" thickBot="1" x14ac:dyDescent="0.35">
      <c r="A132" s="5"/>
      <c r="B132" s="6"/>
      <c r="C132" s="20"/>
      <c r="D132" s="193" t="s">
        <v>401</v>
      </c>
      <c r="E132" s="162">
        <v>52</v>
      </c>
      <c r="F132" s="225"/>
      <c r="G132" s="78"/>
    </row>
    <row r="133" spans="1:7" s="4" customFormat="1" ht="33.75" customHeight="1" thickBot="1" x14ac:dyDescent="0.35">
      <c r="A133" s="25"/>
      <c r="B133" s="26"/>
      <c r="C133" s="147"/>
      <c r="D133" s="148"/>
      <c r="E133" s="148"/>
      <c r="F133" s="148"/>
      <c r="G133" s="149"/>
    </row>
    <row r="134" spans="1:7" s="4" customFormat="1" ht="33.75" customHeight="1" x14ac:dyDescent="0.3">
      <c r="A134" s="72">
        <v>44008</v>
      </c>
      <c r="B134" s="99" t="s">
        <v>55</v>
      </c>
      <c r="C134" s="114" t="s">
        <v>16</v>
      </c>
      <c r="D134" s="32" t="s">
        <v>17</v>
      </c>
      <c r="E134" s="33">
        <v>549</v>
      </c>
      <c r="F134" s="178"/>
      <c r="G134" s="237" t="s">
        <v>123</v>
      </c>
    </row>
    <row r="135" spans="1:7" s="4" customFormat="1" ht="33.75" customHeight="1" x14ac:dyDescent="0.3">
      <c r="A135" s="5"/>
      <c r="B135" s="6"/>
      <c r="C135" s="17" t="s">
        <v>6</v>
      </c>
      <c r="D135" s="14" t="s">
        <v>9</v>
      </c>
      <c r="E135" s="15" t="s">
        <v>259</v>
      </c>
      <c r="F135" s="180"/>
      <c r="G135" s="263" t="s">
        <v>285</v>
      </c>
    </row>
    <row r="136" spans="1:7" s="4" customFormat="1" ht="33.75" customHeight="1" x14ac:dyDescent="0.3">
      <c r="A136" s="5"/>
      <c r="B136" s="6"/>
      <c r="C136" s="17"/>
      <c r="D136" s="8" t="s">
        <v>11</v>
      </c>
      <c r="E136" s="9" t="s">
        <v>259</v>
      </c>
      <c r="F136" s="269"/>
      <c r="G136" s="186"/>
    </row>
    <row r="137" spans="1:7" s="4" customFormat="1" ht="33.75" customHeight="1" x14ac:dyDescent="0.3">
      <c r="A137" s="5"/>
      <c r="B137" s="6"/>
      <c r="C137" s="17"/>
      <c r="D137" s="8" t="s">
        <v>13</v>
      </c>
      <c r="E137" s="9">
        <v>30</v>
      </c>
      <c r="F137" s="269"/>
      <c r="G137" s="186"/>
    </row>
    <row r="138" spans="1:7" s="4" customFormat="1" ht="33.75" customHeight="1" x14ac:dyDescent="0.3">
      <c r="A138" s="5"/>
      <c r="B138" s="6"/>
      <c r="C138" s="36"/>
      <c r="D138" s="14" t="s">
        <v>14</v>
      </c>
      <c r="E138" s="15">
        <v>10</v>
      </c>
      <c r="F138" s="180"/>
      <c r="G138" s="263"/>
    </row>
    <row r="139" spans="1:7" s="4" customFormat="1" ht="33.75" customHeight="1" x14ac:dyDescent="0.3">
      <c r="A139" s="5"/>
      <c r="B139" s="6"/>
      <c r="C139" s="16" t="s">
        <v>107</v>
      </c>
      <c r="D139" s="8" t="s">
        <v>13</v>
      </c>
      <c r="E139" s="9">
        <v>200</v>
      </c>
      <c r="F139" s="269"/>
      <c r="G139" s="186" t="s">
        <v>73</v>
      </c>
    </row>
    <row r="140" spans="1:7" s="4" customFormat="1" ht="33.75" customHeight="1" x14ac:dyDescent="0.3">
      <c r="A140" s="5"/>
      <c r="B140" s="6"/>
      <c r="C140" s="17"/>
      <c r="D140" s="8" t="s">
        <v>7</v>
      </c>
      <c r="E140" s="9" t="s">
        <v>339</v>
      </c>
      <c r="F140" s="269" t="s">
        <v>104</v>
      </c>
      <c r="G140" s="186"/>
    </row>
    <row r="141" spans="1:7" s="4" customFormat="1" ht="33.75" customHeight="1" x14ac:dyDescent="0.3">
      <c r="A141" s="5"/>
      <c r="B141" s="6"/>
      <c r="C141" s="36"/>
      <c r="D141" s="8" t="s">
        <v>11</v>
      </c>
      <c r="E141" s="9" t="s">
        <v>155</v>
      </c>
      <c r="F141" s="269" t="s">
        <v>104</v>
      </c>
      <c r="G141" s="186"/>
    </row>
    <row r="142" spans="1:7" s="4" customFormat="1" ht="33.75" customHeight="1" x14ac:dyDescent="0.3">
      <c r="A142" s="5"/>
      <c r="B142" s="6"/>
      <c r="C142" s="158" t="s">
        <v>402</v>
      </c>
      <c r="D142" s="18" t="s">
        <v>5</v>
      </c>
      <c r="E142" s="19">
        <v>100</v>
      </c>
      <c r="F142" s="270"/>
      <c r="G142" s="271" t="s">
        <v>73</v>
      </c>
    </row>
    <row r="143" spans="1:7" s="4" customFormat="1" ht="33.75" customHeight="1" thickBot="1" x14ac:dyDescent="0.35">
      <c r="A143" s="5"/>
      <c r="B143" s="6"/>
      <c r="C143" s="107" t="s">
        <v>69</v>
      </c>
      <c r="D143" s="108" t="s">
        <v>70</v>
      </c>
      <c r="E143" s="22">
        <v>100</v>
      </c>
      <c r="F143" s="225" t="s">
        <v>284</v>
      </c>
      <c r="G143" s="78" t="s">
        <v>73</v>
      </c>
    </row>
    <row r="144" spans="1:7" s="4" customFormat="1" ht="33.75" customHeight="1" thickBot="1" x14ac:dyDescent="0.35">
      <c r="A144" s="25"/>
      <c r="B144" s="26"/>
      <c r="C144" s="147"/>
      <c r="D144" s="148"/>
      <c r="E144" s="148"/>
      <c r="F144" s="148"/>
      <c r="G144" s="149"/>
    </row>
    <row r="145" spans="1:7" s="4" customFormat="1" ht="108.75" customHeight="1" thickBot="1" x14ac:dyDescent="0.35">
      <c r="A145" s="1" t="s">
        <v>0</v>
      </c>
      <c r="B145" s="2"/>
      <c r="C145" s="2"/>
      <c r="D145" s="2"/>
      <c r="E145" s="2"/>
      <c r="F145" s="2"/>
      <c r="G145" s="3"/>
    </row>
    <row r="146" spans="1:7" s="4" customFormat="1" ht="30.75" customHeight="1" x14ac:dyDescent="0.3">
      <c r="A146" s="72">
        <v>44011</v>
      </c>
      <c r="B146" s="99" t="s">
        <v>1</v>
      </c>
      <c r="C146" s="31" t="s">
        <v>16</v>
      </c>
      <c r="D146" s="14" t="s">
        <v>17</v>
      </c>
      <c r="E146" s="15">
        <v>147</v>
      </c>
      <c r="F146" s="81"/>
      <c r="G146" s="11"/>
    </row>
    <row r="147" spans="1:7" s="4" customFormat="1" ht="30.75" customHeight="1" x14ac:dyDescent="0.3">
      <c r="A147" s="5"/>
      <c r="B147" s="6"/>
      <c r="C147" s="36"/>
      <c r="D147" s="100" t="s">
        <v>75</v>
      </c>
      <c r="E147" s="15">
        <v>100</v>
      </c>
      <c r="F147" s="265"/>
      <c r="G147" s="11"/>
    </row>
    <row r="148" spans="1:7" s="4" customFormat="1" ht="30.75" customHeight="1" x14ac:dyDescent="0.3">
      <c r="A148" s="5"/>
      <c r="B148" s="6"/>
      <c r="C148" s="16" t="s">
        <v>74</v>
      </c>
      <c r="D148" s="8" t="s">
        <v>108</v>
      </c>
      <c r="E148" s="96" t="s">
        <v>64</v>
      </c>
      <c r="F148" s="267"/>
      <c r="G148" s="64"/>
    </row>
    <row r="149" spans="1:7" s="4" customFormat="1" ht="30.75" customHeight="1" x14ac:dyDescent="0.3">
      <c r="A149" s="5"/>
      <c r="B149" s="6"/>
      <c r="C149" s="17"/>
      <c r="D149" s="8" t="s">
        <v>11</v>
      </c>
      <c r="E149" s="96" t="s">
        <v>375</v>
      </c>
      <c r="F149" s="267"/>
      <c r="G149" s="64"/>
    </row>
    <row r="150" spans="1:7" s="4" customFormat="1" ht="30.75" customHeight="1" x14ac:dyDescent="0.3">
      <c r="A150" s="5"/>
      <c r="B150" s="6"/>
      <c r="C150" s="36"/>
      <c r="D150" s="95" t="s">
        <v>13</v>
      </c>
      <c r="E150" s="96">
        <v>112</v>
      </c>
      <c r="F150" s="267"/>
      <c r="G150" s="64"/>
    </row>
    <row r="151" spans="1:7" s="4" customFormat="1" ht="30.75" customHeight="1" x14ac:dyDescent="0.3">
      <c r="A151" s="5"/>
      <c r="B151" s="6"/>
      <c r="C151" s="16" t="s">
        <v>82</v>
      </c>
      <c r="D151" s="95" t="s">
        <v>3</v>
      </c>
      <c r="E151" s="96">
        <v>30</v>
      </c>
      <c r="F151" s="267"/>
      <c r="G151" s="64"/>
    </row>
    <row r="152" spans="1:7" s="4" customFormat="1" ht="30.75" customHeight="1" thickBot="1" x14ac:dyDescent="0.35">
      <c r="A152" s="5"/>
      <c r="B152" s="6"/>
      <c r="C152" s="20"/>
      <c r="D152" s="108" t="s">
        <v>14</v>
      </c>
      <c r="E152" s="22">
        <v>20</v>
      </c>
      <c r="F152" s="268"/>
      <c r="G152" s="78"/>
    </row>
    <row r="153" spans="1:7" s="4" customFormat="1" ht="30.75" customHeight="1" thickBot="1" x14ac:dyDescent="0.35">
      <c r="A153" s="25"/>
      <c r="B153" s="26"/>
      <c r="C153" s="89"/>
      <c r="D153" s="90"/>
      <c r="E153" s="144"/>
      <c r="F153" s="144"/>
      <c r="G153" s="222"/>
    </row>
    <row r="154" spans="1:7" s="4" customFormat="1" ht="30.75" customHeight="1" x14ac:dyDescent="0.3">
      <c r="A154" s="72">
        <v>44012</v>
      </c>
      <c r="B154" s="99" t="s">
        <v>15</v>
      </c>
      <c r="C154" s="31" t="s">
        <v>16</v>
      </c>
      <c r="D154" s="8" t="s">
        <v>17</v>
      </c>
      <c r="E154" s="9">
        <v>241</v>
      </c>
      <c r="F154" s="37"/>
      <c r="G154" s="38"/>
    </row>
    <row r="155" spans="1:7" s="4" customFormat="1" ht="30.75" customHeight="1" x14ac:dyDescent="0.3">
      <c r="A155" s="5"/>
      <c r="B155" s="6"/>
      <c r="C155" s="17"/>
      <c r="D155" s="95" t="s">
        <v>75</v>
      </c>
      <c r="E155" s="96">
        <v>100</v>
      </c>
      <c r="F155" s="63"/>
      <c r="G155" s="64"/>
    </row>
    <row r="156" spans="1:7" s="4" customFormat="1" ht="30.75" customHeight="1" x14ac:dyDescent="0.3">
      <c r="A156" s="5"/>
      <c r="B156" s="6"/>
      <c r="C156" s="36"/>
      <c r="D156" s="8" t="s">
        <v>18</v>
      </c>
      <c r="E156" s="9">
        <v>1</v>
      </c>
      <c r="F156" s="10"/>
      <c r="G156" s="11"/>
    </row>
    <row r="157" spans="1:7" s="4" customFormat="1" ht="30.75" customHeight="1" x14ac:dyDescent="0.3">
      <c r="A157" s="5"/>
      <c r="B157" s="6"/>
      <c r="C157" s="13" t="s">
        <v>117</v>
      </c>
      <c r="D157" s="8" t="s">
        <v>403</v>
      </c>
      <c r="E157" s="9">
        <v>200</v>
      </c>
      <c r="F157" s="10"/>
      <c r="G157" s="11" t="s">
        <v>118</v>
      </c>
    </row>
    <row r="158" spans="1:7" s="4" customFormat="1" ht="30.75" customHeight="1" thickBot="1" x14ac:dyDescent="0.35">
      <c r="A158" s="5"/>
      <c r="B158" s="6"/>
      <c r="C158" s="213" t="s">
        <v>382</v>
      </c>
      <c r="D158" s="193"/>
      <c r="E158" s="220"/>
      <c r="F158" s="220"/>
      <c r="G158" s="24"/>
    </row>
    <row r="159" spans="1:7" s="4" customFormat="1" ht="30.75" customHeight="1" thickBot="1" x14ac:dyDescent="0.35">
      <c r="A159" s="25"/>
      <c r="B159" s="26"/>
      <c r="C159" s="27"/>
      <c r="D159" s="28"/>
      <c r="E159" s="29"/>
      <c r="F159" s="29"/>
      <c r="G159" s="30"/>
    </row>
    <row r="160" spans="1:7" ht="30.75" customHeight="1" x14ac:dyDescent="0.3">
      <c r="A160" s="72">
        <v>44013</v>
      </c>
      <c r="B160" s="99" t="s">
        <v>21</v>
      </c>
      <c r="C160" s="31" t="s">
        <v>307</v>
      </c>
      <c r="D160" s="32" t="s">
        <v>29</v>
      </c>
      <c r="E160" s="33">
        <v>220</v>
      </c>
      <c r="F160" s="34"/>
      <c r="G160" s="35"/>
    </row>
    <row r="161" spans="1:7" ht="30.75" customHeight="1" x14ac:dyDescent="0.3">
      <c r="A161" s="5"/>
      <c r="B161" s="6"/>
      <c r="C161" s="17"/>
      <c r="D161" s="8" t="s">
        <v>44</v>
      </c>
      <c r="E161" s="9">
        <v>20</v>
      </c>
      <c r="F161" s="10"/>
      <c r="G161" s="11"/>
    </row>
    <row r="162" spans="1:7" ht="30.75" customHeight="1" x14ac:dyDescent="0.3">
      <c r="A162" s="5"/>
      <c r="B162" s="6"/>
      <c r="C162" s="17"/>
      <c r="D162" s="14" t="s">
        <v>31</v>
      </c>
      <c r="E162" s="15">
        <v>20</v>
      </c>
      <c r="F162" s="37"/>
      <c r="G162" s="38"/>
    </row>
    <row r="163" spans="1:7" ht="30.75" customHeight="1" x14ac:dyDescent="0.3">
      <c r="A163" s="5"/>
      <c r="B163" s="6"/>
      <c r="C163" s="36"/>
      <c r="D163" s="100" t="s">
        <v>7</v>
      </c>
      <c r="E163" s="106" t="s">
        <v>50</v>
      </c>
      <c r="F163" s="106"/>
      <c r="G163" s="38"/>
    </row>
    <row r="164" spans="1:7" ht="30.75" customHeight="1" thickBot="1" x14ac:dyDescent="0.35">
      <c r="A164" s="5"/>
      <c r="B164" s="6"/>
      <c r="C164" s="51" t="s">
        <v>32</v>
      </c>
      <c r="D164" s="193" t="s">
        <v>368</v>
      </c>
      <c r="E164" s="15">
        <v>50</v>
      </c>
      <c r="F164" s="220"/>
      <c r="G164" s="24" t="s">
        <v>73</v>
      </c>
    </row>
    <row r="165" spans="1:7" ht="30.75" customHeight="1" thickBot="1" x14ac:dyDescent="0.35">
      <c r="A165" s="25"/>
      <c r="B165" s="26"/>
      <c r="C165" s="27"/>
      <c r="D165" s="28"/>
      <c r="E165" s="29"/>
      <c r="F165" s="29"/>
      <c r="G165" s="30"/>
    </row>
    <row r="166" spans="1:7" ht="30.75" customHeight="1" x14ac:dyDescent="0.3">
      <c r="A166" s="72">
        <v>44014</v>
      </c>
      <c r="B166" s="99" t="s">
        <v>41</v>
      </c>
      <c r="C166" s="31" t="s">
        <v>43</v>
      </c>
      <c r="D166" s="32" t="s">
        <v>125</v>
      </c>
      <c r="E166" s="9">
        <v>128</v>
      </c>
      <c r="F166" s="37"/>
      <c r="G166" s="38"/>
    </row>
    <row r="167" spans="1:7" ht="30.75" customHeight="1" x14ac:dyDescent="0.3">
      <c r="A167" s="5"/>
      <c r="B167" s="6"/>
      <c r="C167" s="17"/>
      <c r="D167" s="8" t="s">
        <v>13</v>
      </c>
      <c r="E167" s="9">
        <v>50</v>
      </c>
      <c r="F167" s="10"/>
      <c r="G167" s="11"/>
    </row>
    <row r="168" spans="1:7" ht="30.75" customHeight="1" x14ac:dyDescent="0.3">
      <c r="A168" s="5"/>
      <c r="B168" s="6"/>
      <c r="C168" s="17"/>
      <c r="D168" s="8" t="s">
        <v>14</v>
      </c>
      <c r="E168" s="9">
        <v>64</v>
      </c>
      <c r="F168" s="10"/>
      <c r="G168" s="11"/>
    </row>
    <row r="169" spans="1:7" ht="30.75" customHeight="1" x14ac:dyDescent="0.3">
      <c r="A169" s="5"/>
      <c r="B169" s="6"/>
      <c r="C169" s="17"/>
      <c r="D169" s="18" t="s">
        <v>29</v>
      </c>
      <c r="E169" s="19">
        <v>40</v>
      </c>
      <c r="F169" s="47"/>
      <c r="G169" s="48"/>
    </row>
    <row r="170" spans="1:7" ht="30.75" customHeight="1" x14ac:dyDescent="0.3">
      <c r="A170" s="5"/>
      <c r="B170" s="6"/>
      <c r="C170" s="36"/>
      <c r="D170" s="95" t="s">
        <v>31</v>
      </c>
      <c r="E170" s="96">
        <v>30</v>
      </c>
      <c r="F170" s="63"/>
      <c r="G170" s="64"/>
    </row>
    <row r="171" spans="1:7" ht="30.75" customHeight="1" x14ac:dyDescent="0.3">
      <c r="A171" s="5"/>
      <c r="B171" s="6"/>
      <c r="C171" s="16" t="s">
        <v>6</v>
      </c>
      <c r="D171" s="8" t="s">
        <v>7</v>
      </c>
      <c r="E171" s="9" t="s">
        <v>62</v>
      </c>
      <c r="F171" s="10"/>
      <c r="G171" s="11"/>
    </row>
    <row r="172" spans="1:7" ht="30.75" customHeight="1" thickBot="1" x14ac:dyDescent="0.35">
      <c r="A172" s="5"/>
      <c r="B172" s="6"/>
      <c r="C172" s="20"/>
      <c r="D172" s="193" t="s">
        <v>11</v>
      </c>
      <c r="E172" s="220" t="s">
        <v>259</v>
      </c>
      <c r="F172" s="220"/>
      <c r="G172" s="24"/>
    </row>
    <row r="173" spans="1:7" ht="30.75" customHeight="1" thickBot="1" x14ac:dyDescent="0.35">
      <c r="A173" s="25"/>
      <c r="B173" s="26"/>
      <c r="C173" s="89"/>
      <c r="D173" s="90"/>
      <c r="E173" s="144"/>
      <c r="F173" s="144"/>
      <c r="G173" s="222"/>
    </row>
    <row r="174" spans="1:7" ht="30.75" customHeight="1" x14ac:dyDescent="0.3">
      <c r="A174" s="72">
        <v>44015</v>
      </c>
      <c r="B174" s="99" t="s">
        <v>55</v>
      </c>
      <c r="C174" s="31" t="s">
        <v>16</v>
      </c>
      <c r="D174" s="8" t="s">
        <v>17</v>
      </c>
      <c r="E174" s="9">
        <v>58</v>
      </c>
      <c r="F174" s="37"/>
      <c r="G174" s="38"/>
    </row>
    <row r="175" spans="1:7" ht="30.75" customHeight="1" x14ac:dyDescent="0.3">
      <c r="A175" s="5"/>
      <c r="B175" s="6"/>
      <c r="C175" s="17"/>
      <c r="D175" s="8" t="s">
        <v>75</v>
      </c>
      <c r="E175" s="9">
        <v>200</v>
      </c>
      <c r="F175" s="37"/>
      <c r="G175" s="38"/>
    </row>
    <row r="176" spans="1:7" ht="30.75" customHeight="1" x14ac:dyDescent="0.3">
      <c r="A176" s="5"/>
      <c r="B176" s="6"/>
      <c r="C176" s="36"/>
      <c r="D176" s="8" t="s">
        <v>18</v>
      </c>
      <c r="E176" s="9">
        <v>1</v>
      </c>
      <c r="F176" s="10"/>
      <c r="G176" s="11"/>
    </row>
    <row r="177" spans="1:7" ht="30.75" customHeight="1" x14ac:dyDescent="0.3">
      <c r="A177" s="5"/>
      <c r="B177" s="6"/>
      <c r="C177" s="17" t="s">
        <v>82</v>
      </c>
      <c r="D177" s="14" t="s">
        <v>404</v>
      </c>
      <c r="E177" s="15">
        <v>23</v>
      </c>
      <c r="F177" s="37"/>
      <c r="G177" s="38"/>
    </row>
    <row r="178" spans="1:7" ht="30.75" customHeight="1" x14ac:dyDescent="0.3">
      <c r="A178" s="5"/>
      <c r="B178" s="6"/>
      <c r="C178" s="17"/>
      <c r="D178" s="8" t="s">
        <v>93</v>
      </c>
      <c r="E178" s="9">
        <v>30</v>
      </c>
      <c r="F178" s="10"/>
      <c r="G178" s="11"/>
    </row>
    <row r="179" spans="1:7" ht="30.75" customHeight="1" x14ac:dyDescent="0.3">
      <c r="A179" s="5"/>
      <c r="B179" s="6"/>
      <c r="C179" s="17"/>
      <c r="D179" s="18" t="s">
        <v>59</v>
      </c>
      <c r="E179" s="9">
        <v>48</v>
      </c>
      <c r="F179" s="47"/>
      <c r="G179" s="48"/>
    </row>
    <row r="180" spans="1:7" ht="30.75" customHeight="1" thickBot="1" x14ac:dyDescent="0.35">
      <c r="A180" s="5"/>
      <c r="B180" s="6"/>
      <c r="C180" s="20"/>
      <c r="D180" s="193" t="s">
        <v>83</v>
      </c>
      <c r="E180" s="9">
        <v>50</v>
      </c>
      <c r="F180" s="220"/>
      <c r="G180" s="24"/>
    </row>
    <row r="181" spans="1:7" ht="30.75" customHeight="1" thickBot="1" x14ac:dyDescent="0.35">
      <c r="A181" s="25"/>
      <c r="B181" s="26"/>
      <c r="C181" s="27"/>
      <c r="D181" s="28"/>
      <c r="E181" s="29"/>
      <c r="F181" s="29"/>
      <c r="G181" s="30"/>
    </row>
  </sheetData>
  <mergeCells count="98">
    <mergeCell ref="A166:A173"/>
    <mergeCell ref="B166:B173"/>
    <mergeCell ref="C166:C170"/>
    <mergeCell ref="C171:C172"/>
    <mergeCell ref="A174:A181"/>
    <mergeCell ref="B174:B181"/>
    <mergeCell ref="C174:C176"/>
    <mergeCell ref="C177:C180"/>
    <mergeCell ref="A154:A159"/>
    <mergeCell ref="B154:B159"/>
    <mergeCell ref="C154:C156"/>
    <mergeCell ref="A160:A165"/>
    <mergeCell ref="B160:B165"/>
    <mergeCell ref="C160:C163"/>
    <mergeCell ref="A145:G145"/>
    <mergeCell ref="A146:A153"/>
    <mergeCell ref="B146:B153"/>
    <mergeCell ref="C146:C147"/>
    <mergeCell ref="C148:C150"/>
    <mergeCell ref="C151:C152"/>
    <mergeCell ref="A122:A133"/>
    <mergeCell ref="B122:B133"/>
    <mergeCell ref="C122:C126"/>
    <mergeCell ref="C127:C128"/>
    <mergeCell ref="C130:C132"/>
    <mergeCell ref="A134:A144"/>
    <mergeCell ref="B134:B144"/>
    <mergeCell ref="C135:C138"/>
    <mergeCell ref="C139:C141"/>
    <mergeCell ref="A108:A115"/>
    <mergeCell ref="B108:B115"/>
    <mergeCell ref="C111:C114"/>
    <mergeCell ref="A116:A121"/>
    <mergeCell ref="B116:B121"/>
    <mergeCell ref="C116:C117"/>
    <mergeCell ref="C119:C120"/>
    <mergeCell ref="A99:A102"/>
    <mergeCell ref="B99:B102"/>
    <mergeCell ref="C99:C100"/>
    <mergeCell ref="A103:G103"/>
    <mergeCell ref="A104:A107"/>
    <mergeCell ref="B104:B107"/>
    <mergeCell ref="C105:C106"/>
    <mergeCell ref="A84:A90"/>
    <mergeCell ref="B84:B90"/>
    <mergeCell ref="C86:C87"/>
    <mergeCell ref="C88:C89"/>
    <mergeCell ref="A91:A98"/>
    <mergeCell ref="B91:B98"/>
    <mergeCell ref="C91:C92"/>
    <mergeCell ref="C93:C94"/>
    <mergeCell ref="C95:C97"/>
    <mergeCell ref="A71:G71"/>
    <mergeCell ref="A72:A80"/>
    <mergeCell ref="B72:B80"/>
    <mergeCell ref="C74:C76"/>
    <mergeCell ref="C78:C79"/>
    <mergeCell ref="A81:A83"/>
    <mergeCell ref="B81:B83"/>
    <mergeCell ref="C81:C82"/>
    <mergeCell ref="A62:A68"/>
    <mergeCell ref="B62:B68"/>
    <mergeCell ref="C62:C63"/>
    <mergeCell ref="C64:C66"/>
    <mergeCell ref="A69:A70"/>
    <mergeCell ref="B69:B70"/>
    <mergeCell ref="A37:A45"/>
    <mergeCell ref="B37:B45"/>
    <mergeCell ref="C38:C39"/>
    <mergeCell ref="C40:C41"/>
    <mergeCell ref="C42:C44"/>
    <mergeCell ref="A46:A61"/>
    <mergeCell ref="B46:B61"/>
    <mergeCell ref="C46:C51"/>
    <mergeCell ref="C53:C56"/>
    <mergeCell ref="C59:C60"/>
    <mergeCell ref="A29:G29"/>
    <mergeCell ref="A30:A36"/>
    <mergeCell ref="B30:B36"/>
    <mergeCell ref="C30:C31"/>
    <mergeCell ref="C32:C33"/>
    <mergeCell ref="C34:C35"/>
    <mergeCell ref="A15:A19"/>
    <mergeCell ref="B15:B19"/>
    <mergeCell ref="C16:C18"/>
    <mergeCell ref="A20:A22"/>
    <mergeCell ref="B20:B22"/>
    <mergeCell ref="A23:A28"/>
    <mergeCell ref="B23:B28"/>
    <mergeCell ref="C23:C26"/>
    <mergeCell ref="A1:G1"/>
    <mergeCell ref="A2:A5"/>
    <mergeCell ref="B2:B5"/>
    <mergeCell ref="C2:C3"/>
    <mergeCell ref="A6:A14"/>
    <mergeCell ref="B6:B14"/>
    <mergeCell ref="C6:C11"/>
    <mergeCell ref="C12:C13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70" fitToHeight="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view="pageBreakPreview" topLeftCell="A46" zoomScale="87" zoomScaleNormal="87" zoomScaleSheetLayoutView="87" workbookViewId="0">
      <selection activeCell="D121" sqref="D121"/>
    </sheetView>
  </sheetViews>
  <sheetFormatPr defaultColWidth="9" defaultRowHeight="36" customHeight="1" x14ac:dyDescent="0.3"/>
  <cols>
    <col min="1" max="1" width="12.375" style="124" customWidth="1"/>
    <col min="2" max="2" width="7.25" style="125" customWidth="1"/>
    <col min="3" max="3" width="21.875" style="126" customWidth="1"/>
    <col min="4" max="4" width="22.5" style="12" customWidth="1"/>
    <col min="5" max="5" width="15.375" style="127" customWidth="1"/>
    <col min="6" max="6" width="24.25" style="127" customWidth="1"/>
    <col min="7" max="7" width="28.125" style="128" customWidth="1"/>
    <col min="8" max="8" width="42.5" style="4" customWidth="1"/>
    <col min="9" max="16384" width="9" style="12"/>
  </cols>
  <sheetData>
    <row r="1" spans="1:7" s="4" customFormat="1" ht="102" customHeight="1" thickBot="1" x14ac:dyDescent="0.35">
      <c r="A1" s="1" t="s">
        <v>0</v>
      </c>
      <c r="B1" s="2"/>
      <c r="C1" s="2"/>
      <c r="D1" s="2"/>
      <c r="E1" s="2"/>
      <c r="F1" s="2"/>
      <c r="G1" s="3"/>
    </row>
    <row r="2" spans="1:7" s="4" customFormat="1" ht="30" customHeight="1" x14ac:dyDescent="0.3">
      <c r="A2" s="72">
        <v>44018</v>
      </c>
      <c r="B2" s="73" t="s">
        <v>1</v>
      </c>
      <c r="C2" s="114" t="s">
        <v>16</v>
      </c>
      <c r="D2" s="8" t="s">
        <v>17</v>
      </c>
      <c r="E2" s="9">
        <v>256</v>
      </c>
      <c r="F2" s="183"/>
      <c r="G2" s="186"/>
    </row>
    <row r="3" spans="1:7" s="4" customFormat="1" ht="30" customHeight="1" thickBot="1" x14ac:dyDescent="0.35">
      <c r="A3" s="5"/>
      <c r="B3" s="75"/>
      <c r="C3" s="76" t="s">
        <v>141</v>
      </c>
      <c r="D3" s="21" t="s">
        <v>5</v>
      </c>
      <c r="E3" s="22">
        <v>250</v>
      </c>
      <c r="F3" s="223"/>
      <c r="G3" s="224"/>
    </row>
    <row r="4" spans="1:7" s="4" customFormat="1" ht="30" customHeight="1" thickBot="1" x14ac:dyDescent="0.35">
      <c r="A4" s="25"/>
      <c r="B4" s="79"/>
      <c r="C4" s="89" t="s">
        <v>405</v>
      </c>
      <c r="D4" s="90" t="s">
        <v>265</v>
      </c>
      <c r="E4" s="144" t="s">
        <v>406</v>
      </c>
      <c r="F4" s="144" t="s">
        <v>342</v>
      </c>
      <c r="G4" s="222" t="s">
        <v>267</v>
      </c>
    </row>
    <row r="5" spans="1:7" s="4" customFormat="1" ht="30" customHeight="1" x14ac:dyDescent="0.3">
      <c r="A5" s="72">
        <v>44019</v>
      </c>
      <c r="B5" s="73" t="s">
        <v>15</v>
      </c>
      <c r="C5" s="16" t="s">
        <v>61</v>
      </c>
      <c r="D5" s="95" t="s">
        <v>25</v>
      </c>
      <c r="E5" s="96">
        <v>50</v>
      </c>
      <c r="F5" s="182"/>
      <c r="G5" s="185"/>
    </row>
    <row r="6" spans="1:7" s="4" customFormat="1" ht="30" customHeight="1" x14ac:dyDescent="0.3">
      <c r="A6" s="5"/>
      <c r="B6" s="75"/>
      <c r="C6" s="36"/>
      <c r="D6" s="95" t="s">
        <v>59</v>
      </c>
      <c r="E6" s="96">
        <v>50</v>
      </c>
      <c r="F6" s="182"/>
      <c r="G6" s="185"/>
    </row>
    <row r="7" spans="1:7" s="4" customFormat="1" ht="30" customHeight="1" x14ac:dyDescent="0.3">
      <c r="A7" s="5"/>
      <c r="B7" s="75"/>
      <c r="C7" s="13" t="s">
        <v>6</v>
      </c>
      <c r="D7" s="95" t="s">
        <v>13</v>
      </c>
      <c r="E7" s="96">
        <v>50</v>
      </c>
      <c r="F7" s="182"/>
      <c r="G7" s="185"/>
    </row>
    <row r="8" spans="1:7" s="4" customFormat="1" ht="30" customHeight="1" x14ac:dyDescent="0.3">
      <c r="A8" s="5"/>
      <c r="B8" s="75"/>
      <c r="C8" s="16" t="s">
        <v>74</v>
      </c>
      <c r="D8" s="95" t="s">
        <v>13</v>
      </c>
      <c r="E8" s="96">
        <v>90</v>
      </c>
      <c r="F8" s="182"/>
      <c r="G8" s="172" t="s">
        <v>73</v>
      </c>
    </row>
    <row r="9" spans="1:7" s="4" customFormat="1" ht="30" customHeight="1" x14ac:dyDescent="0.3">
      <c r="A9" s="5"/>
      <c r="B9" s="75"/>
      <c r="C9" s="17"/>
      <c r="D9" s="95" t="s">
        <v>146</v>
      </c>
      <c r="E9" s="96">
        <v>100</v>
      </c>
      <c r="F9" s="182" t="s">
        <v>396</v>
      </c>
      <c r="G9" s="185"/>
    </row>
    <row r="10" spans="1:7" s="4" customFormat="1" ht="30" customHeight="1" x14ac:dyDescent="0.3">
      <c r="A10" s="5"/>
      <c r="B10" s="75"/>
      <c r="C10" s="17"/>
      <c r="D10" s="95" t="s">
        <v>7</v>
      </c>
      <c r="E10" s="96" t="s">
        <v>407</v>
      </c>
      <c r="F10" s="182"/>
      <c r="G10" s="185"/>
    </row>
    <row r="11" spans="1:7" s="4" customFormat="1" ht="30" customHeight="1" x14ac:dyDescent="0.3">
      <c r="A11" s="5"/>
      <c r="B11" s="75"/>
      <c r="C11" s="17"/>
      <c r="D11" s="95" t="s">
        <v>11</v>
      </c>
      <c r="E11" s="96" t="s">
        <v>98</v>
      </c>
      <c r="F11" s="182"/>
      <c r="G11" s="185"/>
    </row>
    <row r="12" spans="1:7" s="4" customFormat="1" ht="30" customHeight="1" thickBot="1" x14ac:dyDescent="0.35">
      <c r="A12" s="5"/>
      <c r="B12" s="75"/>
      <c r="C12" s="20"/>
      <c r="D12" s="21" t="s">
        <v>99</v>
      </c>
      <c r="E12" s="22" t="s">
        <v>62</v>
      </c>
      <c r="F12" s="223"/>
      <c r="G12" s="224"/>
    </row>
    <row r="13" spans="1:7" s="4" customFormat="1" ht="30" customHeight="1" thickBot="1" x14ac:dyDescent="0.35">
      <c r="A13" s="25"/>
      <c r="B13" s="79"/>
      <c r="C13" s="147"/>
      <c r="D13" s="148"/>
      <c r="E13" s="148"/>
      <c r="F13" s="148"/>
      <c r="G13" s="149"/>
    </row>
    <row r="14" spans="1:7" s="4" customFormat="1" ht="30" customHeight="1" x14ac:dyDescent="0.3">
      <c r="A14" s="72">
        <v>44020</v>
      </c>
      <c r="B14" s="73" t="s">
        <v>21</v>
      </c>
      <c r="C14" s="114" t="s">
        <v>16</v>
      </c>
      <c r="D14" s="32" t="s">
        <v>17</v>
      </c>
      <c r="E14" s="33">
        <f>230+287</f>
        <v>517</v>
      </c>
      <c r="F14" s="273"/>
      <c r="G14" s="237"/>
    </row>
    <row r="15" spans="1:7" s="4" customFormat="1" ht="30" customHeight="1" x14ac:dyDescent="0.3">
      <c r="A15" s="5"/>
      <c r="B15" s="75"/>
      <c r="C15" s="13" t="s">
        <v>107</v>
      </c>
      <c r="D15" s="14" t="s">
        <v>124</v>
      </c>
      <c r="E15" s="9">
        <v>100</v>
      </c>
      <c r="F15" s="10"/>
      <c r="G15" s="11" t="s">
        <v>73</v>
      </c>
    </row>
    <row r="16" spans="1:7" s="4" customFormat="1" ht="30" customHeight="1" x14ac:dyDescent="0.3">
      <c r="A16" s="5"/>
      <c r="B16" s="75"/>
      <c r="C16" s="16" t="s">
        <v>43</v>
      </c>
      <c r="D16" s="8" t="s">
        <v>29</v>
      </c>
      <c r="E16" s="9">
        <v>80</v>
      </c>
      <c r="F16" s="10"/>
      <c r="G16" s="11" t="s">
        <v>73</v>
      </c>
    </row>
    <row r="17" spans="1:7" s="4" customFormat="1" ht="30" customHeight="1" thickBot="1" x14ac:dyDescent="0.35">
      <c r="A17" s="5"/>
      <c r="B17" s="75"/>
      <c r="C17" s="20"/>
      <c r="D17" s="21" t="s">
        <v>343</v>
      </c>
      <c r="E17" s="22">
        <v>50</v>
      </c>
      <c r="F17" s="77"/>
      <c r="G17" s="78"/>
    </row>
    <row r="18" spans="1:7" s="4" customFormat="1" ht="30" customHeight="1" thickBot="1" x14ac:dyDescent="0.35">
      <c r="A18" s="25"/>
      <c r="B18" s="79"/>
      <c r="C18" s="143"/>
      <c r="D18" s="90"/>
      <c r="E18" s="144"/>
      <c r="F18" s="144"/>
      <c r="G18" s="222"/>
    </row>
    <row r="19" spans="1:7" s="4" customFormat="1" ht="30" customHeight="1" x14ac:dyDescent="0.3">
      <c r="A19" s="5">
        <v>44021</v>
      </c>
      <c r="B19" s="6" t="s">
        <v>41</v>
      </c>
      <c r="C19" s="13" t="s">
        <v>69</v>
      </c>
      <c r="D19" s="14" t="s">
        <v>70</v>
      </c>
      <c r="E19" s="9">
        <v>100</v>
      </c>
      <c r="F19" s="10" t="s">
        <v>284</v>
      </c>
      <c r="G19" s="11"/>
    </row>
    <row r="20" spans="1:7" s="4" customFormat="1" ht="30" customHeight="1" thickBot="1" x14ac:dyDescent="0.35">
      <c r="A20" s="5"/>
      <c r="B20" s="6"/>
      <c r="C20" s="51"/>
      <c r="D20" s="21"/>
      <c r="E20" s="22"/>
      <c r="F20" s="77"/>
      <c r="G20" s="78"/>
    </row>
    <row r="21" spans="1:7" s="4" customFormat="1" ht="30" customHeight="1" thickBot="1" x14ac:dyDescent="0.35">
      <c r="A21" s="25"/>
      <c r="B21" s="26"/>
      <c r="C21" s="89" t="s">
        <v>66</v>
      </c>
      <c r="D21" s="90" t="s">
        <v>265</v>
      </c>
      <c r="E21" s="144" t="s">
        <v>408</v>
      </c>
      <c r="F21" s="144" t="s">
        <v>200</v>
      </c>
      <c r="G21" s="222" t="s">
        <v>267</v>
      </c>
    </row>
    <row r="22" spans="1:7" s="4" customFormat="1" ht="30" customHeight="1" x14ac:dyDescent="0.3">
      <c r="A22" s="5">
        <v>44022</v>
      </c>
      <c r="B22" s="75" t="s">
        <v>55</v>
      </c>
      <c r="C22" s="31" t="s">
        <v>16</v>
      </c>
      <c r="D22" s="8" t="s">
        <v>17</v>
      </c>
      <c r="E22" s="9">
        <f>56+173</f>
        <v>229</v>
      </c>
      <c r="F22" s="10"/>
      <c r="G22" s="11"/>
    </row>
    <row r="23" spans="1:7" s="4" customFormat="1" ht="30" customHeight="1" x14ac:dyDescent="0.3">
      <c r="A23" s="5"/>
      <c r="B23" s="75"/>
      <c r="C23" s="17"/>
      <c r="D23" s="14" t="s">
        <v>75</v>
      </c>
      <c r="E23" s="9">
        <v>200</v>
      </c>
      <c r="F23" s="37"/>
      <c r="G23" s="38"/>
    </row>
    <row r="24" spans="1:7" s="4" customFormat="1" ht="30" customHeight="1" x14ac:dyDescent="0.3">
      <c r="A24" s="5"/>
      <c r="B24" s="75"/>
      <c r="C24" s="36"/>
      <c r="D24" s="14" t="s">
        <v>76</v>
      </c>
      <c r="E24" s="9" t="s">
        <v>338</v>
      </c>
      <c r="F24" s="37"/>
      <c r="G24" s="38"/>
    </row>
    <row r="25" spans="1:7" s="4" customFormat="1" ht="30" customHeight="1" x14ac:dyDescent="0.3">
      <c r="A25" s="5"/>
      <c r="B25" s="75"/>
      <c r="C25" s="189"/>
      <c r="D25" s="100"/>
      <c r="E25" s="9"/>
      <c r="F25" s="106"/>
      <c r="G25" s="38"/>
    </row>
    <row r="26" spans="1:7" s="4" customFormat="1" ht="30" customHeight="1" thickBot="1" x14ac:dyDescent="0.35">
      <c r="A26" s="5"/>
      <c r="B26" s="75"/>
      <c r="C26" s="76"/>
      <c r="D26" s="108"/>
      <c r="E26" s="22"/>
      <c r="F26" s="177"/>
      <c r="G26" s="78"/>
    </row>
    <row r="27" spans="1:7" s="4" customFormat="1" ht="30" customHeight="1" thickBot="1" x14ac:dyDescent="0.35">
      <c r="A27" s="25"/>
      <c r="B27" s="79"/>
      <c r="C27" s="147"/>
      <c r="D27" s="148"/>
      <c r="E27" s="148"/>
      <c r="F27" s="148"/>
      <c r="G27" s="149"/>
    </row>
    <row r="28" spans="1:7" s="4" customFormat="1" ht="108.75" customHeight="1" thickBot="1" x14ac:dyDescent="0.35">
      <c r="A28" s="1" t="s">
        <v>0</v>
      </c>
      <c r="B28" s="2"/>
      <c r="C28" s="2"/>
      <c r="D28" s="2"/>
      <c r="E28" s="2"/>
      <c r="F28" s="2"/>
      <c r="G28" s="3"/>
    </row>
    <row r="29" spans="1:7" s="4" customFormat="1" ht="30" customHeight="1" x14ac:dyDescent="0.3">
      <c r="A29" s="5">
        <v>44025</v>
      </c>
      <c r="B29" s="6" t="s">
        <v>1</v>
      </c>
      <c r="C29" s="114" t="s">
        <v>16</v>
      </c>
      <c r="D29" s="43" t="s">
        <v>17</v>
      </c>
      <c r="E29" s="44">
        <v>507</v>
      </c>
      <c r="F29" s="10"/>
      <c r="G29" s="11"/>
    </row>
    <row r="30" spans="1:7" s="4" customFormat="1" ht="31.5" customHeight="1" thickBot="1" x14ac:dyDescent="0.35">
      <c r="A30" s="5"/>
      <c r="B30" s="6"/>
      <c r="C30" s="51"/>
      <c r="D30" s="65"/>
      <c r="E30" s="66"/>
      <c r="F30" s="77"/>
      <c r="G30" s="78"/>
    </row>
    <row r="31" spans="1:7" s="4" customFormat="1" ht="32.25" customHeight="1" thickBot="1" x14ac:dyDescent="0.35">
      <c r="A31" s="25"/>
      <c r="B31" s="26"/>
      <c r="C31" s="27"/>
      <c r="D31" s="90"/>
      <c r="E31" s="144"/>
      <c r="F31" s="144"/>
      <c r="G31" s="222"/>
    </row>
    <row r="32" spans="1:7" s="4" customFormat="1" ht="31.5" customHeight="1" x14ac:dyDescent="0.3">
      <c r="A32" s="5">
        <v>44026</v>
      </c>
      <c r="B32" s="75" t="s">
        <v>15</v>
      </c>
      <c r="C32" s="17" t="s">
        <v>16</v>
      </c>
      <c r="D32" s="61" t="s">
        <v>17</v>
      </c>
      <c r="E32" s="62">
        <v>311</v>
      </c>
      <c r="F32" s="63"/>
      <c r="G32" s="35"/>
    </row>
    <row r="33" spans="1:7" s="4" customFormat="1" ht="31.5" customHeight="1" x14ac:dyDescent="0.3">
      <c r="A33" s="5"/>
      <c r="B33" s="75"/>
      <c r="C33" s="36"/>
      <c r="D33" s="43" t="s">
        <v>75</v>
      </c>
      <c r="E33" s="44">
        <v>200</v>
      </c>
      <c r="F33" s="10"/>
      <c r="G33" s="11"/>
    </row>
    <row r="34" spans="1:7" s="4" customFormat="1" ht="31.5" customHeight="1" x14ac:dyDescent="0.3">
      <c r="A34" s="5"/>
      <c r="B34" s="75"/>
      <c r="C34" s="16" t="s">
        <v>409</v>
      </c>
      <c r="D34" s="43" t="s">
        <v>59</v>
      </c>
      <c r="E34" s="44">
        <v>100</v>
      </c>
      <c r="F34" s="10"/>
      <c r="G34" s="11" t="s">
        <v>73</v>
      </c>
    </row>
    <row r="35" spans="1:7" s="4" customFormat="1" ht="31.5" customHeight="1" x14ac:dyDescent="0.3">
      <c r="A35" s="5"/>
      <c r="B35" s="75"/>
      <c r="C35" s="17"/>
      <c r="D35" s="43" t="s">
        <v>14</v>
      </c>
      <c r="E35" s="44">
        <v>32</v>
      </c>
      <c r="F35" s="10"/>
      <c r="G35" s="11"/>
    </row>
    <row r="36" spans="1:7" s="4" customFormat="1" ht="32.25" customHeight="1" thickBot="1" x14ac:dyDescent="0.35">
      <c r="A36" s="5"/>
      <c r="B36" s="75"/>
      <c r="C36" s="20"/>
      <c r="D36" s="193" t="s">
        <v>11</v>
      </c>
      <c r="E36" s="162" t="s">
        <v>12</v>
      </c>
      <c r="F36" s="233"/>
      <c r="G36" s="24"/>
    </row>
    <row r="37" spans="1:7" s="4" customFormat="1" ht="32.25" customHeight="1" thickBot="1" x14ac:dyDescent="0.35">
      <c r="A37" s="25"/>
      <c r="B37" s="79"/>
      <c r="C37" s="89"/>
      <c r="D37" s="90"/>
      <c r="E37" s="144"/>
      <c r="F37" s="144"/>
      <c r="G37" s="222"/>
    </row>
    <row r="38" spans="1:7" s="4" customFormat="1" ht="32.25" customHeight="1" x14ac:dyDescent="0.3">
      <c r="A38" s="5">
        <v>44027</v>
      </c>
      <c r="B38" s="6" t="s">
        <v>21</v>
      </c>
      <c r="C38" s="150" t="s">
        <v>16</v>
      </c>
      <c r="D38" s="80" t="s">
        <v>17</v>
      </c>
      <c r="E38" s="33">
        <f>91+287</f>
        <v>378</v>
      </c>
      <c r="F38" s="178"/>
      <c r="G38" s="237"/>
    </row>
    <row r="39" spans="1:7" s="4" customFormat="1" ht="32.25" customHeight="1" x14ac:dyDescent="0.3">
      <c r="A39" s="5"/>
      <c r="B39" s="6"/>
      <c r="C39" s="101" t="s">
        <v>32</v>
      </c>
      <c r="D39" s="100" t="s">
        <v>5</v>
      </c>
      <c r="E39" s="15">
        <v>64</v>
      </c>
      <c r="F39" s="180"/>
      <c r="G39" s="263" t="s">
        <v>73</v>
      </c>
    </row>
    <row r="40" spans="1:7" s="4" customFormat="1" ht="32.25" customHeight="1" x14ac:dyDescent="0.3">
      <c r="A40" s="5"/>
      <c r="B40" s="6"/>
      <c r="C40" s="5" t="s">
        <v>6</v>
      </c>
      <c r="D40" s="85" t="s">
        <v>11</v>
      </c>
      <c r="E40" s="19" t="s">
        <v>50</v>
      </c>
      <c r="F40" s="270"/>
      <c r="G40" s="271" t="s">
        <v>73</v>
      </c>
    </row>
    <row r="41" spans="1:7" s="4" customFormat="1" ht="32.25" customHeight="1" x14ac:dyDescent="0.3">
      <c r="A41" s="5"/>
      <c r="B41" s="6"/>
      <c r="C41" s="5"/>
      <c r="D41" s="82" t="s">
        <v>7</v>
      </c>
      <c r="E41" s="9" t="s">
        <v>12</v>
      </c>
      <c r="F41" s="269"/>
      <c r="G41" s="186"/>
    </row>
    <row r="42" spans="1:7" s="4" customFormat="1" ht="33.75" customHeight="1" thickBot="1" x14ac:dyDescent="0.35">
      <c r="A42" s="5"/>
      <c r="B42" s="6"/>
      <c r="C42" s="25"/>
      <c r="D42" s="193" t="s">
        <v>9</v>
      </c>
      <c r="E42" s="162" t="s">
        <v>12</v>
      </c>
      <c r="F42" s="220"/>
      <c r="G42" s="24"/>
    </row>
    <row r="43" spans="1:7" s="4" customFormat="1" ht="32.25" customHeight="1" thickBot="1" x14ac:dyDescent="0.35">
      <c r="A43" s="25"/>
      <c r="B43" s="26"/>
      <c r="C43" s="89" t="s">
        <v>37</v>
      </c>
      <c r="D43" s="90" t="s">
        <v>265</v>
      </c>
      <c r="E43" s="144" t="s">
        <v>121</v>
      </c>
      <c r="F43" s="144" t="s">
        <v>200</v>
      </c>
      <c r="G43" s="222" t="s">
        <v>267</v>
      </c>
    </row>
    <row r="44" spans="1:7" s="4" customFormat="1" ht="32.25" customHeight="1" x14ac:dyDescent="0.3">
      <c r="A44" s="5">
        <v>44028</v>
      </c>
      <c r="B44" s="75" t="s">
        <v>41</v>
      </c>
      <c r="C44" s="72" t="s">
        <v>43</v>
      </c>
      <c r="D44" s="32" t="s">
        <v>29</v>
      </c>
      <c r="E44" s="33">
        <v>40</v>
      </c>
      <c r="F44" s="34"/>
      <c r="G44" s="35"/>
    </row>
    <row r="45" spans="1:7" s="4" customFormat="1" ht="32.25" customHeight="1" x14ac:dyDescent="0.3">
      <c r="A45" s="5"/>
      <c r="B45" s="75"/>
      <c r="C45" s="5"/>
      <c r="D45" s="14" t="s">
        <v>13</v>
      </c>
      <c r="E45" s="15">
        <v>100</v>
      </c>
      <c r="F45" s="37" t="s">
        <v>410</v>
      </c>
      <c r="G45" s="38"/>
    </row>
    <row r="46" spans="1:7" s="4" customFormat="1" ht="32.25" customHeight="1" x14ac:dyDescent="0.3">
      <c r="A46" s="5"/>
      <c r="B46" s="75"/>
      <c r="C46" s="84"/>
      <c r="D46" s="8" t="s">
        <v>44</v>
      </c>
      <c r="E46" s="9">
        <v>40</v>
      </c>
      <c r="F46" s="10"/>
      <c r="G46" s="11"/>
    </row>
    <row r="47" spans="1:7" s="4" customFormat="1" ht="32.25" customHeight="1" x14ac:dyDescent="0.3">
      <c r="A47" s="5"/>
      <c r="B47" s="75"/>
      <c r="C47" s="16" t="s">
        <v>74</v>
      </c>
      <c r="D47" s="82" t="s">
        <v>7</v>
      </c>
      <c r="E47" s="9" t="s">
        <v>411</v>
      </c>
      <c r="F47" s="152"/>
      <c r="G47" s="11" t="s">
        <v>73</v>
      </c>
    </row>
    <row r="48" spans="1:7" s="4" customFormat="1" ht="32.25" customHeight="1" x14ac:dyDescent="0.3">
      <c r="A48" s="5"/>
      <c r="B48" s="75"/>
      <c r="C48" s="17"/>
      <c r="D48" s="100" t="s">
        <v>11</v>
      </c>
      <c r="E48" s="15" t="s">
        <v>98</v>
      </c>
      <c r="F48" s="154"/>
      <c r="G48" s="38"/>
    </row>
    <row r="49" spans="1:7" s="4" customFormat="1" ht="32.25" customHeight="1" x14ac:dyDescent="0.3">
      <c r="A49" s="5"/>
      <c r="B49" s="75"/>
      <c r="C49" s="36"/>
      <c r="D49" s="100" t="s">
        <v>13</v>
      </c>
      <c r="E49" s="15">
        <v>200</v>
      </c>
      <c r="F49" s="154"/>
      <c r="G49" s="38"/>
    </row>
    <row r="50" spans="1:7" s="4" customFormat="1" ht="32.25" customHeight="1" thickBot="1" x14ac:dyDescent="0.35">
      <c r="A50" s="5"/>
      <c r="B50" s="75"/>
      <c r="C50" s="107" t="s">
        <v>61</v>
      </c>
      <c r="D50" s="21" t="s">
        <v>25</v>
      </c>
      <c r="E50" s="22">
        <v>100</v>
      </c>
      <c r="F50" s="77" t="s">
        <v>412</v>
      </c>
      <c r="G50" s="78"/>
    </row>
    <row r="51" spans="1:7" s="4" customFormat="1" ht="32.25" customHeight="1" thickBot="1" x14ac:dyDescent="0.35">
      <c r="A51" s="25"/>
      <c r="B51" s="79"/>
      <c r="C51" s="89" t="s">
        <v>205</v>
      </c>
      <c r="D51" s="90" t="s">
        <v>265</v>
      </c>
      <c r="E51" s="144" t="s">
        <v>413</v>
      </c>
      <c r="F51" s="144" t="s">
        <v>200</v>
      </c>
      <c r="G51" s="222" t="s">
        <v>276</v>
      </c>
    </row>
    <row r="52" spans="1:7" s="4" customFormat="1" ht="32.25" customHeight="1" x14ac:dyDescent="0.3">
      <c r="A52" s="72">
        <v>44029</v>
      </c>
      <c r="B52" s="73" t="s">
        <v>55</v>
      </c>
      <c r="C52" s="16" t="s">
        <v>32</v>
      </c>
      <c r="D52" s="82" t="s">
        <v>5</v>
      </c>
      <c r="E52" s="9">
        <f>384-64</f>
        <v>320</v>
      </c>
      <c r="F52" s="152" t="s">
        <v>414</v>
      </c>
      <c r="G52" s="11" t="s">
        <v>178</v>
      </c>
    </row>
    <row r="53" spans="1:7" s="4" customFormat="1" ht="32.25" customHeight="1" x14ac:dyDescent="0.3">
      <c r="A53" s="5"/>
      <c r="B53" s="75"/>
      <c r="C53" s="36"/>
      <c r="D53" s="100" t="s">
        <v>415</v>
      </c>
      <c r="E53" s="15">
        <v>40</v>
      </c>
      <c r="F53" s="154"/>
      <c r="G53" s="38"/>
    </row>
    <row r="54" spans="1:7" s="4" customFormat="1" ht="32.25" customHeight="1" x14ac:dyDescent="0.3">
      <c r="A54" s="5"/>
      <c r="B54" s="75"/>
      <c r="C54" s="276" t="s">
        <v>176</v>
      </c>
      <c r="D54" s="82" t="s">
        <v>86</v>
      </c>
      <c r="E54" s="9">
        <v>100</v>
      </c>
      <c r="F54" s="152"/>
      <c r="G54" s="11" t="s">
        <v>73</v>
      </c>
    </row>
    <row r="55" spans="1:7" s="4" customFormat="1" ht="32.25" customHeight="1" x14ac:dyDescent="0.3">
      <c r="A55" s="5"/>
      <c r="B55" s="75"/>
      <c r="C55" s="16" t="s">
        <v>409</v>
      </c>
      <c r="D55" s="100" t="s">
        <v>286</v>
      </c>
      <c r="E55" s="15">
        <v>40</v>
      </c>
      <c r="F55" s="154" t="s">
        <v>416</v>
      </c>
      <c r="G55" s="38"/>
    </row>
    <row r="56" spans="1:7" s="4" customFormat="1" ht="32.25" customHeight="1" thickBot="1" x14ac:dyDescent="0.35">
      <c r="A56" s="5"/>
      <c r="B56" s="75"/>
      <c r="C56" s="20"/>
      <c r="D56" s="161" t="s">
        <v>280</v>
      </c>
      <c r="E56" s="162">
        <v>40</v>
      </c>
      <c r="F56" s="233"/>
      <c r="G56" s="24"/>
    </row>
    <row r="57" spans="1:7" s="4" customFormat="1" ht="32.25" customHeight="1" thickBot="1" x14ac:dyDescent="0.35">
      <c r="A57" s="25"/>
      <c r="B57" s="79"/>
      <c r="C57" s="89"/>
      <c r="D57" s="90"/>
      <c r="E57" s="144"/>
      <c r="F57" s="144"/>
      <c r="G57" s="222"/>
    </row>
    <row r="58" spans="1:7" s="4" customFormat="1" ht="108.75" customHeight="1" thickBot="1" x14ac:dyDescent="0.35">
      <c r="A58" s="1" t="s">
        <v>0</v>
      </c>
      <c r="B58" s="2"/>
      <c r="C58" s="2"/>
      <c r="D58" s="2"/>
      <c r="E58" s="2"/>
      <c r="F58" s="2"/>
      <c r="G58" s="3"/>
    </row>
    <row r="59" spans="1:7" s="4" customFormat="1" ht="32.25" customHeight="1" x14ac:dyDescent="0.3">
      <c r="A59" s="72">
        <v>44032</v>
      </c>
      <c r="B59" s="99" t="s">
        <v>1</v>
      </c>
      <c r="C59" s="31" t="s">
        <v>16</v>
      </c>
      <c r="D59" s="32" t="s">
        <v>17</v>
      </c>
      <c r="E59" s="33">
        <v>192</v>
      </c>
      <c r="F59" s="178"/>
      <c r="G59" s="237" t="s">
        <v>417</v>
      </c>
    </row>
    <row r="60" spans="1:7" s="4" customFormat="1" ht="32.25" customHeight="1" x14ac:dyDescent="0.3">
      <c r="A60" s="5"/>
      <c r="B60" s="6"/>
      <c r="C60" s="36"/>
      <c r="D60" s="100" t="s">
        <v>75</v>
      </c>
      <c r="E60" s="15">
        <v>300</v>
      </c>
      <c r="F60" s="180"/>
      <c r="G60" s="263"/>
    </row>
    <row r="61" spans="1:7" s="4" customFormat="1" ht="32.25" customHeight="1" x14ac:dyDescent="0.3">
      <c r="A61" s="5"/>
      <c r="B61" s="6"/>
      <c r="C61" s="7" t="s">
        <v>139</v>
      </c>
      <c r="D61" s="14" t="s">
        <v>14</v>
      </c>
      <c r="E61" s="15">
        <v>80</v>
      </c>
      <c r="F61" s="180"/>
      <c r="G61" s="263" t="s">
        <v>73</v>
      </c>
    </row>
    <row r="62" spans="1:7" s="4" customFormat="1" ht="32.25" customHeight="1" x14ac:dyDescent="0.3">
      <c r="A62" s="5"/>
      <c r="B62" s="6"/>
      <c r="C62" s="16" t="s">
        <v>107</v>
      </c>
      <c r="D62" s="8" t="s">
        <v>7</v>
      </c>
      <c r="E62" s="19" t="s">
        <v>339</v>
      </c>
      <c r="F62" s="270"/>
      <c r="G62" s="271" t="s">
        <v>73</v>
      </c>
    </row>
    <row r="63" spans="1:7" s="4" customFormat="1" ht="32.25" customHeight="1" thickBot="1" x14ac:dyDescent="0.35">
      <c r="A63" s="5"/>
      <c r="B63" s="6"/>
      <c r="C63" s="20"/>
      <c r="D63" s="161" t="s">
        <v>11</v>
      </c>
      <c r="E63" s="22" t="s">
        <v>62</v>
      </c>
      <c r="F63" s="223"/>
      <c r="G63" s="224"/>
    </row>
    <row r="64" spans="1:7" s="4" customFormat="1" ht="33.75" customHeight="1" thickBot="1" x14ac:dyDescent="0.35">
      <c r="A64" s="5"/>
      <c r="B64" s="6"/>
      <c r="C64" s="109"/>
      <c r="D64" s="110"/>
      <c r="E64" s="111"/>
      <c r="F64" s="112"/>
      <c r="G64" s="113"/>
    </row>
    <row r="65" spans="1:7" s="4" customFormat="1" ht="32.25" customHeight="1" x14ac:dyDescent="0.3">
      <c r="A65" s="72">
        <v>44033</v>
      </c>
      <c r="B65" s="99" t="s">
        <v>15</v>
      </c>
      <c r="C65" s="160" t="s">
        <v>16</v>
      </c>
      <c r="D65" s="32" t="s">
        <v>17</v>
      </c>
      <c r="E65" s="33">
        <v>512</v>
      </c>
      <c r="F65" s="34"/>
      <c r="G65" s="35"/>
    </row>
    <row r="66" spans="1:7" s="4" customFormat="1" ht="32.25" customHeight="1" x14ac:dyDescent="0.3">
      <c r="A66" s="5"/>
      <c r="B66" s="6"/>
      <c r="C66" s="97" t="s">
        <v>74</v>
      </c>
      <c r="D66" s="95" t="s">
        <v>46</v>
      </c>
      <c r="E66" s="96" t="s">
        <v>64</v>
      </c>
      <c r="F66" s="63" t="s">
        <v>145</v>
      </c>
      <c r="G66" s="64"/>
    </row>
    <row r="67" spans="1:7" s="4" customFormat="1" ht="32.25" customHeight="1" x14ac:dyDescent="0.3">
      <c r="A67" s="5"/>
      <c r="B67" s="6"/>
      <c r="C67" s="84"/>
      <c r="D67" s="8" t="s">
        <v>13</v>
      </c>
      <c r="E67" s="9">
        <v>168</v>
      </c>
      <c r="F67" s="10"/>
      <c r="G67" s="11"/>
    </row>
    <row r="68" spans="1:7" s="4" customFormat="1" ht="33.75" customHeight="1" x14ac:dyDescent="0.3">
      <c r="A68" s="5"/>
      <c r="B68" s="6"/>
      <c r="C68" s="13" t="s">
        <v>247</v>
      </c>
      <c r="D68" s="8" t="s">
        <v>126</v>
      </c>
      <c r="E68" s="9">
        <v>100</v>
      </c>
      <c r="F68" s="10"/>
      <c r="G68" s="11" t="s">
        <v>73</v>
      </c>
    </row>
    <row r="69" spans="1:7" s="4" customFormat="1" ht="32.25" customHeight="1" x14ac:dyDescent="0.3">
      <c r="A69" s="5"/>
      <c r="B69" s="6"/>
      <c r="C69" s="97" t="s">
        <v>409</v>
      </c>
      <c r="D69" s="18" t="s">
        <v>59</v>
      </c>
      <c r="E69" s="19">
        <v>57</v>
      </c>
      <c r="F69" s="47"/>
      <c r="G69" s="277"/>
    </row>
    <row r="70" spans="1:7" s="4" customFormat="1" ht="32.25" customHeight="1" thickBot="1" x14ac:dyDescent="0.35">
      <c r="A70" s="5"/>
      <c r="B70" s="6"/>
      <c r="C70" s="25"/>
      <c r="D70" s="21" t="s">
        <v>14</v>
      </c>
      <c r="E70" s="22">
        <v>93</v>
      </c>
      <c r="F70" s="77"/>
      <c r="G70" s="78"/>
    </row>
    <row r="71" spans="1:7" s="4" customFormat="1" ht="33.75" customHeight="1" thickBot="1" x14ac:dyDescent="0.35">
      <c r="A71" s="25"/>
      <c r="B71" s="26"/>
      <c r="C71" s="89"/>
      <c r="D71" s="90"/>
      <c r="E71" s="144"/>
      <c r="F71" s="144"/>
      <c r="G71" s="222"/>
    </row>
    <row r="72" spans="1:7" s="4" customFormat="1" ht="32.25" customHeight="1" x14ac:dyDescent="0.3">
      <c r="A72" s="5">
        <v>44034</v>
      </c>
      <c r="B72" s="6" t="s">
        <v>21</v>
      </c>
      <c r="C72" s="114" t="s">
        <v>16</v>
      </c>
      <c r="D72" s="82" t="s">
        <v>17</v>
      </c>
      <c r="E72" s="9">
        <v>375</v>
      </c>
      <c r="F72" s="152"/>
      <c r="G72" s="38"/>
    </row>
    <row r="73" spans="1:7" s="4" customFormat="1" ht="33.75" customHeight="1" thickBot="1" x14ac:dyDescent="0.35">
      <c r="A73" s="5"/>
      <c r="B73" s="6"/>
      <c r="C73" s="250"/>
      <c r="D73" s="161"/>
      <c r="E73" s="162"/>
      <c r="F73" s="77"/>
      <c r="G73" s="78"/>
    </row>
    <row r="74" spans="1:7" s="4" customFormat="1" ht="33.75" customHeight="1" thickBot="1" x14ac:dyDescent="0.35">
      <c r="A74" s="25"/>
      <c r="B74" s="26"/>
      <c r="C74" s="89"/>
      <c r="D74" s="90"/>
      <c r="E74" s="144"/>
      <c r="F74" s="144"/>
      <c r="G74" s="222"/>
    </row>
    <row r="75" spans="1:7" s="4" customFormat="1" ht="32.25" customHeight="1" x14ac:dyDescent="0.3">
      <c r="A75" s="5">
        <v>44035</v>
      </c>
      <c r="B75" s="6" t="s">
        <v>41</v>
      </c>
      <c r="C75" s="150" t="s">
        <v>117</v>
      </c>
      <c r="D75" s="32" t="s">
        <v>5</v>
      </c>
      <c r="E75" s="33">
        <v>200</v>
      </c>
      <c r="F75" s="34"/>
      <c r="G75" s="35" t="s">
        <v>118</v>
      </c>
    </row>
    <row r="76" spans="1:7" s="4" customFormat="1" ht="33.75" customHeight="1" x14ac:dyDescent="0.3">
      <c r="A76" s="5"/>
      <c r="B76" s="6"/>
      <c r="C76" s="16" t="s">
        <v>69</v>
      </c>
      <c r="D76" s="8" t="s">
        <v>70</v>
      </c>
      <c r="E76" s="9">
        <v>50</v>
      </c>
      <c r="F76" s="63" t="s">
        <v>418</v>
      </c>
      <c r="G76" s="64"/>
    </row>
    <row r="77" spans="1:7" s="4" customFormat="1" ht="33.75" customHeight="1" x14ac:dyDescent="0.3">
      <c r="A77" s="5"/>
      <c r="B77" s="6"/>
      <c r="C77" s="17"/>
      <c r="D77" s="8" t="s">
        <v>280</v>
      </c>
      <c r="E77" s="9">
        <v>10</v>
      </c>
      <c r="F77" s="63"/>
      <c r="G77" s="64"/>
    </row>
    <row r="78" spans="1:7" s="4" customFormat="1" ht="33.75" customHeight="1" x14ac:dyDescent="0.3">
      <c r="A78" s="5"/>
      <c r="B78" s="6"/>
      <c r="C78" s="36"/>
      <c r="D78" s="14" t="s">
        <v>7</v>
      </c>
      <c r="E78" s="15" t="s">
        <v>20</v>
      </c>
      <c r="F78" s="10"/>
      <c r="G78" s="11"/>
    </row>
    <row r="79" spans="1:7" s="4" customFormat="1" ht="33.75" customHeight="1" x14ac:dyDescent="0.3">
      <c r="A79" s="5"/>
      <c r="B79" s="6"/>
      <c r="C79" s="16" t="s">
        <v>6</v>
      </c>
      <c r="D79" s="18" t="s">
        <v>13</v>
      </c>
      <c r="E79" s="19">
        <v>40</v>
      </c>
      <c r="F79" s="47"/>
      <c r="G79" s="48" t="s">
        <v>73</v>
      </c>
    </row>
    <row r="80" spans="1:7" s="4" customFormat="1" ht="33.75" customHeight="1" x14ac:dyDescent="0.3">
      <c r="A80" s="5"/>
      <c r="B80" s="6"/>
      <c r="C80" s="36"/>
      <c r="D80" s="8" t="s">
        <v>3</v>
      </c>
      <c r="E80" s="9">
        <v>25</v>
      </c>
      <c r="F80" s="10"/>
      <c r="G80" s="11"/>
    </row>
    <row r="81" spans="1:7" s="4" customFormat="1" ht="32.25" customHeight="1" thickBot="1" x14ac:dyDescent="0.35">
      <c r="A81" s="5"/>
      <c r="B81" s="6"/>
      <c r="C81" s="213" t="s">
        <v>382</v>
      </c>
      <c r="D81" s="161"/>
      <c r="E81" s="162"/>
      <c r="F81" s="23"/>
      <c r="G81" s="24"/>
    </row>
    <row r="82" spans="1:7" s="4" customFormat="1" ht="33.75" customHeight="1" thickBot="1" x14ac:dyDescent="0.35">
      <c r="A82" s="25"/>
      <c r="B82" s="26"/>
      <c r="C82" s="89" t="s">
        <v>202</v>
      </c>
      <c r="D82" s="90" t="s">
        <v>265</v>
      </c>
      <c r="E82" s="144" t="s">
        <v>419</v>
      </c>
      <c r="F82" s="144" t="s">
        <v>200</v>
      </c>
      <c r="G82" s="222" t="s">
        <v>267</v>
      </c>
    </row>
    <row r="83" spans="1:7" s="4" customFormat="1" ht="32.25" customHeight="1" x14ac:dyDescent="0.3">
      <c r="A83" s="5">
        <v>44036</v>
      </c>
      <c r="B83" s="6" t="s">
        <v>55</v>
      </c>
      <c r="C83" s="72" t="s">
        <v>16</v>
      </c>
      <c r="D83" s="32" t="s">
        <v>17</v>
      </c>
      <c r="E83" s="33">
        <v>150</v>
      </c>
      <c r="F83" s="34"/>
      <c r="G83" s="35" t="s">
        <v>184</v>
      </c>
    </row>
    <row r="84" spans="1:7" s="4" customFormat="1" ht="32.25" customHeight="1" x14ac:dyDescent="0.3">
      <c r="A84" s="5"/>
      <c r="B84" s="6"/>
      <c r="C84" s="5"/>
      <c r="D84" s="8" t="s">
        <v>18</v>
      </c>
      <c r="E84" s="9">
        <v>53</v>
      </c>
      <c r="F84" s="37"/>
      <c r="G84" s="38"/>
    </row>
    <row r="85" spans="1:7" s="4" customFormat="1" ht="32.25" customHeight="1" x14ac:dyDescent="0.3">
      <c r="A85" s="5"/>
      <c r="B85" s="6"/>
      <c r="C85" s="84"/>
      <c r="D85" s="8" t="s">
        <v>76</v>
      </c>
      <c r="E85" s="9" t="s">
        <v>338</v>
      </c>
      <c r="F85" s="10"/>
      <c r="G85" s="11"/>
    </row>
    <row r="86" spans="1:7" s="4" customFormat="1" ht="32.25" customHeight="1" x14ac:dyDescent="0.3">
      <c r="A86" s="5"/>
      <c r="B86" s="6"/>
      <c r="C86" s="97" t="s">
        <v>409</v>
      </c>
      <c r="D86" s="95" t="s">
        <v>7</v>
      </c>
      <c r="E86" s="96" t="s">
        <v>259</v>
      </c>
      <c r="F86" s="63"/>
      <c r="G86" s="64" t="s">
        <v>257</v>
      </c>
    </row>
    <row r="87" spans="1:7" s="4" customFormat="1" ht="32.25" customHeight="1" thickBot="1" x14ac:dyDescent="0.35">
      <c r="A87" s="5"/>
      <c r="B87" s="6"/>
      <c r="C87" s="25"/>
      <c r="D87" s="21" t="s">
        <v>46</v>
      </c>
      <c r="E87" s="22" t="s">
        <v>10</v>
      </c>
      <c r="F87" s="262"/>
      <c r="G87" s="224"/>
    </row>
    <row r="88" spans="1:7" s="4" customFormat="1" ht="33.75" customHeight="1" thickBot="1" x14ac:dyDescent="0.35">
      <c r="A88" s="25"/>
      <c r="B88" s="26"/>
      <c r="C88" s="89"/>
      <c r="D88" s="90"/>
      <c r="E88" s="144"/>
      <c r="F88" s="144"/>
      <c r="G88" s="222"/>
    </row>
    <row r="89" spans="1:7" s="4" customFormat="1" ht="108.75" customHeight="1" thickBot="1" x14ac:dyDescent="0.35">
      <c r="A89" s="1" t="s">
        <v>0</v>
      </c>
      <c r="B89" s="2"/>
      <c r="C89" s="2"/>
      <c r="D89" s="2"/>
      <c r="E89" s="2"/>
      <c r="F89" s="2"/>
      <c r="G89" s="3"/>
    </row>
    <row r="90" spans="1:7" s="4" customFormat="1" ht="33.75" customHeight="1" x14ac:dyDescent="0.3">
      <c r="A90" s="72">
        <v>44039</v>
      </c>
      <c r="B90" s="99" t="s">
        <v>1</v>
      </c>
      <c r="C90" s="274" t="s">
        <v>16</v>
      </c>
      <c r="D90" s="14" t="s">
        <v>17</v>
      </c>
      <c r="E90" s="15">
        <v>222</v>
      </c>
      <c r="F90" s="81" t="s">
        <v>420</v>
      </c>
      <c r="G90" s="11"/>
    </row>
    <row r="91" spans="1:7" s="4" customFormat="1" ht="33.75" customHeight="1" x14ac:dyDescent="0.3">
      <c r="A91" s="5"/>
      <c r="B91" s="6"/>
      <c r="C91" s="16" t="s">
        <v>6</v>
      </c>
      <c r="D91" s="18" t="s">
        <v>11</v>
      </c>
      <c r="E91" s="19" t="s">
        <v>20</v>
      </c>
      <c r="F91" s="47"/>
      <c r="G91" s="48"/>
    </row>
    <row r="92" spans="1:7" s="4" customFormat="1" ht="33.75" customHeight="1" x14ac:dyDescent="0.3">
      <c r="A92" s="5"/>
      <c r="B92" s="6"/>
      <c r="C92" s="36"/>
      <c r="D92" s="8" t="s">
        <v>7</v>
      </c>
      <c r="E92" s="9" t="s">
        <v>259</v>
      </c>
      <c r="F92" s="10"/>
      <c r="G92" s="11"/>
    </row>
    <row r="93" spans="1:7" s="4" customFormat="1" ht="33.75" customHeight="1" x14ac:dyDescent="0.3">
      <c r="A93" s="5"/>
      <c r="B93" s="6"/>
      <c r="C93" s="16" t="s">
        <v>61</v>
      </c>
      <c r="D93" s="95" t="s">
        <v>25</v>
      </c>
      <c r="E93" s="96">
        <v>44</v>
      </c>
      <c r="F93" s="63"/>
      <c r="G93" s="64" t="s">
        <v>421</v>
      </c>
    </row>
    <row r="94" spans="1:7" s="4" customFormat="1" ht="33.75" customHeight="1" thickBot="1" x14ac:dyDescent="0.35">
      <c r="A94" s="5"/>
      <c r="B94" s="6"/>
      <c r="C94" s="20"/>
      <c r="D94" s="21" t="s">
        <v>14</v>
      </c>
      <c r="E94" s="22">
        <v>20</v>
      </c>
      <c r="F94" s="77"/>
      <c r="G94" s="78"/>
    </row>
    <row r="95" spans="1:7" s="4" customFormat="1" ht="32.25" customHeight="1" thickBot="1" x14ac:dyDescent="0.35">
      <c r="A95" s="25"/>
      <c r="B95" s="26"/>
      <c r="C95" s="89"/>
      <c r="D95" s="90"/>
      <c r="E95" s="144"/>
      <c r="F95" s="144"/>
      <c r="G95" s="222"/>
    </row>
    <row r="96" spans="1:7" s="4" customFormat="1" ht="33.75" customHeight="1" x14ac:dyDescent="0.3">
      <c r="A96" s="72">
        <v>44040</v>
      </c>
      <c r="B96" s="99" t="s">
        <v>15</v>
      </c>
      <c r="C96" s="114" t="s">
        <v>61</v>
      </c>
      <c r="D96" s="8" t="s">
        <v>25</v>
      </c>
      <c r="E96" s="9">
        <v>100</v>
      </c>
      <c r="F96" s="37"/>
      <c r="G96" s="38"/>
    </row>
    <row r="97" spans="1:7" s="4" customFormat="1" ht="33.75" customHeight="1" thickBot="1" x14ac:dyDescent="0.35">
      <c r="A97" s="5"/>
      <c r="B97" s="6"/>
      <c r="C97" s="51"/>
      <c r="D97" s="193"/>
      <c r="E97" s="22"/>
      <c r="F97" s="220"/>
      <c r="G97" s="24"/>
    </row>
    <row r="98" spans="1:7" s="4" customFormat="1" ht="32.25" customHeight="1" thickBot="1" x14ac:dyDescent="0.35">
      <c r="A98" s="25"/>
      <c r="B98" s="26"/>
      <c r="C98" s="89"/>
      <c r="D98" s="90"/>
      <c r="E98" s="144"/>
      <c r="F98" s="144"/>
      <c r="G98" s="222"/>
    </row>
    <row r="99" spans="1:7" s="4" customFormat="1" ht="33.75" customHeight="1" x14ac:dyDescent="0.3">
      <c r="A99" s="72">
        <v>44041</v>
      </c>
      <c r="B99" s="99" t="s">
        <v>21</v>
      </c>
      <c r="C99" s="31" t="s">
        <v>16</v>
      </c>
      <c r="D99" s="32" t="s">
        <v>17</v>
      </c>
      <c r="E99" s="33">
        <v>332</v>
      </c>
      <c r="F99" s="34"/>
      <c r="G99" s="35"/>
    </row>
    <row r="100" spans="1:7" s="4" customFormat="1" ht="33.75" customHeight="1" x14ac:dyDescent="0.3">
      <c r="A100" s="5"/>
      <c r="B100" s="6"/>
      <c r="C100" s="36"/>
      <c r="D100" s="14" t="s">
        <v>75</v>
      </c>
      <c r="E100" s="15">
        <v>200</v>
      </c>
      <c r="F100" s="37"/>
      <c r="G100" s="38"/>
    </row>
    <row r="101" spans="1:7" s="4" customFormat="1" ht="33.75" customHeight="1" thickBot="1" x14ac:dyDescent="0.35">
      <c r="A101" s="5"/>
      <c r="B101" s="6"/>
      <c r="C101" s="250"/>
      <c r="D101" s="21"/>
      <c r="E101" s="22"/>
      <c r="F101" s="77"/>
      <c r="G101" s="78"/>
    </row>
    <row r="102" spans="1:7" s="4" customFormat="1" ht="33.75" customHeight="1" thickBot="1" x14ac:dyDescent="0.35">
      <c r="A102" s="25"/>
      <c r="B102" s="26"/>
      <c r="C102" s="89"/>
      <c r="D102" s="90"/>
      <c r="E102" s="144"/>
      <c r="F102" s="144"/>
      <c r="G102" s="222"/>
    </row>
    <row r="103" spans="1:7" s="4" customFormat="1" ht="33.75" customHeight="1" x14ac:dyDescent="0.3">
      <c r="A103" s="72">
        <v>44042</v>
      </c>
      <c r="B103" s="99" t="s">
        <v>41</v>
      </c>
      <c r="C103" s="31" t="s">
        <v>43</v>
      </c>
      <c r="D103" s="14" t="s">
        <v>211</v>
      </c>
      <c r="E103" s="15">
        <v>64</v>
      </c>
      <c r="F103" s="275" t="s">
        <v>422</v>
      </c>
      <c r="G103" s="11"/>
    </row>
    <row r="104" spans="1:7" s="4" customFormat="1" ht="33.75" customHeight="1" x14ac:dyDescent="0.3">
      <c r="A104" s="5"/>
      <c r="B104" s="6"/>
      <c r="C104" s="17"/>
      <c r="D104" s="14" t="s">
        <v>14</v>
      </c>
      <c r="E104" s="15">
        <v>64</v>
      </c>
      <c r="F104" s="104"/>
      <c r="G104" s="38"/>
    </row>
    <row r="105" spans="1:7" s="4" customFormat="1" ht="33.75" customHeight="1" x14ac:dyDescent="0.3">
      <c r="A105" s="5"/>
      <c r="B105" s="6"/>
      <c r="C105" s="17"/>
      <c r="D105" s="14" t="s">
        <v>31</v>
      </c>
      <c r="E105" s="15">
        <v>40</v>
      </c>
      <c r="F105" s="104"/>
      <c r="G105" s="38"/>
    </row>
    <row r="106" spans="1:7" s="4" customFormat="1" ht="33.75" customHeight="1" x14ac:dyDescent="0.3">
      <c r="A106" s="5"/>
      <c r="B106" s="6"/>
      <c r="C106" s="17"/>
      <c r="D106" s="14" t="s">
        <v>29</v>
      </c>
      <c r="E106" s="15">
        <v>40</v>
      </c>
      <c r="F106" s="104"/>
      <c r="G106" s="38"/>
    </row>
    <row r="107" spans="1:7" s="4" customFormat="1" ht="33.75" customHeight="1" x14ac:dyDescent="0.3">
      <c r="A107" s="5"/>
      <c r="B107" s="6"/>
      <c r="C107" s="17"/>
      <c r="D107" s="14" t="s">
        <v>59</v>
      </c>
      <c r="E107" s="15">
        <v>64</v>
      </c>
      <c r="F107" s="104"/>
      <c r="G107" s="38"/>
    </row>
    <row r="108" spans="1:7" s="4" customFormat="1" ht="33.75" customHeight="1" x14ac:dyDescent="0.3">
      <c r="A108" s="5"/>
      <c r="B108" s="6"/>
      <c r="C108" s="36"/>
      <c r="D108" s="14" t="s">
        <v>44</v>
      </c>
      <c r="E108" s="15">
        <v>40</v>
      </c>
      <c r="F108" s="180"/>
      <c r="G108" s="263"/>
    </row>
    <row r="109" spans="1:7" s="4" customFormat="1" ht="33.75" customHeight="1" x14ac:dyDescent="0.3">
      <c r="A109" s="5"/>
      <c r="B109" s="6"/>
      <c r="C109" s="16" t="s">
        <v>74</v>
      </c>
      <c r="D109" s="8" t="s">
        <v>11</v>
      </c>
      <c r="E109" s="9" t="s">
        <v>98</v>
      </c>
      <c r="F109" s="10" t="s">
        <v>412</v>
      </c>
      <c r="G109" s="11"/>
    </row>
    <row r="110" spans="1:7" s="4" customFormat="1" ht="33.75" customHeight="1" x14ac:dyDescent="0.3">
      <c r="A110" s="5"/>
      <c r="B110" s="6"/>
      <c r="C110" s="17"/>
      <c r="D110" s="8" t="s">
        <v>7</v>
      </c>
      <c r="E110" s="9" t="s">
        <v>407</v>
      </c>
      <c r="F110" s="10"/>
      <c r="G110" s="64"/>
    </row>
    <row r="111" spans="1:7" s="4" customFormat="1" ht="33.75" customHeight="1" x14ac:dyDescent="0.3">
      <c r="A111" s="5"/>
      <c r="B111" s="6"/>
      <c r="C111" s="17"/>
      <c r="D111" s="95" t="s">
        <v>53</v>
      </c>
      <c r="E111" s="96" t="s">
        <v>199</v>
      </c>
      <c r="F111" s="10"/>
      <c r="G111" s="64"/>
    </row>
    <row r="112" spans="1:7" s="4" customFormat="1" ht="33.75" customHeight="1" x14ac:dyDescent="0.3">
      <c r="A112" s="5"/>
      <c r="B112" s="6"/>
      <c r="C112" s="17"/>
      <c r="D112" s="95" t="s">
        <v>49</v>
      </c>
      <c r="E112" s="96" t="s">
        <v>10</v>
      </c>
      <c r="F112" s="37"/>
      <c r="G112" s="64"/>
    </row>
    <row r="113" spans="1:7" s="4" customFormat="1" ht="33.75" customHeight="1" thickBot="1" x14ac:dyDescent="0.35">
      <c r="A113" s="5"/>
      <c r="B113" s="6"/>
      <c r="C113" s="20"/>
      <c r="D113" s="21" t="s">
        <v>13</v>
      </c>
      <c r="E113" s="22">
        <v>200</v>
      </c>
      <c r="F113" s="23"/>
      <c r="G113" s="78"/>
    </row>
    <row r="114" spans="1:7" s="4" customFormat="1" ht="33.75" customHeight="1" thickBot="1" x14ac:dyDescent="0.35">
      <c r="A114" s="25"/>
      <c r="B114" s="26"/>
      <c r="C114" s="89" t="s">
        <v>112</v>
      </c>
      <c r="D114" s="90" t="s">
        <v>265</v>
      </c>
      <c r="E114" s="144" t="s">
        <v>423</v>
      </c>
      <c r="F114" s="144" t="s">
        <v>342</v>
      </c>
      <c r="G114" s="222" t="s">
        <v>276</v>
      </c>
    </row>
    <row r="115" spans="1:7" s="4" customFormat="1" ht="33.75" customHeight="1" x14ac:dyDescent="0.3">
      <c r="A115" s="72">
        <v>44043</v>
      </c>
      <c r="B115" s="99" t="s">
        <v>55</v>
      </c>
      <c r="C115" s="31" t="s">
        <v>16</v>
      </c>
      <c r="D115" s="32" t="s">
        <v>17</v>
      </c>
      <c r="E115" s="33">
        <v>169</v>
      </c>
      <c r="F115" s="178"/>
      <c r="G115" s="237"/>
    </row>
    <row r="116" spans="1:7" s="4" customFormat="1" ht="33.75" customHeight="1" x14ac:dyDescent="0.3">
      <c r="A116" s="5"/>
      <c r="B116" s="6"/>
      <c r="C116" s="17"/>
      <c r="D116" s="14" t="s">
        <v>75</v>
      </c>
      <c r="E116" s="15">
        <v>100</v>
      </c>
      <c r="F116" s="180"/>
      <c r="G116" s="263"/>
    </row>
    <row r="117" spans="1:7" s="4" customFormat="1" ht="33.75" customHeight="1" x14ac:dyDescent="0.3">
      <c r="A117" s="5"/>
      <c r="B117" s="6"/>
      <c r="C117" s="36"/>
      <c r="D117" s="8" t="s">
        <v>18</v>
      </c>
      <c r="E117" s="9">
        <v>203</v>
      </c>
      <c r="F117" s="183"/>
      <c r="G117" s="186"/>
    </row>
    <row r="118" spans="1:7" s="4" customFormat="1" ht="33.75" customHeight="1" x14ac:dyDescent="0.3">
      <c r="A118" s="5"/>
      <c r="B118" s="6"/>
      <c r="C118" s="235" t="s">
        <v>307</v>
      </c>
      <c r="D118" s="14" t="s">
        <v>29</v>
      </c>
      <c r="E118" s="15">
        <v>120</v>
      </c>
      <c r="F118" s="180" t="s">
        <v>104</v>
      </c>
      <c r="G118" s="263" t="s">
        <v>73</v>
      </c>
    </row>
    <row r="119" spans="1:7" s="4" customFormat="1" ht="33.75" customHeight="1" thickBot="1" x14ac:dyDescent="0.35">
      <c r="A119" s="5"/>
      <c r="B119" s="6"/>
      <c r="C119" s="107" t="s">
        <v>69</v>
      </c>
      <c r="D119" s="108" t="s">
        <v>70</v>
      </c>
      <c r="E119" s="22">
        <v>100</v>
      </c>
      <c r="F119" s="225" t="s">
        <v>424</v>
      </c>
      <c r="G119" s="78" t="s">
        <v>73</v>
      </c>
    </row>
    <row r="120" spans="1:7" s="4" customFormat="1" ht="33.75" customHeight="1" thickBot="1" x14ac:dyDescent="0.35">
      <c r="A120" s="25"/>
      <c r="B120" s="26"/>
      <c r="C120" s="89" t="s">
        <v>112</v>
      </c>
      <c r="D120" s="90" t="s">
        <v>265</v>
      </c>
      <c r="E120" s="144" t="s">
        <v>425</v>
      </c>
      <c r="F120" s="144" t="s">
        <v>200</v>
      </c>
      <c r="G120" s="222" t="s">
        <v>276</v>
      </c>
    </row>
  </sheetData>
  <mergeCells count="69">
    <mergeCell ref="A115:A120"/>
    <mergeCell ref="B115:B120"/>
    <mergeCell ref="C115:C117"/>
    <mergeCell ref="A99:A102"/>
    <mergeCell ref="B99:B102"/>
    <mergeCell ref="C99:C100"/>
    <mergeCell ref="A103:A114"/>
    <mergeCell ref="B103:B114"/>
    <mergeCell ref="C103:C108"/>
    <mergeCell ref="C109:C113"/>
    <mergeCell ref="A89:G89"/>
    <mergeCell ref="A90:A95"/>
    <mergeCell ref="B90:B95"/>
    <mergeCell ref="C91:C92"/>
    <mergeCell ref="C93:C94"/>
    <mergeCell ref="A96:A98"/>
    <mergeCell ref="B96:B98"/>
    <mergeCell ref="A75:A82"/>
    <mergeCell ref="B75:B82"/>
    <mergeCell ref="C76:C78"/>
    <mergeCell ref="C79:C80"/>
    <mergeCell ref="A83:A88"/>
    <mergeCell ref="B83:B88"/>
    <mergeCell ref="C83:C85"/>
    <mergeCell ref="C86:C87"/>
    <mergeCell ref="A65:A71"/>
    <mergeCell ref="B65:B71"/>
    <mergeCell ref="C66:C67"/>
    <mergeCell ref="C69:C70"/>
    <mergeCell ref="A72:A74"/>
    <mergeCell ref="B72:B74"/>
    <mergeCell ref="A52:A57"/>
    <mergeCell ref="B52:B57"/>
    <mergeCell ref="C52:C53"/>
    <mergeCell ref="C55:C56"/>
    <mergeCell ref="A58:G58"/>
    <mergeCell ref="A59:A64"/>
    <mergeCell ref="B59:B64"/>
    <mergeCell ref="C59:C60"/>
    <mergeCell ref="C62:C63"/>
    <mergeCell ref="A38:A43"/>
    <mergeCell ref="B38:B43"/>
    <mergeCell ref="C40:C42"/>
    <mergeCell ref="A44:A51"/>
    <mergeCell ref="B44:B51"/>
    <mergeCell ref="C44:C46"/>
    <mergeCell ref="C47:C49"/>
    <mergeCell ref="A28:G28"/>
    <mergeCell ref="A29:A31"/>
    <mergeCell ref="B29:B31"/>
    <mergeCell ref="A32:A37"/>
    <mergeCell ref="B32:B37"/>
    <mergeCell ref="C32:C33"/>
    <mergeCell ref="C34:C36"/>
    <mergeCell ref="A14:A18"/>
    <mergeCell ref="B14:B18"/>
    <mergeCell ref="C16:C17"/>
    <mergeCell ref="A19:A21"/>
    <mergeCell ref="B19:B21"/>
    <mergeCell ref="A22:A27"/>
    <mergeCell ref="B22:B27"/>
    <mergeCell ref="C22:C24"/>
    <mergeCell ref="A1:G1"/>
    <mergeCell ref="A2:A4"/>
    <mergeCell ref="B2:B4"/>
    <mergeCell ref="A5:A13"/>
    <mergeCell ref="B5:B13"/>
    <mergeCell ref="C5:C6"/>
    <mergeCell ref="C8:C12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70" fitToHeight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"/>
  <sheetViews>
    <sheetView view="pageBreakPreview" topLeftCell="A110" zoomScale="87" zoomScaleNormal="87" zoomScaleSheetLayoutView="87" workbookViewId="0">
      <selection activeCell="D121" sqref="D121"/>
    </sheetView>
  </sheetViews>
  <sheetFormatPr defaultColWidth="9" defaultRowHeight="36" customHeight="1" x14ac:dyDescent="0.3"/>
  <cols>
    <col min="1" max="1" width="12.375" style="124" customWidth="1"/>
    <col min="2" max="2" width="7.25" style="125" customWidth="1"/>
    <col min="3" max="3" width="21.875" style="126" customWidth="1"/>
    <col min="4" max="4" width="22.5" style="12" customWidth="1"/>
    <col min="5" max="5" width="15.375" style="127" customWidth="1"/>
    <col min="6" max="6" width="24.25" style="127" customWidth="1"/>
    <col min="7" max="7" width="28.125" style="128" customWidth="1"/>
    <col min="8" max="8" width="42.5" style="4" customWidth="1"/>
    <col min="9" max="16384" width="9" style="12"/>
  </cols>
  <sheetData>
    <row r="1" spans="1:7" s="4" customFormat="1" ht="102" customHeight="1" thickBot="1" x14ac:dyDescent="0.35">
      <c r="A1" s="1" t="s">
        <v>0</v>
      </c>
      <c r="B1" s="2"/>
      <c r="C1" s="2"/>
      <c r="D1" s="2"/>
      <c r="E1" s="2"/>
      <c r="F1" s="2"/>
      <c r="G1" s="3"/>
    </row>
    <row r="2" spans="1:7" s="4" customFormat="1" ht="30" customHeight="1" x14ac:dyDescent="0.3">
      <c r="A2" s="72">
        <v>44046</v>
      </c>
      <c r="B2" s="73" t="s">
        <v>1</v>
      </c>
      <c r="C2" s="115" t="s">
        <v>426</v>
      </c>
      <c r="D2" s="116"/>
      <c r="E2" s="116"/>
      <c r="F2" s="116"/>
      <c r="G2" s="117"/>
    </row>
    <row r="3" spans="1:7" s="4" customFormat="1" ht="30" customHeight="1" x14ac:dyDescent="0.3">
      <c r="A3" s="5"/>
      <c r="B3" s="75"/>
      <c r="C3" s="118"/>
      <c r="D3" s="119"/>
      <c r="E3" s="119"/>
      <c r="F3" s="119"/>
      <c r="G3" s="120"/>
    </row>
    <row r="4" spans="1:7" s="4" customFormat="1" ht="30" customHeight="1" thickBot="1" x14ac:dyDescent="0.35">
      <c r="A4" s="25"/>
      <c r="B4" s="79"/>
      <c r="C4" s="118"/>
      <c r="D4" s="119"/>
      <c r="E4" s="119"/>
      <c r="F4" s="119"/>
      <c r="G4" s="120"/>
    </row>
    <row r="5" spans="1:7" s="4" customFormat="1" ht="30" customHeight="1" x14ac:dyDescent="0.3">
      <c r="A5" s="72">
        <v>44047</v>
      </c>
      <c r="B5" s="73" t="s">
        <v>15</v>
      </c>
      <c r="C5" s="118"/>
      <c r="D5" s="119"/>
      <c r="E5" s="119"/>
      <c r="F5" s="119"/>
      <c r="G5" s="120"/>
    </row>
    <row r="6" spans="1:7" s="4" customFormat="1" ht="30" customHeight="1" x14ac:dyDescent="0.3">
      <c r="A6" s="5"/>
      <c r="B6" s="75"/>
      <c r="C6" s="118"/>
      <c r="D6" s="119"/>
      <c r="E6" s="119"/>
      <c r="F6" s="119"/>
      <c r="G6" s="120"/>
    </row>
    <row r="7" spans="1:7" s="4" customFormat="1" ht="30" customHeight="1" thickBot="1" x14ac:dyDescent="0.35">
      <c r="A7" s="25"/>
      <c r="B7" s="79"/>
      <c r="C7" s="121"/>
      <c r="D7" s="122"/>
      <c r="E7" s="122"/>
      <c r="F7" s="122"/>
      <c r="G7" s="123"/>
    </row>
    <row r="8" spans="1:7" s="4" customFormat="1" ht="30" customHeight="1" x14ac:dyDescent="0.3">
      <c r="A8" s="72">
        <v>44048</v>
      </c>
      <c r="B8" s="73" t="s">
        <v>21</v>
      </c>
      <c r="C8" s="114" t="s">
        <v>16</v>
      </c>
      <c r="D8" s="32" t="s">
        <v>17</v>
      </c>
      <c r="E8" s="33">
        <v>522</v>
      </c>
      <c r="F8" s="273"/>
      <c r="G8" s="237"/>
    </row>
    <row r="9" spans="1:7" s="4" customFormat="1" ht="30" customHeight="1" x14ac:dyDescent="0.3">
      <c r="A9" s="5"/>
      <c r="B9" s="75"/>
      <c r="C9" s="16" t="s">
        <v>6</v>
      </c>
      <c r="D9" s="18" t="s">
        <v>7</v>
      </c>
      <c r="E9" s="19" t="s">
        <v>427</v>
      </c>
      <c r="F9" s="278"/>
      <c r="G9" s="271" t="s">
        <v>73</v>
      </c>
    </row>
    <row r="10" spans="1:7" s="4" customFormat="1" ht="30" customHeight="1" x14ac:dyDescent="0.3">
      <c r="A10" s="5"/>
      <c r="B10" s="75"/>
      <c r="C10" s="17"/>
      <c r="D10" s="8" t="s">
        <v>49</v>
      </c>
      <c r="E10" s="9" t="s">
        <v>168</v>
      </c>
      <c r="F10" s="183"/>
      <c r="G10" s="186"/>
    </row>
    <row r="11" spans="1:7" s="4" customFormat="1" ht="30" customHeight="1" x14ac:dyDescent="0.3">
      <c r="A11" s="5"/>
      <c r="B11" s="75"/>
      <c r="C11" s="17"/>
      <c r="D11" s="18" t="s">
        <v>221</v>
      </c>
      <c r="E11" s="19" t="s">
        <v>168</v>
      </c>
      <c r="F11" s="278"/>
      <c r="G11" s="271"/>
    </row>
    <row r="12" spans="1:7" s="4" customFormat="1" ht="30" customHeight="1" x14ac:dyDescent="0.3">
      <c r="A12" s="5"/>
      <c r="B12" s="75"/>
      <c r="C12" s="17"/>
      <c r="D12" s="8" t="s">
        <v>53</v>
      </c>
      <c r="E12" s="9" t="s">
        <v>168</v>
      </c>
      <c r="F12" s="183"/>
      <c r="G12" s="186"/>
    </row>
    <row r="13" spans="1:7" s="4" customFormat="1" ht="30" customHeight="1" x14ac:dyDescent="0.3">
      <c r="A13" s="5"/>
      <c r="B13" s="75"/>
      <c r="C13" s="17"/>
      <c r="D13" s="18" t="s">
        <v>13</v>
      </c>
      <c r="E13" s="19">
        <v>50</v>
      </c>
      <c r="F13" s="278"/>
      <c r="G13" s="271"/>
    </row>
    <row r="14" spans="1:7" s="4" customFormat="1" ht="30" customHeight="1" x14ac:dyDescent="0.3">
      <c r="A14" s="5"/>
      <c r="B14" s="75"/>
      <c r="C14" s="36"/>
      <c r="D14" s="8" t="s">
        <v>14</v>
      </c>
      <c r="E14" s="9">
        <v>10</v>
      </c>
      <c r="F14" s="183"/>
      <c r="G14" s="186"/>
    </row>
    <row r="15" spans="1:7" s="4" customFormat="1" ht="30" customHeight="1" x14ac:dyDescent="0.3">
      <c r="A15" s="5"/>
      <c r="B15" s="75"/>
      <c r="C15" s="16" t="s">
        <v>74</v>
      </c>
      <c r="D15" s="95" t="s">
        <v>7</v>
      </c>
      <c r="E15" s="96" t="s">
        <v>376</v>
      </c>
      <c r="F15" s="182"/>
      <c r="G15" s="185" t="s">
        <v>257</v>
      </c>
    </row>
    <row r="16" spans="1:7" s="4" customFormat="1" ht="30" customHeight="1" x14ac:dyDescent="0.3">
      <c r="A16" s="5"/>
      <c r="B16" s="75"/>
      <c r="C16" s="36"/>
      <c r="D16" s="95" t="s">
        <v>13</v>
      </c>
      <c r="E16" s="96">
        <v>112</v>
      </c>
      <c r="F16" s="182"/>
      <c r="G16" s="185" t="s">
        <v>428</v>
      </c>
    </row>
    <row r="17" spans="1:7" s="4" customFormat="1" ht="30" customHeight="1" x14ac:dyDescent="0.3">
      <c r="A17" s="5"/>
      <c r="B17" s="75"/>
      <c r="C17" s="16" t="s">
        <v>409</v>
      </c>
      <c r="D17" s="95" t="s">
        <v>83</v>
      </c>
      <c r="E17" s="96">
        <v>50</v>
      </c>
      <c r="F17" s="182"/>
      <c r="G17" s="185" t="s">
        <v>73</v>
      </c>
    </row>
    <row r="18" spans="1:7" s="4" customFormat="1" ht="30" customHeight="1" x14ac:dyDescent="0.3">
      <c r="A18" s="5"/>
      <c r="B18" s="75"/>
      <c r="C18" s="36"/>
      <c r="D18" s="95" t="s">
        <v>59</v>
      </c>
      <c r="E18" s="96">
        <v>100</v>
      </c>
      <c r="F18" s="182"/>
      <c r="G18" s="185"/>
    </row>
    <row r="19" spans="1:7" s="4" customFormat="1" ht="30" customHeight="1" thickBot="1" x14ac:dyDescent="0.35">
      <c r="A19" s="5"/>
      <c r="B19" s="75"/>
      <c r="C19" s="76" t="s">
        <v>141</v>
      </c>
      <c r="D19" s="21" t="s">
        <v>5</v>
      </c>
      <c r="E19" s="22">
        <v>300</v>
      </c>
      <c r="F19" s="77" t="s">
        <v>412</v>
      </c>
      <c r="G19" s="78" t="s">
        <v>73</v>
      </c>
    </row>
    <row r="20" spans="1:7" s="4" customFormat="1" ht="30" customHeight="1" thickBot="1" x14ac:dyDescent="0.35">
      <c r="A20" s="25"/>
      <c r="B20" s="79"/>
      <c r="C20" s="143"/>
      <c r="D20" s="90"/>
      <c r="E20" s="144"/>
      <c r="F20" s="144"/>
      <c r="G20" s="222"/>
    </row>
    <row r="21" spans="1:7" s="4" customFormat="1" ht="30" customHeight="1" x14ac:dyDescent="0.3">
      <c r="A21" s="5">
        <v>44049</v>
      </c>
      <c r="B21" s="6" t="s">
        <v>41</v>
      </c>
      <c r="C21" s="13" t="s">
        <v>16</v>
      </c>
      <c r="D21" s="14" t="s">
        <v>17</v>
      </c>
      <c r="E21" s="9">
        <v>139</v>
      </c>
      <c r="F21" s="10"/>
      <c r="G21" s="11"/>
    </row>
    <row r="22" spans="1:7" s="4" customFormat="1" ht="30" customHeight="1" x14ac:dyDescent="0.3">
      <c r="A22" s="5"/>
      <c r="B22" s="6"/>
      <c r="C22" s="16" t="s">
        <v>107</v>
      </c>
      <c r="D22" s="14" t="s">
        <v>11</v>
      </c>
      <c r="E22" s="96" t="s">
        <v>62</v>
      </c>
      <c r="F22" s="63"/>
      <c r="G22" s="64"/>
    </row>
    <row r="23" spans="1:7" s="4" customFormat="1" ht="30" customHeight="1" x14ac:dyDescent="0.3">
      <c r="A23" s="5"/>
      <c r="B23" s="6"/>
      <c r="C23" s="36"/>
      <c r="D23" s="14" t="s">
        <v>7</v>
      </c>
      <c r="E23" s="96" t="s">
        <v>128</v>
      </c>
      <c r="F23" s="63"/>
      <c r="G23" s="64"/>
    </row>
    <row r="24" spans="1:7" s="4" customFormat="1" ht="30" customHeight="1" thickBot="1" x14ac:dyDescent="0.35">
      <c r="A24" s="5"/>
      <c r="B24" s="6"/>
      <c r="C24" s="76" t="s">
        <v>60</v>
      </c>
      <c r="D24" s="21" t="s">
        <v>14</v>
      </c>
      <c r="E24" s="22">
        <v>50</v>
      </c>
      <c r="F24" s="77" t="s">
        <v>429</v>
      </c>
      <c r="G24" s="78" t="s">
        <v>73</v>
      </c>
    </row>
    <row r="25" spans="1:7" s="4" customFormat="1" ht="30" customHeight="1" thickBot="1" x14ac:dyDescent="0.35">
      <c r="A25" s="25"/>
      <c r="B25" s="26"/>
      <c r="C25" s="89"/>
      <c r="D25" s="90"/>
      <c r="E25" s="144"/>
      <c r="F25" s="144"/>
      <c r="G25" s="222"/>
    </row>
    <row r="26" spans="1:7" s="4" customFormat="1" ht="30" customHeight="1" x14ac:dyDescent="0.3">
      <c r="A26" s="5">
        <v>44050</v>
      </c>
      <c r="B26" s="75" t="s">
        <v>55</v>
      </c>
      <c r="C26" s="31" t="s">
        <v>16</v>
      </c>
      <c r="D26" s="8" t="s">
        <v>17</v>
      </c>
      <c r="E26" s="9">
        <v>274</v>
      </c>
      <c r="F26" s="10"/>
      <c r="G26" s="11"/>
    </row>
    <row r="27" spans="1:7" s="4" customFormat="1" ht="30" customHeight="1" x14ac:dyDescent="0.3">
      <c r="A27" s="5"/>
      <c r="B27" s="75"/>
      <c r="C27" s="17"/>
      <c r="D27" s="14" t="s">
        <v>75</v>
      </c>
      <c r="E27" s="9">
        <v>200</v>
      </c>
      <c r="F27" s="37"/>
      <c r="G27" s="38"/>
    </row>
    <row r="28" spans="1:7" s="4" customFormat="1" ht="30" customHeight="1" x14ac:dyDescent="0.3">
      <c r="A28" s="5"/>
      <c r="B28" s="75"/>
      <c r="C28" s="36"/>
      <c r="D28" s="14" t="s">
        <v>18</v>
      </c>
      <c r="E28" s="9">
        <v>41</v>
      </c>
      <c r="F28" s="37"/>
      <c r="G28" s="38"/>
    </row>
    <row r="29" spans="1:7" s="4" customFormat="1" ht="30" customHeight="1" thickBot="1" x14ac:dyDescent="0.35">
      <c r="A29" s="5"/>
      <c r="B29" s="75"/>
      <c r="C29" s="76"/>
      <c r="D29" s="108"/>
      <c r="E29" s="22"/>
      <c r="F29" s="177"/>
      <c r="G29" s="78"/>
    </row>
    <row r="30" spans="1:7" s="4" customFormat="1" ht="30" customHeight="1" thickBot="1" x14ac:dyDescent="0.35">
      <c r="A30" s="25"/>
      <c r="B30" s="79"/>
      <c r="C30" s="147"/>
      <c r="D30" s="148"/>
      <c r="E30" s="148"/>
      <c r="F30" s="148"/>
      <c r="G30" s="149"/>
    </row>
    <row r="31" spans="1:7" s="4" customFormat="1" ht="108.75" customHeight="1" thickBot="1" x14ac:dyDescent="0.35">
      <c r="A31" s="1" t="s">
        <v>0</v>
      </c>
      <c r="B31" s="2"/>
      <c r="C31" s="2"/>
      <c r="D31" s="2"/>
      <c r="E31" s="2"/>
      <c r="F31" s="2"/>
      <c r="G31" s="3"/>
    </row>
    <row r="32" spans="1:7" s="4" customFormat="1" ht="30" customHeight="1" x14ac:dyDescent="0.3">
      <c r="A32" s="5">
        <v>44053</v>
      </c>
      <c r="B32" s="6" t="s">
        <v>1</v>
      </c>
      <c r="C32" s="114" t="s">
        <v>16</v>
      </c>
      <c r="D32" s="43" t="s">
        <v>17</v>
      </c>
      <c r="E32" s="44">
        <v>512</v>
      </c>
      <c r="F32" s="10"/>
      <c r="G32" s="11"/>
    </row>
    <row r="33" spans="1:7" s="4" customFormat="1" ht="30" customHeight="1" x14ac:dyDescent="0.3">
      <c r="A33" s="5"/>
      <c r="B33" s="6"/>
      <c r="C33" s="13" t="s">
        <v>102</v>
      </c>
      <c r="D33" s="8" t="s">
        <v>7</v>
      </c>
      <c r="E33" s="9" t="s">
        <v>35</v>
      </c>
      <c r="F33" s="10" t="s">
        <v>430</v>
      </c>
      <c r="G33" s="11" t="s">
        <v>73</v>
      </c>
    </row>
    <row r="34" spans="1:7" s="4" customFormat="1" ht="31.5" customHeight="1" thickBot="1" x14ac:dyDescent="0.35">
      <c r="A34" s="5"/>
      <c r="B34" s="6"/>
      <c r="C34" s="51" t="s">
        <v>402</v>
      </c>
      <c r="D34" s="65" t="s">
        <v>5</v>
      </c>
      <c r="E34" s="66">
        <v>100</v>
      </c>
      <c r="F34" s="77"/>
      <c r="G34" s="78" t="s">
        <v>73</v>
      </c>
    </row>
    <row r="35" spans="1:7" s="4" customFormat="1" ht="32.25" customHeight="1" thickBot="1" x14ac:dyDescent="0.35">
      <c r="A35" s="25"/>
      <c r="B35" s="26"/>
      <c r="C35" s="27"/>
      <c r="D35" s="90"/>
      <c r="E35" s="144"/>
      <c r="F35" s="144"/>
      <c r="G35" s="222"/>
    </row>
    <row r="36" spans="1:7" s="4" customFormat="1" ht="31.5" customHeight="1" x14ac:dyDescent="0.3">
      <c r="A36" s="5">
        <v>44054</v>
      </c>
      <c r="B36" s="75" t="s">
        <v>15</v>
      </c>
      <c r="C36" s="17" t="s">
        <v>16</v>
      </c>
      <c r="D36" s="61" t="s">
        <v>17</v>
      </c>
      <c r="E36" s="62">
        <v>158</v>
      </c>
      <c r="F36" s="63"/>
      <c r="G36" s="35"/>
    </row>
    <row r="37" spans="1:7" s="4" customFormat="1" ht="31.5" customHeight="1" x14ac:dyDescent="0.3">
      <c r="A37" s="5"/>
      <c r="B37" s="75"/>
      <c r="C37" s="36"/>
      <c r="D37" s="61" t="s">
        <v>75</v>
      </c>
      <c r="E37" s="62">
        <v>100</v>
      </c>
      <c r="F37" s="63"/>
      <c r="G37" s="64"/>
    </row>
    <row r="38" spans="1:7" s="4" customFormat="1" ht="30" customHeight="1" x14ac:dyDescent="0.3">
      <c r="A38" s="5"/>
      <c r="B38" s="75"/>
      <c r="C38" s="16" t="s">
        <v>307</v>
      </c>
      <c r="D38" s="8" t="s">
        <v>29</v>
      </c>
      <c r="E38" s="96">
        <v>100</v>
      </c>
      <c r="F38" s="63"/>
      <c r="G38" s="64"/>
    </row>
    <row r="39" spans="1:7" s="4" customFormat="1" ht="30" customHeight="1" thickBot="1" x14ac:dyDescent="0.35">
      <c r="A39" s="5"/>
      <c r="B39" s="75"/>
      <c r="C39" s="20"/>
      <c r="D39" s="21" t="s">
        <v>7</v>
      </c>
      <c r="E39" s="22" t="s">
        <v>431</v>
      </c>
      <c r="F39" s="77"/>
      <c r="G39" s="78"/>
    </row>
    <row r="40" spans="1:7" s="4" customFormat="1" ht="32.25" customHeight="1" thickBot="1" x14ac:dyDescent="0.35">
      <c r="A40" s="25"/>
      <c r="B40" s="79"/>
      <c r="C40" s="89"/>
      <c r="D40" s="90"/>
      <c r="E40" s="144"/>
      <c r="F40" s="144"/>
      <c r="G40" s="222"/>
    </row>
    <row r="41" spans="1:7" s="4" customFormat="1" ht="32.25" customHeight="1" x14ac:dyDescent="0.3">
      <c r="A41" s="5">
        <v>44055</v>
      </c>
      <c r="B41" s="6" t="s">
        <v>21</v>
      </c>
      <c r="C41" s="150" t="s">
        <v>16</v>
      </c>
      <c r="D41" s="80" t="s">
        <v>17</v>
      </c>
      <c r="E41" s="33">
        <v>528</v>
      </c>
      <c r="F41" s="178"/>
      <c r="G41" s="237"/>
    </row>
    <row r="42" spans="1:7" s="4" customFormat="1" ht="32.25" customHeight="1" x14ac:dyDescent="0.3">
      <c r="A42" s="5"/>
      <c r="B42" s="6"/>
      <c r="C42" s="87" t="s">
        <v>6</v>
      </c>
      <c r="D42" s="85" t="s">
        <v>13</v>
      </c>
      <c r="E42" s="19">
        <v>50</v>
      </c>
      <c r="F42" s="270"/>
      <c r="G42" s="271"/>
    </row>
    <row r="43" spans="1:7" s="4" customFormat="1" ht="32.25" customHeight="1" x14ac:dyDescent="0.3">
      <c r="A43" s="5"/>
      <c r="B43" s="6"/>
      <c r="C43" s="87" t="s">
        <v>107</v>
      </c>
      <c r="D43" s="82" t="s">
        <v>29</v>
      </c>
      <c r="E43" s="9">
        <v>100</v>
      </c>
      <c r="F43" s="269"/>
      <c r="G43" s="186" t="s">
        <v>73</v>
      </c>
    </row>
    <row r="44" spans="1:7" s="4" customFormat="1" ht="33.75" customHeight="1" thickBot="1" x14ac:dyDescent="0.35">
      <c r="A44" s="5"/>
      <c r="B44" s="6"/>
      <c r="C44" s="157"/>
      <c r="D44" s="193"/>
      <c r="E44" s="162"/>
      <c r="F44" s="220"/>
      <c r="G44" s="24"/>
    </row>
    <row r="45" spans="1:7" s="4" customFormat="1" ht="32.25" customHeight="1" thickBot="1" x14ac:dyDescent="0.35">
      <c r="A45" s="25"/>
      <c r="B45" s="26"/>
      <c r="C45" s="89" t="s">
        <v>37</v>
      </c>
      <c r="D45" s="90" t="s">
        <v>265</v>
      </c>
      <c r="E45" s="144" t="s">
        <v>432</v>
      </c>
      <c r="F45" s="144" t="s">
        <v>200</v>
      </c>
      <c r="G45" s="222" t="s">
        <v>267</v>
      </c>
    </row>
    <row r="46" spans="1:7" s="4" customFormat="1" ht="32.25" customHeight="1" x14ac:dyDescent="0.3">
      <c r="A46" s="5">
        <v>44056</v>
      </c>
      <c r="B46" s="75" t="s">
        <v>41</v>
      </c>
      <c r="C46" s="150" t="s">
        <v>16</v>
      </c>
      <c r="D46" s="32" t="s">
        <v>17</v>
      </c>
      <c r="E46" s="33">
        <v>526</v>
      </c>
      <c r="F46" s="34"/>
      <c r="G46" s="35"/>
    </row>
    <row r="47" spans="1:7" s="4" customFormat="1" ht="32.25" customHeight="1" x14ac:dyDescent="0.3">
      <c r="A47" s="5"/>
      <c r="B47" s="75"/>
      <c r="C47" s="97" t="s">
        <v>61</v>
      </c>
      <c r="D47" s="8" t="s">
        <v>25</v>
      </c>
      <c r="E47" s="9">
        <v>100</v>
      </c>
      <c r="F47" s="10"/>
      <c r="G47" s="11"/>
    </row>
    <row r="48" spans="1:7" s="4" customFormat="1" ht="32.25" customHeight="1" thickBot="1" x14ac:dyDescent="0.35">
      <c r="A48" s="5"/>
      <c r="B48" s="75"/>
      <c r="C48" s="25"/>
      <c r="D48" s="161" t="s">
        <v>59</v>
      </c>
      <c r="E48" s="162">
        <v>50</v>
      </c>
      <c r="F48" s="233"/>
      <c r="G48" s="24"/>
    </row>
    <row r="49" spans="1:7" s="4" customFormat="1" ht="32.25" customHeight="1" thickBot="1" x14ac:dyDescent="0.35">
      <c r="A49" s="25"/>
      <c r="B49" s="79"/>
      <c r="C49" s="89"/>
      <c r="D49" s="90"/>
      <c r="E49" s="144"/>
      <c r="F49" s="144"/>
      <c r="G49" s="222"/>
    </row>
    <row r="50" spans="1:7" s="4" customFormat="1" ht="32.25" customHeight="1" x14ac:dyDescent="0.3">
      <c r="A50" s="72">
        <v>44057</v>
      </c>
      <c r="B50" s="73" t="s">
        <v>55</v>
      </c>
      <c r="C50" s="16" t="s">
        <v>56</v>
      </c>
      <c r="D50" s="82" t="s">
        <v>57</v>
      </c>
      <c r="E50" s="9">
        <v>50</v>
      </c>
      <c r="F50" s="152" t="s">
        <v>218</v>
      </c>
      <c r="G50" s="11"/>
    </row>
    <row r="51" spans="1:7" s="4" customFormat="1" ht="32.25" customHeight="1" x14ac:dyDescent="0.3">
      <c r="A51" s="5"/>
      <c r="B51" s="75"/>
      <c r="C51" s="36"/>
      <c r="D51" s="100" t="s">
        <v>14</v>
      </c>
      <c r="E51" s="15">
        <v>100</v>
      </c>
      <c r="F51" s="154"/>
      <c r="G51" s="38"/>
    </row>
    <row r="52" spans="1:7" s="4" customFormat="1" ht="32.25" customHeight="1" x14ac:dyDescent="0.3">
      <c r="A52" s="5"/>
      <c r="B52" s="75"/>
      <c r="C52" s="97" t="s">
        <v>6</v>
      </c>
      <c r="D52" s="173" t="s">
        <v>11</v>
      </c>
      <c r="E52" s="96" t="s">
        <v>20</v>
      </c>
      <c r="F52" s="74"/>
      <c r="G52" s="185" t="s">
        <v>73</v>
      </c>
    </row>
    <row r="53" spans="1:7" s="4" customFormat="1" ht="32.25" customHeight="1" x14ac:dyDescent="0.3">
      <c r="A53" s="5"/>
      <c r="B53" s="75"/>
      <c r="C53" s="5"/>
      <c r="D53" s="82" t="s">
        <v>7</v>
      </c>
      <c r="E53" s="9" t="s">
        <v>62</v>
      </c>
      <c r="F53" s="269"/>
      <c r="G53" s="186"/>
    </row>
    <row r="54" spans="1:7" s="4" customFormat="1" ht="32.25" customHeight="1" x14ac:dyDescent="0.3">
      <c r="A54" s="5"/>
      <c r="B54" s="75"/>
      <c r="C54" s="5"/>
      <c r="D54" s="82" t="s">
        <v>13</v>
      </c>
      <c r="E54" s="9">
        <v>20</v>
      </c>
      <c r="F54" s="269"/>
      <c r="G54" s="186"/>
    </row>
    <row r="55" spans="1:7" s="4" customFormat="1" ht="33.75" customHeight="1" x14ac:dyDescent="0.3">
      <c r="A55" s="5"/>
      <c r="B55" s="75"/>
      <c r="C55" s="84"/>
      <c r="D55" s="100" t="s">
        <v>3</v>
      </c>
      <c r="E55" s="15">
        <v>20</v>
      </c>
      <c r="F55" s="106"/>
      <c r="G55" s="38"/>
    </row>
    <row r="56" spans="1:7" s="4" customFormat="1" ht="32.25" customHeight="1" x14ac:dyDescent="0.3">
      <c r="A56" s="5"/>
      <c r="B56" s="75"/>
      <c r="C56" s="16" t="s">
        <v>43</v>
      </c>
      <c r="D56" s="100" t="s">
        <v>125</v>
      </c>
      <c r="E56" s="15">
        <v>64</v>
      </c>
      <c r="F56" s="154"/>
      <c r="G56" s="38"/>
    </row>
    <row r="57" spans="1:7" s="4" customFormat="1" ht="32.25" customHeight="1" x14ac:dyDescent="0.3">
      <c r="A57" s="5"/>
      <c r="B57" s="75"/>
      <c r="C57" s="36"/>
      <c r="D57" s="100" t="s">
        <v>29</v>
      </c>
      <c r="E57" s="15">
        <v>80</v>
      </c>
      <c r="F57" s="154"/>
      <c r="G57" s="38"/>
    </row>
    <row r="58" spans="1:7" s="4" customFormat="1" ht="32.25" customHeight="1" thickBot="1" x14ac:dyDescent="0.35">
      <c r="A58" s="5"/>
      <c r="B58" s="75"/>
      <c r="C58" s="51"/>
      <c r="D58" s="161"/>
      <c r="E58" s="162"/>
      <c r="F58" s="233"/>
      <c r="G58" s="24"/>
    </row>
    <row r="59" spans="1:7" s="4" customFormat="1" ht="32.25" customHeight="1" thickBot="1" x14ac:dyDescent="0.35">
      <c r="A59" s="25"/>
      <c r="B59" s="79"/>
      <c r="C59" s="89"/>
      <c r="D59" s="90"/>
      <c r="E59" s="144"/>
      <c r="F59" s="144"/>
      <c r="G59" s="222"/>
    </row>
    <row r="60" spans="1:7" s="4" customFormat="1" ht="108.75" customHeight="1" thickBot="1" x14ac:dyDescent="0.35">
      <c r="A60" s="1" t="s">
        <v>0</v>
      </c>
      <c r="B60" s="2"/>
      <c r="C60" s="2"/>
      <c r="D60" s="2"/>
      <c r="E60" s="2"/>
      <c r="F60" s="2"/>
      <c r="G60" s="3"/>
    </row>
    <row r="61" spans="1:7" s="4" customFormat="1" ht="32.25" customHeight="1" x14ac:dyDescent="0.3">
      <c r="A61" s="72">
        <v>44060</v>
      </c>
      <c r="B61" s="99" t="s">
        <v>1</v>
      </c>
      <c r="C61" s="115" t="s">
        <v>433</v>
      </c>
      <c r="D61" s="116"/>
      <c r="E61" s="116"/>
      <c r="F61" s="116"/>
      <c r="G61" s="117"/>
    </row>
    <row r="62" spans="1:7" s="4" customFormat="1" ht="32.25" customHeight="1" x14ac:dyDescent="0.3">
      <c r="A62" s="5"/>
      <c r="B62" s="6"/>
      <c r="C62" s="118"/>
      <c r="D62" s="119"/>
      <c r="E62" s="119"/>
      <c r="F62" s="119"/>
      <c r="G62" s="120"/>
    </row>
    <row r="63" spans="1:7" s="4" customFormat="1" ht="33.75" customHeight="1" thickBot="1" x14ac:dyDescent="0.35">
      <c r="A63" s="5"/>
      <c r="B63" s="6"/>
      <c r="C63" s="121"/>
      <c r="D63" s="122"/>
      <c r="E63" s="122"/>
      <c r="F63" s="122"/>
      <c r="G63" s="123"/>
    </row>
    <row r="64" spans="1:7" s="4" customFormat="1" ht="32.25" customHeight="1" x14ac:dyDescent="0.3">
      <c r="A64" s="72">
        <v>44061</v>
      </c>
      <c r="B64" s="99" t="s">
        <v>15</v>
      </c>
      <c r="C64" s="72" t="s">
        <v>16</v>
      </c>
      <c r="D64" s="32" t="s">
        <v>17</v>
      </c>
      <c r="E64" s="33">
        <v>19</v>
      </c>
      <c r="F64" s="34"/>
      <c r="G64" s="35"/>
    </row>
    <row r="65" spans="1:7" s="4" customFormat="1" ht="32.25" customHeight="1" x14ac:dyDescent="0.3">
      <c r="A65" s="5"/>
      <c r="B65" s="6"/>
      <c r="C65" s="84"/>
      <c r="D65" s="14" t="s">
        <v>75</v>
      </c>
      <c r="E65" s="15">
        <v>200</v>
      </c>
      <c r="F65" s="10"/>
      <c r="G65" s="11"/>
    </row>
    <row r="66" spans="1:7" s="4" customFormat="1" ht="32.25" customHeight="1" x14ac:dyDescent="0.3">
      <c r="A66" s="5"/>
      <c r="B66" s="6"/>
      <c r="C66" s="87" t="s">
        <v>434</v>
      </c>
      <c r="D66" s="8" t="s">
        <v>435</v>
      </c>
      <c r="E66" s="9">
        <v>50</v>
      </c>
      <c r="F66" s="10"/>
      <c r="G66" s="11"/>
    </row>
    <row r="67" spans="1:7" s="4" customFormat="1" ht="32.25" customHeight="1" x14ac:dyDescent="0.3">
      <c r="A67" s="5"/>
      <c r="B67" s="6"/>
      <c r="C67" s="87" t="s">
        <v>409</v>
      </c>
      <c r="D67" s="8" t="s">
        <v>14</v>
      </c>
      <c r="E67" s="9">
        <v>100</v>
      </c>
      <c r="F67" s="47"/>
      <c r="G67" s="48"/>
    </row>
    <row r="68" spans="1:7" s="4" customFormat="1" ht="32.25" customHeight="1" thickBot="1" x14ac:dyDescent="0.35">
      <c r="A68" s="5"/>
      <c r="B68" s="6"/>
      <c r="C68" s="107" t="s">
        <v>436</v>
      </c>
      <c r="D68" s="21" t="s">
        <v>5</v>
      </c>
      <c r="E68" s="22">
        <v>100</v>
      </c>
      <c r="F68" s="77"/>
      <c r="G68" s="279" t="s">
        <v>73</v>
      </c>
    </row>
    <row r="69" spans="1:7" s="4" customFormat="1" ht="33.75" customHeight="1" thickBot="1" x14ac:dyDescent="0.35">
      <c r="A69" s="25"/>
      <c r="B69" s="26"/>
      <c r="C69" s="89" t="s">
        <v>320</v>
      </c>
      <c r="D69" s="90" t="s">
        <v>265</v>
      </c>
      <c r="E69" s="144" t="s">
        <v>210</v>
      </c>
      <c r="F69" s="144" t="s">
        <v>200</v>
      </c>
      <c r="G69" s="222" t="s">
        <v>267</v>
      </c>
    </row>
    <row r="70" spans="1:7" s="4" customFormat="1" ht="32.25" customHeight="1" x14ac:dyDescent="0.3">
      <c r="A70" s="5">
        <v>44062</v>
      </c>
      <c r="B70" s="6" t="s">
        <v>21</v>
      </c>
      <c r="C70" s="114" t="s">
        <v>437</v>
      </c>
      <c r="D70" s="82" t="s">
        <v>142</v>
      </c>
      <c r="E70" s="9" t="s">
        <v>438</v>
      </c>
      <c r="F70" s="152"/>
      <c r="G70" s="38"/>
    </row>
    <row r="71" spans="1:7" s="4" customFormat="1" ht="32.25" customHeight="1" x14ac:dyDescent="0.3">
      <c r="A71" s="5"/>
      <c r="B71" s="6"/>
      <c r="C71" s="87" t="s">
        <v>32</v>
      </c>
      <c r="D71" s="8" t="s">
        <v>5</v>
      </c>
      <c r="E71" s="9">
        <v>384</v>
      </c>
      <c r="F71" s="154"/>
      <c r="G71" s="280" t="s">
        <v>73</v>
      </c>
    </row>
    <row r="72" spans="1:7" s="4" customFormat="1" ht="32.25" customHeight="1" x14ac:dyDescent="0.3">
      <c r="A72" s="5"/>
      <c r="B72" s="6"/>
      <c r="C72" s="87" t="s">
        <v>409</v>
      </c>
      <c r="D72" s="8" t="s">
        <v>25</v>
      </c>
      <c r="E72" s="9">
        <v>40</v>
      </c>
      <c r="F72" s="10"/>
      <c r="G72" s="280" t="s">
        <v>439</v>
      </c>
    </row>
    <row r="73" spans="1:7" s="4" customFormat="1" ht="32.25" hidden="1" customHeight="1" x14ac:dyDescent="0.3">
      <c r="A73" s="5"/>
      <c r="B73" s="6"/>
      <c r="C73" s="281"/>
      <c r="D73" s="100"/>
      <c r="E73" s="15"/>
      <c r="F73" s="154"/>
      <c r="G73" s="38"/>
    </row>
    <row r="74" spans="1:7" s="4" customFormat="1" ht="32.25" hidden="1" customHeight="1" x14ac:dyDescent="0.3">
      <c r="A74" s="5"/>
      <c r="B74" s="6"/>
      <c r="C74" s="249"/>
      <c r="D74" s="100"/>
      <c r="E74" s="15"/>
      <c r="F74" s="154"/>
      <c r="G74" s="38"/>
    </row>
    <row r="75" spans="1:7" s="4" customFormat="1" ht="32.25" hidden="1" customHeight="1" x14ac:dyDescent="0.3">
      <c r="A75" s="5"/>
      <c r="B75" s="6"/>
      <c r="C75" s="101"/>
      <c r="D75" s="8"/>
      <c r="E75" s="9"/>
      <c r="F75" s="10"/>
      <c r="G75" s="280"/>
    </row>
    <row r="76" spans="1:7" s="4" customFormat="1" ht="32.25" customHeight="1" x14ac:dyDescent="0.3">
      <c r="A76" s="5"/>
      <c r="B76" s="6"/>
      <c r="C76" s="97" t="s">
        <v>107</v>
      </c>
      <c r="D76" s="8" t="s">
        <v>440</v>
      </c>
      <c r="E76" s="9" t="s">
        <v>128</v>
      </c>
      <c r="F76" s="10"/>
      <c r="G76" s="11"/>
    </row>
    <row r="77" spans="1:7" s="4" customFormat="1" ht="32.25" customHeight="1" thickBot="1" x14ac:dyDescent="0.35">
      <c r="A77" s="5"/>
      <c r="B77" s="6"/>
      <c r="C77" s="25"/>
      <c r="D77" s="161" t="s">
        <v>441</v>
      </c>
      <c r="E77" s="162" t="s">
        <v>62</v>
      </c>
      <c r="F77" s="23"/>
      <c r="G77" s="24"/>
    </row>
    <row r="78" spans="1:7" s="4" customFormat="1" ht="33.75" customHeight="1" thickBot="1" x14ac:dyDescent="0.35">
      <c r="A78" s="25"/>
      <c r="B78" s="26"/>
      <c r="C78" s="89"/>
      <c r="D78" s="90"/>
      <c r="E78" s="144"/>
      <c r="F78" s="144"/>
      <c r="G78" s="222"/>
    </row>
    <row r="79" spans="1:7" s="4" customFormat="1" ht="32.25" customHeight="1" x14ac:dyDescent="0.3">
      <c r="A79" s="5">
        <v>44063</v>
      </c>
      <c r="B79" s="6" t="s">
        <v>41</v>
      </c>
      <c r="C79" s="72" t="s">
        <v>16</v>
      </c>
      <c r="D79" s="32" t="s">
        <v>17</v>
      </c>
      <c r="E79" s="33">
        <v>205</v>
      </c>
      <c r="F79" s="34"/>
      <c r="G79" s="35"/>
    </row>
    <row r="80" spans="1:7" s="4" customFormat="1" ht="32.25" customHeight="1" x14ac:dyDescent="0.3">
      <c r="A80" s="5"/>
      <c r="B80" s="6"/>
      <c r="C80" s="84"/>
      <c r="D80" s="8"/>
      <c r="E80" s="9"/>
      <c r="F80" s="10"/>
      <c r="G80" s="11"/>
    </row>
    <row r="81" spans="1:7" s="4" customFormat="1" ht="32.25" customHeight="1" x14ac:dyDescent="0.3">
      <c r="A81" s="5"/>
      <c r="B81" s="6"/>
      <c r="C81" s="97" t="s">
        <v>43</v>
      </c>
      <c r="D81" s="100" t="s">
        <v>125</v>
      </c>
      <c r="E81" s="15">
        <v>64</v>
      </c>
      <c r="F81" s="154"/>
      <c r="G81" s="38"/>
    </row>
    <row r="82" spans="1:7" s="4" customFormat="1" ht="32.25" customHeight="1" x14ac:dyDescent="0.3">
      <c r="A82" s="5"/>
      <c r="B82" s="6"/>
      <c r="C82" s="5"/>
      <c r="D82" s="100" t="s">
        <v>256</v>
      </c>
      <c r="E82" s="15">
        <v>64</v>
      </c>
      <c r="F82" s="154"/>
      <c r="G82" s="38"/>
    </row>
    <row r="83" spans="1:7" s="4" customFormat="1" ht="32.25" customHeight="1" x14ac:dyDescent="0.3">
      <c r="A83" s="5"/>
      <c r="B83" s="6"/>
      <c r="C83" s="5"/>
      <c r="D83" s="100" t="s">
        <v>59</v>
      </c>
      <c r="E83" s="15">
        <v>64</v>
      </c>
      <c r="F83" s="154"/>
      <c r="G83" s="38"/>
    </row>
    <row r="84" spans="1:7" s="4" customFormat="1" ht="32.25" customHeight="1" x14ac:dyDescent="0.3">
      <c r="A84" s="5"/>
      <c r="B84" s="6"/>
      <c r="C84" s="5"/>
      <c r="D84" s="100" t="s">
        <v>44</v>
      </c>
      <c r="E84" s="15">
        <v>40</v>
      </c>
      <c r="F84" s="154"/>
      <c r="G84" s="38"/>
    </row>
    <row r="85" spans="1:7" s="4" customFormat="1" ht="32.25" customHeight="1" x14ac:dyDescent="0.3">
      <c r="A85" s="5"/>
      <c r="B85" s="6"/>
      <c r="C85" s="5"/>
      <c r="D85" s="8" t="s">
        <v>126</v>
      </c>
      <c r="E85" s="9">
        <v>30</v>
      </c>
      <c r="F85" s="10"/>
      <c r="G85" s="11"/>
    </row>
    <row r="86" spans="1:7" s="4" customFormat="1" ht="32.25" customHeight="1" thickBot="1" x14ac:dyDescent="0.35">
      <c r="A86" s="5"/>
      <c r="B86" s="6"/>
      <c r="C86" s="25"/>
      <c r="D86" s="161" t="s">
        <v>442</v>
      </c>
      <c r="E86" s="162" t="s">
        <v>47</v>
      </c>
      <c r="F86" s="23"/>
      <c r="G86" s="24"/>
    </row>
    <row r="87" spans="1:7" s="4" customFormat="1" ht="33.75" customHeight="1" thickBot="1" x14ac:dyDescent="0.35">
      <c r="A87" s="25"/>
      <c r="B87" s="26"/>
      <c r="C87" s="89"/>
      <c r="D87" s="90"/>
      <c r="E87" s="144"/>
      <c r="F87" s="144"/>
      <c r="G87" s="222"/>
    </row>
    <row r="88" spans="1:7" s="4" customFormat="1" ht="32.25" customHeight="1" x14ac:dyDescent="0.3">
      <c r="A88" s="5">
        <v>44064</v>
      </c>
      <c r="B88" s="6" t="s">
        <v>55</v>
      </c>
      <c r="C88" s="150" t="s">
        <v>16</v>
      </c>
      <c r="D88" s="100" t="s">
        <v>17</v>
      </c>
      <c r="E88" s="15">
        <v>437</v>
      </c>
      <c r="F88" s="154"/>
      <c r="G88" s="38"/>
    </row>
    <row r="89" spans="1:7" s="4" customFormat="1" ht="32.25" customHeight="1" x14ac:dyDescent="0.3">
      <c r="A89" s="5"/>
      <c r="B89" s="6"/>
      <c r="C89" s="101" t="s">
        <v>69</v>
      </c>
      <c r="D89" s="100" t="s">
        <v>70</v>
      </c>
      <c r="E89" s="15">
        <v>100</v>
      </c>
      <c r="F89" s="154"/>
      <c r="G89" s="280" t="s">
        <v>284</v>
      </c>
    </row>
    <row r="90" spans="1:7" s="4" customFormat="1" ht="32.25" customHeight="1" x14ac:dyDescent="0.3">
      <c r="A90" s="5"/>
      <c r="B90" s="6"/>
      <c r="C90" s="97" t="s">
        <v>74</v>
      </c>
      <c r="D90" s="8" t="s">
        <v>13</v>
      </c>
      <c r="E90" s="9">
        <v>112</v>
      </c>
      <c r="F90" s="10"/>
      <c r="G90" s="282" t="s">
        <v>145</v>
      </c>
    </row>
    <row r="91" spans="1:7" s="4" customFormat="1" ht="32.25" customHeight="1" x14ac:dyDescent="0.3">
      <c r="A91" s="5"/>
      <c r="B91" s="6"/>
      <c r="C91" s="5"/>
      <c r="D91" s="8" t="s">
        <v>146</v>
      </c>
      <c r="E91" s="9">
        <v>51</v>
      </c>
      <c r="F91" s="10"/>
      <c r="G91" s="283"/>
    </row>
    <row r="92" spans="1:7" s="4" customFormat="1" ht="32.25" customHeight="1" thickBot="1" x14ac:dyDescent="0.35">
      <c r="A92" s="5"/>
      <c r="B92" s="6"/>
      <c r="C92" s="25"/>
      <c r="D92" s="21" t="s">
        <v>46</v>
      </c>
      <c r="E92" s="22" t="s">
        <v>443</v>
      </c>
      <c r="F92" s="262"/>
      <c r="G92" s="284"/>
    </row>
    <row r="93" spans="1:7" s="4" customFormat="1" ht="32.25" customHeight="1" thickBot="1" x14ac:dyDescent="0.35">
      <c r="A93" s="5"/>
      <c r="B93" s="6"/>
      <c r="C93" s="143"/>
      <c r="D93" s="90"/>
      <c r="E93" s="144"/>
      <c r="F93" s="144"/>
      <c r="G93" s="222"/>
    </row>
    <row r="94" spans="1:7" s="4" customFormat="1" ht="57.75" customHeight="1" thickBot="1" x14ac:dyDescent="0.35">
      <c r="A94" s="1" t="s">
        <v>0</v>
      </c>
      <c r="B94" s="2"/>
      <c r="C94" s="2"/>
      <c r="D94" s="2"/>
      <c r="E94" s="2"/>
      <c r="F94" s="2"/>
      <c r="G94" s="3"/>
    </row>
    <row r="95" spans="1:7" s="4" customFormat="1" ht="33.75" customHeight="1" x14ac:dyDescent="0.3">
      <c r="A95" s="72">
        <v>44067</v>
      </c>
      <c r="B95" s="99" t="s">
        <v>1</v>
      </c>
      <c r="C95" s="31" t="s">
        <v>409</v>
      </c>
      <c r="D95" s="32" t="s">
        <v>286</v>
      </c>
      <c r="E95" s="33">
        <v>20</v>
      </c>
      <c r="F95" s="81"/>
      <c r="G95" s="35"/>
    </row>
    <row r="96" spans="1:7" s="4" customFormat="1" ht="33.75" customHeight="1" x14ac:dyDescent="0.3">
      <c r="A96" s="5"/>
      <c r="B96" s="6"/>
      <c r="C96" s="17"/>
      <c r="D96" s="14" t="s">
        <v>57</v>
      </c>
      <c r="E96" s="15">
        <v>40</v>
      </c>
      <c r="F96" s="104"/>
      <c r="G96" s="11"/>
    </row>
    <row r="97" spans="1:7" s="4" customFormat="1" ht="33.75" customHeight="1" x14ac:dyDescent="0.3">
      <c r="A97" s="5"/>
      <c r="B97" s="6"/>
      <c r="C97" s="36"/>
      <c r="D97" s="14" t="s">
        <v>444</v>
      </c>
      <c r="E97" s="15">
        <v>50</v>
      </c>
      <c r="F97" s="37"/>
      <c r="G97" s="11"/>
    </row>
    <row r="98" spans="1:7" s="4" customFormat="1" ht="33.75" customHeight="1" x14ac:dyDescent="0.3">
      <c r="A98" s="5"/>
      <c r="B98" s="6"/>
      <c r="C98" s="17" t="s">
        <v>175</v>
      </c>
      <c r="D98" s="14" t="s">
        <v>445</v>
      </c>
      <c r="E98" s="15" t="s">
        <v>259</v>
      </c>
      <c r="F98" s="104"/>
      <c r="G98" s="38" t="s">
        <v>446</v>
      </c>
    </row>
    <row r="99" spans="1:7" s="4" customFormat="1" ht="33.75" customHeight="1" x14ac:dyDescent="0.3">
      <c r="A99" s="5"/>
      <c r="B99" s="6"/>
      <c r="C99" s="36"/>
      <c r="D99" s="14" t="s">
        <v>447</v>
      </c>
      <c r="E99" s="15" t="s">
        <v>12</v>
      </c>
      <c r="F99" s="37"/>
      <c r="G99" s="11"/>
    </row>
    <row r="100" spans="1:7" s="4" customFormat="1" ht="33.75" customHeight="1" x14ac:dyDescent="0.3">
      <c r="A100" s="5"/>
      <c r="B100" s="6"/>
      <c r="C100" s="13" t="s">
        <v>152</v>
      </c>
      <c r="D100" s="8" t="s">
        <v>445</v>
      </c>
      <c r="E100" s="9" t="s">
        <v>35</v>
      </c>
      <c r="F100" s="10"/>
      <c r="G100" s="11"/>
    </row>
    <row r="101" spans="1:7" s="4" customFormat="1" ht="33.75" customHeight="1" x14ac:dyDescent="0.3">
      <c r="A101" s="5"/>
      <c r="B101" s="6"/>
      <c r="C101" s="13" t="s">
        <v>448</v>
      </c>
      <c r="D101" s="8" t="s">
        <v>445</v>
      </c>
      <c r="E101" s="9" t="s">
        <v>50</v>
      </c>
      <c r="F101" s="10"/>
      <c r="G101" s="64" t="s">
        <v>449</v>
      </c>
    </row>
    <row r="102" spans="1:7" s="4" customFormat="1" ht="33.75" customHeight="1" x14ac:dyDescent="0.3">
      <c r="A102" s="5"/>
      <c r="B102" s="6"/>
      <c r="C102" s="13" t="s">
        <v>74</v>
      </c>
      <c r="D102" s="8" t="s">
        <v>445</v>
      </c>
      <c r="E102" s="9" t="s">
        <v>62</v>
      </c>
      <c r="F102" s="37"/>
      <c r="G102" s="11"/>
    </row>
    <row r="103" spans="1:7" s="4" customFormat="1" ht="33.75" customHeight="1" x14ac:dyDescent="0.3">
      <c r="A103" s="5"/>
      <c r="B103" s="6"/>
      <c r="C103" s="13" t="s">
        <v>450</v>
      </c>
      <c r="D103" s="8" t="s">
        <v>445</v>
      </c>
      <c r="E103" s="9" t="s">
        <v>199</v>
      </c>
      <c r="F103" s="37"/>
      <c r="G103" s="11" t="s">
        <v>451</v>
      </c>
    </row>
    <row r="104" spans="1:7" s="4" customFormat="1" ht="32.25" customHeight="1" thickBot="1" x14ac:dyDescent="0.35">
      <c r="A104" s="25"/>
      <c r="B104" s="26"/>
      <c r="C104" s="143" t="s">
        <v>452</v>
      </c>
      <c r="D104" s="90" t="s">
        <v>265</v>
      </c>
      <c r="E104" s="144" t="s">
        <v>453</v>
      </c>
      <c r="F104" s="144" t="s">
        <v>342</v>
      </c>
      <c r="G104" s="222" t="s">
        <v>454</v>
      </c>
    </row>
    <row r="105" spans="1:7" s="4" customFormat="1" ht="33.75" hidden="1" customHeight="1" x14ac:dyDescent="0.3">
      <c r="A105" s="72">
        <v>44068</v>
      </c>
      <c r="B105" s="99" t="s">
        <v>15</v>
      </c>
      <c r="C105" s="274"/>
      <c r="D105" s="8"/>
      <c r="E105" s="9" t="s">
        <v>396</v>
      </c>
      <c r="F105" s="37"/>
      <c r="G105" s="38"/>
    </row>
    <row r="106" spans="1:7" s="4" customFormat="1" ht="33.75" customHeight="1" x14ac:dyDescent="0.3">
      <c r="A106" s="5"/>
      <c r="B106" s="6"/>
      <c r="C106" s="13" t="s">
        <v>139</v>
      </c>
      <c r="D106" s="8" t="s">
        <v>14</v>
      </c>
      <c r="E106" s="9">
        <v>100</v>
      </c>
      <c r="F106" s="10"/>
      <c r="G106" s="64"/>
    </row>
    <row r="107" spans="1:7" s="4" customFormat="1" ht="33.75" hidden="1" customHeight="1" x14ac:dyDescent="0.3">
      <c r="A107" s="5"/>
      <c r="B107" s="6"/>
      <c r="C107" s="13"/>
      <c r="D107" s="8"/>
      <c r="E107" s="9"/>
      <c r="F107" s="37"/>
      <c r="G107" s="11"/>
    </row>
    <row r="108" spans="1:7" s="4" customFormat="1" ht="33.75" customHeight="1" x14ac:dyDescent="0.3">
      <c r="A108" s="5"/>
      <c r="B108" s="6"/>
      <c r="C108" s="13" t="s">
        <v>16</v>
      </c>
      <c r="D108" s="8" t="s">
        <v>17</v>
      </c>
      <c r="E108" s="9">
        <v>148</v>
      </c>
      <c r="F108" s="37"/>
      <c r="G108" s="11"/>
    </row>
    <row r="109" spans="1:7" s="4" customFormat="1" ht="33.75" customHeight="1" x14ac:dyDescent="0.3">
      <c r="A109" s="5"/>
      <c r="B109" s="6"/>
      <c r="C109" s="16" t="s">
        <v>74</v>
      </c>
      <c r="D109" s="8" t="s">
        <v>445</v>
      </c>
      <c r="E109" s="9" t="s">
        <v>455</v>
      </c>
      <c r="F109" s="10"/>
      <c r="G109" s="211" t="s">
        <v>456</v>
      </c>
    </row>
    <row r="110" spans="1:7" s="4" customFormat="1" ht="33.75" customHeight="1" x14ac:dyDescent="0.3">
      <c r="A110" s="5"/>
      <c r="B110" s="6"/>
      <c r="C110" s="17"/>
      <c r="D110" s="8" t="s">
        <v>457</v>
      </c>
      <c r="E110" s="9" t="s">
        <v>458</v>
      </c>
      <c r="F110" s="10"/>
      <c r="G110" s="64"/>
    </row>
    <row r="111" spans="1:7" s="4" customFormat="1" ht="33.75" customHeight="1" x14ac:dyDescent="0.3">
      <c r="A111" s="5"/>
      <c r="B111" s="6"/>
      <c r="C111" s="17"/>
      <c r="D111" s="8" t="s">
        <v>13</v>
      </c>
      <c r="E111" s="9">
        <v>100</v>
      </c>
      <c r="F111" s="37"/>
      <c r="G111" s="11"/>
    </row>
    <row r="112" spans="1:7" s="4" customFormat="1" ht="33.75" customHeight="1" x14ac:dyDescent="0.3">
      <c r="A112" s="5"/>
      <c r="B112" s="6"/>
      <c r="C112" s="36"/>
      <c r="D112" s="8" t="s">
        <v>25</v>
      </c>
      <c r="E112" s="9">
        <v>30</v>
      </c>
      <c r="F112" s="10"/>
      <c r="G112" s="11"/>
    </row>
    <row r="113" spans="1:7" s="4" customFormat="1" ht="33.75" hidden="1" customHeight="1" x14ac:dyDescent="0.3">
      <c r="A113" s="5"/>
      <c r="B113" s="6"/>
      <c r="C113" s="16"/>
      <c r="D113" s="8"/>
      <c r="E113" s="9"/>
      <c r="F113" s="10"/>
      <c r="G113" s="11"/>
    </row>
    <row r="114" spans="1:7" s="4" customFormat="1" ht="33.75" hidden="1" customHeight="1" x14ac:dyDescent="0.3">
      <c r="A114" s="5"/>
      <c r="B114" s="6"/>
      <c r="C114" s="17"/>
      <c r="D114" s="8"/>
      <c r="E114" s="9"/>
      <c r="F114" s="10"/>
      <c r="G114" s="11"/>
    </row>
    <row r="115" spans="1:7" s="4" customFormat="1" ht="33.75" hidden="1" customHeight="1" x14ac:dyDescent="0.3">
      <c r="A115" s="5"/>
      <c r="B115" s="6"/>
      <c r="C115" s="17"/>
      <c r="D115" s="8"/>
      <c r="E115" s="9"/>
      <c r="F115" s="10"/>
      <c r="G115" s="11"/>
    </row>
    <row r="116" spans="1:7" s="4" customFormat="1" ht="33.75" hidden="1" customHeight="1" x14ac:dyDescent="0.3">
      <c r="A116" s="5"/>
      <c r="B116" s="6"/>
      <c r="C116" s="20"/>
      <c r="D116" s="193"/>
      <c r="E116" s="22"/>
      <c r="F116" s="220"/>
      <c r="G116" s="24"/>
    </row>
    <row r="117" spans="1:7" s="4" customFormat="1" ht="32.25" customHeight="1" thickBot="1" x14ac:dyDescent="0.35">
      <c r="A117" s="25"/>
      <c r="B117" s="26"/>
      <c r="C117" s="89" t="s">
        <v>112</v>
      </c>
      <c r="D117" s="90" t="s">
        <v>265</v>
      </c>
      <c r="E117" s="144" t="s">
        <v>391</v>
      </c>
      <c r="F117" s="144" t="s">
        <v>200</v>
      </c>
      <c r="G117" s="222" t="s">
        <v>454</v>
      </c>
    </row>
    <row r="118" spans="1:7" s="4" customFormat="1" ht="33.75" customHeight="1" x14ac:dyDescent="0.3">
      <c r="A118" s="72">
        <v>44069</v>
      </c>
      <c r="B118" s="99" t="s">
        <v>21</v>
      </c>
      <c r="C118" s="31" t="s">
        <v>16</v>
      </c>
      <c r="D118" s="32" t="s">
        <v>17</v>
      </c>
      <c r="E118" s="33">
        <v>39</v>
      </c>
      <c r="F118" s="34"/>
      <c r="G118" s="35"/>
    </row>
    <row r="119" spans="1:7" s="4" customFormat="1" ht="33.75" customHeight="1" x14ac:dyDescent="0.3">
      <c r="A119" s="5"/>
      <c r="B119" s="6"/>
      <c r="C119" s="36"/>
      <c r="D119" s="14" t="s">
        <v>290</v>
      </c>
      <c r="E119" s="15">
        <v>100</v>
      </c>
      <c r="F119" s="37"/>
      <c r="G119" s="38"/>
    </row>
    <row r="120" spans="1:7" s="4" customFormat="1" ht="33.75" customHeight="1" x14ac:dyDescent="0.3">
      <c r="A120" s="5"/>
      <c r="B120" s="6"/>
      <c r="C120" s="285" t="s">
        <v>459</v>
      </c>
      <c r="D120" s="286" t="s">
        <v>460</v>
      </c>
      <c r="E120" s="287">
        <v>20</v>
      </c>
      <c r="F120" s="288" t="s">
        <v>461</v>
      </c>
      <c r="G120" s="289" t="s">
        <v>462</v>
      </c>
    </row>
    <row r="121" spans="1:7" s="4" customFormat="1" ht="33.75" customHeight="1" x14ac:dyDescent="0.3">
      <c r="A121" s="5"/>
      <c r="B121" s="6"/>
      <c r="C121" s="290"/>
      <c r="D121" s="286" t="s">
        <v>224</v>
      </c>
      <c r="E121" s="287">
        <v>20</v>
      </c>
      <c r="F121" s="288" t="s">
        <v>461</v>
      </c>
      <c r="G121" s="291" t="s">
        <v>463</v>
      </c>
    </row>
    <row r="122" spans="1:7" s="4" customFormat="1" ht="33.75" customHeight="1" x14ac:dyDescent="0.3">
      <c r="A122" s="5"/>
      <c r="B122" s="6"/>
      <c r="C122" s="290"/>
      <c r="D122" s="286" t="s">
        <v>464</v>
      </c>
      <c r="E122" s="287">
        <v>10</v>
      </c>
      <c r="F122" s="292"/>
      <c r="G122" s="293"/>
    </row>
    <row r="123" spans="1:7" s="4" customFormat="1" ht="33.75" customHeight="1" x14ac:dyDescent="0.3">
      <c r="A123" s="5"/>
      <c r="B123" s="6"/>
      <c r="C123" s="294"/>
      <c r="D123" s="286" t="s">
        <v>465</v>
      </c>
      <c r="E123" s="287" t="s">
        <v>12</v>
      </c>
      <c r="F123" s="288"/>
      <c r="G123" s="293"/>
    </row>
    <row r="124" spans="1:7" s="4" customFormat="1" ht="33.75" customHeight="1" x14ac:dyDescent="0.3">
      <c r="A124" s="5"/>
      <c r="B124" s="6"/>
      <c r="C124" s="13" t="s">
        <v>32</v>
      </c>
      <c r="D124" s="8" t="s">
        <v>466</v>
      </c>
      <c r="E124" s="9">
        <v>100</v>
      </c>
      <c r="F124" s="10"/>
      <c r="G124" s="205" t="s">
        <v>467</v>
      </c>
    </row>
    <row r="125" spans="1:7" s="4" customFormat="1" ht="33.75" customHeight="1" x14ac:dyDescent="0.3">
      <c r="A125" s="5"/>
      <c r="B125" s="6"/>
      <c r="C125" s="7" t="s">
        <v>34</v>
      </c>
      <c r="D125" s="18" t="s">
        <v>465</v>
      </c>
      <c r="E125" s="19" t="s">
        <v>35</v>
      </c>
      <c r="F125" s="47"/>
      <c r="G125" s="295" t="s">
        <v>468</v>
      </c>
    </row>
    <row r="126" spans="1:7" s="4" customFormat="1" ht="33.75" customHeight="1" x14ac:dyDescent="0.3">
      <c r="A126" s="5"/>
      <c r="B126" s="6"/>
      <c r="C126" s="87" t="s">
        <v>82</v>
      </c>
      <c r="D126" s="82" t="s">
        <v>59</v>
      </c>
      <c r="E126" s="9">
        <v>24</v>
      </c>
      <c r="F126" s="152"/>
      <c r="G126" s="11" t="s">
        <v>428</v>
      </c>
    </row>
    <row r="127" spans="1:7" s="4" customFormat="1" ht="33.75" customHeight="1" x14ac:dyDescent="0.3">
      <c r="A127" s="5"/>
      <c r="B127" s="6"/>
      <c r="C127" s="16" t="s">
        <v>6</v>
      </c>
      <c r="D127" s="8" t="s">
        <v>464</v>
      </c>
      <c r="E127" s="9">
        <v>50</v>
      </c>
      <c r="F127" s="10"/>
      <c r="G127" s="211" t="s">
        <v>469</v>
      </c>
    </row>
    <row r="128" spans="1:7" s="4" customFormat="1" ht="33.75" customHeight="1" thickBot="1" x14ac:dyDescent="0.35">
      <c r="A128" s="5"/>
      <c r="B128" s="6"/>
      <c r="C128" s="20"/>
      <c r="D128" s="21" t="s">
        <v>457</v>
      </c>
      <c r="E128" s="22" t="s">
        <v>62</v>
      </c>
      <c r="F128" s="77"/>
      <c r="G128" s="78" t="s">
        <v>470</v>
      </c>
    </row>
    <row r="129" spans="1:8" s="4" customFormat="1" ht="33.75" customHeight="1" x14ac:dyDescent="0.3">
      <c r="A129" s="5"/>
      <c r="B129" s="6"/>
      <c r="C129" s="7" t="s">
        <v>6</v>
      </c>
      <c r="D129" s="8" t="s">
        <v>464</v>
      </c>
      <c r="E129" s="9">
        <v>50</v>
      </c>
      <c r="F129" s="10"/>
      <c r="G129" s="205" t="s">
        <v>468</v>
      </c>
    </row>
    <row r="130" spans="1:8" s="4" customFormat="1" ht="33.75" customHeight="1" thickBot="1" x14ac:dyDescent="0.35">
      <c r="A130" s="25"/>
      <c r="B130" s="26"/>
      <c r="C130" s="89"/>
      <c r="D130" s="90"/>
      <c r="E130" s="144"/>
      <c r="F130" s="144"/>
      <c r="G130" s="222"/>
    </row>
    <row r="131" spans="1:8" s="4" customFormat="1" ht="33.75" customHeight="1" x14ac:dyDescent="0.3">
      <c r="A131" s="72">
        <v>44070</v>
      </c>
      <c r="B131" s="99" t="s">
        <v>41</v>
      </c>
      <c r="C131" s="31" t="s">
        <v>16</v>
      </c>
      <c r="D131" s="14" t="s">
        <v>17</v>
      </c>
      <c r="E131" s="15">
        <v>484</v>
      </c>
      <c r="F131" s="81"/>
      <c r="G131" s="11"/>
    </row>
    <row r="132" spans="1:8" s="4" customFormat="1" ht="33.75" customHeight="1" x14ac:dyDescent="0.3">
      <c r="A132" s="5"/>
      <c r="B132" s="6"/>
      <c r="C132" s="36"/>
      <c r="D132" s="14" t="s">
        <v>18</v>
      </c>
      <c r="E132" s="15">
        <v>1</v>
      </c>
      <c r="F132" s="104"/>
      <c r="G132" s="38"/>
    </row>
    <row r="133" spans="1:8" s="4" customFormat="1" ht="33.75" customHeight="1" x14ac:dyDescent="0.3">
      <c r="A133" s="5"/>
      <c r="B133" s="6"/>
      <c r="C133" s="16" t="s">
        <v>69</v>
      </c>
      <c r="D133" s="14" t="s">
        <v>471</v>
      </c>
      <c r="E133" s="15">
        <v>50</v>
      </c>
      <c r="F133" s="104"/>
      <c r="G133" s="38" t="s">
        <v>472</v>
      </c>
    </row>
    <row r="134" spans="1:8" s="4" customFormat="1" ht="33.75" customHeight="1" x14ac:dyDescent="0.3">
      <c r="A134" s="5"/>
      <c r="B134" s="6"/>
      <c r="C134" s="17"/>
      <c r="D134" s="14" t="s">
        <v>59</v>
      </c>
      <c r="E134" s="15">
        <v>20</v>
      </c>
      <c r="F134" s="180"/>
      <c r="G134" s="263"/>
    </row>
    <row r="135" spans="1:8" s="4" customFormat="1" ht="33.75" customHeight="1" x14ac:dyDescent="0.3">
      <c r="A135" s="5"/>
      <c r="B135" s="6"/>
      <c r="C135" s="36"/>
      <c r="D135" s="14" t="s">
        <v>465</v>
      </c>
      <c r="E135" s="15" t="s">
        <v>20</v>
      </c>
      <c r="F135" s="180"/>
      <c r="G135" s="263"/>
    </row>
    <row r="136" spans="1:8" s="4" customFormat="1" ht="33.75" hidden="1" customHeight="1" x14ac:dyDescent="0.3">
      <c r="A136" s="5"/>
      <c r="B136" s="6"/>
      <c r="C136" s="189"/>
      <c r="D136" s="8"/>
      <c r="E136" s="9"/>
      <c r="F136" s="183"/>
      <c r="G136" s="186"/>
    </row>
    <row r="137" spans="1:8" s="4" customFormat="1" ht="33.75" customHeight="1" x14ac:dyDescent="0.3">
      <c r="A137" s="5"/>
      <c r="B137" s="6"/>
      <c r="C137" s="87" t="s">
        <v>473</v>
      </c>
      <c r="D137" s="82" t="s">
        <v>86</v>
      </c>
      <c r="E137" s="9">
        <v>100</v>
      </c>
      <c r="F137" s="152" t="s">
        <v>474</v>
      </c>
      <c r="G137" s="11" t="s">
        <v>73</v>
      </c>
    </row>
    <row r="138" spans="1:8" s="4" customFormat="1" ht="33.75" customHeight="1" thickBot="1" x14ac:dyDescent="0.35">
      <c r="A138" s="5"/>
      <c r="B138" s="6"/>
      <c r="C138" s="107" t="s">
        <v>175</v>
      </c>
      <c r="D138" s="108" t="s">
        <v>475</v>
      </c>
      <c r="E138" s="22" t="s">
        <v>12</v>
      </c>
      <c r="F138" s="225"/>
      <c r="G138" s="78" t="s">
        <v>476</v>
      </c>
      <c r="H138" s="4" t="s">
        <v>477</v>
      </c>
    </row>
    <row r="139" spans="1:8" s="4" customFormat="1" ht="33.75" customHeight="1" thickBot="1" x14ac:dyDescent="0.35">
      <c r="A139" s="25"/>
      <c r="B139" s="26"/>
      <c r="C139" s="147"/>
      <c r="D139" s="148"/>
      <c r="E139" s="148"/>
      <c r="F139" s="148"/>
      <c r="G139" s="149"/>
    </row>
    <row r="140" spans="1:8" s="4" customFormat="1" ht="33.75" customHeight="1" x14ac:dyDescent="0.3">
      <c r="A140" s="72">
        <v>44071</v>
      </c>
      <c r="B140" s="73" t="s">
        <v>55</v>
      </c>
      <c r="C140" s="31" t="s">
        <v>16</v>
      </c>
      <c r="D140" s="32" t="s">
        <v>18</v>
      </c>
      <c r="E140" s="33">
        <v>394</v>
      </c>
      <c r="F140" s="178"/>
      <c r="G140" s="237" t="s">
        <v>478</v>
      </c>
    </row>
    <row r="141" spans="1:8" s="4" customFormat="1" ht="33.75" hidden="1" customHeight="1" x14ac:dyDescent="0.3">
      <c r="A141" s="5"/>
      <c r="B141" s="75"/>
      <c r="C141" s="36"/>
      <c r="D141" s="8"/>
      <c r="E141" s="9"/>
      <c r="F141" s="183"/>
      <c r="G141" s="186"/>
    </row>
    <row r="142" spans="1:8" s="4" customFormat="1" ht="33.75" hidden="1" customHeight="1" x14ac:dyDescent="0.3">
      <c r="A142" s="5"/>
      <c r="B142" s="75"/>
      <c r="C142" s="31"/>
      <c r="D142" s="32"/>
      <c r="E142" s="33"/>
      <c r="F142" s="178"/>
      <c r="G142" s="237"/>
    </row>
    <row r="143" spans="1:8" s="4" customFormat="1" ht="33.75" hidden="1" customHeight="1" x14ac:dyDescent="0.3">
      <c r="A143" s="5"/>
      <c r="B143" s="75"/>
      <c r="C143" s="36"/>
      <c r="D143" s="8"/>
      <c r="E143" s="9"/>
      <c r="F143" s="183"/>
      <c r="G143" s="186"/>
    </row>
    <row r="144" spans="1:8" s="4" customFormat="1" ht="33.75" customHeight="1" x14ac:dyDescent="0.3">
      <c r="A144" s="5"/>
      <c r="B144" s="75"/>
      <c r="C144" s="87" t="s">
        <v>307</v>
      </c>
      <c r="D144" s="82" t="s">
        <v>13</v>
      </c>
      <c r="E144" s="9">
        <v>20</v>
      </c>
      <c r="F144" s="152"/>
      <c r="G144" s="11"/>
    </row>
    <row r="145" spans="1:7" s="4" customFormat="1" ht="33.75" customHeight="1" thickBot="1" x14ac:dyDescent="0.35">
      <c r="A145" s="5"/>
      <c r="B145" s="75"/>
      <c r="C145" s="213"/>
      <c r="D145" s="193"/>
      <c r="E145" s="162"/>
      <c r="F145" s="233"/>
      <c r="G145" s="24"/>
    </row>
    <row r="146" spans="1:7" s="4" customFormat="1" ht="33.75" customHeight="1" thickBot="1" x14ac:dyDescent="0.35">
      <c r="A146" s="25"/>
      <c r="B146" s="79"/>
      <c r="C146" s="89"/>
      <c r="D146" s="90"/>
      <c r="E146" s="144"/>
      <c r="F146" s="144"/>
      <c r="G146" s="222"/>
    </row>
    <row r="147" spans="1:7" s="4" customFormat="1" ht="108.75" customHeight="1" thickBot="1" x14ac:dyDescent="0.35">
      <c r="A147" s="1" t="s">
        <v>0</v>
      </c>
      <c r="B147" s="2"/>
      <c r="C147" s="2"/>
      <c r="D147" s="2"/>
      <c r="E147" s="2"/>
      <c r="F147" s="2"/>
      <c r="G147" s="3"/>
    </row>
    <row r="148" spans="1:7" s="4" customFormat="1" ht="33.75" customHeight="1" x14ac:dyDescent="0.3">
      <c r="A148" s="72">
        <v>44074</v>
      </c>
      <c r="B148" s="99" t="s">
        <v>1</v>
      </c>
      <c r="C148" s="31"/>
      <c r="D148" s="14"/>
      <c r="E148" s="15"/>
      <c r="F148" s="81"/>
      <c r="G148" s="11"/>
    </row>
    <row r="149" spans="1:7" s="4" customFormat="1" ht="33.75" customHeight="1" x14ac:dyDescent="0.3">
      <c r="A149" s="5"/>
      <c r="B149" s="6"/>
      <c r="C149" s="36"/>
      <c r="D149" s="14"/>
      <c r="E149" s="15"/>
      <c r="F149" s="37"/>
      <c r="G149" s="11"/>
    </row>
    <row r="150" spans="1:7" s="4" customFormat="1" ht="33.75" customHeight="1" thickBot="1" x14ac:dyDescent="0.35">
      <c r="A150" s="5"/>
      <c r="B150" s="6"/>
      <c r="C150" s="250"/>
      <c r="D150" s="161"/>
      <c r="E150" s="162"/>
      <c r="F150" s="23"/>
      <c r="G150" s="78"/>
    </row>
    <row r="151" spans="1:7" s="4" customFormat="1" ht="33.75" customHeight="1" thickBot="1" x14ac:dyDescent="0.35">
      <c r="A151" s="5"/>
      <c r="B151" s="6"/>
      <c r="C151" s="107"/>
      <c r="D151" s="108"/>
      <c r="E151" s="22"/>
      <c r="F151" s="268"/>
      <c r="G151" s="24"/>
    </row>
    <row r="152" spans="1:7" s="4" customFormat="1" ht="32.25" customHeight="1" thickBot="1" x14ac:dyDescent="0.35">
      <c r="A152" s="25"/>
      <c r="B152" s="26"/>
      <c r="C152" s="89"/>
      <c r="D152" s="90"/>
      <c r="E152" s="144"/>
      <c r="F152" s="144"/>
      <c r="G152" s="222"/>
    </row>
    <row r="153" spans="1:7" s="4" customFormat="1" ht="33.75" customHeight="1" x14ac:dyDescent="0.3">
      <c r="A153" s="72">
        <v>44075</v>
      </c>
      <c r="B153" s="99" t="s">
        <v>15</v>
      </c>
      <c r="C153" s="274"/>
      <c r="D153" s="8"/>
      <c r="E153" s="9"/>
      <c r="F153" s="37"/>
      <c r="G153" s="38"/>
    </row>
    <row r="154" spans="1:7" s="4" customFormat="1" ht="33.75" customHeight="1" x14ac:dyDescent="0.3">
      <c r="A154" s="5"/>
      <c r="B154" s="6"/>
      <c r="C154" s="13"/>
      <c r="D154" s="8"/>
      <c r="E154" s="9"/>
      <c r="F154" s="10"/>
      <c r="G154" s="64"/>
    </row>
    <row r="155" spans="1:7" s="4" customFormat="1" ht="33.75" customHeight="1" x14ac:dyDescent="0.3">
      <c r="A155" s="5"/>
      <c r="B155" s="6"/>
      <c r="C155" s="13"/>
      <c r="D155" s="8"/>
      <c r="E155" s="9"/>
      <c r="F155" s="37"/>
      <c r="G155" s="11"/>
    </row>
    <row r="156" spans="1:7" s="4" customFormat="1" ht="33.75" customHeight="1" x14ac:dyDescent="0.3">
      <c r="A156" s="5"/>
      <c r="B156" s="6"/>
      <c r="C156" s="16"/>
      <c r="D156" s="8"/>
      <c r="E156" s="9"/>
      <c r="F156" s="10"/>
      <c r="G156" s="11"/>
    </row>
    <row r="157" spans="1:7" s="4" customFormat="1" ht="33.75" customHeight="1" x14ac:dyDescent="0.3">
      <c r="A157" s="5"/>
      <c r="B157" s="6"/>
      <c r="C157" s="17"/>
      <c r="D157" s="8"/>
      <c r="E157" s="9"/>
      <c r="F157" s="10"/>
      <c r="G157" s="11"/>
    </row>
    <row r="158" spans="1:7" s="4" customFormat="1" ht="33.75" customHeight="1" x14ac:dyDescent="0.3">
      <c r="A158" s="5"/>
      <c r="B158" s="6"/>
      <c r="C158" s="17"/>
      <c r="D158" s="8"/>
      <c r="E158" s="9"/>
      <c r="F158" s="10"/>
      <c r="G158" s="11"/>
    </row>
    <row r="159" spans="1:7" s="4" customFormat="1" ht="33.75" customHeight="1" thickBot="1" x14ac:dyDescent="0.35">
      <c r="A159" s="5"/>
      <c r="B159" s="6"/>
      <c r="C159" s="20"/>
      <c r="D159" s="193"/>
      <c r="E159" s="22"/>
      <c r="F159" s="220"/>
      <c r="G159" s="24"/>
    </row>
    <row r="160" spans="1:7" s="4" customFormat="1" ht="32.25" customHeight="1" thickBot="1" x14ac:dyDescent="0.35">
      <c r="A160" s="25"/>
      <c r="B160" s="26"/>
      <c r="C160" s="89"/>
      <c r="D160" s="90"/>
      <c r="E160" s="144"/>
      <c r="F160" s="144"/>
      <c r="G160" s="222"/>
    </row>
    <row r="161" spans="1:7" s="4" customFormat="1" ht="33.75" customHeight="1" x14ac:dyDescent="0.3">
      <c r="A161" s="72">
        <v>44076</v>
      </c>
      <c r="B161" s="99" t="s">
        <v>21</v>
      </c>
      <c r="C161" s="31" t="s">
        <v>185</v>
      </c>
      <c r="D161" s="32" t="s">
        <v>465</v>
      </c>
      <c r="E161" s="33" t="s">
        <v>64</v>
      </c>
      <c r="F161" s="34"/>
      <c r="G161" s="296" t="s">
        <v>479</v>
      </c>
    </row>
    <row r="162" spans="1:7" s="4" customFormat="1" ht="33.75" customHeight="1" x14ac:dyDescent="0.3">
      <c r="A162" s="5"/>
      <c r="B162" s="6"/>
      <c r="C162" s="36"/>
      <c r="D162" s="14" t="s">
        <v>480</v>
      </c>
      <c r="E162" s="15" t="s">
        <v>62</v>
      </c>
      <c r="F162" s="37"/>
      <c r="G162" s="297"/>
    </row>
    <row r="163" spans="1:7" s="4" customFormat="1" ht="33.75" customHeight="1" x14ac:dyDescent="0.3">
      <c r="A163" s="5"/>
      <c r="B163" s="6"/>
      <c r="C163" s="13"/>
      <c r="D163" s="18"/>
      <c r="E163" s="19"/>
      <c r="F163" s="47"/>
      <c r="G163" s="48"/>
    </row>
    <row r="164" spans="1:7" s="4" customFormat="1" ht="33.75" customHeight="1" thickBot="1" x14ac:dyDescent="0.35">
      <c r="A164" s="5"/>
      <c r="B164" s="6"/>
      <c r="C164" s="250"/>
      <c r="D164" s="21"/>
      <c r="E164" s="22"/>
      <c r="F164" s="77"/>
      <c r="G164" s="78"/>
    </row>
    <row r="165" spans="1:7" s="4" customFormat="1" ht="33.75" customHeight="1" thickBot="1" x14ac:dyDescent="0.35">
      <c r="A165" s="25"/>
      <c r="B165" s="26"/>
      <c r="C165" s="89"/>
      <c r="D165" s="90"/>
      <c r="E165" s="144"/>
      <c r="F165" s="144"/>
      <c r="G165" s="222"/>
    </row>
    <row r="166" spans="1:7" s="4" customFormat="1" ht="33.75" customHeight="1" x14ac:dyDescent="0.3">
      <c r="A166" s="72">
        <v>44077</v>
      </c>
      <c r="B166" s="99" t="s">
        <v>41</v>
      </c>
      <c r="C166" s="31" t="s">
        <v>16</v>
      </c>
      <c r="D166" s="14" t="s">
        <v>17</v>
      </c>
      <c r="E166" s="15">
        <v>149</v>
      </c>
      <c r="F166" s="81"/>
      <c r="G166" s="11"/>
    </row>
    <row r="167" spans="1:7" s="4" customFormat="1" ht="33.75" customHeight="1" x14ac:dyDescent="0.3">
      <c r="A167" s="5"/>
      <c r="B167" s="6"/>
      <c r="C167" s="17"/>
      <c r="D167" s="14" t="s">
        <v>18</v>
      </c>
      <c r="E167" s="15">
        <v>22</v>
      </c>
      <c r="F167" s="104"/>
      <c r="G167" s="38"/>
    </row>
    <row r="168" spans="1:7" s="4" customFormat="1" ht="33.75" customHeight="1" x14ac:dyDescent="0.3">
      <c r="A168" s="5"/>
      <c r="B168" s="6"/>
      <c r="C168" s="17"/>
      <c r="D168" s="14"/>
      <c r="E168" s="15"/>
      <c r="F168" s="104"/>
      <c r="G168" s="38"/>
    </row>
    <row r="169" spans="1:7" s="4" customFormat="1" ht="33.75" customHeight="1" x14ac:dyDescent="0.3">
      <c r="A169" s="5"/>
      <c r="B169" s="6"/>
      <c r="C169" s="36"/>
      <c r="D169" s="14"/>
      <c r="E169" s="15"/>
      <c r="F169" s="180"/>
      <c r="G169" s="263"/>
    </row>
    <row r="170" spans="1:7" s="4" customFormat="1" ht="33.75" customHeight="1" x14ac:dyDescent="0.3">
      <c r="A170" s="5"/>
      <c r="B170" s="6"/>
      <c r="C170" s="189"/>
      <c r="D170" s="8"/>
      <c r="E170" s="9"/>
      <c r="F170" s="183"/>
      <c r="G170" s="186"/>
    </row>
    <row r="171" spans="1:7" s="4" customFormat="1" ht="33.75" customHeight="1" thickBot="1" x14ac:dyDescent="0.35">
      <c r="A171" s="5"/>
      <c r="B171" s="6"/>
      <c r="C171" s="107"/>
      <c r="D171" s="108"/>
      <c r="E171" s="22"/>
      <c r="F171" s="225"/>
      <c r="G171" s="78"/>
    </row>
    <row r="172" spans="1:7" s="4" customFormat="1" ht="33.75" customHeight="1" thickBot="1" x14ac:dyDescent="0.35">
      <c r="A172" s="25"/>
      <c r="B172" s="26"/>
      <c r="C172" s="143" t="s">
        <v>294</v>
      </c>
      <c r="D172" s="90" t="s">
        <v>265</v>
      </c>
      <c r="E172" s="144" t="s">
        <v>481</v>
      </c>
      <c r="F172" s="144" t="s">
        <v>73</v>
      </c>
      <c r="G172" s="149" t="s">
        <v>454</v>
      </c>
    </row>
    <row r="173" spans="1:7" s="4" customFormat="1" ht="33.75" customHeight="1" x14ac:dyDescent="0.3">
      <c r="A173" s="72">
        <v>44078</v>
      </c>
      <c r="B173" s="99" t="s">
        <v>55</v>
      </c>
      <c r="C173" s="31" t="s">
        <v>16</v>
      </c>
      <c r="D173" s="14" t="s">
        <v>18</v>
      </c>
      <c r="E173" s="15">
        <v>1</v>
      </c>
      <c r="F173" s="178"/>
      <c r="G173" s="237"/>
    </row>
    <row r="174" spans="1:7" s="4" customFormat="1" ht="33.75" customHeight="1" x14ac:dyDescent="0.3">
      <c r="A174" s="5"/>
      <c r="B174" s="6"/>
      <c r="C174" s="36"/>
      <c r="D174" s="8"/>
      <c r="E174" s="9"/>
      <c r="F174" s="183"/>
      <c r="G174" s="186"/>
    </row>
    <row r="175" spans="1:7" s="4" customFormat="1" ht="33.75" customHeight="1" thickBot="1" x14ac:dyDescent="0.35">
      <c r="A175" s="5"/>
      <c r="B175" s="6"/>
      <c r="C175" s="107"/>
      <c r="D175" s="108"/>
      <c r="E175" s="22"/>
      <c r="F175" s="225"/>
      <c r="G175" s="78"/>
    </row>
    <row r="176" spans="1:7" s="4" customFormat="1" ht="33.75" customHeight="1" thickBot="1" x14ac:dyDescent="0.35">
      <c r="A176" s="25"/>
      <c r="B176" s="26"/>
      <c r="C176" s="147"/>
      <c r="D176" s="148"/>
      <c r="E176" s="148"/>
      <c r="F176" s="148"/>
      <c r="G176" s="149"/>
    </row>
  </sheetData>
  <mergeCells count="91">
    <mergeCell ref="A173:A176"/>
    <mergeCell ref="B173:B176"/>
    <mergeCell ref="C173:C174"/>
    <mergeCell ref="A161:A165"/>
    <mergeCell ref="B161:B165"/>
    <mergeCell ref="C161:C162"/>
    <mergeCell ref="G161:G162"/>
    <mergeCell ref="A166:A172"/>
    <mergeCell ref="B166:B172"/>
    <mergeCell ref="C166:C169"/>
    <mergeCell ref="A147:G147"/>
    <mergeCell ref="A148:A152"/>
    <mergeCell ref="B148:B152"/>
    <mergeCell ref="C148:C149"/>
    <mergeCell ref="A153:A160"/>
    <mergeCell ref="B153:B160"/>
    <mergeCell ref="C156:C159"/>
    <mergeCell ref="A131:A139"/>
    <mergeCell ref="B131:B139"/>
    <mergeCell ref="C131:C132"/>
    <mergeCell ref="C133:C135"/>
    <mergeCell ref="A140:A146"/>
    <mergeCell ref="B140:B146"/>
    <mergeCell ref="C140:C141"/>
    <mergeCell ref="C142:C143"/>
    <mergeCell ref="A105:A117"/>
    <mergeCell ref="B105:B117"/>
    <mergeCell ref="C109:C112"/>
    <mergeCell ref="C113:C116"/>
    <mergeCell ref="A118:A130"/>
    <mergeCell ref="B118:B130"/>
    <mergeCell ref="C118:C119"/>
    <mergeCell ref="C120:C123"/>
    <mergeCell ref="C127:C128"/>
    <mergeCell ref="A88:A93"/>
    <mergeCell ref="B88:B93"/>
    <mergeCell ref="C90:C92"/>
    <mergeCell ref="G90:G92"/>
    <mergeCell ref="A94:G94"/>
    <mergeCell ref="A95:A104"/>
    <mergeCell ref="B95:B104"/>
    <mergeCell ref="C95:C97"/>
    <mergeCell ref="C98:C99"/>
    <mergeCell ref="A70:A78"/>
    <mergeCell ref="B70:B78"/>
    <mergeCell ref="C76:C77"/>
    <mergeCell ref="A79:A87"/>
    <mergeCell ref="B79:B87"/>
    <mergeCell ref="C79:C80"/>
    <mergeCell ref="C81:C86"/>
    <mergeCell ref="A60:G60"/>
    <mergeCell ref="A61:A63"/>
    <mergeCell ref="B61:B63"/>
    <mergeCell ref="C61:G63"/>
    <mergeCell ref="A64:A69"/>
    <mergeCell ref="B64:B69"/>
    <mergeCell ref="C64:C65"/>
    <mergeCell ref="A46:A49"/>
    <mergeCell ref="B46:B49"/>
    <mergeCell ref="C47:C48"/>
    <mergeCell ref="A50:A59"/>
    <mergeCell ref="B50:B59"/>
    <mergeCell ref="C50:C51"/>
    <mergeCell ref="C52:C55"/>
    <mergeCell ref="C56:C57"/>
    <mergeCell ref="A36:A40"/>
    <mergeCell ref="B36:B40"/>
    <mergeCell ref="C36:C37"/>
    <mergeCell ref="C38:C39"/>
    <mergeCell ref="A41:A45"/>
    <mergeCell ref="B41:B45"/>
    <mergeCell ref="A26:A30"/>
    <mergeCell ref="B26:B30"/>
    <mergeCell ref="C26:C28"/>
    <mergeCell ref="A31:G31"/>
    <mergeCell ref="A32:A35"/>
    <mergeCell ref="B32:B35"/>
    <mergeCell ref="A8:A20"/>
    <mergeCell ref="B8:B20"/>
    <mergeCell ref="C9:C14"/>
    <mergeCell ref="C15:C16"/>
    <mergeCell ref="C17:C18"/>
    <mergeCell ref="A21:A25"/>
    <mergeCell ref="B21:B25"/>
    <mergeCell ref="C22:C23"/>
    <mergeCell ref="A1:G1"/>
    <mergeCell ref="A2:A4"/>
    <mergeCell ref="B2:B4"/>
    <mergeCell ref="C2:G7"/>
    <mergeCell ref="A5:A7"/>
    <mergeCell ref="B5:B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68" fitToHeight="5" orientation="portrait" r:id="rId1"/>
  <rowBreaks count="1" manualBreakCount="1">
    <brk id="130" max="104857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9"/>
  <sheetViews>
    <sheetView topLeftCell="A166" zoomScale="70" zoomScaleNormal="70" zoomScaleSheetLayoutView="70" workbookViewId="0">
      <selection activeCell="D121" sqref="D121"/>
    </sheetView>
  </sheetViews>
  <sheetFormatPr defaultColWidth="9" defaultRowHeight="36" customHeight="1" x14ac:dyDescent="0.3"/>
  <cols>
    <col min="1" max="1" width="12.375" style="124" customWidth="1"/>
    <col min="2" max="2" width="7.25" style="125" customWidth="1"/>
    <col min="3" max="3" width="21.875" style="126" customWidth="1"/>
    <col min="4" max="4" width="28.375" style="12" customWidth="1"/>
    <col min="5" max="5" width="15.375" style="127" customWidth="1"/>
    <col min="6" max="6" width="26.25" style="127" customWidth="1"/>
    <col min="7" max="7" width="28.125" style="128" customWidth="1"/>
    <col min="8" max="8" width="42.5" style="298" customWidth="1"/>
    <col min="9" max="16384" width="9" style="12"/>
  </cols>
  <sheetData>
    <row r="1" spans="1:8" s="4" customFormat="1" ht="108.75" customHeight="1" thickBot="1" x14ac:dyDescent="0.35">
      <c r="A1" s="1" t="s">
        <v>0</v>
      </c>
      <c r="B1" s="2"/>
      <c r="C1" s="2"/>
      <c r="D1" s="2"/>
      <c r="E1" s="2"/>
      <c r="F1" s="2"/>
      <c r="G1" s="3"/>
      <c r="H1" s="298"/>
    </row>
    <row r="2" spans="1:8" s="4" customFormat="1" ht="33.75" customHeight="1" x14ac:dyDescent="0.3">
      <c r="A2" s="5">
        <v>44074</v>
      </c>
      <c r="B2" s="6" t="s">
        <v>482</v>
      </c>
      <c r="C2" s="299" t="s">
        <v>43</v>
      </c>
      <c r="D2" s="8" t="s">
        <v>29</v>
      </c>
      <c r="E2" s="9">
        <v>80</v>
      </c>
      <c r="F2" s="183" t="s">
        <v>483</v>
      </c>
      <c r="G2" s="186"/>
      <c r="H2" s="298"/>
    </row>
    <row r="3" spans="1:8" s="4" customFormat="1" ht="33.75" customHeight="1" x14ac:dyDescent="0.3">
      <c r="A3" s="5"/>
      <c r="B3" s="6"/>
      <c r="C3" s="300"/>
      <c r="D3" s="8" t="s">
        <v>59</v>
      </c>
      <c r="E3" s="9">
        <v>68</v>
      </c>
      <c r="F3" s="183" t="s">
        <v>484</v>
      </c>
      <c r="G3" s="185"/>
      <c r="H3" s="298"/>
    </row>
    <row r="4" spans="1:8" s="4" customFormat="1" ht="33.75" customHeight="1" x14ac:dyDescent="0.3">
      <c r="A4" s="5"/>
      <c r="B4" s="6"/>
      <c r="C4" s="301" t="s">
        <v>485</v>
      </c>
      <c r="D4" s="95" t="s">
        <v>486</v>
      </c>
      <c r="E4" s="96" t="s">
        <v>487</v>
      </c>
      <c r="F4" s="182"/>
      <c r="G4" s="185"/>
      <c r="H4" s="298"/>
    </row>
    <row r="5" spans="1:8" s="4" customFormat="1" ht="33.75" customHeight="1" x14ac:dyDescent="0.3">
      <c r="A5" s="5"/>
      <c r="B5" s="6"/>
      <c r="C5" s="302"/>
      <c r="D5" s="95" t="s">
        <v>488</v>
      </c>
      <c r="E5" s="96" t="s">
        <v>489</v>
      </c>
      <c r="F5" s="182" t="s">
        <v>490</v>
      </c>
      <c r="G5" s="185"/>
      <c r="H5" s="298"/>
    </row>
    <row r="6" spans="1:8" s="4" customFormat="1" ht="33.75" customHeight="1" x14ac:dyDescent="0.3">
      <c r="A6" s="5"/>
      <c r="B6" s="6"/>
      <c r="C6" s="300"/>
      <c r="D6" s="95" t="s">
        <v>491</v>
      </c>
      <c r="E6" s="96">
        <v>50</v>
      </c>
      <c r="F6" s="183"/>
      <c r="G6" s="185"/>
      <c r="H6" s="298"/>
    </row>
    <row r="7" spans="1:8" s="4" customFormat="1" ht="33.75" customHeight="1" x14ac:dyDescent="0.3">
      <c r="A7" s="5"/>
      <c r="B7" s="6"/>
      <c r="C7" s="16" t="s">
        <v>74</v>
      </c>
      <c r="D7" s="8" t="s">
        <v>465</v>
      </c>
      <c r="E7" s="9" t="s">
        <v>128</v>
      </c>
      <c r="F7" s="37"/>
      <c r="G7" s="303" t="s">
        <v>492</v>
      </c>
      <c r="H7" s="298"/>
    </row>
    <row r="8" spans="1:8" s="4" customFormat="1" ht="33.75" customHeight="1" x14ac:dyDescent="0.3">
      <c r="A8" s="5"/>
      <c r="B8" s="6"/>
      <c r="C8" s="36"/>
      <c r="D8" s="8" t="s">
        <v>493</v>
      </c>
      <c r="E8" s="9" t="s">
        <v>62</v>
      </c>
      <c r="F8" s="37"/>
      <c r="G8" s="304"/>
      <c r="H8" s="298"/>
    </row>
    <row r="9" spans="1:8" s="4" customFormat="1" ht="33.75" hidden="1" customHeight="1" x14ac:dyDescent="0.3">
      <c r="A9" s="5"/>
      <c r="B9" s="6"/>
      <c r="C9" s="13"/>
      <c r="D9" s="95"/>
      <c r="E9" s="96"/>
      <c r="F9" s="63"/>
      <c r="G9" s="64"/>
      <c r="H9" s="298"/>
    </row>
    <row r="10" spans="1:8" s="4" customFormat="1" ht="33.75" customHeight="1" x14ac:dyDescent="0.3">
      <c r="A10" s="5"/>
      <c r="B10" s="6"/>
      <c r="C10" s="97" t="s">
        <v>494</v>
      </c>
      <c r="D10" s="82" t="s">
        <v>495</v>
      </c>
      <c r="E10" s="9" t="s">
        <v>496</v>
      </c>
      <c r="F10" s="83"/>
      <c r="G10" s="11"/>
      <c r="H10" s="298"/>
    </row>
    <row r="11" spans="1:8" s="4" customFormat="1" ht="33.75" customHeight="1" thickBot="1" x14ac:dyDescent="0.35">
      <c r="A11" s="5"/>
      <c r="B11" s="6"/>
      <c r="C11" s="25"/>
      <c r="D11" s="193" t="s">
        <v>497</v>
      </c>
      <c r="E11" s="162">
        <v>200</v>
      </c>
      <c r="F11" s="167"/>
      <c r="G11" s="24"/>
      <c r="H11" s="298"/>
    </row>
    <row r="12" spans="1:8" s="4" customFormat="1" ht="32.25" customHeight="1" thickBot="1" x14ac:dyDescent="0.35">
      <c r="A12" s="25"/>
      <c r="B12" s="26"/>
      <c r="C12" s="89" t="s">
        <v>498</v>
      </c>
      <c r="D12" s="90" t="s">
        <v>499</v>
      </c>
      <c r="E12" s="144" t="s">
        <v>267</v>
      </c>
      <c r="F12" s="144"/>
      <c r="G12" s="222"/>
      <c r="H12" s="298"/>
    </row>
    <row r="13" spans="1:8" s="4" customFormat="1" ht="33.75" customHeight="1" x14ac:dyDescent="0.3">
      <c r="A13" s="72">
        <v>44075</v>
      </c>
      <c r="B13" s="99" t="s">
        <v>15</v>
      </c>
      <c r="C13" s="274" t="s">
        <v>16</v>
      </c>
      <c r="D13" s="14" t="s">
        <v>17</v>
      </c>
      <c r="E13" s="15">
        <v>369</v>
      </c>
      <c r="F13" s="37"/>
      <c r="G13" s="38"/>
      <c r="H13" s="298"/>
    </row>
    <row r="14" spans="1:8" s="4" customFormat="1" ht="33.75" hidden="1" customHeight="1" x14ac:dyDescent="0.3">
      <c r="A14" s="5"/>
      <c r="B14" s="6"/>
      <c r="C14" s="13"/>
      <c r="D14" s="8"/>
      <c r="E14" s="9"/>
      <c r="F14" s="10"/>
      <c r="G14" s="64"/>
      <c r="H14" s="298"/>
    </row>
    <row r="15" spans="1:8" s="4" customFormat="1" ht="33.75" hidden="1" customHeight="1" x14ac:dyDescent="0.3">
      <c r="A15" s="5"/>
      <c r="B15" s="6"/>
      <c r="C15" s="13"/>
      <c r="D15" s="8"/>
      <c r="E15" s="9"/>
      <c r="F15" s="10"/>
      <c r="G15" s="64"/>
      <c r="H15" s="298"/>
    </row>
    <row r="16" spans="1:8" s="4" customFormat="1" ht="33.75" customHeight="1" x14ac:dyDescent="0.3">
      <c r="A16" s="5"/>
      <c r="B16" s="6"/>
      <c r="C16" s="13" t="s">
        <v>500</v>
      </c>
      <c r="D16" s="95" t="s">
        <v>501</v>
      </c>
      <c r="E16" s="96">
        <v>150</v>
      </c>
      <c r="F16" s="10"/>
      <c r="G16" s="211" t="s">
        <v>502</v>
      </c>
      <c r="H16" s="298"/>
    </row>
    <row r="17" spans="1:8" s="4" customFormat="1" ht="33.75" customHeight="1" x14ac:dyDescent="0.3">
      <c r="A17" s="5"/>
      <c r="B17" s="6"/>
      <c r="C17" s="13" t="s">
        <v>503</v>
      </c>
      <c r="D17" s="8" t="s">
        <v>504</v>
      </c>
      <c r="E17" s="9" t="s">
        <v>505</v>
      </c>
      <c r="F17" s="10"/>
      <c r="G17" s="11"/>
      <c r="H17" s="298"/>
    </row>
    <row r="18" spans="1:8" s="4" customFormat="1" ht="33.75" hidden="1" customHeight="1" x14ac:dyDescent="0.3">
      <c r="A18" s="5"/>
      <c r="B18" s="6"/>
      <c r="C18" s="16"/>
      <c r="D18" s="8"/>
      <c r="E18" s="9"/>
      <c r="F18" s="37"/>
      <c r="G18" s="303"/>
      <c r="H18" s="298"/>
    </row>
    <row r="19" spans="1:8" s="4" customFormat="1" ht="33.75" hidden="1" customHeight="1" x14ac:dyDescent="0.3">
      <c r="A19" s="5"/>
      <c r="B19" s="6"/>
      <c r="C19" s="36"/>
      <c r="D19" s="8"/>
      <c r="E19" s="9"/>
      <c r="F19" s="37"/>
      <c r="G19" s="304"/>
      <c r="H19" s="298"/>
    </row>
    <row r="20" spans="1:8" s="4" customFormat="1" ht="33.75" hidden="1" customHeight="1" x14ac:dyDescent="0.3">
      <c r="A20" s="5"/>
      <c r="B20" s="6"/>
      <c r="C20" s="16"/>
      <c r="D20" s="8"/>
      <c r="E20" s="9"/>
      <c r="F20" s="10"/>
      <c r="G20" s="11"/>
      <c r="H20" s="298"/>
    </row>
    <row r="21" spans="1:8" s="4" customFormat="1" ht="33.75" hidden="1" customHeight="1" x14ac:dyDescent="0.3">
      <c r="A21" s="5"/>
      <c r="B21" s="6"/>
      <c r="C21" s="17"/>
      <c r="D21" s="8"/>
      <c r="E21" s="9"/>
      <c r="F21" s="10"/>
      <c r="G21" s="11"/>
      <c r="H21" s="298"/>
    </row>
    <row r="22" spans="1:8" s="4" customFormat="1" ht="33.75" hidden="1" customHeight="1" x14ac:dyDescent="0.3">
      <c r="A22" s="5"/>
      <c r="B22" s="6"/>
      <c r="C22" s="17"/>
      <c r="D22" s="8"/>
      <c r="E22" s="9"/>
      <c r="F22" s="10"/>
      <c r="G22" s="11"/>
      <c r="H22" s="298"/>
    </row>
    <row r="23" spans="1:8" s="4" customFormat="1" ht="33.75" hidden="1" customHeight="1" x14ac:dyDescent="0.3">
      <c r="A23" s="5"/>
      <c r="B23" s="6"/>
      <c r="C23" s="20"/>
      <c r="D23" s="193"/>
      <c r="E23" s="22"/>
      <c r="F23" s="220"/>
      <c r="G23" s="24"/>
      <c r="H23" s="298"/>
    </row>
    <row r="24" spans="1:8" s="4" customFormat="1" ht="32.25" customHeight="1" thickBot="1" x14ac:dyDescent="0.35">
      <c r="A24" s="25"/>
      <c r="B24" s="26"/>
      <c r="C24" s="89"/>
      <c r="D24" s="90"/>
      <c r="E24" s="144"/>
      <c r="F24" s="144"/>
      <c r="G24" s="222"/>
      <c r="H24" s="298"/>
    </row>
    <row r="25" spans="1:8" s="4" customFormat="1" ht="33.75" hidden="1" customHeight="1" x14ac:dyDescent="0.3">
      <c r="A25" s="5">
        <v>44076</v>
      </c>
      <c r="B25" s="6" t="s">
        <v>506</v>
      </c>
      <c r="C25" s="305"/>
      <c r="D25" s="8"/>
      <c r="E25" s="9"/>
      <c r="F25" s="10"/>
      <c r="G25" s="306"/>
      <c r="H25" s="298"/>
    </row>
    <row r="26" spans="1:8" s="4" customFormat="1" ht="33.75" hidden="1" customHeight="1" x14ac:dyDescent="0.3">
      <c r="A26" s="5"/>
      <c r="B26" s="6"/>
      <c r="C26" s="305"/>
      <c r="D26" s="8"/>
      <c r="E26" s="9"/>
      <c r="F26" s="10"/>
      <c r="G26" s="306"/>
      <c r="H26" s="298"/>
    </row>
    <row r="27" spans="1:8" s="4" customFormat="1" ht="40.5" customHeight="1" x14ac:dyDescent="0.3">
      <c r="A27" s="5"/>
      <c r="B27" s="6"/>
      <c r="C27" s="13" t="s">
        <v>507</v>
      </c>
      <c r="D27" s="8" t="s">
        <v>508</v>
      </c>
      <c r="E27" s="9" t="s">
        <v>509</v>
      </c>
      <c r="F27" s="10"/>
      <c r="G27" s="306" t="s">
        <v>510</v>
      </c>
      <c r="H27" s="298"/>
    </row>
    <row r="28" spans="1:8" s="4" customFormat="1" ht="33.75" customHeight="1" x14ac:dyDescent="0.3">
      <c r="A28" s="5"/>
      <c r="B28" s="6"/>
      <c r="C28" s="17" t="s">
        <v>511</v>
      </c>
      <c r="D28" s="8" t="s">
        <v>512</v>
      </c>
      <c r="E28" s="9">
        <v>100</v>
      </c>
      <c r="F28" s="307" t="s">
        <v>513</v>
      </c>
      <c r="G28" s="308"/>
      <c r="H28" s="298"/>
    </row>
    <row r="29" spans="1:8" s="4" customFormat="1" ht="33.75" customHeight="1" x14ac:dyDescent="0.3">
      <c r="A29" s="5"/>
      <c r="B29" s="6"/>
      <c r="C29" s="17"/>
      <c r="D29" s="8" t="s">
        <v>512</v>
      </c>
      <c r="E29" s="9">
        <v>20</v>
      </c>
      <c r="F29" s="307" t="s">
        <v>514</v>
      </c>
      <c r="G29" s="308"/>
      <c r="H29" s="298"/>
    </row>
    <row r="30" spans="1:8" s="4" customFormat="1" ht="33.75" customHeight="1" x14ac:dyDescent="0.3">
      <c r="A30" s="5"/>
      <c r="B30" s="6"/>
      <c r="C30" s="17"/>
      <c r="D30" s="8" t="s">
        <v>515</v>
      </c>
      <c r="E30" s="9">
        <v>25</v>
      </c>
      <c r="F30" s="307" t="s">
        <v>513</v>
      </c>
      <c r="G30" s="308"/>
      <c r="H30" s="298"/>
    </row>
    <row r="31" spans="1:8" s="4" customFormat="1" ht="33.75" customHeight="1" x14ac:dyDescent="0.3">
      <c r="A31" s="5"/>
      <c r="B31" s="6"/>
      <c r="C31" s="36"/>
      <c r="D31" s="8" t="s">
        <v>516</v>
      </c>
      <c r="E31" s="9">
        <v>5</v>
      </c>
      <c r="F31" s="307" t="s">
        <v>517</v>
      </c>
      <c r="G31" s="309"/>
      <c r="H31" s="298"/>
    </row>
    <row r="32" spans="1:8" s="4" customFormat="1" ht="33.75" customHeight="1" x14ac:dyDescent="0.3">
      <c r="A32" s="5"/>
      <c r="B32" s="6"/>
      <c r="C32" s="16" t="s">
        <v>518</v>
      </c>
      <c r="D32" s="8" t="s">
        <v>519</v>
      </c>
      <c r="E32" s="9">
        <v>200</v>
      </c>
      <c r="F32" s="10" t="s">
        <v>520</v>
      </c>
      <c r="G32" s="308"/>
      <c r="H32" s="298"/>
    </row>
    <row r="33" spans="1:8" s="4" customFormat="1" ht="33.75" customHeight="1" x14ac:dyDescent="0.3">
      <c r="A33" s="5"/>
      <c r="B33" s="6"/>
      <c r="C33" s="17"/>
      <c r="D33" s="8" t="s">
        <v>521</v>
      </c>
      <c r="E33" s="9">
        <v>20</v>
      </c>
      <c r="F33" s="10"/>
      <c r="G33" s="308"/>
      <c r="H33" s="298"/>
    </row>
    <row r="34" spans="1:8" s="4" customFormat="1" ht="33.75" customHeight="1" x14ac:dyDescent="0.3">
      <c r="A34" s="5"/>
      <c r="B34" s="6"/>
      <c r="C34" s="17"/>
      <c r="D34" s="8" t="s">
        <v>522</v>
      </c>
      <c r="E34" s="9">
        <v>10</v>
      </c>
      <c r="F34" s="10"/>
      <c r="G34" s="308"/>
      <c r="H34" s="298"/>
    </row>
    <row r="35" spans="1:8" s="4" customFormat="1" ht="33.75" customHeight="1" x14ac:dyDescent="0.3">
      <c r="A35" s="5"/>
      <c r="B35" s="6"/>
      <c r="C35" s="17"/>
      <c r="D35" s="8" t="s">
        <v>523</v>
      </c>
      <c r="E35" s="9">
        <v>30</v>
      </c>
      <c r="F35" s="10"/>
      <c r="G35" s="308"/>
      <c r="H35" s="298"/>
    </row>
    <row r="36" spans="1:8" s="4" customFormat="1" ht="33.75" customHeight="1" x14ac:dyDescent="0.3">
      <c r="A36" s="5"/>
      <c r="B36" s="6"/>
      <c r="C36" s="17"/>
      <c r="D36" s="8" t="s">
        <v>524</v>
      </c>
      <c r="E36" s="9">
        <v>10</v>
      </c>
      <c r="F36" s="10"/>
      <c r="G36" s="308"/>
      <c r="H36" s="298"/>
    </row>
    <row r="37" spans="1:8" s="4" customFormat="1" ht="33.75" customHeight="1" x14ac:dyDescent="0.3">
      <c r="A37" s="5"/>
      <c r="B37" s="6"/>
      <c r="C37" s="36"/>
      <c r="D37" s="8" t="s">
        <v>525</v>
      </c>
      <c r="E37" s="9" t="s">
        <v>526</v>
      </c>
      <c r="F37" s="10"/>
      <c r="G37" s="295"/>
      <c r="H37" s="298"/>
    </row>
    <row r="38" spans="1:8" s="4" customFormat="1" ht="33.75" customHeight="1" x14ac:dyDescent="0.3">
      <c r="A38" s="5"/>
      <c r="B38" s="6"/>
      <c r="C38" s="36" t="s">
        <v>185</v>
      </c>
      <c r="D38" s="14" t="s">
        <v>465</v>
      </c>
      <c r="E38" s="15" t="s">
        <v>64</v>
      </c>
      <c r="F38" s="37"/>
      <c r="G38" s="310" t="s">
        <v>527</v>
      </c>
      <c r="H38" s="298"/>
    </row>
    <row r="39" spans="1:8" s="4" customFormat="1" ht="33.75" customHeight="1" x14ac:dyDescent="0.3">
      <c r="A39" s="5"/>
      <c r="B39" s="6"/>
      <c r="C39" s="305"/>
      <c r="D39" s="8" t="s">
        <v>480</v>
      </c>
      <c r="E39" s="9" t="s">
        <v>62</v>
      </c>
      <c r="F39" s="10" t="s">
        <v>528</v>
      </c>
      <c r="G39" s="311"/>
      <c r="H39" s="298"/>
    </row>
    <row r="40" spans="1:8" s="4" customFormat="1" ht="33.75" customHeight="1" x14ac:dyDescent="0.3">
      <c r="A40" s="5"/>
      <c r="B40" s="6"/>
      <c r="C40" s="16" t="s">
        <v>529</v>
      </c>
      <c r="D40" s="8" t="s">
        <v>495</v>
      </c>
      <c r="E40" s="9" t="s">
        <v>526</v>
      </c>
      <c r="F40" s="10"/>
      <c r="G40" s="205"/>
      <c r="H40" s="298"/>
    </row>
    <row r="41" spans="1:8" s="4" customFormat="1" ht="33.75" customHeight="1" thickBot="1" x14ac:dyDescent="0.35">
      <c r="A41" s="5"/>
      <c r="B41" s="6"/>
      <c r="C41" s="20"/>
      <c r="D41" s="161" t="s">
        <v>530</v>
      </c>
      <c r="E41" s="162" t="s">
        <v>531</v>
      </c>
      <c r="F41" s="23"/>
      <c r="G41" s="312"/>
      <c r="H41" s="298"/>
    </row>
    <row r="42" spans="1:8" s="4" customFormat="1" ht="33.75" customHeight="1" thickBot="1" x14ac:dyDescent="0.35">
      <c r="A42" s="25"/>
      <c r="B42" s="26"/>
      <c r="C42" s="89"/>
      <c r="D42" s="90"/>
      <c r="E42" s="144"/>
      <c r="F42" s="144"/>
      <c r="G42" s="222"/>
      <c r="H42" s="298"/>
    </row>
    <row r="43" spans="1:8" s="4" customFormat="1" ht="33.75" customHeight="1" x14ac:dyDescent="0.3">
      <c r="A43" s="72">
        <v>44077</v>
      </c>
      <c r="B43" s="99" t="s">
        <v>41</v>
      </c>
      <c r="C43" s="31" t="s">
        <v>16</v>
      </c>
      <c r="D43" s="32" t="s">
        <v>17</v>
      </c>
      <c r="E43" s="33">
        <v>149</v>
      </c>
      <c r="F43" s="81"/>
      <c r="G43" s="204"/>
      <c r="H43" s="298"/>
    </row>
    <row r="44" spans="1:8" s="4" customFormat="1" ht="33.75" customHeight="1" x14ac:dyDescent="0.3">
      <c r="A44" s="5"/>
      <c r="B44" s="6"/>
      <c r="C44" s="17"/>
      <c r="D44" s="14"/>
      <c r="E44" s="15"/>
      <c r="F44" s="104"/>
      <c r="G44" s="280"/>
      <c r="H44" s="298"/>
    </row>
    <row r="45" spans="1:8" s="4" customFormat="1" ht="33.75" hidden="1" customHeight="1" x14ac:dyDescent="0.3">
      <c r="A45" s="5"/>
      <c r="B45" s="6"/>
      <c r="C45" s="17"/>
      <c r="D45" s="14"/>
      <c r="E45" s="15"/>
      <c r="F45" s="104"/>
      <c r="G45" s="280"/>
      <c r="H45" s="298"/>
    </row>
    <row r="46" spans="1:8" s="4" customFormat="1" ht="33.75" customHeight="1" x14ac:dyDescent="0.3">
      <c r="A46" s="5"/>
      <c r="B46" s="6"/>
      <c r="C46" s="16" t="s">
        <v>532</v>
      </c>
      <c r="D46" s="8" t="s">
        <v>533</v>
      </c>
      <c r="E46" s="9" t="s">
        <v>534</v>
      </c>
      <c r="F46" s="10"/>
      <c r="G46" s="311" t="s">
        <v>535</v>
      </c>
      <c r="H46" s="298"/>
    </row>
    <row r="47" spans="1:8" s="4" customFormat="1" ht="33.75" customHeight="1" x14ac:dyDescent="0.3">
      <c r="A47" s="5"/>
      <c r="B47" s="6"/>
      <c r="C47" s="36"/>
      <c r="D47" s="8" t="s">
        <v>491</v>
      </c>
      <c r="E47" s="9">
        <v>168</v>
      </c>
      <c r="F47" s="10"/>
      <c r="G47" s="311"/>
      <c r="H47" s="298"/>
    </row>
    <row r="48" spans="1:8" s="4" customFormat="1" ht="33.75" customHeight="1" x14ac:dyDescent="0.3">
      <c r="A48" s="5"/>
      <c r="B48" s="6"/>
      <c r="C48" s="13" t="s">
        <v>247</v>
      </c>
      <c r="D48" s="8" t="s">
        <v>536</v>
      </c>
      <c r="E48" s="9">
        <v>50</v>
      </c>
      <c r="F48" s="10" t="s">
        <v>537</v>
      </c>
      <c r="G48" s="306" t="s">
        <v>538</v>
      </c>
      <c r="H48" s="298"/>
    </row>
    <row r="49" spans="1:8" s="4" customFormat="1" ht="33.75" customHeight="1" x14ac:dyDescent="0.3">
      <c r="A49" s="5"/>
      <c r="B49" s="6"/>
      <c r="C49" s="16" t="s">
        <v>532</v>
      </c>
      <c r="D49" s="8" t="s">
        <v>525</v>
      </c>
      <c r="E49" s="9" t="s">
        <v>539</v>
      </c>
      <c r="F49" s="10"/>
      <c r="G49" s="306" t="s">
        <v>527</v>
      </c>
      <c r="H49" s="298"/>
    </row>
    <row r="50" spans="1:8" s="4" customFormat="1" ht="33.75" customHeight="1" x14ac:dyDescent="0.3">
      <c r="A50" s="5"/>
      <c r="B50" s="6"/>
      <c r="C50" s="17"/>
      <c r="D50" s="8" t="s">
        <v>504</v>
      </c>
      <c r="E50" s="9" t="s">
        <v>531</v>
      </c>
      <c r="F50" s="10"/>
      <c r="G50" s="10" t="s">
        <v>540</v>
      </c>
      <c r="H50" s="298"/>
    </row>
    <row r="51" spans="1:8" s="4" customFormat="1" ht="33.75" customHeight="1" x14ac:dyDescent="0.3">
      <c r="A51" s="5"/>
      <c r="B51" s="6"/>
      <c r="C51" s="17"/>
      <c r="D51" s="8" t="s">
        <v>541</v>
      </c>
      <c r="E51" s="9" t="s">
        <v>542</v>
      </c>
      <c r="F51" s="10"/>
      <c r="G51" s="10"/>
      <c r="H51" s="298"/>
    </row>
    <row r="52" spans="1:8" s="4" customFormat="1" ht="33.75" customHeight="1" x14ac:dyDescent="0.3">
      <c r="A52" s="5"/>
      <c r="B52" s="6"/>
      <c r="C52" s="36"/>
      <c r="D52" s="8" t="s">
        <v>543</v>
      </c>
      <c r="E52" s="9" t="s">
        <v>544</v>
      </c>
      <c r="F52" s="10"/>
      <c r="G52" s="10"/>
      <c r="H52" s="298"/>
    </row>
    <row r="53" spans="1:8" s="4" customFormat="1" ht="33.75" customHeight="1" x14ac:dyDescent="0.3">
      <c r="A53" s="5"/>
      <c r="B53" s="6"/>
      <c r="C53" s="16" t="s">
        <v>545</v>
      </c>
      <c r="D53" s="8" t="s">
        <v>525</v>
      </c>
      <c r="E53" s="9" t="s">
        <v>546</v>
      </c>
      <c r="F53" s="10"/>
      <c r="G53" s="10"/>
      <c r="H53" s="298"/>
    </row>
    <row r="54" spans="1:8" s="4" customFormat="1" ht="33.75" customHeight="1" x14ac:dyDescent="0.3">
      <c r="A54" s="5"/>
      <c r="B54" s="6"/>
      <c r="C54" s="17"/>
      <c r="D54" s="8" t="s">
        <v>547</v>
      </c>
      <c r="E54" s="9">
        <v>20</v>
      </c>
      <c r="F54" s="10"/>
      <c r="G54" s="10"/>
      <c r="H54" s="298"/>
    </row>
    <row r="55" spans="1:8" s="4" customFormat="1" ht="33.75" customHeight="1" x14ac:dyDescent="0.3">
      <c r="A55" s="5"/>
      <c r="B55" s="6"/>
      <c r="C55" s="17"/>
      <c r="D55" s="8" t="s">
        <v>548</v>
      </c>
      <c r="E55" s="9">
        <v>50</v>
      </c>
      <c r="F55" s="10"/>
      <c r="G55" s="10"/>
      <c r="H55" s="298"/>
    </row>
    <row r="56" spans="1:8" s="4" customFormat="1" ht="33.75" customHeight="1" x14ac:dyDescent="0.3">
      <c r="A56" s="5"/>
      <c r="B56" s="6"/>
      <c r="C56" s="36"/>
      <c r="D56" s="8" t="s">
        <v>549</v>
      </c>
      <c r="E56" s="9">
        <v>50</v>
      </c>
      <c r="F56" s="10"/>
      <c r="G56" s="10"/>
      <c r="H56" s="298"/>
    </row>
    <row r="57" spans="1:8" s="4" customFormat="1" ht="33.75" customHeight="1" x14ac:dyDescent="0.3">
      <c r="A57" s="5"/>
      <c r="B57" s="6"/>
      <c r="C57" s="7" t="s">
        <v>500</v>
      </c>
      <c r="D57" s="8" t="s">
        <v>550</v>
      </c>
      <c r="E57" s="9">
        <v>100</v>
      </c>
      <c r="F57" s="183"/>
      <c r="G57" s="186" t="s">
        <v>551</v>
      </c>
      <c r="H57" s="298"/>
    </row>
    <row r="58" spans="1:8" s="4" customFormat="1" ht="33.75" customHeight="1" x14ac:dyDescent="0.3">
      <c r="A58" s="5"/>
      <c r="B58" s="6"/>
      <c r="C58" s="7" t="s">
        <v>552</v>
      </c>
      <c r="D58" s="8" t="s">
        <v>553</v>
      </c>
      <c r="E58" s="9" t="s">
        <v>554</v>
      </c>
      <c r="F58" s="10" t="s">
        <v>555</v>
      </c>
      <c r="G58" s="186" t="s">
        <v>556</v>
      </c>
      <c r="H58" s="298"/>
    </row>
    <row r="59" spans="1:8" s="4" customFormat="1" ht="33.75" customHeight="1" thickBot="1" x14ac:dyDescent="0.35">
      <c r="A59" s="5"/>
      <c r="B59" s="6"/>
      <c r="C59" s="313" t="s">
        <v>557</v>
      </c>
      <c r="D59" s="314" t="s">
        <v>558</v>
      </c>
      <c r="E59" s="315" t="s">
        <v>559</v>
      </c>
      <c r="F59" s="316"/>
      <c r="G59" s="317"/>
      <c r="H59" s="298"/>
    </row>
    <row r="60" spans="1:8" s="4" customFormat="1" ht="33.75" customHeight="1" thickBot="1" x14ac:dyDescent="0.35">
      <c r="A60" s="25"/>
      <c r="B60" s="26"/>
      <c r="C60" s="143"/>
      <c r="D60" s="90"/>
      <c r="E60" s="144"/>
      <c r="F60" s="144"/>
      <c r="G60" s="149"/>
      <c r="H60" s="298"/>
    </row>
    <row r="61" spans="1:8" s="4" customFormat="1" ht="33.75" customHeight="1" x14ac:dyDescent="0.3">
      <c r="A61" s="72">
        <v>44078</v>
      </c>
      <c r="B61" s="99" t="s">
        <v>55</v>
      </c>
      <c r="C61" s="31" t="s">
        <v>16</v>
      </c>
      <c r="D61" s="32" t="s">
        <v>18</v>
      </c>
      <c r="E61" s="33">
        <v>1</v>
      </c>
      <c r="F61" s="178"/>
      <c r="G61" s="237"/>
      <c r="H61" s="298"/>
    </row>
    <row r="62" spans="1:8" s="4" customFormat="1" ht="33.75" customHeight="1" x14ac:dyDescent="0.3">
      <c r="A62" s="5"/>
      <c r="B62" s="6"/>
      <c r="C62" s="17"/>
      <c r="D62" s="8" t="s">
        <v>560</v>
      </c>
      <c r="E62" s="9">
        <v>2</v>
      </c>
      <c r="F62" s="183"/>
      <c r="G62" s="186"/>
      <c r="H62" s="298"/>
    </row>
    <row r="63" spans="1:8" s="4" customFormat="1" ht="33.75" customHeight="1" x14ac:dyDescent="0.3">
      <c r="A63" s="5"/>
      <c r="B63" s="6"/>
      <c r="C63" s="36"/>
      <c r="D63" s="8" t="s">
        <v>561</v>
      </c>
      <c r="E63" s="9">
        <v>200</v>
      </c>
      <c r="F63" s="183"/>
      <c r="G63" s="186"/>
      <c r="H63" s="298"/>
    </row>
    <row r="64" spans="1:8" s="4" customFormat="1" ht="33.75" customHeight="1" x14ac:dyDescent="0.3">
      <c r="A64" s="5"/>
      <c r="B64" s="6"/>
      <c r="C64" s="87" t="s">
        <v>562</v>
      </c>
      <c r="D64" s="82" t="s">
        <v>563</v>
      </c>
      <c r="E64" s="9">
        <v>100</v>
      </c>
      <c r="F64" s="152"/>
      <c r="G64" s="11"/>
      <c r="H64" s="298"/>
    </row>
    <row r="65" spans="1:8" s="4" customFormat="1" ht="33.75" customHeight="1" thickBot="1" x14ac:dyDescent="0.35">
      <c r="A65" s="5"/>
      <c r="B65" s="6"/>
      <c r="C65" s="213" t="s">
        <v>507</v>
      </c>
      <c r="D65" s="21" t="s">
        <v>564</v>
      </c>
      <c r="E65" s="22" t="s">
        <v>509</v>
      </c>
      <c r="F65" s="77"/>
      <c r="G65" s="318" t="s">
        <v>565</v>
      </c>
      <c r="H65" s="298"/>
    </row>
    <row r="66" spans="1:8" s="4" customFormat="1" ht="33.75" customHeight="1" thickBot="1" x14ac:dyDescent="0.35">
      <c r="A66" s="25"/>
      <c r="B66" s="26"/>
      <c r="C66" s="143" t="s">
        <v>294</v>
      </c>
      <c r="D66" s="90" t="s">
        <v>265</v>
      </c>
      <c r="E66" s="144" t="s">
        <v>481</v>
      </c>
      <c r="F66" s="144" t="s">
        <v>73</v>
      </c>
      <c r="G66" s="149" t="s">
        <v>566</v>
      </c>
      <c r="H66" s="298"/>
    </row>
    <row r="67" spans="1:8" s="4" customFormat="1" ht="86.25" customHeight="1" thickBot="1" x14ac:dyDescent="0.35">
      <c r="A67" s="1" t="s">
        <v>0</v>
      </c>
      <c r="B67" s="2"/>
      <c r="C67" s="2"/>
      <c r="D67" s="2"/>
      <c r="E67" s="2"/>
      <c r="F67" s="2"/>
      <c r="G67" s="3"/>
      <c r="H67" s="298"/>
    </row>
    <row r="68" spans="1:8" s="4" customFormat="1" ht="36" customHeight="1" x14ac:dyDescent="0.3">
      <c r="A68" s="72">
        <v>44081</v>
      </c>
      <c r="B68" s="99" t="s">
        <v>1</v>
      </c>
      <c r="C68" s="31" t="s">
        <v>16</v>
      </c>
      <c r="D68" s="14" t="s">
        <v>17</v>
      </c>
      <c r="E68" s="15">
        <v>475</v>
      </c>
      <c r="F68" s="81"/>
      <c r="G68" s="11"/>
      <c r="H68" s="298"/>
    </row>
    <row r="69" spans="1:8" s="4" customFormat="1" ht="36" customHeight="1" x14ac:dyDescent="0.3">
      <c r="A69" s="5"/>
      <c r="B69" s="6"/>
      <c r="C69" s="36"/>
      <c r="D69" s="14"/>
      <c r="E69" s="15"/>
      <c r="F69" s="37"/>
      <c r="G69" s="11"/>
      <c r="H69" s="298"/>
    </row>
    <row r="70" spans="1:8" s="4" customFormat="1" ht="36" customHeight="1" x14ac:dyDescent="0.3">
      <c r="A70" s="5"/>
      <c r="B70" s="6"/>
      <c r="C70" s="16" t="s">
        <v>567</v>
      </c>
      <c r="D70" s="8" t="s">
        <v>525</v>
      </c>
      <c r="E70" s="9" t="s">
        <v>568</v>
      </c>
      <c r="F70" s="10" t="s">
        <v>569</v>
      </c>
      <c r="G70" s="319" t="s">
        <v>570</v>
      </c>
      <c r="H70" s="298"/>
    </row>
    <row r="71" spans="1:8" s="4" customFormat="1" ht="36" customHeight="1" x14ac:dyDescent="0.3">
      <c r="A71" s="5"/>
      <c r="B71" s="6"/>
      <c r="C71" s="36"/>
      <c r="D71" s="8" t="s">
        <v>512</v>
      </c>
      <c r="E71" s="9">
        <v>5</v>
      </c>
      <c r="F71" s="10" t="s">
        <v>571</v>
      </c>
      <c r="G71" s="310"/>
      <c r="H71" s="298"/>
    </row>
    <row r="72" spans="1:8" s="4" customFormat="1" ht="36" customHeight="1" thickBot="1" x14ac:dyDescent="0.35">
      <c r="A72" s="5"/>
      <c r="B72" s="6"/>
      <c r="C72" s="213" t="s">
        <v>572</v>
      </c>
      <c r="D72" s="193" t="s">
        <v>573</v>
      </c>
      <c r="E72" s="162">
        <v>100</v>
      </c>
      <c r="F72" s="167"/>
      <c r="G72" s="312" t="s">
        <v>527</v>
      </c>
      <c r="H72" s="298"/>
    </row>
    <row r="73" spans="1:8" s="4" customFormat="1" ht="36" customHeight="1" thickBot="1" x14ac:dyDescent="0.35">
      <c r="A73" s="25"/>
      <c r="B73" s="26"/>
      <c r="C73" s="89"/>
      <c r="D73" s="90"/>
      <c r="E73" s="144"/>
      <c r="F73" s="144"/>
      <c r="G73" s="222"/>
      <c r="H73" s="298"/>
    </row>
    <row r="74" spans="1:8" s="4" customFormat="1" ht="36" hidden="1" customHeight="1" x14ac:dyDescent="0.3">
      <c r="A74" s="72">
        <v>44082</v>
      </c>
      <c r="B74" s="99" t="s">
        <v>15</v>
      </c>
      <c r="C74" s="274"/>
      <c r="D74" s="8"/>
      <c r="E74" s="9"/>
      <c r="F74" s="37"/>
      <c r="G74" s="38"/>
      <c r="H74" s="298"/>
    </row>
    <row r="75" spans="1:8" s="4" customFormat="1" ht="36" customHeight="1" x14ac:dyDescent="0.3">
      <c r="A75" s="5"/>
      <c r="B75" s="6"/>
      <c r="C75" s="13" t="s">
        <v>574</v>
      </c>
      <c r="D75" s="8" t="s">
        <v>525</v>
      </c>
      <c r="E75" s="9" t="s">
        <v>575</v>
      </c>
      <c r="F75" s="10" t="s">
        <v>576</v>
      </c>
      <c r="G75" s="205" t="s">
        <v>577</v>
      </c>
      <c r="H75" s="320">
        <v>6.25E-2</v>
      </c>
    </row>
    <row r="76" spans="1:8" s="4" customFormat="1" ht="36" customHeight="1" x14ac:dyDescent="0.3">
      <c r="A76" s="5"/>
      <c r="B76" s="6"/>
      <c r="C76" s="13" t="s">
        <v>578</v>
      </c>
      <c r="D76" s="8" t="s">
        <v>579</v>
      </c>
      <c r="E76" s="9">
        <v>100</v>
      </c>
      <c r="F76" s="10"/>
      <c r="G76" s="211" t="s">
        <v>580</v>
      </c>
      <c r="H76" s="298"/>
    </row>
    <row r="77" spans="1:8" s="4" customFormat="1" ht="36" customHeight="1" x14ac:dyDescent="0.3">
      <c r="A77" s="5"/>
      <c r="B77" s="6"/>
      <c r="C77" s="321" t="s">
        <v>567</v>
      </c>
      <c r="D77" s="322" t="s">
        <v>543</v>
      </c>
      <c r="E77" s="323" t="s">
        <v>554</v>
      </c>
      <c r="F77" s="324" t="s">
        <v>581</v>
      </c>
      <c r="G77" s="325" t="s">
        <v>582</v>
      </c>
      <c r="H77" s="298"/>
    </row>
    <row r="78" spans="1:8" s="4" customFormat="1" ht="36" customHeight="1" x14ac:dyDescent="0.3">
      <c r="A78" s="5"/>
      <c r="B78" s="6"/>
      <c r="C78" s="16" t="s">
        <v>16</v>
      </c>
      <c r="D78" s="8" t="s">
        <v>17</v>
      </c>
      <c r="E78" s="9">
        <v>420</v>
      </c>
      <c r="F78" s="10"/>
      <c r="G78" s="11"/>
      <c r="H78" s="298"/>
    </row>
    <row r="79" spans="1:8" s="4" customFormat="1" ht="36" customHeight="1" x14ac:dyDescent="0.3">
      <c r="A79" s="5"/>
      <c r="B79" s="6"/>
      <c r="C79" s="17"/>
      <c r="D79" s="8" t="s">
        <v>290</v>
      </c>
      <c r="E79" s="9">
        <v>100</v>
      </c>
      <c r="F79" s="10"/>
      <c r="G79" s="11"/>
      <c r="H79" s="298"/>
    </row>
    <row r="80" spans="1:8" s="4" customFormat="1" ht="36" customHeight="1" x14ac:dyDescent="0.3">
      <c r="A80" s="5"/>
      <c r="B80" s="6"/>
      <c r="C80" s="17"/>
      <c r="D80" s="8"/>
      <c r="E80" s="9"/>
      <c r="F80" s="10"/>
      <c r="G80" s="11"/>
      <c r="H80" s="298"/>
    </row>
    <row r="81" spans="1:8" s="4" customFormat="1" ht="36" customHeight="1" thickBot="1" x14ac:dyDescent="0.35">
      <c r="A81" s="5"/>
      <c r="B81" s="6"/>
      <c r="C81" s="20"/>
      <c r="D81" s="193"/>
      <c r="E81" s="22"/>
      <c r="F81" s="220"/>
      <c r="G81" s="24"/>
      <c r="H81" s="298"/>
    </row>
    <row r="82" spans="1:8" s="4" customFormat="1" ht="36" customHeight="1" thickBot="1" x14ac:dyDescent="0.35">
      <c r="A82" s="25"/>
      <c r="B82" s="26"/>
      <c r="C82" s="89" t="s">
        <v>583</v>
      </c>
      <c r="D82" s="90" t="s">
        <v>584</v>
      </c>
      <c r="E82" s="144" t="s">
        <v>585</v>
      </c>
      <c r="F82" s="144" t="s">
        <v>586</v>
      </c>
      <c r="G82" s="222"/>
      <c r="H82" s="298"/>
    </row>
    <row r="83" spans="1:8" s="4" customFormat="1" ht="36" customHeight="1" x14ac:dyDescent="0.3">
      <c r="A83" s="72">
        <v>44083</v>
      </c>
      <c r="B83" s="99" t="s">
        <v>21</v>
      </c>
      <c r="C83" s="31" t="s">
        <v>532</v>
      </c>
      <c r="D83" s="32" t="s">
        <v>525</v>
      </c>
      <c r="E83" s="33" t="s">
        <v>587</v>
      </c>
      <c r="F83" s="34" t="s">
        <v>588</v>
      </c>
      <c r="G83" s="296"/>
      <c r="H83" s="298"/>
    </row>
    <row r="84" spans="1:8" s="4" customFormat="1" ht="36" customHeight="1" x14ac:dyDescent="0.3">
      <c r="A84" s="5"/>
      <c r="B84" s="6"/>
      <c r="C84" s="17"/>
      <c r="D84" s="14" t="s">
        <v>543</v>
      </c>
      <c r="E84" s="15" t="s">
        <v>531</v>
      </c>
      <c r="F84" s="37" t="s">
        <v>588</v>
      </c>
      <c r="G84" s="326"/>
      <c r="H84" s="298"/>
    </row>
    <row r="85" spans="1:8" s="4" customFormat="1" ht="36" customHeight="1" x14ac:dyDescent="0.3">
      <c r="A85" s="5"/>
      <c r="B85" s="6"/>
      <c r="C85" s="17"/>
      <c r="D85" s="14" t="s">
        <v>589</v>
      </c>
      <c r="E85" s="15" t="s">
        <v>590</v>
      </c>
      <c r="F85" s="37" t="s">
        <v>591</v>
      </c>
      <c r="G85" s="326"/>
      <c r="H85" s="298"/>
    </row>
    <row r="86" spans="1:8" s="4" customFormat="1" ht="36" customHeight="1" x14ac:dyDescent="0.3">
      <c r="A86" s="5"/>
      <c r="B86" s="6"/>
      <c r="C86" s="17"/>
      <c r="D86" s="14" t="s">
        <v>491</v>
      </c>
      <c r="E86" s="15">
        <v>100</v>
      </c>
      <c r="F86" s="37"/>
      <c r="G86" s="326"/>
      <c r="H86" s="298"/>
    </row>
    <row r="87" spans="1:8" s="4" customFormat="1" ht="36" customHeight="1" x14ac:dyDescent="0.3">
      <c r="A87" s="5"/>
      <c r="B87" s="6"/>
      <c r="C87" s="17"/>
      <c r="D87" s="14" t="s">
        <v>592</v>
      </c>
      <c r="E87" s="15">
        <v>50</v>
      </c>
      <c r="F87" s="37"/>
      <c r="G87" s="326"/>
      <c r="H87" s="298"/>
    </row>
    <row r="88" spans="1:8" s="4" customFormat="1" ht="36" customHeight="1" x14ac:dyDescent="0.3">
      <c r="A88" s="5"/>
      <c r="B88" s="6"/>
      <c r="C88" s="36"/>
      <c r="D88" s="14" t="s">
        <v>593</v>
      </c>
      <c r="E88" s="15">
        <v>50</v>
      </c>
      <c r="F88" s="37"/>
      <c r="G88" s="297"/>
      <c r="H88" s="298"/>
    </row>
    <row r="89" spans="1:8" s="4" customFormat="1" ht="36" hidden="1" customHeight="1" x14ac:dyDescent="0.3">
      <c r="A89" s="5"/>
      <c r="B89" s="6"/>
      <c r="C89" s="13"/>
      <c r="D89" s="18"/>
      <c r="E89" s="19"/>
      <c r="F89" s="47"/>
      <c r="G89" s="48"/>
      <c r="H89" s="298"/>
    </row>
    <row r="90" spans="1:8" s="4" customFormat="1" ht="33.75" customHeight="1" x14ac:dyDescent="0.3">
      <c r="A90" s="5"/>
      <c r="B90" s="6"/>
      <c r="C90" s="16" t="s">
        <v>594</v>
      </c>
      <c r="D90" s="8" t="s">
        <v>595</v>
      </c>
      <c r="E90" s="9">
        <v>50</v>
      </c>
      <c r="F90" s="10"/>
      <c r="G90" s="327"/>
      <c r="H90" s="298"/>
    </row>
    <row r="91" spans="1:8" s="4" customFormat="1" ht="36" customHeight="1" thickBot="1" x14ac:dyDescent="0.35">
      <c r="A91" s="5"/>
      <c r="B91" s="6"/>
      <c r="C91" s="20"/>
      <c r="D91" s="21" t="s">
        <v>525</v>
      </c>
      <c r="E91" s="22" t="s">
        <v>526</v>
      </c>
      <c r="F91" s="77" t="s">
        <v>596</v>
      </c>
      <c r="G91" s="78"/>
      <c r="H91" s="298"/>
    </row>
    <row r="92" spans="1:8" s="4" customFormat="1" ht="36" customHeight="1" thickBot="1" x14ac:dyDescent="0.35">
      <c r="A92" s="25"/>
      <c r="B92" s="26"/>
      <c r="C92" s="89"/>
      <c r="D92" s="90"/>
      <c r="E92" s="144"/>
      <c r="F92" s="144"/>
      <c r="G92" s="222"/>
      <c r="H92" s="298"/>
    </row>
    <row r="93" spans="1:8" s="4" customFormat="1" ht="36" customHeight="1" x14ac:dyDescent="0.3">
      <c r="A93" s="72">
        <v>44084</v>
      </c>
      <c r="B93" s="99" t="s">
        <v>41</v>
      </c>
      <c r="C93" s="31" t="s">
        <v>16</v>
      </c>
      <c r="D93" s="14" t="s">
        <v>17</v>
      </c>
      <c r="E93" s="15">
        <v>72</v>
      </c>
      <c r="F93" s="81"/>
      <c r="G93" s="11"/>
      <c r="H93" s="298"/>
    </row>
    <row r="94" spans="1:8" s="4" customFormat="1" ht="36" customHeight="1" x14ac:dyDescent="0.3">
      <c r="A94" s="5"/>
      <c r="B94" s="6"/>
      <c r="C94" s="17"/>
      <c r="D94" s="14" t="s">
        <v>597</v>
      </c>
      <c r="E94" s="15">
        <v>116</v>
      </c>
      <c r="F94" s="104"/>
      <c r="G94" s="38"/>
      <c r="H94" s="298"/>
    </row>
    <row r="95" spans="1:8" s="4" customFormat="1" ht="36" customHeight="1" x14ac:dyDescent="0.3">
      <c r="A95" s="5"/>
      <c r="B95" s="6"/>
      <c r="C95" s="36"/>
      <c r="D95" s="14"/>
      <c r="E95" s="15"/>
      <c r="F95" s="180"/>
      <c r="G95" s="263"/>
      <c r="H95" s="298"/>
    </row>
    <row r="96" spans="1:8" s="4" customFormat="1" ht="36" customHeight="1" x14ac:dyDescent="0.3">
      <c r="A96" s="5"/>
      <c r="B96" s="6"/>
      <c r="C96" s="7" t="s">
        <v>598</v>
      </c>
      <c r="D96" s="8" t="s">
        <v>553</v>
      </c>
      <c r="E96" s="9" t="s">
        <v>590</v>
      </c>
      <c r="F96" s="183"/>
      <c r="G96" s="205" t="s">
        <v>527</v>
      </c>
      <c r="H96" s="298" t="s">
        <v>599</v>
      </c>
    </row>
    <row r="97" spans="1:8" s="4" customFormat="1" ht="36" customHeight="1" x14ac:dyDescent="0.3">
      <c r="A97" s="5"/>
      <c r="B97" s="6"/>
      <c r="C97" s="97" t="s">
        <v>600</v>
      </c>
      <c r="D97" s="14" t="s">
        <v>601</v>
      </c>
      <c r="E97" s="15">
        <v>50</v>
      </c>
      <c r="F97" s="37" t="s">
        <v>602</v>
      </c>
      <c r="G97" s="186" t="s">
        <v>603</v>
      </c>
      <c r="H97" s="298"/>
    </row>
    <row r="98" spans="1:8" s="4" customFormat="1" ht="36" customHeight="1" x14ac:dyDescent="0.3">
      <c r="A98" s="5"/>
      <c r="B98" s="6"/>
      <c r="C98" s="5"/>
      <c r="D98" s="14" t="s">
        <v>525</v>
      </c>
      <c r="E98" s="15" t="s">
        <v>604</v>
      </c>
      <c r="F98" s="37" t="s">
        <v>605</v>
      </c>
      <c r="G98" s="280"/>
      <c r="H98" s="298"/>
    </row>
    <row r="99" spans="1:8" s="4" customFormat="1" ht="36" customHeight="1" x14ac:dyDescent="0.3">
      <c r="A99" s="5"/>
      <c r="B99" s="6"/>
      <c r="C99" s="84"/>
      <c r="D99" s="14" t="s">
        <v>519</v>
      </c>
      <c r="E99" s="15">
        <v>40</v>
      </c>
      <c r="F99" s="37"/>
      <c r="G99" s="263"/>
      <c r="H99" s="298"/>
    </row>
    <row r="100" spans="1:8" s="4" customFormat="1" ht="36" customHeight="1" x14ac:dyDescent="0.3">
      <c r="A100" s="5"/>
      <c r="B100" s="6"/>
      <c r="C100" s="5" t="s">
        <v>606</v>
      </c>
      <c r="D100" s="14" t="s">
        <v>516</v>
      </c>
      <c r="E100" s="15">
        <v>70</v>
      </c>
      <c r="F100" s="37" t="s">
        <v>607</v>
      </c>
      <c r="G100" s="280"/>
      <c r="H100" s="298" t="s">
        <v>608</v>
      </c>
    </row>
    <row r="101" spans="1:8" s="4" customFormat="1" ht="36" customHeight="1" thickBot="1" x14ac:dyDescent="0.35">
      <c r="A101" s="5"/>
      <c r="B101" s="6"/>
      <c r="C101" s="25"/>
      <c r="D101" s="21" t="s">
        <v>609</v>
      </c>
      <c r="E101" s="22">
        <v>80</v>
      </c>
      <c r="F101" s="77"/>
      <c r="G101" s="279"/>
      <c r="H101" s="298"/>
    </row>
    <row r="102" spans="1:8" s="4" customFormat="1" ht="36" customHeight="1" x14ac:dyDescent="0.3">
      <c r="A102" s="5"/>
      <c r="B102" s="6"/>
      <c r="C102" s="5" t="s">
        <v>610</v>
      </c>
      <c r="D102" s="14" t="s">
        <v>516</v>
      </c>
      <c r="E102" s="15">
        <v>70</v>
      </c>
      <c r="F102" s="37" t="s">
        <v>607</v>
      </c>
      <c r="G102" s="280"/>
      <c r="H102" s="298" t="s">
        <v>608</v>
      </c>
    </row>
    <row r="103" spans="1:8" s="4" customFormat="1" ht="36" customHeight="1" thickBot="1" x14ac:dyDescent="0.35">
      <c r="A103" s="5"/>
      <c r="B103" s="6"/>
      <c r="C103" s="25"/>
      <c r="D103" s="21" t="s">
        <v>611</v>
      </c>
      <c r="E103" s="22">
        <v>80</v>
      </c>
      <c r="F103" s="77"/>
      <c r="G103" s="279"/>
      <c r="H103" s="298"/>
    </row>
    <row r="104" spans="1:8" s="4" customFormat="1" ht="36" customHeight="1" thickBot="1" x14ac:dyDescent="0.35">
      <c r="A104" s="25"/>
      <c r="B104" s="26"/>
      <c r="C104" s="143"/>
      <c r="D104" s="90"/>
      <c r="E104" s="144"/>
      <c r="F104" s="144"/>
      <c r="G104" s="149"/>
      <c r="H104" s="298"/>
    </row>
    <row r="105" spans="1:8" s="4" customFormat="1" ht="36" customHeight="1" x14ac:dyDescent="0.3">
      <c r="A105" s="72">
        <v>44085</v>
      </c>
      <c r="B105" s="99" t="s">
        <v>55</v>
      </c>
      <c r="C105" s="31" t="s">
        <v>16</v>
      </c>
      <c r="D105" s="14" t="s">
        <v>612</v>
      </c>
      <c r="E105" s="15">
        <v>41</v>
      </c>
      <c r="F105" s="178"/>
      <c r="G105" s="237"/>
      <c r="H105" s="298"/>
    </row>
    <row r="106" spans="1:8" s="4" customFormat="1" ht="36" customHeight="1" x14ac:dyDescent="0.3">
      <c r="A106" s="5"/>
      <c r="B106" s="6"/>
      <c r="C106" s="36"/>
      <c r="D106" s="8"/>
      <c r="E106" s="9"/>
      <c r="F106" s="183"/>
      <c r="G106" s="186"/>
      <c r="H106" s="298"/>
    </row>
    <row r="107" spans="1:8" s="4" customFormat="1" ht="36" customHeight="1" x14ac:dyDescent="0.3">
      <c r="A107" s="5"/>
      <c r="B107" s="6"/>
      <c r="C107" s="235" t="s">
        <v>613</v>
      </c>
      <c r="D107" s="8" t="s">
        <v>614</v>
      </c>
      <c r="E107" s="9">
        <v>50</v>
      </c>
      <c r="F107" s="10" t="s">
        <v>615</v>
      </c>
      <c r="G107" s="205"/>
      <c r="H107" s="298"/>
    </row>
    <row r="108" spans="1:8" s="4" customFormat="1" ht="36" customHeight="1" x14ac:dyDescent="0.3">
      <c r="A108" s="5"/>
      <c r="B108" s="6"/>
      <c r="C108" s="97" t="s">
        <v>616</v>
      </c>
      <c r="D108" s="8" t="s">
        <v>519</v>
      </c>
      <c r="E108" s="9">
        <v>50</v>
      </c>
      <c r="F108" s="10" t="s">
        <v>615</v>
      </c>
      <c r="G108" s="205"/>
      <c r="H108" s="298" t="s">
        <v>617</v>
      </c>
    </row>
    <row r="109" spans="1:8" s="4" customFormat="1" ht="36" customHeight="1" x14ac:dyDescent="0.3">
      <c r="A109" s="5"/>
      <c r="B109" s="6"/>
      <c r="C109" s="5"/>
      <c r="D109" s="14" t="s">
        <v>618</v>
      </c>
      <c r="E109" s="15">
        <v>50</v>
      </c>
      <c r="F109" s="37"/>
      <c r="G109" s="263"/>
      <c r="H109" s="298"/>
    </row>
    <row r="110" spans="1:8" s="4" customFormat="1" ht="36" customHeight="1" x14ac:dyDescent="0.3">
      <c r="A110" s="5"/>
      <c r="B110" s="6"/>
      <c r="C110" s="5"/>
      <c r="D110" s="8" t="s">
        <v>619</v>
      </c>
      <c r="E110" s="9">
        <v>50</v>
      </c>
      <c r="F110" s="10"/>
      <c r="G110" s="186"/>
      <c r="H110" s="298"/>
    </row>
    <row r="111" spans="1:8" s="4" customFormat="1" ht="36" customHeight="1" thickBot="1" x14ac:dyDescent="0.35">
      <c r="A111" s="5"/>
      <c r="B111" s="6"/>
      <c r="C111" s="25"/>
      <c r="D111" s="21" t="s">
        <v>620</v>
      </c>
      <c r="E111" s="22">
        <v>50</v>
      </c>
      <c r="F111" s="77"/>
      <c r="G111" s="279"/>
      <c r="H111" s="298"/>
    </row>
    <row r="112" spans="1:8" s="4" customFormat="1" ht="36" customHeight="1" thickBot="1" x14ac:dyDescent="0.35">
      <c r="A112" s="25"/>
      <c r="B112" s="26"/>
      <c r="C112" s="143"/>
      <c r="D112" s="148"/>
      <c r="E112" s="148"/>
      <c r="F112" s="148"/>
      <c r="G112" s="149"/>
      <c r="H112" s="298"/>
    </row>
    <row r="113" spans="1:8" s="4" customFormat="1" ht="86.25" customHeight="1" thickBot="1" x14ac:dyDescent="0.35">
      <c r="A113" s="1" t="s">
        <v>0</v>
      </c>
      <c r="B113" s="2"/>
      <c r="C113" s="2"/>
      <c r="D113" s="2"/>
      <c r="E113" s="2"/>
      <c r="F113" s="2"/>
      <c r="G113" s="3"/>
      <c r="H113" s="298"/>
    </row>
    <row r="114" spans="1:8" s="4" customFormat="1" ht="36" customHeight="1" x14ac:dyDescent="0.3">
      <c r="A114" s="72">
        <v>44088</v>
      </c>
      <c r="B114" s="99" t="s">
        <v>1</v>
      </c>
      <c r="C114" s="274" t="s">
        <v>16</v>
      </c>
      <c r="D114" s="14" t="s">
        <v>621</v>
      </c>
      <c r="E114" s="15">
        <v>502</v>
      </c>
      <c r="F114" s="81"/>
      <c r="G114" s="11"/>
      <c r="H114" s="298"/>
    </row>
    <row r="115" spans="1:8" s="4" customFormat="1" ht="36" customHeight="1" x14ac:dyDescent="0.3">
      <c r="A115" s="5"/>
      <c r="B115" s="6"/>
      <c r="C115" s="16" t="s">
        <v>485</v>
      </c>
      <c r="D115" s="8" t="s">
        <v>525</v>
      </c>
      <c r="E115" s="9" t="s">
        <v>505</v>
      </c>
      <c r="F115" s="10" t="s">
        <v>622</v>
      </c>
      <c r="G115" s="11"/>
      <c r="H115" s="298"/>
    </row>
    <row r="116" spans="1:8" s="4" customFormat="1" ht="36" customHeight="1" thickBot="1" x14ac:dyDescent="0.35">
      <c r="A116" s="5"/>
      <c r="B116" s="6"/>
      <c r="C116" s="36"/>
      <c r="D116" s="14" t="s">
        <v>623</v>
      </c>
      <c r="E116" s="15" t="s">
        <v>526</v>
      </c>
      <c r="F116" s="37"/>
      <c r="G116" s="38"/>
      <c r="H116" s="328" t="s">
        <v>624</v>
      </c>
    </row>
    <row r="117" spans="1:8" s="4" customFormat="1" ht="36" customHeight="1" x14ac:dyDescent="0.3">
      <c r="A117" s="72">
        <v>44089</v>
      </c>
      <c r="B117" s="73" t="s">
        <v>15</v>
      </c>
      <c r="C117" s="329" t="s">
        <v>511</v>
      </c>
      <c r="D117" s="8" t="s">
        <v>625</v>
      </c>
      <c r="E117" s="9">
        <v>50</v>
      </c>
      <c r="F117" s="37"/>
      <c r="G117" s="38"/>
      <c r="H117" s="298"/>
    </row>
    <row r="118" spans="1:8" s="4" customFormat="1" ht="36" customHeight="1" x14ac:dyDescent="0.3">
      <c r="A118" s="5"/>
      <c r="B118" s="75"/>
      <c r="C118" s="330"/>
      <c r="D118" s="8" t="s">
        <v>614</v>
      </c>
      <c r="E118" s="9">
        <v>30</v>
      </c>
      <c r="F118" s="10"/>
      <c r="G118" s="64"/>
      <c r="H118" s="298"/>
    </row>
    <row r="119" spans="1:8" s="4" customFormat="1" ht="36" customHeight="1" x14ac:dyDescent="0.3">
      <c r="A119" s="5"/>
      <c r="B119" s="75"/>
      <c r="C119" s="331"/>
      <c r="D119" s="8" t="s">
        <v>626</v>
      </c>
      <c r="E119" s="9" t="s">
        <v>554</v>
      </c>
      <c r="F119" s="37" t="s">
        <v>627</v>
      </c>
      <c r="G119" s="11"/>
      <c r="H119" s="298"/>
    </row>
    <row r="120" spans="1:8" s="4" customFormat="1" ht="36" customHeight="1" x14ac:dyDescent="0.3">
      <c r="A120" s="5"/>
      <c r="B120" s="75"/>
      <c r="C120" s="332" t="s">
        <v>628</v>
      </c>
      <c r="D120" s="333" t="s">
        <v>629</v>
      </c>
      <c r="E120" s="9"/>
      <c r="F120" s="10"/>
      <c r="G120" s="11"/>
      <c r="H120" s="298"/>
    </row>
    <row r="121" spans="1:8" s="4" customFormat="1" ht="36" customHeight="1" x14ac:dyDescent="0.3">
      <c r="A121" s="5"/>
      <c r="B121" s="75"/>
      <c r="C121" s="332" t="s">
        <v>630</v>
      </c>
      <c r="D121" s="8" t="s">
        <v>631</v>
      </c>
      <c r="E121" s="9" t="s">
        <v>632</v>
      </c>
      <c r="F121" s="10" t="s">
        <v>633</v>
      </c>
      <c r="G121" s="205" t="s">
        <v>634</v>
      </c>
      <c r="H121" s="298"/>
    </row>
    <row r="122" spans="1:8" s="4" customFormat="1" ht="36" customHeight="1" x14ac:dyDescent="0.3">
      <c r="A122" s="5"/>
      <c r="B122" s="334"/>
      <c r="C122" s="332" t="s">
        <v>635</v>
      </c>
      <c r="D122" s="8" t="s">
        <v>515</v>
      </c>
      <c r="E122" s="9">
        <v>81</v>
      </c>
      <c r="F122" s="10" t="s">
        <v>636</v>
      </c>
      <c r="G122" s="335" t="s">
        <v>637</v>
      </c>
      <c r="H122" s="298"/>
    </row>
    <row r="123" spans="1:8" s="4" customFormat="1" ht="36" customHeight="1" x14ac:dyDescent="0.3">
      <c r="A123" s="5"/>
      <c r="B123" s="336"/>
      <c r="C123" s="97" t="s">
        <v>532</v>
      </c>
      <c r="D123" s="82" t="s">
        <v>553</v>
      </c>
      <c r="E123" s="9" t="s">
        <v>638</v>
      </c>
      <c r="F123" s="83"/>
      <c r="G123" s="205" t="s">
        <v>527</v>
      </c>
      <c r="H123" s="298"/>
    </row>
    <row r="124" spans="1:8" s="4" customFormat="1" ht="36" customHeight="1" x14ac:dyDescent="0.3">
      <c r="A124" s="5"/>
      <c r="B124" s="336"/>
      <c r="C124" s="5"/>
      <c r="D124" s="82" t="s">
        <v>543</v>
      </c>
      <c r="E124" s="9" t="s">
        <v>489</v>
      </c>
      <c r="F124" s="83"/>
      <c r="G124" s="11"/>
      <c r="H124" s="298"/>
    </row>
    <row r="125" spans="1:8" s="4" customFormat="1" ht="36" customHeight="1" x14ac:dyDescent="0.3">
      <c r="A125" s="5"/>
      <c r="B125" s="336"/>
      <c r="C125" s="5"/>
      <c r="D125" s="82" t="s">
        <v>639</v>
      </c>
      <c r="E125" s="9" t="s">
        <v>590</v>
      </c>
      <c r="F125" s="83"/>
      <c r="G125" s="11"/>
      <c r="H125" s="298"/>
    </row>
    <row r="126" spans="1:8" s="4" customFormat="1" ht="36" customHeight="1" x14ac:dyDescent="0.3">
      <c r="A126" s="5"/>
      <c r="B126" s="336"/>
      <c r="C126" s="5"/>
      <c r="D126" s="82" t="s">
        <v>640</v>
      </c>
      <c r="E126" s="9" t="s">
        <v>641</v>
      </c>
      <c r="F126" s="83"/>
      <c r="G126" s="11"/>
      <c r="H126" s="298"/>
    </row>
    <row r="127" spans="1:8" s="4" customFormat="1" ht="36" customHeight="1" thickBot="1" x14ac:dyDescent="0.35">
      <c r="A127" s="5"/>
      <c r="B127" s="336"/>
      <c r="C127" s="25"/>
      <c r="D127" s="108" t="s">
        <v>491</v>
      </c>
      <c r="E127" s="22">
        <v>150</v>
      </c>
      <c r="F127" s="268"/>
      <c r="G127" s="78"/>
      <c r="H127" s="298"/>
    </row>
    <row r="128" spans="1:8" s="4" customFormat="1" ht="36" customHeight="1" thickBot="1" x14ac:dyDescent="0.35">
      <c r="A128" s="25"/>
      <c r="B128" s="336"/>
      <c r="C128" s="89"/>
      <c r="D128" s="90"/>
      <c r="E128" s="144"/>
      <c r="F128" s="144"/>
      <c r="G128" s="222"/>
      <c r="H128" s="298"/>
    </row>
    <row r="129" spans="1:8" s="4" customFormat="1" ht="36" customHeight="1" x14ac:dyDescent="0.3">
      <c r="A129" s="72">
        <v>44090</v>
      </c>
      <c r="B129" s="99" t="s">
        <v>21</v>
      </c>
      <c r="C129" s="31" t="s">
        <v>600</v>
      </c>
      <c r="D129" s="32" t="s">
        <v>522</v>
      </c>
      <c r="E129" s="33">
        <v>40</v>
      </c>
      <c r="F129" s="34" t="s">
        <v>642</v>
      </c>
      <c r="G129" s="337" t="s">
        <v>643</v>
      </c>
      <c r="H129" s="298"/>
    </row>
    <row r="130" spans="1:8" s="4" customFormat="1" ht="36" customHeight="1" x14ac:dyDescent="0.3">
      <c r="A130" s="5"/>
      <c r="B130" s="6"/>
      <c r="C130" s="17"/>
      <c r="D130" s="14" t="s">
        <v>515</v>
      </c>
      <c r="E130" s="15">
        <v>64</v>
      </c>
      <c r="F130" s="37"/>
      <c r="G130" s="338"/>
      <c r="H130" s="298"/>
    </row>
    <row r="131" spans="1:8" s="4" customFormat="1" ht="36" customHeight="1" x14ac:dyDescent="0.3">
      <c r="A131" s="5"/>
      <c r="B131" s="6"/>
      <c r="C131" s="36"/>
      <c r="D131" s="14" t="s">
        <v>644</v>
      </c>
      <c r="E131" s="15">
        <v>64</v>
      </c>
      <c r="F131" s="37"/>
      <c r="G131" s="310"/>
      <c r="H131" s="298"/>
    </row>
    <row r="132" spans="1:8" s="4" customFormat="1" ht="36" hidden="1" customHeight="1" x14ac:dyDescent="0.3">
      <c r="A132" s="5"/>
      <c r="B132" s="6"/>
      <c r="C132" s="97"/>
      <c r="D132" s="8"/>
      <c r="E132" s="9"/>
      <c r="F132" s="10"/>
      <c r="G132" s="205"/>
      <c r="H132" s="298"/>
    </row>
    <row r="133" spans="1:8" s="4" customFormat="1" ht="36" hidden="1" customHeight="1" x14ac:dyDescent="0.3">
      <c r="A133" s="5"/>
      <c r="B133" s="6"/>
      <c r="C133" s="5"/>
      <c r="D133" s="14"/>
      <c r="E133" s="15"/>
      <c r="F133" s="37"/>
      <c r="G133" s="263"/>
      <c r="H133" s="298"/>
    </row>
    <row r="134" spans="1:8" s="4" customFormat="1" ht="36" hidden="1" customHeight="1" x14ac:dyDescent="0.3">
      <c r="A134" s="5"/>
      <c r="B134" s="6"/>
      <c r="C134" s="84"/>
      <c r="D134" s="14"/>
      <c r="E134" s="15"/>
      <c r="F134" s="37"/>
      <c r="G134" s="186"/>
      <c r="H134" s="298"/>
    </row>
    <row r="135" spans="1:8" s="4" customFormat="1" ht="36" customHeight="1" x14ac:dyDescent="0.3">
      <c r="A135" s="5"/>
      <c r="B135" s="6"/>
      <c r="C135" s="7" t="s">
        <v>32</v>
      </c>
      <c r="D135" s="18" t="s">
        <v>645</v>
      </c>
      <c r="E135" s="19">
        <v>384</v>
      </c>
      <c r="F135" s="47" t="s">
        <v>646</v>
      </c>
      <c r="G135" s="295" t="s">
        <v>647</v>
      </c>
      <c r="H135" s="298"/>
    </row>
    <row r="136" spans="1:8" s="4" customFormat="1" ht="36" customHeight="1" x14ac:dyDescent="0.3">
      <c r="A136" s="5"/>
      <c r="B136" s="6"/>
      <c r="C136" s="16" t="s">
        <v>648</v>
      </c>
      <c r="D136" s="8" t="s">
        <v>649</v>
      </c>
      <c r="E136" s="9" t="s">
        <v>650</v>
      </c>
      <c r="F136" s="10" t="s">
        <v>651</v>
      </c>
      <c r="G136" s="205" t="s">
        <v>652</v>
      </c>
      <c r="H136" s="298"/>
    </row>
    <row r="137" spans="1:8" s="4" customFormat="1" ht="36" customHeight="1" thickBot="1" x14ac:dyDescent="0.35">
      <c r="A137" s="5"/>
      <c r="B137" s="6"/>
      <c r="C137" s="20"/>
      <c r="D137" s="161" t="s">
        <v>653</v>
      </c>
      <c r="E137" s="162">
        <v>10</v>
      </c>
      <c r="F137" s="23"/>
      <c r="G137" s="312" t="s">
        <v>570</v>
      </c>
      <c r="H137" s="298"/>
    </row>
    <row r="138" spans="1:8" s="4" customFormat="1" ht="36" customHeight="1" thickBot="1" x14ac:dyDescent="0.35">
      <c r="A138" s="25"/>
      <c r="B138" s="26"/>
      <c r="C138" s="89"/>
      <c r="D138" s="90"/>
      <c r="E138" s="144"/>
      <c r="F138" s="144"/>
      <c r="G138" s="222"/>
      <c r="H138" s="298"/>
    </row>
    <row r="139" spans="1:8" s="4" customFormat="1" ht="36" customHeight="1" x14ac:dyDescent="0.3">
      <c r="A139" s="72">
        <v>44091</v>
      </c>
      <c r="B139" s="99" t="s">
        <v>41</v>
      </c>
      <c r="C139" s="31" t="s">
        <v>16</v>
      </c>
      <c r="D139" s="14" t="s">
        <v>17</v>
      </c>
      <c r="E139" s="15">
        <v>327</v>
      </c>
      <c r="F139" s="81"/>
      <c r="G139" s="11"/>
      <c r="H139" s="298"/>
    </row>
    <row r="140" spans="1:8" s="4" customFormat="1" ht="36" customHeight="1" x14ac:dyDescent="0.3">
      <c r="A140" s="5"/>
      <c r="B140" s="6"/>
      <c r="C140" s="36"/>
      <c r="D140" s="14" t="s">
        <v>654</v>
      </c>
      <c r="E140" s="15">
        <v>100</v>
      </c>
      <c r="F140" s="104"/>
      <c r="G140" s="38"/>
      <c r="H140" s="298"/>
    </row>
    <row r="141" spans="1:8" s="4" customFormat="1" ht="36" customHeight="1" x14ac:dyDescent="0.3">
      <c r="A141" s="5"/>
      <c r="B141" s="6"/>
      <c r="C141" s="16" t="s">
        <v>511</v>
      </c>
      <c r="D141" s="14" t="s">
        <v>655</v>
      </c>
      <c r="E141" s="15">
        <v>50</v>
      </c>
      <c r="F141" s="104"/>
      <c r="G141" s="38"/>
      <c r="H141" s="298"/>
    </row>
    <row r="142" spans="1:8" s="4" customFormat="1" ht="36" customHeight="1" x14ac:dyDescent="0.3">
      <c r="A142" s="5"/>
      <c r="B142" s="6"/>
      <c r="C142" s="36"/>
      <c r="D142" s="14" t="s">
        <v>653</v>
      </c>
      <c r="E142" s="15">
        <v>50</v>
      </c>
      <c r="F142" s="104"/>
      <c r="G142" s="38"/>
      <c r="H142" s="298"/>
    </row>
    <row r="143" spans="1:8" s="4" customFormat="1" ht="36" customHeight="1" x14ac:dyDescent="0.3">
      <c r="A143" s="5"/>
      <c r="B143" s="6"/>
      <c r="C143" s="7" t="s">
        <v>656</v>
      </c>
      <c r="D143" s="14" t="s">
        <v>657</v>
      </c>
      <c r="E143" s="15">
        <v>200</v>
      </c>
      <c r="F143" s="180"/>
      <c r="G143" s="339" t="s">
        <v>658</v>
      </c>
      <c r="H143" s="298"/>
    </row>
    <row r="144" spans="1:8" s="4" customFormat="1" ht="36" customHeight="1" x14ac:dyDescent="0.3">
      <c r="A144" s="5"/>
      <c r="B144" s="6"/>
      <c r="C144" s="97" t="s">
        <v>485</v>
      </c>
      <c r="D144" s="82" t="s">
        <v>547</v>
      </c>
      <c r="E144" s="9">
        <v>100</v>
      </c>
      <c r="F144" s="152"/>
      <c r="G144" s="335" t="s">
        <v>637</v>
      </c>
      <c r="H144" s="298"/>
    </row>
    <row r="145" spans="1:8" s="4" customFormat="1" ht="36" customHeight="1" x14ac:dyDescent="0.3">
      <c r="A145" s="5"/>
      <c r="B145" s="6"/>
      <c r="C145" s="84"/>
      <c r="D145" s="82" t="s">
        <v>659</v>
      </c>
      <c r="E145" s="9" t="s">
        <v>554</v>
      </c>
      <c r="F145" s="152"/>
      <c r="G145" s="335"/>
      <c r="H145" s="298"/>
    </row>
    <row r="146" spans="1:8" s="4" customFormat="1" ht="36" customHeight="1" x14ac:dyDescent="0.3">
      <c r="A146" s="5"/>
      <c r="B146" s="6"/>
      <c r="C146" s="87" t="s">
        <v>606</v>
      </c>
      <c r="D146" s="82" t="s">
        <v>512</v>
      </c>
      <c r="E146" s="9">
        <v>50</v>
      </c>
      <c r="F146" s="152" t="s">
        <v>660</v>
      </c>
      <c r="G146" s="335" t="s">
        <v>661</v>
      </c>
      <c r="H146" s="298"/>
    </row>
    <row r="147" spans="1:8" s="4" customFormat="1" ht="36" customHeight="1" thickBot="1" x14ac:dyDescent="0.35">
      <c r="A147" s="5"/>
      <c r="B147" s="6"/>
      <c r="C147" s="213" t="s">
        <v>662</v>
      </c>
      <c r="D147" s="193" t="s">
        <v>525</v>
      </c>
      <c r="E147" s="162" t="s">
        <v>663</v>
      </c>
      <c r="F147" s="233" t="s">
        <v>664</v>
      </c>
      <c r="G147" s="335" t="s">
        <v>665</v>
      </c>
      <c r="H147" s="298"/>
    </row>
    <row r="148" spans="1:8" s="4" customFormat="1" ht="36" customHeight="1" thickBot="1" x14ac:dyDescent="0.35">
      <c r="A148" s="25"/>
      <c r="B148" s="26"/>
      <c r="C148" s="340" t="s">
        <v>666</v>
      </c>
      <c r="D148" s="28" t="s">
        <v>584</v>
      </c>
      <c r="E148" s="144" t="s">
        <v>667</v>
      </c>
      <c r="F148" s="341" t="s">
        <v>668</v>
      </c>
      <c r="G148" s="342"/>
      <c r="H148" s="298"/>
    </row>
    <row r="149" spans="1:8" s="4" customFormat="1" ht="36" customHeight="1" x14ac:dyDescent="0.3">
      <c r="A149" s="72">
        <v>44092</v>
      </c>
      <c r="B149" s="99" t="s">
        <v>55</v>
      </c>
      <c r="C149" s="31" t="s">
        <v>16</v>
      </c>
      <c r="D149" s="14" t="s">
        <v>597</v>
      </c>
      <c r="E149" s="15">
        <v>233</v>
      </c>
      <c r="F149" s="178"/>
      <c r="G149" s="343"/>
      <c r="H149" s="298"/>
    </row>
    <row r="150" spans="1:8" s="4" customFormat="1" ht="36" customHeight="1" x14ac:dyDescent="0.3">
      <c r="A150" s="5"/>
      <c r="B150" s="6"/>
      <c r="C150" s="36"/>
      <c r="D150" s="8" t="s">
        <v>612</v>
      </c>
      <c r="E150" s="9">
        <v>258</v>
      </c>
      <c r="F150" s="344"/>
      <c r="G150" s="345"/>
      <c r="H150" s="298"/>
    </row>
    <row r="151" spans="1:8" s="4" customFormat="1" ht="36" customHeight="1" x14ac:dyDescent="0.3">
      <c r="A151" s="5"/>
      <c r="B151" s="6"/>
      <c r="C151" s="97" t="s">
        <v>606</v>
      </c>
      <c r="D151" s="82" t="s">
        <v>525</v>
      </c>
      <c r="E151" s="9" t="s">
        <v>542</v>
      </c>
      <c r="F151" s="131" t="s">
        <v>627</v>
      </c>
      <c r="G151" s="346" t="s">
        <v>669</v>
      </c>
      <c r="H151" s="298"/>
    </row>
    <row r="152" spans="1:8" s="4" customFormat="1" ht="36" customHeight="1" x14ac:dyDescent="0.3">
      <c r="A152" s="5"/>
      <c r="B152" s="6"/>
      <c r="C152" s="5"/>
      <c r="D152" s="82" t="s">
        <v>491</v>
      </c>
      <c r="E152" s="9" t="s">
        <v>670</v>
      </c>
      <c r="F152" s="131"/>
      <c r="G152" s="347"/>
      <c r="H152" s="298"/>
    </row>
    <row r="153" spans="1:8" s="4" customFormat="1" ht="36" customHeight="1" x14ac:dyDescent="0.3">
      <c r="A153" s="5"/>
      <c r="B153" s="6"/>
      <c r="C153" s="84"/>
      <c r="D153" s="82" t="s">
        <v>671</v>
      </c>
      <c r="E153" s="9">
        <v>50</v>
      </c>
      <c r="F153" s="131" t="s">
        <v>672</v>
      </c>
      <c r="G153" s="348"/>
      <c r="H153" s="298"/>
    </row>
    <row r="154" spans="1:8" s="4" customFormat="1" ht="36" customHeight="1" x14ac:dyDescent="0.3">
      <c r="A154" s="5"/>
      <c r="B154" s="6"/>
      <c r="C154" s="87" t="s">
        <v>673</v>
      </c>
      <c r="D154" s="82" t="s">
        <v>495</v>
      </c>
      <c r="E154" s="9" t="s">
        <v>531</v>
      </c>
      <c r="F154" s="349"/>
      <c r="G154" s="306" t="s">
        <v>674</v>
      </c>
      <c r="H154" s="298"/>
    </row>
    <row r="155" spans="1:8" s="4" customFormat="1" ht="36" customHeight="1" x14ac:dyDescent="0.3">
      <c r="A155" s="5"/>
      <c r="B155" s="6"/>
      <c r="C155" s="97" t="s">
        <v>485</v>
      </c>
      <c r="D155" s="82" t="s">
        <v>491</v>
      </c>
      <c r="E155" s="9">
        <v>50</v>
      </c>
      <c r="F155" s="131"/>
      <c r="G155" s="350" t="s">
        <v>622</v>
      </c>
      <c r="H155" s="298"/>
    </row>
    <row r="156" spans="1:8" s="4" customFormat="1" ht="36" customHeight="1" x14ac:dyDescent="0.3">
      <c r="A156" s="5"/>
      <c r="B156" s="6"/>
      <c r="C156" s="5"/>
      <c r="D156" s="82" t="s">
        <v>675</v>
      </c>
      <c r="E156" s="9">
        <v>45</v>
      </c>
      <c r="F156" s="131"/>
      <c r="G156" s="350"/>
      <c r="H156" s="298"/>
    </row>
    <row r="157" spans="1:8" s="4" customFormat="1" ht="36" customHeight="1" thickBot="1" x14ac:dyDescent="0.35">
      <c r="A157" s="5"/>
      <c r="B157" s="6"/>
      <c r="C157" s="25"/>
      <c r="D157" s="108" t="s">
        <v>676</v>
      </c>
      <c r="E157" s="22" t="s">
        <v>677</v>
      </c>
      <c r="F157" s="177"/>
      <c r="G157" s="351"/>
      <c r="H157" s="298"/>
    </row>
    <row r="158" spans="1:8" s="4" customFormat="1" ht="36" customHeight="1" thickBot="1" x14ac:dyDescent="0.35">
      <c r="A158" s="25"/>
      <c r="B158" s="26"/>
      <c r="C158" s="89"/>
      <c r="D158" s="90"/>
      <c r="E158" s="144"/>
      <c r="F158" s="144"/>
      <c r="G158" s="149"/>
      <c r="H158" s="298"/>
    </row>
    <row r="160" spans="1:8" s="4" customFormat="1" ht="36" customHeight="1" x14ac:dyDescent="0.3">
      <c r="A160" s="124"/>
      <c r="B160" s="125"/>
      <c r="C160" s="126"/>
      <c r="D160" s="352" t="s">
        <v>491</v>
      </c>
      <c r="E160" s="353">
        <v>50</v>
      </c>
      <c r="F160" s="354"/>
      <c r="G160" s="355" t="s">
        <v>678</v>
      </c>
      <c r="H160" s="298" t="s">
        <v>679</v>
      </c>
    </row>
    <row r="161" spans="1:8" s="4" customFormat="1" ht="36" customHeight="1" x14ac:dyDescent="0.3">
      <c r="A161" s="124"/>
      <c r="B161" s="125"/>
      <c r="C161" s="126" t="s">
        <v>680</v>
      </c>
      <c r="D161" s="352" t="s">
        <v>681</v>
      </c>
      <c r="E161" s="353">
        <v>40</v>
      </c>
      <c r="F161" s="354"/>
      <c r="G161" s="356"/>
      <c r="H161" s="298"/>
    </row>
    <row r="162" spans="1:8" s="4" customFormat="1" ht="36" customHeight="1" x14ac:dyDescent="0.3">
      <c r="A162" s="124"/>
      <c r="B162" s="125"/>
      <c r="C162" s="126"/>
      <c r="D162" s="357" t="s">
        <v>682</v>
      </c>
      <c r="E162" s="358">
        <v>64</v>
      </c>
      <c r="F162" s="359" t="s">
        <v>513</v>
      </c>
      <c r="G162" s="360"/>
      <c r="H162" s="298"/>
    </row>
    <row r="163" spans="1:8" ht="36" customHeight="1" thickBot="1" x14ac:dyDescent="0.35"/>
    <row r="164" spans="1:8" ht="93" customHeight="1" thickBot="1" x14ac:dyDescent="0.35">
      <c r="A164" s="1" t="s">
        <v>0</v>
      </c>
      <c r="B164" s="2"/>
      <c r="C164" s="2"/>
      <c r="D164" s="2"/>
      <c r="E164" s="2"/>
      <c r="F164" s="2"/>
      <c r="G164" s="3"/>
    </row>
    <row r="165" spans="1:8" ht="36" customHeight="1" x14ac:dyDescent="0.3">
      <c r="A165" s="72">
        <v>44095</v>
      </c>
      <c r="B165" s="99" t="s">
        <v>1</v>
      </c>
      <c r="C165" s="31" t="s">
        <v>16</v>
      </c>
      <c r="D165" s="8" t="s">
        <v>612</v>
      </c>
      <c r="E165" s="15">
        <v>486</v>
      </c>
      <c r="F165" s="81"/>
      <c r="G165" s="361"/>
    </row>
    <row r="166" spans="1:8" ht="36" customHeight="1" x14ac:dyDescent="0.3">
      <c r="A166" s="5"/>
      <c r="B166" s="6"/>
      <c r="C166" s="36"/>
      <c r="D166" s="8"/>
      <c r="E166" s="9"/>
      <c r="F166" s="49"/>
      <c r="G166" s="362"/>
    </row>
    <row r="167" spans="1:8" ht="36" customHeight="1" x14ac:dyDescent="0.3">
      <c r="A167" s="5"/>
      <c r="B167" s="6"/>
      <c r="C167" s="16" t="s">
        <v>683</v>
      </c>
      <c r="D167" s="8" t="s">
        <v>684</v>
      </c>
      <c r="E167" s="9" t="s">
        <v>531</v>
      </c>
      <c r="F167" s="43" t="s">
        <v>685</v>
      </c>
      <c r="G167" s="282" t="s">
        <v>686</v>
      </c>
    </row>
    <row r="168" spans="1:8" ht="36" customHeight="1" x14ac:dyDescent="0.3">
      <c r="A168" s="5"/>
      <c r="B168" s="6"/>
      <c r="C168" s="36"/>
      <c r="D168" s="14" t="s">
        <v>563</v>
      </c>
      <c r="E168" s="15">
        <v>100</v>
      </c>
      <c r="F168" s="49" t="s">
        <v>687</v>
      </c>
      <c r="G168" s="310"/>
    </row>
    <row r="169" spans="1:8" s="4" customFormat="1" ht="36" customHeight="1" x14ac:dyDescent="0.3">
      <c r="A169" s="5"/>
      <c r="B169" s="6"/>
      <c r="C169" s="87" t="s">
        <v>500</v>
      </c>
      <c r="D169" s="82" t="s">
        <v>501</v>
      </c>
      <c r="E169" s="9">
        <v>100</v>
      </c>
      <c r="F169" s="349"/>
      <c r="G169" s="306"/>
      <c r="H169" s="298"/>
    </row>
    <row r="170" spans="1:8" s="4" customFormat="1" ht="36" customHeight="1" thickBot="1" x14ac:dyDescent="0.35">
      <c r="A170" s="5"/>
      <c r="B170" s="6"/>
      <c r="C170" s="213" t="s">
        <v>688</v>
      </c>
      <c r="D170" s="193" t="s">
        <v>689</v>
      </c>
      <c r="E170" s="162">
        <v>100</v>
      </c>
      <c r="F170" s="363"/>
      <c r="G170" s="364" t="s">
        <v>637</v>
      </c>
      <c r="H170" s="298"/>
    </row>
    <row r="171" spans="1:8" ht="36" customHeight="1" thickBot="1" x14ac:dyDescent="0.35">
      <c r="A171" s="25"/>
      <c r="B171" s="26"/>
      <c r="C171" s="89" t="s">
        <v>690</v>
      </c>
      <c r="D171" s="90" t="s">
        <v>691</v>
      </c>
      <c r="E171" s="365" t="s">
        <v>692</v>
      </c>
      <c r="F171" s="144" t="s">
        <v>668</v>
      </c>
      <c r="G171" s="366" t="s">
        <v>693</v>
      </c>
    </row>
    <row r="172" spans="1:8" ht="36" customHeight="1" x14ac:dyDescent="0.3">
      <c r="A172" s="72">
        <v>44096</v>
      </c>
      <c r="B172" s="99" t="s">
        <v>694</v>
      </c>
      <c r="C172" s="31" t="s">
        <v>16</v>
      </c>
      <c r="D172" s="8" t="s">
        <v>612</v>
      </c>
      <c r="E172" s="15">
        <v>128</v>
      </c>
      <c r="F172" s="81"/>
      <c r="G172" s="361"/>
    </row>
    <row r="173" spans="1:8" ht="36" customHeight="1" x14ac:dyDescent="0.3">
      <c r="A173" s="5"/>
      <c r="B173" s="6"/>
      <c r="C173" s="36"/>
      <c r="D173" s="8" t="s">
        <v>18</v>
      </c>
      <c r="E173" s="9">
        <v>100</v>
      </c>
      <c r="F173" s="49"/>
      <c r="G173" s="362"/>
    </row>
    <row r="174" spans="1:8" ht="36" customHeight="1" x14ac:dyDescent="0.3">
      <c r="A174" s="5"/>
      <c r="B174" s="6"/>
      <c r="C174" s="276" t="s">
        <v>695</v>
      </c>
      <c r="D174" s="8" t="s">
        <v>696</v>
      </c>
      <c r="E174" s="9">
        <v>80</v>
      </c>
      <c r="F174" s="43" t="s">
        <v>527</v>
      </c>
      <c r="G174" s="367">
        <v>6.25E-2</v>
      </c>
    </row>
    <row r="175" spans="1:8" ht="36" customHeight="1" x14ac:dyDescent="0.3">
      <c r="A175" s="5"/>
      <c r="B175" s="6"/>
      <c r="C175" s="7" t="s">
        <v>697</v>
      </c>
      <c r="D175" s="14" t="s">
        <v>465</v>
      </c>
      <c r="E175" s="15" t="s">
        <v>663</v>
      </c>
      <c r="F175" s="49" t="s">
        <v>698</v>
      </c>
      <c r="G175" s="306" t="s">
        <v>570</v>
      </c>
    </row>
    <row r="176" spans="1:8" ht="36" customHeight="1" x14ac:dyDescent="0.3">
      <c r="A176" s="5"/>
      <c r="B176" s="6"/>
      <c r="C176" s="87" t="s">
        <v>699</v>
      </c>
      <c r="D176" s="82" t="s">
        <v>525</v>
      </c>
      <c r="E176" s="9" t="s">
        <v>554</v>
      </c>
      <c r="F176" s="368" t="s">
        <v>700</v>
      </c>
      <c r="G176" s="306" t="s">
        <v>570</v>
      </c>
    </row>
    <row r="177" spans="1:8" s="4" customFormat="1" ht="36" customHeight="1" x14ac:dyDescent="0.3">
      <c r="A177" s="5"/>
      <c r="B177" s="6"/>
      <c r="C177" s="87" t="s">
        <v>567</v>
      </c>
      <c r="D177" s="82" t="s">
        <v>701</v>
      </c>
      <c r="E177" s="9">
        <v>32</v>
      </c>
      <c r="F177" s="368" t="s">
        <v>702</v>
      </c>
      <c r="G177" s="306" t="s">
        <v>703</v>
      </c>
      <c r="H177" s="298"/>
    </row>
    <row r="178" spans="1:8" s="4" customFormat="1" ht="36" customHeight="1" thickBot="1" x14ac:dyDescent="0.35">
      <c r="A178" s="5"/>
      <c r="B178" s="6"/>
      <c r="C178" s="213" t="s">
        <v>606</v>
      </c>
      <c r="D178" s="193" t="s">
        <v>547</v>
      </c>
      <c r="E178" s="162">
        <v>100</v>
      </c>
      <c r="F178" s="369" t="s">
        <v>637</v>
      </c>
      <c r="G178" s="364"/>
      <c r="H178" s="298"/>
    </row>
    <row r="179" spans="1:8" ht="36" customHeight="1" thickBot="1" x14ac:dyDescent="0.35">
      <c r="A179" s="25"/>
      <c r="B179" s="26"/>
      <c r="C179" s="89"/>
      <c r="D179" s="90"/>
      <c r="E179" s="365"/>
      <c r="F179" s="144"/>
      <c r="G179" s="366"/>
    </row>
    <row r="180" spans="1:8" ht="36" customHeight="1" x14ac:dyDescent="0.3">
      <c r="A180" s="5">
        <v>44097</v>
      </c>
      <c r="B180" s="6" t="s">
        <v>506</v>
      </c>
      <c r="C180" s="72" t="s">
        <v>704</v>
      </c>
      <c r="D180" s="32" t="s">
        <v>515</v>
      </c>
      <c r="E180" s="33">
        <v>64</v>
      </c>
      <c r="F180" s="34"/>
      <c r="G180" s="370"/>
    </row>
    <row r="181" spans="1:8" ht="36" customHeight="1" x14ac:dyDescent="0.3">
      <c r="A181" s="5"/>
      <c r="B181" s="6"/>
      <c r="C181" s="5"/>
      <c r="D181" s="14" t="s">
        <v>512</v>
      </c>
      <c r="E181" s="15">
        <v>64</v>
      </c>
      <c r="F181" s="37"/>
      <c r="G181" s="371"/>
    </row>
    <row r="182" spans="1:8" ht="36" customHeight="1" x14ac:dyDescent="0.3">
      <c r="A182" s="5"/>
      <c r="B182" s="6"/>
      <c r="C182" s="84"/>
      <c r="D182" s="14" t="s">
        <v>522</v>
      </c>
      <c r="E182" s="15">
        <v>64</v>
      </c>
      <c r="F182" s="37"/>
      <c r="G182" s="345"/>
    </row>
    <row r="183" spans="1:8" ht="36" customHeight="1" x14ac:dyDescent="0.3">
      <c r="A183" s="5"/>
      <c r="B183" s="6"/>
      <c r="C183" s="7" t="s">
        <v>485</v>
      </c>
      <c r="D183" s="82" t="s">
        <v>705</v>
      </c>
      <c r="E183" s="9" t="s">
        <v>531</v>
      </c>
      <c r="F183" s="45"/>
      <c r="G183" s="372"/>
    </row>
    <row r="184" spans="1:8" ht="36" customHeight="1" x14ac:dyDescent="0.3">
      <c r="A184" s="5"/>
      <c r="B184" s="6"/>
      <c r="C184" s="7" t="s">
        <v>635</v>
      </c>
      <c r="D184" s="8" t="s">
        <v>706</v>
      </c>
      <c r="E184" s="9">
        <v>100</v>
      </c>
      <c r="F184" s="373" t="s">
        <v>707</v>
      </c>
      <c r="G184" s="374"/>
    </row>
    <row r="185" spans="1:8" ht="36" customHeight="1" x14ac:dyDescent="0.3">
      <c r="A185" s="5"/>
      <c r="B185" s="6"/>
      <c r="C185" s="13" t="s">
        <v>708</v>
      </c>
      <c r="D185" s="8" t="s">
        <v>649</v>
      </c>
      <c r="E185" s="96" t="s">
        <v>554</v>
      </c>
      <c r="F185" s="375" t="s">
        <v>709</v>
      </c>
      <c r="G185" s="376"/>
    </row>
    <row r="186" spans="1:8" ht="36" customHeight="1" thickBot="1" x14ac:dyDescent="0.35">
      <c r="A186" s="5"/>
      <c r="B186" s="6"/>
      <c r="C186" s="235" t="s">
        <v>532</v>
      </c>
      <c r="D186" s="95" t="s">
        <v>710</v>
      </c>
      <c r="E186" s="96" t="s">
        <v>641</v>
      </c>
      <c r="F186" s="61" t="s">
        <v>570</v>
      </c>
      <c r="G186" s="377"/>
    </row>
    <row r="187" spans="1:8" ht="36" customHeight="1" thickBot="1" x14ac:dyDescent="0.35">
      <c r="A187" s="25"/>
      <c r="B187" s="26"/>
      <c r="C187" s="27"/>
      <c r="D187" s="28"/>
      <c r="E187" s="365"/>
      <c r="F187" s="365"/>
      <c r="G187" s="366"/>
    </row>
    <row r="188" spans="1:8" ht="36" customHeight="1" x14ac:dyDescent="0.3">
      <c r="A188" s="72">
        <v>44098</v>
      </c>
      <c r="B188" s="99" t="s">
        <v>41</v>
      </c>
      <c r="C188" s="31" t="s">
        <v>16</v>
      </c>
      <c r="D188" s="32" t="s">
        <v>711</v>
      </c>
      <c r="E188" s="33">
        <v>100</v>
      </c>
      <c r="F188" s="81"/>
      <c r="G188" s="378"/>
    </row>
    <row r="189" spans="1:8" ht="36" customHeight="1" x14ac:dyDescent="0.3">
      <c r="A189" s="5"/>
      <c r="B189" s="6"/>
      <c r="C189" s="36"/>
      <c r="D189" s="8" t="s">
        <v>712</v>
      </c>
      <c r="E189" s="9" t="s">
        <v>713</v>
      </c>
      <c r="F189" s="37"/>
      <c r="G189" s="362"/>
    </row>
    <row r="190" spans="1:8" ht="36" customHeight="1" x14ac:dyDescent="0.3">
      <c r="A190" s="5"/>
      <c r="B190" s="6"/>
      <c r="C190" s="16" t="s">
        <v>578</v>
      </c>
      <c r="D190" s="8" t="s">
        <v>579</v>
      </c>
      <c r="E190" s="9">
        <v>50</v>
      </c>
      <c r="F190" s="8" t="s">
        <v>714</v>
      </c>
      <c r="G190" s="345"/>
    </row>
    <row r="191" spans="1:8" ht="36" customHeight="1" x14ac:dyDescent="0.3">
      <c r="A191" s="5"/>
      <c r="B191" s="6"/>
      <c r="C191" s="36"/>
      <c r="D191" s="8" t="s">
        <v>525</v>
      </c>
      <c r="E191" s="9" t="s">
        <v>505</v>
      </c>
      <c r="F191" s="8" t="s">
        <v>698</v>
      </c>
      <c r="G191" s="374"/>
    </row>
    <row r="192" spans="1:8" ht="36" customHeight="1" x14ac:dyDescent="0.3">
      <c r="A192" s="5"/>
      <c r="B192" s="6"/>
      <c r="C192" s="7" t="s">
        <v>606</v>
      </c>
      <c r="D192" s="8" t="s">
        <v>715</v>
      </c>
      <c r="E192" s="9" t="s">
        <v>716</v>
      </c>
      <c r="F192" s="8" t="s">
        <v>717</v>
      </c>
      <c r="G192" s="379" t="s">
        <v>718</v>
      </c>
    </row>
    <row r="193" spans="1:8" ht="36" customHeight="1" x14ac:dyDescent="0.3">
      <c r="A193" s="5"/>
      <c r="B193" s="6"/>
      <c r="C193" s="16" t="s">
        <v>598</v>
      </c>
      <c r="D193" s="8" t="s">
        <v>525</v>
      </c>
      <c r="E193" s="9" t="s">
        <v>719</v>
      </c>
      <c r="F193" s="269" t="s">
        <v>720</v>
      </c>
      <c r="G193" s="380" t="s">
        <v>721</v>
      </c>
    </row>
    <row r="194" spans="1:8" ht="36" customHeight="1" x14ac:dyDescent="0.3">
      <c r="A194" s="5"/>
      <c r="B194" s="6"/>
      <c r="C194" s="17"/>
      <c r="D194" s="8" t="s">
        <v>722</v>
      </c>
      <c r="E194" s="9" t="s">
        <v>723</v>
      </c>
      <c r="F194" s="269" t="s">
        <v>703</v>
      </c>
      <c r="G194" s="381"/>
    </row>
    <row r="195" spans="1:8" ht="36" customHeight="1" x14ac:dyDescent="0.3">
      <c r="A195" s="5"/>
      <c r="B195" s="6"/>
      <c r="C195" s="36"/>
      <c r="D195" s="8" t="s">
        <v>710</v>
      </c>
      <c r="E195" s="9" t="s">
        <v>724</v>
      </c>
      <c r="F195" s="269"/>
      <c r="G195" s="382"/>
    </row>
    <row r="196" spans="1:8" s="4" customFormat="1" ht="36" customHeight="1" x14ac:dyDescent="0.3">
      <c r="A196" s="5"/>
      <c r="B196" s="6"/>
      <c r="C196" s="383" t="s">
        <v>725</v>
      </c>
      <c r="D196" s="49" t="s">
        <v>726</v>
      </c>
      <c r="E196" s="49" t="s">
        <v>727</v>
      </c>
      <c r="F196" s="49"/>
      <c r="G196" s="309" t="s">
        <v>728</v>
      </c>
      <c r="H196" s="298"/>
    </row>
    <row r="197" spans="1:8" ht="36" customHeight="1" x14ac:dyDescent="0.3">
      <c r="A197" s="5"/>
      <c r="B197" s="6"/>
      <c r="C197" s="7" t="s">
        <v>729</v>
      </c>
      <c r="D197" s="14" t="s">
        <v>639</v>
      </c>
      <c r="E197" s="9" t="s">
        <v>539</v>
      </c>
      <c r="F197" s="43"/>
      <c r="G197" s="306" t="s">
        <v>730</v>
      </c>
    </row>
    <row r="198" spans="1:8" ht="36" customHeight="1" x14ac:dyDescent="0.3">
      <c r="A198" s="5"/>
      <c r="B198" s="6"/>
      <c r="C198" s="16" t="s">
        <v>532</v>
      </c>
      <c r="D198" s="8" t="s">
        <v>731</v>
      </c>
      <c r="E198" s="9" t="s">
        <v>732</v>
      </c>
      <c r="F198" s="74" t="s">
        <v>535</v>
      </c>
      <c r="G198" s="380" t="s">
        <v>733</v>
      </c>
    </row>
    <row r="199" spans="1:8" ht="36" customHeight="1" x14ac:dyDescent="0.3">
      <c r="A199" s="5"/>
      <c r="B199" s="6"/>
      <c r="C199" s="17"/>
      <c r="D199" s="8" t="s">
        <v>734</v>
      </c>
      <c r="E199" s="9" t="s">
        <v>590</v>
      </c>
      <c r="F199" s="270" t="s">
        <v>735</v>
      </c>
      <c r="G199" s="381"/>
    </row>
    <row r="200" spans="1:8" ht="36" customHeight="1" x14ac:dyDescent="0.3">
      <c r="A200" s="5"/>
      <c r="B200" s="6"/>
      <c r="C200" s="17"/>
      <c r="D200" s="8" t="s">
        <v>736</v>
      </c>
      <c r="E200" s="9" t="s">
        <v>737</v>
      </c>
      <c r="F200" s="270"/>
      <c r="G200" s="381"/>
    </row>
    <row r="201" spans="1:8" ht="36" customHeight="1" x14ac:dyDescent="0.3">
      <c r="A201" s="5"/>
      <c r="B201" s="6"/>
      <c r="C201" s="17"/>
      <c r="D201" s="8" t="s">
        <v>738</v>
      </c>
      <c r="E201" s="9" t="s">
        <v>737</v>
      </c>
      <c r="F201" s="270"/>
      <c r="G201" s="381"/>
    </row>
    <row r="202" spans="1:8" ht="36" customHeight="1" thickBot="1" x14ac:dyDescent="0.35">
      <c r="A202" s="5"/>
      <c r="B202" s="6"/>
      <c r="C202" s="20"/>
      <c r="D202" s="8" t="s">
        <v>491</v>
      </c>
      <c r="E202" s="9">
        <v>56</v>
      </c>
      <c r="F202" s="384"/>
      <c r="G202" s="385"/>
    </row>
    <row r="203" spans="1:8" ht="36" customHeight="1" thickBot="1" x14ac:dyDescent="0.35">
      <c r="A203" s="25"/>
      <c r="B203" s="26"/>
      <c r="C203" s="27"/>
      <c r="D203" s="28"/>
      <c r="E203" s="365"/>
      <c r="F203" s="365"/>
      <c r="G203" s="366"/>
    </row>
    <row r="204" spans="1:8" ht="36" customHeight="1" x14ac:dyDescent="0.3">
      <c r="A204" s="72">
        <v>44099</v>
      </c>
      <c r="B204" s="99" t="s">
        <v>55</v>
      </c>
      <c r="C204" s="31" t="s">
        <v>16</v>
      </c>
      <c r="D204" s="32" t="s">
        <v>612</v>
      </c>
      <c r="E204" s="33">
        <f>235+153</f>
        <v>388</v>
      </c>
      <c r="F204" s="178"/>
      <c r="G204" s="343"/>
    </row>
    <row r="205" spans="1:8" ht="36" customHeight="1" x14ac:dyDescent="0.3">
      <c r="A205" s="5"/>
      <c r="B205" s="6"/>
      <c r="C205" s="36"/>
      <c r="D205" s="8"/>
      <c r="E205" s="9"/>
      <c r="F205" s="183"/>
      <c r="G205" s="345"/>
    </row>
    <row r="206" spans="1:8" ht="36" customHeight="1" x14ac:dyDescent="0.3">
      <c r="A206" s="5"/>
      <c r="B206" s="6"/>
      <c r="C206" s="7" t="s">
        <v>578</v>
      </c>
      <c r="D206" s="8" t="s">
        <v>579</v>
      </c>
      <c r="E206" s="9" t="s">
        <v>739</v>
      </c>
      <c r="F206" s="183"/>
      <c r="G206" s="327" t="s">
        <v>740</v>
      </c>
    </row>
    <row r="207" spans="1:8" s="4" customFormat="1" ht="36" customHeight="1" x14ac:dyDescent="0.3">
      <c r="A207" s="5"/>
      <c r="B207" s="6"/>
      <c r="C207" s="386" t="s">
        <v>500</v>
      </c>
      <c r="D207" s="43" t="s">
        <v>501</v>
      </c>
      <c r="E207" s="43" t="s">
        <v>724</v>
      </c>
      <c r="F207" s="43"/>
      <c r="G207" s="306" t="s">
        <v>741</v>
      </c>
      <c r="H207" s="298"/>
    </row>
    <row r="208" spans="1:8" s="4" customFormat="1" ht="36" customHeight="1" x14ac:dyDescent="0.3">
      <c r="A208" s="5"/>
      <c r="B208" s="6"/>
      <c r="C208" s="387" t="s">
        <v>606</v>
      </c>
      <c r="D208" s="49" t="s">
        <v>491</v>
      </c>
      <c r="E208" s="49" t="s">
        <v>742</v>
      </c>
      <c r="F208" s="49"/>
      <c r="G208" s="319" t="s">
        <v>743</v>
      </c>
      <c r="H208" s="298"/>
    </row>
    <row r="209" spans="1:7" ht="36" customHeight="1" thickBot="1" x14ac:dyDescent="0.35">
      <c r="A209" s="5"/>
      <c r="B209" s="6"/>
      <c r="C209" s="388"/>
      <c r="D209" s="108" t="s">
        <v>744</v>
      </c>
      <c r="E209" s="22" t="s">
        <v>745</v>
      </c>
      <c r="F209" s="389"/>
      <c r="G209" s="390"/>
    </row>
    <row r="210" spans="1:7" ht="36" customHeight="1" thickBot="1" x14ac:dyDescent="0.35">
      <c r="A210" s="25"/>
      <c r="B210" s="26"/>
      <c r="C210" s="27"/>
      <c r="D210" s="28"/>
      <c r="E210" s="365"/>
      <c r="F210" s="365"/>
      <c r="G210" s="366"/>
    </row>
    <row r="211" spans="1:7" ht="36" customHeight="1" thickBot="1" x14ac:dyDescent="0.35"/>
    <row r="212" spans="1:7" ht="59.25" customHeight="1" thickBot="1" x14ac:dyDescent="0.35">
      <c r="A212" s="1" t="s">
        <v>0</v>
      </c>
      <c r="B212" s="2"/>
      <c r="C212" s="391"/>
      <c r="D212" s="391"/>
      <c r="E212" s="391"/>
      <c r="F212" s="391"/>
      <c r="G212" s="392"/>
    </row>
    <row r="213" spans="1:7" ht="36" customHeight="1" x14ac:dyDescent="0.3">
      <c r="A213" s="72">
        <v>44102</v>
      </c>
      <c r="B213" s="99" t="s">
        <v>1</v>
      </c>
      <c r="C213" s="114" t="s">
        <v>746</v>
      </c>
      <c r="D213" s="93" t="s">
        <v>747</v>
      </c>
      <c r="E213" s="218" t="s">
        <v>505</v>
      </c>
      <c r="F213" s="261" t="s">
        <v>748</v>
      </c>
      <c r="G213" s="370" t="s">
        <v>527</v>
      </c>
    </row>
    <row r="214" spans="1:7" ht="36" customHeight="1" x14ac:dyDescent="0.3">
      <c r="A214" s="5"/>
      <c r="B214" s="6"/>
      <c r="C214" s="16" t="s">
        <v>704</v>
      </c>
      <c r="D214" s="8" t="s">
        <v>519</v>
      </c>
      <c r="E214" s="9" t="s">
        <v>749</v>
      </c>
      <c r="F214" s="131"/>
      <c r="G214" s="319" t="s">
        <v>750</v>
      </c>
    </row>
    <row r="215" spans="1:7" ht="36" customHeight="1" x14ac:dyDescent="0.3">
      <c r="A215" s="5"/>
      <c r="B215" s="6"/>
      <c r="C215" s="36"/>
      <c r="D215" s="8" t="s">
        <v>682</v>
      </c>
      <c r="E215" s="9" t="s">
        <v>751</v>
      </c>
      <c r="F215" s="131"/>
      <c r="G215" s="310"/>
    </row>
    <row r="216" spans="1:7" ht="36" customHeight="1" x14ac:dyDescent="0.3">
      <c r="A216" s="5"/>
      <c r="B216" s="6"/>
      <c r="C216" s="16" t="s">
        <v>752</v>
      </c>
      <c r="D216" s="8" t="s">
        <v>747</v>
      </c>
      <c r="E216" s="9" t="s">
        <v>650</v>
      </c>
      <c r="F216" s="131" t="s">
        <v>748</v>
      </c>
      <c r="G216" s="282" t="s">
        <v>753</v>
      </c>
    </row>
    <row r="217" spans="1:7" ht="36" customHeight="1" x14ac:dyDescent="0.3">
      <c r="A217" s="5"/>
      <c r="B217" s="6"/>
      <c r="C217" s="36"/>
      <c r="D217" s="8" t="s">
        <v>754</v>
      </c>
      <c r="E217" s="9" t="s">
        <v>526</v>
      </c>
      <c r="F217" s="43"/>
      <c r="G217" s="310"/>
    </row>
    <row r="218" spans="1:7" ht="36" customHeight="1" x14ac:dyDescent="0.3">
      <c r="A218" s="5"/>
      <c r="B218" s="6"/>
      <c r="C218" s="16" t="s">
        <v>755</v>
      </c>
      <c r="D218" s="8" t="s">
        <v>497</v>
      </c>
      <c r="E218" s="9" t="s">
        <v>756</v>
      </c>
      <c r="F218" s="43"/>
      <c r="G218" s="282" t="s">
        <v>757</v>
      </c>
    </row>
    <row r="219" spans="1:7" ht="36" customHeight="1" x14ac:dyDescent="0.3">
      <c r="A219" s="5"/>
      <c r="B219" s="6"/>
      <c r="C219" s="17"/>
      <c r="D219" s="82" t="s">
        <v>675</v>
      </c>
      <c r="E219" s="9" t="s">
        <v>641</v>
      </c>
      <c r="F219" s="349"/>
      <c r="G219" s="283"/>
    </row>
    <row r="220" spans="1:7" ht="36" customHeight="1" thickBot="1" x14ac:dyDescent="0.35">
      <c r="A220" s="5"/>
      <c r="B220" s="6"/>
      <c r="C220" s="20"/>
      <c r="D220" s="193" t="s">
        <v>758</v>
      </c>
      <c r="E220" s="162" t="s">
        <v>759</v>
      </c>
      <c r="F220" s="363"/>
      <c r="G220" s="284"/>
    </row>
    <row r="221" spans="1:7" ht="36" customHeight="1" thickBot="1" x14ac:dyDescent="0.35">
      <c r="A221" s="5"/>
      <c r="B221" s="6"/>
      <c r="C221" s="393" t="s">
        <v>760</v>
      </c>
      <c r="D221" s="394" t="s">
        <v>691</v>
      </c>
      <c r="E221" s="395"/>
      <c r="F221" s="396" t="s">
        <v>559</v>
      </c>
      <c r="G221" s="397" t="s">
        <v>761</v>
      </c>
    </row>
    <row r="222" spans="1:7" ht="36" customHeight="1" thickBot="1" x14ac:dyDescent="0.35">
      <c r="A222" s="25"/>
      <c r="B222" s="26"/>
      <c r="C222" s="89" t="s">
        <v>762</v>
      </c>
      <c r="D222" s="90" t="s">
        <v>584</v>
      </c>
      <c r="E222" s="365"/>
      <c r="F222" s="144" t="s">
        <v>668</v>
      </c>
      <c r="G222" s="366" t="s">
        <v>763</v>
      </c>
    </row>
    <row r="223" spans="1:7" ht="36" customHeight="1" x14ac:dyDescent="0.3">
      <c r="A223" s="72">
        <v>44103</v>
      </c>
      <c r="B223" s="99" t="s">
        <v>694</v>
      </c>
      <c r="C223" s="31" t="s">
        <v>518</v>
      </c>
      <c r="D223" s="8" t="s">
        <v>764</v>
      </c>
      <c r="E223" s="15" t="s">
        <v>765</v>
      </c>
      <c r="F223" s="81"/>
      <c r="G223" s="361"/>
    </row>
    <row r="224" spans="1:7" ht="36" customHeight="1" x14ac:dyDescent="0.3">
      <c r="A224" s="5"/>
      <c r="B224" s="6"/>
      <c r="C224" s="17"/>
      <c r="D224" s="8" t="s">
        <v>766</v>
      </c>
      <c r="E224" s="9" t="s">
        <v>767</v>
      </c>
      <c r="F224" s="49"/>
      <c r="G224" s="362"/>
    </row>
    <row r="225" spans="1:7" ht="36" customHeight="1" x14ac:dyDescent="0.3">
      <c r="A225" s="5"/>
      <c r="B225" s="6"/>
      <c r="C225" s="17"/>
      <c r="D225" s="8" t="s">
        <v>768</v>
      </c>
      <c r="E225" s="9" t="s">
        <v>769</v>
      </c>
      <c r="F225" s="43"/>
      <c r="G225" s="367"/>
    </row>
    <row r="226" spans="1:7" ht="36" customHeight="1" x14ac:dyDescent="0.3">
      <c r="A226" s="5"/>
      <c r="B226" s="6"/>
      <c r="C226" s="17"/>
      <c r="D226" s="14" t="s">
        <v>675</v>
      </c>
      <c r="E226" s="15" t="s">
        <v>770</v>
      </c>
      <c r="F226" s="49"/>
      <c r="G226" s="306"/>
    </row>
    <row r="227" spans="1:7" ht="36" customHeight="1" x14ac:dyDescent="0.3">
      <c r="A227" s="5"/>
      <c r="B227" s="6"/>
      <c r="C227" s="36"/>
      <c r="D227" s="82" t="s">
        <v>747</v>
      </c>
      <c r="E227" s="9" t="s">
        <v>505</v>
      </c>
      <c r="F227" s="398" t="s">
        <v>771</v>
      </c>
      <c r="G227" s="306"/>
    </row>
    <row r="228" spans="1:7" ht="36" customHeight="1" thickBot="1" x14ac:dyDescent="0.35">
      <c r="A228" s="5"/>
      <c r="B228" s="6"/>
      <c r="C228" s="213"/>
      <c r="D228" s="193"/>
      <c r="E228" s="162"/>
      <c r="F228" s="369"/>
      <c r="G228" s="364"/>
    </row>
    <row r="229" spans="1:7" ht="36" customHeight="1" thickBot="1" x14ac:dyDescent="0.35">
      <c r="A229" s="25"/>
      <c r="B229" s="26"/>
      <c r="C229" s="89" t="s">
        <v>772</v>
      </c>
      <c r="D229" s="90" t="s">
        <v>584</v>
      </c>
      <c r="E229" s="365"/>
      <c r="F229" s="144" t="s">
        <v>773</v>
      </c>
      <c r="G229" s="366" t="s">
        <v>774</v>
      </c>
    </row>
    <row r="230" spans="1:7" ht="36" customHeight="1" x14ac:dyDescent="0.3">
      <c r="A230" s="5">
        <v>44104</v>
      </c>
      <c r="B230" s="6" t="s">
        <v>775</v>
      </c>
      <c r="C230" s="399" t="s">
        <v>776</v>
      </c>
      <c r="D230" s="400"/>
      <c r="E230" s="400"/>
      <c r="F230" s="400"/>
      <c r="G230" s="401"/>
    </row>
    <row r="231" spans="1:7" ht="36" customHeight="1" x14ac:dyDescent="0.3">
      <c r="A231" s="5"/>
      <c r="B231" s="6"/>
      <c r="C231" s="402"/>
      <c r="D231" s="403"/>
      <c r="E231" s="403"/>
      <c r="F231" s="403"/>
      <c r="G231" s="404"/>
    </row>
    <row r="232" spans="1:7" ht="36" customHeight="1" thickBot="1" x14ac:dyDescent="0.35">
      <c r="A232" s="25"/>
      <c r="B232" s="26"/>
      <c r="C232" s="402"/>
      <c r="D232" s="403"/>
      <c r="E232" s="403"/>
      <c r="F232" s="403"/>
      <c r="G232" s="404"/>
    </row>
    <row r="233" spans="1:7" ht="36" customHeight="1" x14ac:dyDescent="0.3">
      <c r="A233" s="72">
        <v>44105</v>
      </c>
      <c r="B233" s="99" t="s">
        <v>41</v>
      </c>
      <c r="C233" s="402"/>
      <c r="D233" s="403"/>
      <c r="E233" s="403"/>
      <c r="F233" s="403"/>
      <c r="G233" s="404"/>
    </row>
    <row r="234" spans="1:7" ht="36" customHeight="1" x14ac:dyDescent="0.3">
      <c r="A234" s="5"/>
      <c r="B234" s="6"/>
      <c r="C234" s="402"/>
      <c r="D234" s="403"/>
      <c r="E234" s="403"/>
      <c r="F234" s="403"/>
      <c r="G234" s="404"/>
    </row>
    <row r="235" spans="1:7" ht="36" customHeight="1" thickBot="1" x14ac:dyDescent="0.35">
      <c r="A235" s="25"/>
      <c r="B235" s="26"/>
      <c r="C235" s="402"/>
      <c r="D235" s="403"/>
      <c r="E235" s="403"/>
      <c r="F235" s="403"/>
      <c r="G235" s="404"/>
    </row>
    <row r="236" spans="1:7" ht="36" customHeight="1" x14ac:dyDescent="0.3">
      <c r="A236" s="72">
        <v>44106</v>
      </c>
      <c r="B236" s="99" t="s">
        <v>55</v>
      </c>
      <c r="C236" s="402"/>
      <c r="D236" s="403"/>
      <c r="E236" s="403"/>
      <c r="F236" s="403"/>
      <c r="G236" s="404"/>
    </row>
    <row r="237" spans="1:7" ht="36" customHeight="1" x14ac:dyDescent="0.3">
      <c r="A237" s="5"/>
      <c r="B237" s="6"/>
      <c r="C237" s="402"/>
      <c r="D237" s="403"/>
      <c r="E237" s="403"/>
      <c r="F237" s="403"/>
      <c r="G237" s="404"/>
    </row>
    <row r="238" spans="1:7" ht="36" customHeight="1" thickBot="1" x14ac:dyDescent="0.35">
      <c r="A238" s="25"/>
      <c r="B238" s="26"/>
      <c r="C238" s="405"/>
      <c r="D238" s="406"/>
      <c r="E238" s="406"/>
      <c r="F238" s="406"/>
      <c r="G238" s="407"/>
    </row>
    <row r="240" spans="1:7" ht="36" customHeight="1" thickBot="1" x14ac:dyDescent="0.35"/>
    <row r="241" spans="1:7" ht="48" customHeight="1" thickBot="1" x14ac:dyDescent="0.35">
      <c r="A241" s="1" t="s">
        <v>0</v>
      </c>
      <c r="B241" s="2"/>
      <c r="C241" s="2"/>
      <c r="D241" s="2"/>
      <c r="E241" s="2"/>
      <c r="F241" s="2"/>
      <c r="G241" s="3"/>
    </row>
    <row r="242" spans="1:7" ht="36" customHeight="1" x14ac:dyDescent="0.3">
      <c r="A242" s="72" t="s">
        <v>777</v>
      </c>
      <c r="B242" s="99" t="s">
        <v>1</v>
      </c>
      <c r="C242" s="274" t="s">
        <v>778</v>
      </c>
      <c r="D242" s="82" t="s">
        <v>747</v>
      </c>
      <c r="E242" s="9" t="s">
        <v>779</v>
      </c>
      <c r="F242" s="398" t="s">
        <v>664</v>
      </c>
      <c r="G242" s="361"/>
    </row>
    <row r="243" spans="1:7" ht="36" customHeight="1" x14ac:dyDescent="0.3">
      <c r="A243" s="5"/>
      <c r="B243" s="6"/>
      <c r="C243" s="235" t="s">
        <v>606</v>
      </c>
      <c r="D243" s="8" t="s">
        <v>780</v>
      </c>
      <c r="E243" s="9" t="s">
        <v>739</v>
      </c>
      <c r="F243" s="43"/>
      <c r="G243" s="146" t="s">
        <v>781</v>
      </c>
    </row>
    <row r="244" spans="1:7" ht="36" customHeight="1" x14ac:dyDescent="0.3">
      <c r="A244" s="5"/>
      <c r="B244" s="6"/>
      <c r="C244" s="276"/>
      <c r="D244" s="14"/>
      <c r="E244" s="15"/>
      <c r="F244" s="49"/>
      <c r="G244" s="205"/>
    </row>
    <row r="245" spans="1:7" ht="36" customHeight="1" x14ac:dyDescent="0.3">
      <c r="A245" s="5"/>
      <c r="B245" s="6"/>
      <c r="C245" s="87"/>
      <c r="D245" s="82"/>
      <c r="E245" s="9"/>
      <c r="F245" s="349"/>
      <c r="G245" s="306"/>
    </row>
    <row r="246" spans="1:7" ht="36" customHeight="1" thickBot="1" x14ac:dyDescent="0.35">
      <c r="A246" s="5"/>
      <c r="B246" s="6"/>
      <c r="C246" s="213"/>
      <c r="D246" s="193"/>
      <c r="E246" s="162"/>
      <c r="F246" s="363"/>
      <c r="G246" s="364"/>
    </row>
    <row r="247" spans="1:7" ht="36" customHeight="1" thickBot="1" x14ac:dyDescent="0.35">
      <c r="A247" s="25"/>
      <c r="B247" s="26"/>
      <c r="C247" s="89"/>
      <c r="D247" s="90"/>
      <c r="E247" s="365"/>
      <c r="F247" s="144"/>
      <c r="G247" s="366"/>
    </row>
    <row r="248" spans="1:7" ht="36" customHeight="1" x14ac:dyDescent="0.3">
      <c r="A248" s="72" t="s">
        <v>782</v>
      </c>
      <c r="B248" s="99" t="s">
        <v>694</v>
      </c>
      <c r="C248" s="31" t="s">
        <v>783</v>
      </c>
      <c r="D248" s="8" t="s">
        <v>784</v>
      </c>
      <c r="E248" s="15" t="s">
        <v>785</v>
      </c>
      <c r="F248" s="81"/>
      <c r="G248" s="361"/>
    </row>
    <row r="249" spans="1:7" ht="36" customHeight="1" x14ac:dyDescent="0.3">
      <c r="A249" s="5"/>
      <c r="B249" s="6"/>
      <c r="C249" s="36"/>
      <c r="D249" s="8" t="s">
        <v>711</v>
      </c>
      <c r="E249" s="9" t="s">
        <v>739</v>
      </c>
      <c r="F249" s="49"/>
      <c r="G249" s="362"/>
    </row>
    <row r="250" spans="1:7" ht="36" customHeight="1" x14ac:dyDescent="0.3">
      <c r="A250" s="5"/>
      <c r="B250" s="6"/>
      <c r="C250" s="7" t="s">
        <v>786</v>
      </c>
      <c r="D250" s="8" t="s">
        <v>787</v>
      </c>
      <c r="E250" s="9" t="s">
        <v>641</v>
      </c>
      <c r="F250" s="49"/>
      <c r="G250" s="306" t="s">
        <v>788</v>
      </c>
    </row>
    <row r="251" spans="1:7" ht="36" customHeight="1" x14ac:dyDescent="0.3">
      <c r="A251" s="5"/>
      <c r="B251" s="6"/>
      <c r="C251" s="87" t="s">
        <v>789</v>
      </c>
      <c r="D251" s="8" t="s">
        <v>747</v>
      </c>
      <c r="E251" s="9" t="s">
        <v>663</v>
      </c>
      <c r="F251" s="398" t="s">
        <v>771</v>
      </c>
      <c r="G251" s="306" t="s">
        <v>582</v>
      </c>
    </row>
    <row r="252" spans="1:7" ht="36" customHeight="1" x14ac:dyDescent="0.3">
      <c r="A252" s="5"/>
      <c r="B252" s="6"/>
      <c r="C252" s="87"/>
      <c r="D252" s="82"/>
      <c r="E252" s="9"/>
      <c r="F252" s="368"/>
      <c r="G252" s="306"/>
    </row>
    <row r="253" spans="1:7" ht="36" customHeight="1" thickBot="1" x14ac:dyDescent="0.35">
      <c r="A253" s="5"/>
      <c r="B253" s="6"/>
      <c r="C253" s="213"/>
      <c r="D253" s="193"/>
      <c r="E253" s="162"/>
      <c r="F253" s="369"/>
      <c r="G253" s="364"/>
    </row>
    <row r="254" spans="1:7" ht="36" customHeight="1" thickBot="1" x14ac:dyDescent="0.35">
      <c r="A254" s="25"/>
      <c r="B254" s="26"/>
      <c r="C254" s="89" t="s">
        <v>790</v>
      </c>
      <c r="D254" s="90" t="s">
        <v>773</v>
      </c>
      <c r="E254" s="365" t="s">
        <v>791</v>
      </c>
      <c r="F254" s="144"/>
      <c r="G254" s="366"/>
    </row>
    <row r="255" spans="1:7" ht="36" customHeight="1" x14ac:dyDescent="0.3">
      <c r="A255" s="5" t="s">
        <v>792</v>
      </c>
      <c r="B255" s="6" t="s">
        <v>506</v>
      </c>
      <c r="C255" s="160" t="s">
        <v>783</v>
      </c>
      <c r="D255" s="32" t="s">
        <v>784</v>
      </c>
      <c r="E255" s="33" t="s">
        <v>793</v>
      </c>
      <c r="F255" s="34"/>
      <c r="G255" s="370"/>
    </row>
    <row r="256" spans="1:7" ht="36" customHeight="1" x14ac:dyDescent="0.3">
      <c r="A256" s="5"/>
      <c r="B256" s="6"/>
      <c r="C256" s="16" t="s">
        <v>598</v>
      </c>
      <c r="D256" s="8" t="s">
        <v>794</v>
      </c>
      <c r="E256" s="96" t="s">
        <v>587</v>
      </c>
      <c r="F256" s="375"/>
      <c r="G256" s="380" t="s">
        <v>750</v>
      </c>
    </row>
    <row r="257" spans="1:7" ht="36" customHeight="1" x14ac:dyDescent="0.3">
      <c r="A257" s="5"/>
      <c r="B257" s="6"/>
      <c r="C257" s="17"/>
      <c r="D257" s="8" t="s">
        <v>795</v>
      </c>
      <c r="E257" s="96" t="s">
        <v>531</v>
      </c>
      <c r="F257" s="375" t="s">
        <v>748</v>
      </c>
      <c r="G257" s="381"/>
    </row>
    <row r="258" spans="1:7" ht="36" customHeight="1" x14ac:dyDescent="0.3">
      <c r="A258" s="5"/>
      <c r="B258" s="6"/>
      <c r="C258" s="17"/>
      <c r="D258" s="8" t="s">
        <v>796</v>
      </c>
      <c r="E258" s="96" t="s">
        <v>590</v>
      </c>
      <c r="F258" s="375"/>
      <c r="G258" s="381"/>
    </row>
    <row r="259" spans="1:7" ht="36" customHeight="1" x14ac:dyDescent="0.3">
      <c r="A259" s="5"/>
      <c r="B259" s="6"/>
      <c r="C259" s="17"/>
      <c r="D259" s="8" t="s">
        <v>491</v>
      </c>
      <c r="E259" s="96" t="s">
        <v>797</v>
      </c>
      <c r="F259" s="375"/>
      <c r="G259" s="381"/>
    </row>
    <row r="260" spans="1:7" ht="36" customHeight="1" x14ac:dyDescent="0.3">
      <c r="A260" s="5"/>
      <c r="B260" s="6"/>
      <c r="C260" s="17"/>
      <c r="D260" s="8" t="s">
        <v>798</v>
      </c>
      <c r="E260" s="96" t="s">
        <v>799</v>
      </c>
      <c r="F260" s="375"/>
      <c r="G260" s="381"/>
    </row>
    <row r="261" spans="1:7" ht="36" customHeight="1" x14ac:dyDescent="0.3">
      <c r="A261" s="5"/>
      <c r="B261" s="6"/>
      <c r="C261" s="36"/>
      <c r="D261" s="8" t="s">
        <v>800</v>
      </c>
      <c r="E261" s="96" t="s">
        <v>801</v>
      </c>
      <c r="F261" s="373"/>
      <c r="G261" s="382"/>
    </row>
    <row r="262" spans="1:7" ht="36" customHeight="1" x14ac:dyDescent="0.3">
      <c r="A262" s="5"/>
      <c r="B262" s="6"/>
      <c r="C262" s="97" t="s">
        <v>802</v>
      </c>
      <c r="D262" s="8" t="s">
        <v>803</v>
      </c>
      <c r="E262" s="9">
        <v>100</v>
      </c>
      <c r="F262" s="10"/>
      <c r="G262" s="319" t="s">
        <v>804</v>
      </c>
    </row>
    <row r="263" spans="1:7" ht="36" customHeight="1" x14ac:dyDescent="0.3">
      <c r="A263" s="5"/>
      <c r="B263" s="6"/>
      <c r="C263" s="5"/>
      <c r="D263" s="14" t="s">
        <v>521</v>
      </c>
      <c r="E263" s="15">
        <v>80</v>
      </c>
      <c r="F263" s="37"/>
      <c r="G263" s="338"/>
    </row>
    <row r="264" spans="1:7" ht="36" customHeight="1" x14ac:dyDescent="0.3">
      <c r="A264" s="5"/>
      <c r="B264" s="6"/>
      <c r="C264" s="84"/>
      <c r="D264" s="14" t="s">
        <v>549</v>
      </c>
      <c r="E264" s="15">
        <v>50</v>
      </c>
      <c r="F264" s="8"/>
      <c r="G264" s="310"/>
    </row>
    <row r="265" spans="1:7" ht="36" customHeight="1" x14ac:dyDescent="0.3">
      <c r="A265" s="5"/>
      <c r="B265" s="6"/>
      <c r="C265" s="97" t="s">
        <v>805</v>
      </c>
      <c r="D265" s="18" t="s">
        <v>501</v>
      </c>
      <c r="E265" s="19" t="s">
        <v>641</v>
      </c>
      <c r="F265" s="95"/>
      <c r="G265" s="308"/>
    </row>
    <row r="266" spans="1:7" ht="36" customHeight="1" x14ac:dyDescent="0.3">
      <c r="A266" s="5"/>
      <c r="B266" s="6"/>
      <c r="C266" s="84"/>
      <c r="D266" s="18" t="s">
        <v>806</v>
      </c>
      <c r="E266" s="19" t="s">
        <v>739</v>
      </c>
      <c r="F266" s="95"/>
      <c r="G266" s="308"/>
    </row>
    <row r="267" spans="1:7" ht="36" customHeight="1" thickBot="1" x14ac:dyDescent="0.35">
      <c r="A267" s="5"/>
      <c r="B267" s="6"/>
      <c r="C267" s="76"/>
      <c r="D267" s="21"/>
      <c r="E267" s="22"/>
      <c r="F267" s="65"/>
      <c r="G267" s="408"/>
    </row>
    <row r="268" spans="1:7" ht="36" customHeight="1" thickBot="1" x14ac:dyDescent="0.35">
      <c r="A268" s="25"/>
      <c r="B268" s="26"/>
      <c r="C268" s="27" t="s">
        <v>807</v>
      </c>
      <c r="D268" s="28" t="s">
        <v>808</v>
      </c>
      <c r="E268" s="365" t="s">
        <v>691</v>
      </c>
      <c r="F268" s="365"/>
      <c r="G268" s="366"/>
    </row>
    <row r="269" spans="1:7" ht="36" customHeight="1" x14ac:dyDescent="0.3">
      <c r="A269" s="72" t="s">
        <v>809</v>
      </c>
      <c r="B269" s="99" t="s">
        <v>41</v>
      </c>
      <c r="C269" s="31" t="s">
        <v>783</v>
      </c>
      <c r="D269" s="8" t="s">
        <v>810</v>
      </c>
      <c r="E269" s="15" t="s">
        <v>811</v>
      </c>
      <c r="F269" s="81"/>
      <c r="G269" s="378"/>
    </row>
    <row r="270" spans="1:7" ht="36" customHeight="1" x14ac:dyDescent="0.3">
      <c r="A270" s="5"/>
      <c r="B270" s="6"/>
      <c r="C270" s="36"/>
      <c r="D270" s="8" t="s">
        <v>711</v>
      </c>
      <c r="E270" s="9" t="s">
        <v>724</v>
      </c>
      <c r="F270" s="37"/>
      <c r="G270" s="362"/>
    </row>
    <row r="271" spans="1:7" ht="36" customHeight="1" x14ac:dyDescent="0.3">
      <c r="A271" s="5"/>
      <c r="B271" s="6"/>
      <c r="C271" s="16" t="s">
        <v>485</v>
      </c>
      <c r="D271" s="14" t="s">
        <v>812</v>
      </c>
      <c r="E271" s="15" t="s">
        <v>641</v>
      </c>
      <c r="F271" s="37"/>
      <c r="G271" s="409" t="s">
        <v>813</v>
      </c>
    </row>
    <row r="272" spans="1:7" ht="36" customHeight="1" x14ac:dyDescent="0.3">
      <c r="A272" s="5"/>
      <c r="B272" s="6"/>
      <c r="C272" s="36"/>
      <c r="D272" s="14" t="s">
        <v>747</v>
      </c>
      <c r="E272" s="15" t="s">
        <v>650</v>
      </c>
      <c r="F272" s="37" t="s">
        <v>814</v>
      </c>
      <c r="G272" s="410"/>
    </row>
    <row r="273" spans="1:7" ht="36" customHeight="1" x14ac:dyDescent="0.3">
      <c r="A273" s="5"/>
      <c r="B273" s="6"/>
      <c r="C273" s="387" t="s">
        <v>683</v>
      </c>
      <c r="D273" s="49" t="s">
        <v>780</v>
      </c>
      <c r="E273" s="49" t="s">
        <v>799</v>
      </c>
      <c r="F273" s="8"/>
      <c r="G273" s="411"/>
    </row>
    <row r="274" spans="1:7" ht="36" customHeight="1" thickBot="1" x14ac:dyDescent="0.35">
      <c r="A274" s="5"/>
      <c r="B274" s="6"/>
      <c r="C274" s="388"/>
      <c r="D274" s="108" t="s">
        <v>815</v>
      </c>
      <c r="E274" s="49" t="s">
        <v>641</v>
      </c>
      <c r="F274" s="8"/>
      <c r="G274" s="412"/>
    </row>
    <row r="275" spans="1:7" ht="36" customHeight="1" thickBot="1" x14ac:dyDescent="0.35">
      <c r="A275" s="5"/>
      <c r="B275" s="6"/>
      <c r="C275" s="7"/>
      <c r="D275" s="8"/>
      <c r="E275" s="9"/>
      <c r="F275" s="8"/>
      <c r="G275" s="379"/>
    </row>
    <row r="276" spans="1:7" ht="36" customHeight="1" thickBot="1" x14ac:dyDescent="0.35">
      <c r="A276" s="25"/>
      <c r="B276" s="26"/>
      <c r="C276" s="27"/>
      <c r="D276" s="28"/>
      <c r="E276" s="365"/>
      <c r="F276" s="365"/>
      <c r="G276" s="366"/>
    </row>
    <row r="277" spans="1:7" ht="36" customHeight="1" x14ac:dyDescent="0.3">
      <c r="A277" s="5" t="s">
        <v>816</v>
      </c>
      <c r="B277" s="6" t="s">
        <v>817</v>
      </c>
      <c r="C277" s="413" t="s">
        <v>818</v>
      </c>
      <c r="D277" s="414"/>
      <c r="E277" s="414"/>
      <c r="F277" s="414"/>
      <c r="G277" s="415"/>
    </row>
    <row r="278" spans="1:7" ht="36" customHeight="1" thickBot="1" x14ac:dyDescent="0.35">
      <c r="A278" s="5"/>
      <c r="B278" s="6"/>
      <c r="C278" s="416"/>
      <c r="D278" s="417"/>
      <c r="E278" s="417"/>
      <c r="F278" s="417"/>
      <c r="G278" s="418"/>
    </row>
    <row r="279" spans="1:7" ht="36" customHeight="1" thickBot="1" x14ac:dyDescent="0.35">
      <c r="A279" s="25"/>
      <c r="B279" s="26"/>
      <c r="C279" s="27"/>
      <c r="D279" s="28"/>
      <c r="E279" s="365"/>
      <c r="F279" s="365"/>
      <c r="G279" s="366"/>
    </row>
  </sheetData>
  <mergeCells count="146">
    <mergeCell ref="A277:A279"/>
    <mergeCell ref="B277:B279"/>
    <mergeCell ref="C277:G278"/>
    <mergeCell ref="A269:A276"/>
    <mergeCell ref="B269:B276"/>
    <mergeCell ref="C269:C270"/>
    <mergeCell ref="C271:C272"/>
    <mergeCell ref="C273:C274"/>
    <mergeCell ref="G273:G274"/>
    <mergeCell ref="A255:A268"/>
    <mergeCell ref="B255:B268"/>
    <mergeCell ref="C256:C261"/>
    <mergeCell ref="G256:G261"/>
    <mergeCell ref="C262:C264"/>
    <mergeCell ref="G262:G264"/>
    <mergeCell ref="C265:C266"/>
    <mergeCell ref="A241:G241"/>
    <mergeCell ref="A242:A247"/>
    <mergeCell ref="B242:B247"/>
    <mergeCell ref="A248:A254"/>
    <mergeCell ref="B248:B254"/>
    <mergeCell ref="C248:C249"/>
    <mergeCell ref="A223:A229"/>
    <mergeCell ref="B223:B229"/>
    <mergeCell ref="C223:C227"/>
    <mergeCell ref="A230:A232"/>
    <mergeCell ref="B230:B232"/>
    <mergeCell ref="C230:G238"/>
    <mergeCell ref="A233:A235"/>
    <mergeCell ref="B233:B235"/>
    <mergeCell ref="A236:A238"/>
    <mergeCell ref="B236:B238"/>
    <mergeCell ref="A213:A222"/>
    <mergeCell ref="B213:B222"/>
    <mergeCell ref="C214:C215"/>
    <mergeCell ref="G214:G215"/>
    <mergeCell ref="C216:C217"/>
    <mergeCell ref="G216:G217"/>
    <mergeCell ref="C218:C220"/>
    <mergeCell ref="G218:G220"/>
    <mergeCell ref="A204:A210"/>
    <mergeCell ref="B204:B210"/>
    <mergeCell ref="C204:C205"/>
    <mergeCell ref="C208:C209"/>
    <mergeCell ref="G208:G209"/>
    <mergeCell ref="A212:G212"/>
    <mergeCell ref="A188:A203"/>
    <mergeCell ref="B188:B203"/>
    <mergeCell ref="C188:C189"/>
    <mergeCell ref="C190:C191"/>
    <mergeCell ref="C193:C195"/>
    <mergeCell ref="G193:G195"/>
    <mergeCell ref="C198:C202"/>
    <mergeCell ref="G198:G202"/>
    <mergeCell ref="A172:A179"/>
    <mergeCell ref="B172:B179"/>
    <mergeCell ref="C172:C173"/>
    <mergeCell ref="A180:A187"/>
    <mergeCell ref="B180:B187"/>
    <mergeCell ref="C180:C182"/>
    <mergeCell ref="A164:G164"/>
    <mergeCell ref="A165:A171"/>
    <mergeCell ref="B165:B171"/>
    <mergeCell ref="C165:C166"/>
    <mergeCell ref="C167:C168"/>
    <mergeCell ref="G167:G168"/>
    <mergeCell ref="A149:A158"/>
    <mergeCell ref="B149:B158"/>
    <mergeCell ref="C149:C150"/>
    <mergeCell ref="C151:C153"/>
    <mergeCell ref="G151:G153"/>
    <mergeCell ref="C155:C157"/>
    <mergeCell ref="G129:G131"/>
    <mergeCell ref="C132:C134"/>
    <mergeCell ref="C136:C137"/>
    <mergeCell ref="A139:A148"/>
    <mergeCell ref="B139:B148"/>
    <mergeCell ref="C139:C140"/>
    <mergeCell ref="C141:C142"/>
    <mergeCell ref="C144:C145"/>
    <mergeCell ref="A117:A128"/>
    <mergeCell ref="B117:B122"/>
    <mergeCell ref="C117:C119"/>
    <mergeCell ref="C123:C127"/>
    <mergeCell ref="A129:A138"/>
    <mergeCell ref="B129:B138"/>
    <mergeCell ref="C129:C131"/>
    <mergeCell ref="A105:A112"/>
    <mergeCell ref="B105:B112"/>
    <mergeCell ref="C105:C106"/>
    <mergeCell ref="C108:C111"/>
    <mergeCell ref="A113:G113"/>
    <mergeCell ref="A114:A116"/>
    <mergeCell ref="B114:B116"/>
    <mergeCell ref="C115:C116"/>
    <mergeCell ref="G83:G88"/>
    <mergeCell ref="C90:C91"/>
    <mergeCell ref="A93:A104"/>
    <mergeCell ref="B93:B104"/>
    <mergeCell ref="C93:C95"/>
    <mergeCell ref="C97:C99"/>
    <mergeCell ref="C100:C101"/>
    <mergeCell ref="C102:C103"/>
    <mergeCell ref="A74:A82"/>
    <mergeCell ref="B74:B82"/>
    <mergeCell ref="C78:C81"/>
    <mergeCell ref="A83:A92"/>
    <mergeCell ref="B83:B92"/>
    <mergeCell ref="C83:C88"/>
    <mergeCell ref="A61:A66"/>
    <mergeCell ref="B61:B66"/>
    <mergeCell ref="C61:C63"/>
    <mergeCell ref="A67:G67"/>
    <mergeCell ref="A68:A73"/>
    <mergeCell ref="B68:B73"/>
    <mergeCell ref="C68:C69"/>
    <mergeCell ref="C70:C71"/>
    <mergeCell ref="G70:G71"/>
    <mergeCell ref="C38:C39"/>
    <mergeCell ref="G38:G39"/>
    <mergeCell ref="C40:C41"/>
    <mergeCell ref="A43:A60"/>
    <mergeCell ref="B43:B60"/>
    <mergeCell ref="C43:C45"/>
    <mergeCell ref="C46:C47"/>
    <mergeCell ref="G46:G47"/>
    <mergeCell ref="C49:C52"/>
    <mergeCell ref="C53:C56"/>
    <mergeCell ref="A13:A24"/>
    <mergeCell ref="B13:B24"/>
    <mergeCell ref="C18:C19"/>
    <mergeCell ref="G18:G19"/>
    <mergeCell ref="C20:C23"/>
    <mergeCell ref="A25:A42"/>
    <mergeCell ref="B25:B42"/>
    <mergeCell ref="C25:C26"/>
    <mergeCell ref="C28:C31"/>
    <mergeCell ref="C32:C37"/>
    <mergeCell ref="A1:G1"/>
    <mergeCell ref="A2:A12"/>
    <mergeCell ref="B2:B12"/>
    <mergeCell ref="C2:C3"/>
    <mergeCell ref="C4:C6"/>
    <mergeCell ref="C7:C8"/>
    <mergeCell ref="G7:G8"/>
    <mergeCell ref="C10:C11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  <rowBreaks count="1" manualBreakCount="1">
    <brk id="6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8"/>
  <sheetViews>
    <sheetView topLeftCell="A7" zoomScale="70" zoomScaleNormal="70" zoomScaleSheetLayoutView="70" workbookViewId="0">
      <selection activeCell="D121" sqref="D121"/>
    </sheetView>
  </sheetViews>
  <sheetFormatPr defaultColWidth="9" defaultRowHeight="36" customHeight="1" x14ac:dyDescent="0.3"/>
  <cols>
    <col min="1" max="1" width="12.375" style="124" customWidth="1"/>
    <col min="2" max="2" width="7.25" style="125" customWidth="1"/>
    <col min="3" max="3" width="21.875" style="126" customWidth="1"/>
    <col min="4" max="4" width="28.375" style="12" customWidth="1"/>
    <col min="5" max="5" width="15.375" style="127" customWidth="1"/>
    <col min="6" max="6" width="26.25" style="127" customWidth="1"/>
    <col min="7" max="7" width="28.125" style="128" customWidth="1"/>
    <col min="8" max="8" width="7.375" style="298" customWidth="1"/>
    <col min="9" max="16384" width="9" style="12"/>
  </cols>
  <sheetData>
    <row r="1" spans="1:7" s="298" customFormat="1" ht="95.25" customHeight="1" thickBot="1" x14ac:dyDescent="0.35">
      <c r="A1" s="1" t="s">
        <v>0</v>
      </c>
      <c r="B1" s="2"/>
      <c r="C1" s="2"/>
      <c r="D1" s="2"/>
      <c r="E1" s="2"/>
      <c r="F1" s="2"/>
      <c r="G1" s="3"/>
    </row>
    <row r="2" spans="1:7" s="298" customFormat="1" ht="36" customHeight="1" x14ac:dyDescent="0.3">
      <c r="A2" s="72" t="s">
        <v>777</v>
      </c>
      <c r="B2" s="99" t="s">
        <v>1</v>
      </c>
      <c r="C2" s="274" t="s">
        <v>778</v>
      </c>
      <c r="D2" s="82" t="s">
        <v>747</v>
      </c>
      <c r="E2" s="9" t="s">
        <v>727</v>
      </c>
      <c r="F2" s="398" t="s">
        <v>664</v>
      </c>
      <c r="G2" s="361"/>
    </row>
    <row r="3" spans="1:7" s="298" customFormat="1" ht="36" customHeight="1" thickBot="1" x14ac:dyDescent="0.35">
      <c r="A3" s="5"/>
      <c r="B3" s="6"/>
      <c r="C3" s="235" t="s">
        <v>606</v>
      </c>
      <c r="D3" s="8" t="s">
        <v>744</v>
      </c>
      <c r="E3" s="9" t="s">
        <v>739</v>
      </c>
      <c r="F3" s="43"/>
      <c r="G3" s="146" t="s">
        <v>781</v>
      </c>
    </row>
    <row r="4" spans="1:7" s="298" customFormat="1" ht="36" customHeight="1" thickBot="1" x14ac:dyDescent="0.35">
      <c r="A4" s="25"/>
      <c r="B4" s="26"/>
      <c r="C4" s="89"/>
      <c r="D4" s="90"/>
      <c r="E4" s="365"/>
      <c r="F4" s="144"/>
      <c r="G4" s="366"/>
    </row>
    <row r="5" spans="1:7" s="298" customFormat="1" ht="36" customHeight="1" x14ac:dyDescent="0.3">
      <c r="A5" s="72" t="s">
        <v>782</v>
      </c>
      <c r="B5" s="99" t="s">
        <v>694</v>
      </c>
      <c r="C5" s="31" t="s">
        <v>783</v>
      </c>
      <c r="D5" s="8" t="s">
        <v>810</v>
      </c>
      <c r="E5" s="15" t="s">
        <v>785</v>
      </c>
      <c r="F5" s="81"/>
      <c r="G5" s="361"/>
    </row>
    <row r="6" spans="1:7" s="298" customFormat="1" ht="36" customHeight="1" x14ac:dyDescent="0.3">
      <c r="A6" s="5"/>
      <c r="B6" s="6"/>
      <c r="C6" s="36"/>
      <c r="D6" s="8" t="s">
        <v>711</v>
      </c>
      <c r="E6" s="9" t="s">
        <v>739</v>
      </c>
      <c r="F6" s="49"/>
      <c r="G6" s="362"/>
    </row>
    <row r="7" spans="1:7" s="298" customFormat="1" ht="36" customHeight="1" x14ac:dyDescent="0.3">
      <c r="A7" s="5"/>
      <c r="B7" s="6"/>
      <c r="C7" s="7" t="s">
        <v>786</v>
      </c>
      <c r="D7" s="8" t="s">
        <v>819</v>
      </c>
      <c r="E7" s="9" t="s">
        <v>641</v>
      </c>
      <c r="F7" s="49"/>
      <c r="G7" s="306" t="s">
        <v>788</v>
      </c>
    </row>
    <row r="8" spans="1:7" s="298" customFormat="1" ht="36" customHeight="1" thickBot="1" x14ac:dyDescent="0.35">
      <c r="A8" s="5"/>
      <c r="B8" s="6"/>
      <c r="C8" s="87" t="s">
        <v>789</v>
      </c>
      <c r="D8" s="8" t="s">
        <v>747</v>
      </c>
      <c r="E8" s="9" t="s">
        <v>663</v>
      </c>
      <c r="F8" s="398" t="s">
        <v>664</v>
      </c>
      <c r="G8" s="306" t="s">
        <v>582</v>
      </c>
    </row>
    <row r="9" spans="1:7" s="298" customFormat="1" ht="36" customHeight="1" thickBot="1" x14ac:dyDescent="0.35">
      <c r="A9" s="25"/>
      <c r="B9" s="26"/>
      <c r="C9" s="89" t="s">
        <v>790</v>
      </c>
      <c r="D9" s="90" t="s">
        <v>668</v>
      </c>
      <c r="E9" s="365" t="s">
        <v>820</v>
      </c>
      <c r="F9" s="144"/>
      <c r="G9" s="366"/>
    </row>
    <row r="10" spans="1:7" s="298" customFormat="1" ht="36" customHeight="1" x14ac:dyDescent="0.3">
      <c r="A10" s="72">
        <v>44111</v>
      </c>
      <c r="B10" s="73" t="s">
        <v>506</v>
      </c>
      <c r="C10" s="160" t="s">
        <v>783</v>
      </c>
      <c r="D10" s="32" t="s">
        <v>810</v>
      </c>
      <c r="E10" s="33" t="s">
        <v>821</v>
      </c>
      <c r="F10" s="34"/>
      <c r="G10" s="370"/>
    </row>
    <row r="11" spans="1:7" s="298" customFormat="1" ht="36" customHeight="1" x14ac:dyDescent="0.3">
      <c r="A11" s="5"/>
      <c r="B11" s="75"/>
      <c r="C11" s="16" t="s">
        <v>532</v>
      </c>
      <c r="D11" s="8" t="s">
        <v>747</v>
      </c>
      <c r="E11" s="96" t="s">
        <v>822</v>
      </c>
      <c r="F11" s="375"/>
      <c r="G11" s="380" t="s">
        <v>527</v>
      </c>
    </row>
    <row r="12" spans="1:7" s="298" customFormat="1" ht="36" customHeight="1" x14ac:dyDescent="0.3">
      <c r="A12" s="5"/>
      <c r="B12" s="75"/>
      <c r="C12" s="17"/>
      <c r="D12" s="8" t="s">
        <v>795</v>
      </c>
      <c r="E12" s="96" t="s">
        <v>531</v>
      </c>
      <c r="F12" s="375" t="s">
        <v>748</v>
      </c>
      <c r="G12" s="381"/>
    </row>
    <row r="13" spans="1:7" s="298" customFormat="1" ht="36" customHeight="1" x14ac:dyDescent="0.3">
      <c r="A13" s="5"/>
      <c r="B13" s="75"/>
      <c r="C13" s="17"/>
      <c r="D13" s="8" t="s">
        <v>823</v>
      </c>
      <c r="E13" s="96" t="s">
        <v>590</v>
      </c>
      <c r="F13" s="375"/>
      <c r="G13" s="381"/>
    </row>
    <row r="14" spans="1:7" s="298" customFormat="1" ht="36" customHeight="1" x14ac:dyDescent="0.3">
      <c r="A14" s="5"/>
      <c r="B14" s="75"/>
      <c r="C14" s="17"/>
      <c r="D14" s="8" t="s">
        <v>491</v>
      </c>
      <c r="E14" s="96" t="s">
        <v>797</v>
      </c>
      <c r="F14" s="375"/>
      <c r="G14" s="381"/>
    </row>
    <row r="15" spans="1:7" s="298" customFormat="1" ht="36" customHeight="1" x14ac:dyDescent="0.3">
      <c r="A15" s="5"/>
      <c r="B15" s="75"/>
      <c r="C15" s="17"/>
      <c r="D15" s="8" t="s">
        <v>593</v>
      </c>
      <c r="E15" s="96" t="s">
        <v>641</v>
      </c>
      <c r="F15" s="375"/>
      <c r="G15" s="381"/>
    </row>
    <row r="16" spans="1:7" s="298" customFormat="1" ht="36" customHeight="1" x14ac:dyDescent="0.3">
      <c r="A16" s="5"/>
      <c r="B16" s="75"/>
      <c r="C16" s="36"/>
      <c r="D16" s="8" t="s">
        <v>800</v>
      </c>
      <c r="E16" s="96" t="s">
        <v>801</v>
      </c>
      <c r="F16" s="373"/>
      <c r="G16" s="382"/>
    </row>
    <row r="17" spans="1:7" s="298" customFormat="1" ht="36" customHeight="1" x14ac:dyDescent="0.3">
      <c r="A17" s="5"/>
      <c r="B17" s="75"/>
      <c r="C17" s="97" t="s">
        <v>545</v>
      </c>
      <c r="D17" s="8" t="s">
        <v>803</v>
      </c>
      <c r="E17" s="9">
        <v>100</v>
      </c>
      <c r="F17" s="10"/>
      <c r="G17" s="319" t="s">
        <v>804</v>
      </c>
    </row>
    <row r="18" spans="1:7" s="298" customFormat="1" ht="36" customHeight="1" x14ac:dyDescent="0.3">
      <c r="A18" s="5"/>
      <c r="B18" s="75"/>
      <c r="C18" s="5"/>
      <c r="D18" s="14" t="s">
        <v>521</v>
      </c>
      <c r="E18" s="15">
        <v>80</v>
      </c>
      <c r="F18" s="37"/>
      <c r="G18" s="338"/>
    </row>
    <row r="19" spans="1:7" s="298" customFormat="1" ht="36" customHeight="1" x14ac:dyDescent="0.3">
      <c r="A19" s="5"/>
      <c r="B19" s="75"/>
      <c r="C19" s="84"/>
      <c r="D19" s="14" t="s">
        <v>824</v>
      </c>
      <c r="E19" s="15">
        <v>50</v>
      </c>
      <c r="F19" s="8"/>
      <c r="G19" s="310"/>
    </row>
    <row r="20" spans="1:7" s="298" customFormat="1" ht="36" customHeight="1" x14ac:dyDescent="0.3">
      <c r="A20" s="5"/>
      <c r="B20" s="75"/>
      <c r="C20" s="97" t="s">
        <v>805</v>
      </c>
      <c r="D20" s="8" t="s">
        <v>501</v>
      </c>
      <c r="E20" s="9" t="s">
        <v>641</v>
      </c>
      <c r="F20" s="8"/>
      <c r="G20" s="306"/>
    </row>
    <row r="21" spans="1:7" s="298" customFormat="1" ht="36" customHeight="1" thickBot="1" x14ac:dyDescent="0.35">
      <c r="A21" s="5"/>
      <c r="B21" s="75"/>
      <c r="C21" s="84"/>
      <c r="D21" s="18" t="s">
        <v>806</v>
      </c>
      <c r="E21" s="19" t="s">
        <v>724</v>
      </c>
      <c r="F21" s="18"/>
      <c r="G21" s="308"/>
    </row>
    <row r="22" spans="1:7" s="298" customFormat="1" ht="36" customHeight="1" thickBot="1" x14ac:dyDescent="0.35">
      <c r="A22" s="25"/>
      <c r="B22" s="79"/>
      <c r="C22" s="27" t="s">
        <v>807</v>
      </c>
      <c r="D22" s="28" t="s">
        <v>668</v>
      </c>
      <c r="E22" s="365" t="s">
        <v>691</v>
      </c>
      <c r="F22" s="365"/>
      <c r="G22" s="366"/>
    </row>
    <row r="23" spans="1:7" s="298" customFormat="1" ht="36" customHeight="1" x14ac:dyDescent="0.3">
      <c r="A23" s="72">
        <v>44112</v>
      </c>
      <c r="B23" s="73" t="s">
        <v>825</v>
      </c>
      <c r="C23" s="31" t="s">
        <v>783</v>
      </c>
      <c r="D23" s="8" t="s">
        <v>810</v>
      </c>
      <c r="E23" s="15" t="s">
        <v>811</v>
      </c>
      <c r="F23" s="81"/>
      <c r="G23" s="378"/>
    </row>
    <row r="24" spans="1:7" s="298" customFormat="1" ht="36" customHeight="1" x14ac:dyDescent="0.3">
      <c r="A24" s="5"/>
      <c r="B24" s="75"/>
      <c r="C24" s="36"/>
      <c r="D24" s="8" t="s">
        <v>711</v>
      </c>
      <c r="E24" s="9" t="s">
        <v>739</v>
      </c>
      <c r="F24" s="37"/>
      <c r="G24" s="362"/>
    </row>
    <row r="25" spans="1:7" s="298" customFormat="1" ht="36" customHeight="1" x14ac:dyDescent="0.3">
      <c r="A25" s="5"/>
      <c r="B25" s="75"/>
      <c r="C25" s="16" t="s">
        <v>485</v>
      </c>
      <c r="D25" s="14" t="s">
        <v>826</v>
      </c>
      <c r="E25" s="15" t="s">
        <v>641</v>
      </c>
      <c r="F25" s="37"/>
      <c r="G25" s="409" t="s">
        <v>813</v>
      </c>
    </row>
    <row r="26" spans="1:7" s="298" customFormat="1" ht="36" customHeight="1" x14ac:dyDescent="0.3">
      <c r="A26" s="5"/>
      <c r="B26" s="75"/>
      <c r="C26" s="36"/>
      <c r="D26" s="14" t="s">
        <v>747</v>
      </c>
      <c r="E26" s="15" t="s">
        <v>505</v>
      </c>
      <c r="F26" s="37" t="s">
        <v>814</v>
      </c>
      <c r="G26" s="410"/>
    </row>
    <row r="27" spans="1:7" s="298" customFormat="1" ht="36" customHeight="1" x14ac:dyDescent="0.3">
      <c r="A27" s="5"/>
      <c r="B27" s="75"/>
      <c r="C27" s="387" t="s">
        <v>683</v>
      </c>
      <c r="D27" s="43" t="s">
        <v>744</v>
      </c>
      <c r="E27" s="49" t="s">
        <v>799</v>
      </c>
      <c r="F27" s="8"/>
      <c r="G27" s="186"/>
    </row>
    <row r="28" spans="1:7" s="298" customFormat="1" ht="36" customHeight="1" x14ac:dyDescent="0.3">
      <c r="A28" s="5"/>
      <c r="B28" s="75"/>
      <c r="C28" s="419"/>
      <c r="D28" s="82" t="s">
        <v>671</v>
      </c>
      <c r="E28" s="49" t="s">
        <v>799</v>
      </c>
      <c r="F28" s="8"/>
      <c r="G28" s="263"/>
    </row>
    <row r="29" spans="1:7" s="298" customFormat="1" ht="36" customHeight="1" thickBot="1" x14ac:dyDescent="0.35">
      <c r="A29" s="5"/>
      <c r="B29" s="75"/>
      <c r="C29" s="7"/>
      <c r="D29" s="14"/>
      <c r="E29" s="9"/>
      <c r="F29" s="8"/>
      <c r="G29" s="379"/>
    </row>
    <row r="30" spans="1:7" s="298" customFormat="1" ht="36" customHeight="1" thickBot="1" x14ac:dyDescent="0.35">
      <c r="A30" s="25"/>
      <c r="B30" s="79"/>
      <c r="C30" s="27"/>
      <c r="D30" s="28"/>
      <c r="E30" s="365"/>
      <c r="F30" s="365"/>
      <c r="G30" s="366"/>
    </row>
    <row r="31" spans="1:7" s="298" customFormat="1" ht="36" customHeight="1" x14ac:dyDescent="0.3">
      <c r="A31" s="5">
        <v>44113</v>
      </c>
      <c r="B31" s="75" t="s">
        <v>817</v>
      </c>
      <c r="C31" s="413" t="s">
        <v>827</v>
      </c>
      <c r="D31" s="414"/>
      <c r="E31" s="414"/>
      <c r="F31" s="414"/>
      <c r="G31" s="415"/>
    </row>
    <row r="32" spans="1:7" s="298" customFormat="1" ht="36" customHeight="1" thickBot="1" x14ac:dyDescent="0.35">
      <c r="A32" s="5"/>
      <c r="B32" s="75"/>
      <c r="C32" s="416"/>
      <c r="D32" s="417"/>
      <c r="E32" s="417"/>
      <c r="F32" s="417"/>
      <c r="G32" s="418"/>
    </row>
    <row r="33" spans="1:8" s="298" customFormat="1" ht="36" customHeight="1" thickBot="1" x14ac:dyDescent="0.35">
      <c r="A33" s="25"/>
      <c r="B33" s="79"/>
      <c r="C33" s="27"/>
      <c r="D33" s="28"/>
      <c r="E33" s="365"/>
      <c r="F33" s="365"/>
      <c r="G33" s="366"/>
    </row>
    <row r="34" spans="1:8" s="4" customFormat="1" ht="86.25" customHeight="1" thickBot="1" x14ac:dyDescent="0.35">
      <c r="A34" s="1" t="s">
        <v>0</v>
      </c>
      <c r="B34" s="2"/>
      <c r="C34" s="2"/>
      <c r="D34" s="2"/>
      <c r="E34" s="2"/>
      <c r="F34" s="2"/>
      <c r="G34" s="3"/>
      <c r="H34" s="298"/>
    </row>
    <row r="35" spans="1:8" customFormat="1" ht="27.75" customHeight="1" x14ac:dyDescent="0.3">
      <c r="A35" s="72" t="s">
        <v>828</v>
      </c>
      <c r="B35" s="73" t="s">
        <v>829</v>
      </c>
      <c r="C35" s="31" t="s">
        <v>683</v>
      </c>
      <c r="D35" s="32" t="s">
        <v>815</v>
      </c>
      <c r="E35" s="33" t="s">
        <v>641</v>
      </c>
      <c r="F35" s="420"/>
      <c r="G35" s="204"/>
    </row>
    <row r="36" spans="1:8" customFormat="1" ht="27.75" customHeight="1" x14ac:dyDescent="0.3">
      <c r="A36" s="5"/>
      <c r="B36" s="75"/>
      <c r="C36" s="36"/>
      <c r="D36" s="82" t="s">
        <v>744</v>
      </c>
      <c r="E36" s="9" t="s">
        <v>799</v>
      </c>
      <c r="F36" s="349"/>
      <c r="G36" s="306"/>
    </row>
    <row r="37" spans="1:8" customFormat="1" ht="27.75" customHeight="1" x14ac:dyDescent="0.3">
      <c r="A37" s="5"/>
      <c r="B37" s="75"/>
      <c r="C37" s="17" t="s">
        <v>688</v>
      </c>
      <c r="D37" s="82" t="s">
        <v>830</v>
      </c>
      <c r="E37" s="9" t="s">
        <v>713</v>
      </c>
      <c r="F37" s="421" t="s">
        <v>831</v>
      </c>
      <c r="G37" s="311" t="s">
        <v>832</v>
      </c>
    </row>
    <row r="38" spans="1:8" customFormat="1" ht="27.75" customHeight="1" x14ac:dyDescent="0.3">
      <c r="A38" s="5"/>
      <c r="B38" s="75"/>
      <c r="C38" s="36"/>
      <c r="D38" s="8" t="s">
        <v>833</v>
      </c>
      <c r="E38" s="9" t="s">
        <v>799</v>
      </c>
      <c r="F38" s="421"/>
      <c r="G38" s="311"/>
    </row>
    <row r="39" spans="1:8" customFormat="1" ht="27.75" customHeight="1" x14ac:dyDescent="0.3">
      <c r="A39" s="5"/>
      <c r="B39" s="75"/>
      <c r="C39" s="7" t="s">
        <v>529</v>
      </c>
      <c r="D39" s="8" t="s">
        <v>834</v>
      </c>
      <c r="E39" s="9" t="s">
        <v>489</v>
      </c>
      <c r="F39" s="422"/>
      <c r="G39" s="306" t="s">
        <v>781</v>
      </c>
    </row>
    <row r="40" spans="1:8" customFormat="1" ht="27.75" customHeight="1" x14ac:dyDescent="0.3">
      <c r="A40" s="5"/>
      <c r="B40" s="75"/>
      <c r="C40" s="13" t="s">
        <v>835</v>
      </c>
      <c r="D40" s="14" t="s">
        <v>834</v>
      </c>
      <c r="E40" s="15" t="s">
        <v>836</v>
      </c>
      <c r="F40" s="422" t="s">
        <v>664</v>
      </c>
      <c r="G40" s="306" t="s">
        <v>837</v>
      </c>
    </row>
    <row r="41" spans="1:8" customFormat="1" ht="27.75" customHeight="1" thickBot="1" x14ac:dyDescent="0.35">
      <c r="A41" s="5"/>
      <c r="B41" s="75"/>
      <c r="C41" s="213" t="s">
        <v>507</v>
      </c>
      <c r="D41" s="161" t="s">
        <v>834</v>
      </c>
      <c r="E41" s="162" t="s">
        <v>838</v>
      </c>
      <c r="F41" s="423" t="s">
        <v>839</v>
      </c>
      <c r="G41" s="424"/>
    </row>
    <row r="42" spans="1:8" customFormat="1" ht="27.75" customHeight="1" thickBot="1" x14ac:dyDescent="0.35">
      <c r="A42" s="25"/>
      <c r="B42" s="79"/>
      <c r="C42" s="425"/>
      <c r="D42" s="90"/>
      <c r="E42" s="144"/>
      <c r="F42" s="144"/>
      <c r="G42" s="145"/>
    </row>
    <row r="43" spans="1:8" s="4" customFormat="1" ht="27.75" hidden="1" customHeight="1" x14ac:dyDescent="0.3">
      <c r="A43" s="72">
        <v>44117</v>
      </c>
      <c r="B43" s="99" t="s">
        <v>15</v>
      </c>
      <c r="C43" s="274"/>
      <c r="D43" s="8"/>
      <c r="E43" s="9"/>
      <c r="F43" s="37"/>
      <c r="G43" s="38"/>
      <c r="H43" s="298"/>
    </row>
    <row r="44" spans="1:8" customFormat="1" ht="27.75" customHeight="1" x14ac:dyDescent="0.3">
      <c r="A44" s="5"/>
      <c r="B44" s="6"/>
      <c r="C44" s="274" t="s">
        <v>783</v>
      </c>
      <c r="D44" s="93" t="s">
        <v>810</v>
      </c>
      <c r="E44" s="218" t="s">
        <v>840</v>
      </c>
      <c r="F44" s="39"/>
      <c r="G44" s="370"/>
    </row>
    <row r="45" spans="1:8" customFormat="1" ht="27.75" customHeight="1" x14ac:dyDescent="0.3">
      <c r="A45" s="5"/>
      <c r="B45" s="6"/>
      <c r="C45" s="16" t="s">
        <v>752</v>
      </c>
      <c r="D45" s="8" t="s">
        <v>834</v>
      </c>
      <c r="E45" s="9" t="s">
        <v>568</v>
      </c>
      <c r="F45" s="398" t="s">
        <v>839</v>
      </c>
      <c r="G45" s="306" t="s">
        <v>841</v>
      </c>
    </row>
    <row r="46" spans="1:8" customFormat="1" ht="27.75" customHeight="1" x14ac:dyDescent="0.3">
      <c r="A46" s="5"/>
      <c r="B46" s="6"/>
      <c r="C46" s="17"/>
      <c r="D46" s="8" t="s">
        <v>842</v>
      </c>
      <c r="E46" s="9" t="s">
        <v>489</v>
      </c>
      <c r="F46" s="398" t="s">
        <v>839</v>
      </c>
      <c r="G46" s="306"/>
    </row>
    <row r="47" spans="1:8" customFormat="1" ht="27.75" customHeight="1" x14ac:dyDescent="0.3">
      <c r="A47" s="5"/>
      <c r="B47" s="6"/>
      <c r="C47" s="17"/>
      <c r="D47" s="8" t="s">
        <v>843</v>
      </c>
      <c r="E47" s="9" t="s">
        <v>554</v>
      </c>
      <c r="F47" s="398" t="s">
        <v>839</v>
      </c>
      <c r="G47" s="306"/>
    </row>
    <row r="48" spans="1:8" customFormat="1" ht="27.75" customHeight="1" x14ac:dyDescent="0.3">
      <c r="A48" s="5"/>
      <c r="B48" s="6"/>
      <c r="C48" s="36"/>
      <c r="D48" s="8" t="s">
        <v>491</v>
      </c>
      <c r="E48" s="9" t="s">
        <v>641</v>
      </c>
      <c r="F48" s="43"/>
      <c r="G48" s="306"/>
    </row>
    <row r="49" spans="1:8" customFormat="1" ht="27.75" customHeight="1" x14ac:dyDescent="0.3">
      <c r="A49" s="5"/>
      <c r="B49" s="6"/>
      <c r="C49" s="7" t="s">
        <v>844</v>
      </c>
      <c r="D49" s="8" t="s">
        <v>845</v>
      </c>
      <c r="E49" s="9" t="s">
        <v>739</v>
      </c>
      <c r="F49" s="43"/>
      <c r="G49" s="306" t="s">
        <v>527</v>
      </c>
    </row>
    <row r="50" spans="1:8" customFormat="1" ht="27.75" customHeight="1" x14ac:dyDescent="0.3">
      <c r="A50" s="5"/>
      <c r="B50" s="6"/>
      <c r="C50" s="7" t="s">
        <v>606</v>
      </c>
      <c r="D50" s="8" t="s">
        <v>846</v>
      </c>
      <c r="E50" s="9" t="s">
        <v>739</v>
      </c>
      <c r="F50" s="43"/>
      <c r="G50" s="306" t="s">
        <v>832</v>
      </c>
    </row>
    <row r="51" spans="1:8" customFormat="1" ht="27.75" customHeight="1" x14ac:dyDescent="0.3">
      <c r="A51" s="5"/>
      <c r="B51" s="6"/>
      <c r="C51" s="13" t="s">
        <v>847</v>
      </c>
      <c r="D51" s="8" t="s">
        <v>515</v>
      </c>
      <c r="E51" s="9" t="s">
        <v>724</v>
      </c>
      <c r="F51" s="398"/>
      <c r="G51" s="306"/>
    </row>
    <row r="52" spans="1:8" customFormat="1" ht="27.75" customHeight="1" x14ac:dyDescent="0.3">
      <c r="A52" s="5"/>
      <c r="B52" s="6"/>
      <c r="C52" s="16" t="s">
        <v>848</v>
      </c>
      <c r="D52" s="95" t="s">
        <v>849</v>
      </c>
      <c r="E52" s="96" t="s">
        <v>724</v>
      </c>
      <c r="F52" s="398"/>
      <c r="G52" s="306"/>
    </row>
    <row r="53" spans="1:8" customFormat="1" ht="27.75" customHeight="1" x14ac:dyDescent="0.3">
      <c r="A53" s="5"/>
      <c r="B53" s="6"/>
      <c r="C53" s="36"/>
      <c r="D53" s="95" t="s">
        <v>850</v>
      </c>
      <c r="E53" s="96" t="s">
        <v>745</v>
      </c>
      <c r="F53" s="398"/>
      <c r="G53" s="306"/>
    </row>
    <row r="54" spans="1:8" s="4" customFormat="1" ht="36" customHeight="1" thickBot="1" x14ac:dyDescent="0.35">
      <c r="A54" s="25"/>
      <c r="B54" s="26"/>
      <c r="C54" s="89"/>
      <c r="D54" s="90"/>
      <c r="E54" s="144"/>
      <c r="F54" s="144"/>
      <c r="G54" s="222"/>
      <c r="H54" s="298"/>
    </row>
    <row r="55" spans="1:8" customFormat="1" ht="27.75" customHeight="1" x14ac:dyDescent="0.3">
      <c r="A55" s="72">
        <v>44118</v>
      </c>
      <c r="B55" s="99" t="s">
        <v>21</v>
      </c>
      <c r="C55" s="72" t="s">
        <v>545</v>
      </c>
      <c r="D55" s="32" t="s">
        <v>491</v>
      </c>
      <c r="E55" s="33" t="s">
        <v>756</v>
      </c>
      <c r="F55" s="34"/>
      <c r="G55" s="337"/>
    </row>
    <row r="56" spans="1:8" customFormat="1" ht="27.75" customHeight="1" x14ac:dyDescent="0.3">
      <c r="A56" s="5"/>
      <c r="B56" s="6"/>
      <c r="C56" s="5"/>
      <c r="D56" s="14" t="s">
        <v>851</v>
      </c>
      <c r="E56" s="15" t="s">
        <v>852</v>
      </c>
      <c r="F56" s="37" t="s">
        <v>839</v>
      </c>
      <c r="G56" s="338"/>
    </row>
    <row r="57" spans="1:8" customFormat="1" ht="27.75" customHeight="1" x14ac:dyDescent="0.3">
      <c r="A57" s="5"/>
      <c r="B57" s="6"/>
      <c r="C57" s="84"/>
      <c r="D57" s="14" t="s">
        <v>853</v>
      </c>
      <c r="E57" s="15" t="s">
        <v>539</v>
      </c>
      <c r="F57" s="8"/>
      <c r="G57" s="310"/>
    </row>
    <row r="58" spans="1:8" customFormat="1" ht="27.75" customHeight="1" x14ac:dyDescent="0.3">
      <c r="A58" s="5"/>
      <c r="B58" s="6"/>
      <c r="C58" s="97" t="s">
        <v>680</v>
      </c>
      <c r="D58" s="8" t="s">
        <v>854</v>
      </c>
      <c r="E58" s="9" t="s">
        <v>641</v>
      </c>
      <c r="F58" s="95"/>
      <c r="G58" s="319"/>
    </row>
    <row r="59" spans="1:8" customFormat="1" ht="27.75" customHeight="1" x14ac:dyDescent="0.3">
      <c r="A59" s="5"/>
      <c r="B59" s="6"/>
      <c r="C59" s="5"/>
      <c r="D59" s="8" t="s">
        <v>855</v>
      </c>
      <c r="E59" s="9" t="s">
        <v>856</v>
      </c>
      <c r="F59" s="95"/>
      <c r="G59" s="338"/>
    </row>
    <row r="60" spans="1:8" customFormat="1" ht="27.75" customHeight="1" x14ac:dyDescent="0.3">
      <c r="A60" s="5"/>
      <c r="B60" s="6"/>
      <c r="C60" s="5"/>
      <c r="D60" s="8" t="s">
        <v>857</v>
      </c>
      <c r="E60" s="426" t="s">
        <v>858</v>
      </c>
      <c r="F60" s="95"/>
      <c r="G60" s="427"/>
    </row>
    <row r="61" spans="1:8" customFormat="1" ht="27.75" customHeight="1" x14ac:dyDescent="0.3">
      <c r="A61" s="5"/>
      <c r="B61" s="6"/>
      <c r="C61" s="84"/>
      <c r="D61" s="8" t="s">
        <v>512</v>
      </c>
      <c r="E61" s="426" t="s">
        <v>859</v>
      </c>
      <c r="F61" s="8"/>
      <c r="G61" s="427"/>
    </row>
    <row r="62" spans="1:8" customFormat="1" ht="27.75" customHeight="1" x14ac:dyDescent="0.3">
      <c r="A62" s="5"/>
      <c r="B62" s="6"/>
      <c r="C62" s="101" t="s">
        <v>860</v>
      </c>
      <c r="D62" s="14" t="s">
        <v>851</v>
      </c>
      <c r="E62" s="15" t="s">
        <v>531</v>
      </c>
      <c r="F62" s="37" t="s">
        <v>861</v>
      </c>
      <c r="G62" s="306" t="s">
        <v>862</v>
      </c>
    </row>
    <row r="63" spans="1:8" customFormat="1" ht="27.75" customHeight="1" x14ac:dyDescent="0.3">
      <c r="A63" s="5"/>
      <c r="B63" s="6"/>
      <c r="C63" s="87" t="s">
        <v>863</v>
      </c>
      <c r="D63" s="8" t="s">
        <v>864</v>
      </c>
      <c r="E63" s="9" t="s">
        <v>865</v>
      </c>
      <c r="F63" s="8"/>
      <c r="G63" s="306" t="s">
        <v>866</v>
      </c>
    </row>
    <row r="64" spans="1:8" customFormat="1" ht="27.75" customHeight="1" x14ac:dyDescent="0.3">
      <c r="A64" s="5"/>
      <c r="B64" s="6"/>
      <c r="C64" s="97" t="s">
        <v>867</v>
      </c>
      <c r="D64" s="14" t="s">
        <v>868</v>
      </c>
      <c r="E64" s="15" t="s">
        <v>663</v>
      </c>
      <c r="F64" s="8"/>
      <c r="G64" s="319" t="s">
        <v>866</v>
      </c>
    </row>
    <row r="65" spans="1:8" customFormat="1" ht="27.75" customHeight="1" x14ac:dyDescent="0.3">
      <c r="A65" s="5"/>
      <c r="B65" s="6"/>
      <c r="C65" s="84"/>
      <c r="D65" s="14" t="s">
        <v>869</v>
      </c>
      <c r="E65" s="15" t="s">
        <v>870</v>
      </c>
      <c r="F65" s="8"/>
      <c r="G65" s="310"/>
    </row>
    <row r="66" spans="1:8" customFormat="1" ht="27.75" customHeight="1" x14ac:dyDescent="0.3">
      <c r="A66" s="5"/>
      <c r="B66" s="6"/>
      <c r="C66" s="87" t="s">
        <v>871</v>
      </c>
      <c r="D66" s="14" t="s">
        <v>872</v>
      </c>
      <c r="E66" s="15" t="s">
        <v>632</v>
      </c>
      <c r="F66" s="10" t="s">
        <v>839</v>
      </c>
      <c r="G66" s="306" t="s">
        <v>556</v>
      </c>
    </row>
    <row r="67" spans="1:8" customFormat="1" ht="27.75" customHeight="1" x14ac:dyDescent="0.3">
      <c r="A67" s="5"/>
      <c r="B67" s="6"/>
      <c r="C67" s="13" t="s">
        <v>873</v>
      </c>
      <c r="D67" s="8" t="s">
        <v>874</v>
      </c>
      <c r="E67" s="9" t="s">
        <v>641</v>
      </c>
      <c r="F67" s="95"/>
      <c r="G67" s="306" t="s">
        <v>743</v>
      </c>
    </row>
    <row r="68" spans="1:8" customFormat="1" ht="27.75" customHeight="1" x14ac:dyDescent="0.3">
      <c r="A68" s="5"/>
      <c r="B68" s="6"/>
      <c r="C68" s="87" t="s">
        <v>500</v>
      </c>
      <c r="D68" s="95" t="s">
        <v>501</v>
      </c>
      <c r="E68" s="428">
        <v>100</v>
      </c>
      <c r="F68" s="95"/>
      <c r="G68" s="306" t="s">
        <v>875</v>
      </c>
    </row>
    <row r="69" spans="1:8" customFormat="1" ht="27.75" customHeight="1" thickBot="1" x14ac:dyDescent="0.35">
      <c r="A69" s="5"/>
      <c r="B69" s="6"/>
      <c r="C69" s="51" t="s">
        <v>606</v>
      </c>
      <c r="D69" s="21" t="s">
        <v>547</v>
      </c>
      <c r="E69" s="429" t="s">
        <v>876</v>
      </c>
      <c r="F69" s="77" t="s">
        <v>877</v>
      </c>
      <c r="G69" s="430" t="s">
        <v>878</v>
      </c>
    </row>
    <row r="70" spans="1:8" s="4" customFormat="1" ht="36" customHeight="1" thickBot="1" x14ac:dyDescent="0.35">
      <c r="A70" s="25"/>
      <c r="B70" s="26"/>
      <c r="C70" s="89"/>
      <c r="D70" s="90"/>
      <c r="E70" s="144"/>
      <c r="F70" s="144"/>
      <c r="G70" s="222"/>
      <c r="H70" s="298"/>
    </row>
    <row r="71" spans="1:8" customFormat="1" ht="27.75" customHeight="1" x14ac:dyDescent="0.3">
      <c r="A71" s="72" t="s">
        <v>879</v>
      </c>
      <c r="B71" s="99" t="s">
        <v>41</v>
      </c>
      <c r="C71" s="31" t="s">
        <v>783</v>
      </c>
      <c r="D71" s="32" t="s">
        <v>810</v>
      </c>
      <c r="E71" s="33" t="s">
        <v>880</v>
      </c>
      <c r="F71" s="81"/>
      <c r="G71" s="378"/>
    </row>
    <row r="72" spans="1:8" customFormat="1" ht="27.75" customHeight="1" x14ac:dyDescent="0.3">
      <c r="A72" s="5"/>
      <c r="B72" s="6"/>
      <c r="C72" s="17"/>
      <c r="D72" s="8" t="s">
        <v>881</v>
      </c>
      <c r="E72" s="9" t="s">
        <v>882</v>
      </c>
      <c r="F72" s="37"/>
      <c r="G72" s="362"/>
    </row>
    <row r="73" spans="1:8" customFormat="1" ht="27.75" customHeight="1" x14ac:dyDescent="0.3">
      <c r="A73" s="5"/>
      <c r="B73" s="6"/>
      <c r="C73" s="16" t="s">
        <v>485</v>
      </c>
      <c r="D73" s="14" t="s">
        <v>491</v>
      </c>
      <c r="E73" s="15" t="s">
        <v>883</v>
      </c>
      <c r="F73" s="37"/>
      <c r="G73" s="431" t="s">
        <v>862</v>
      </c>
    </row>
    <row r="74" spans="1:8" customFormat="1" ht="27.75" customHeight="1" x14ac:dyDescent="0.3">
      <c r="A74" s="5"/>
      <c r="B74" s="6"/>
      <c r="C74" s="17"/>
      <c r="D74" s="14" t="s">
        <v>884</v>
      </c>
      <c r="E74" s="15" t="s">
        <v>554</v>
      </c>
      <c r="F74" s="37"/>
      <c r="G74" s="432"/>
    </row>
    <row r="75" spans="1:8" customFormat="1" ht="27.75" customHeight="1" x14ac:dyDescent="0.3">
      <c r="A75" s="5"/>
      <c r="B75" s="6"/>
      <c r="C75" s="36"/>
      <c r="D75" s="14" t="s">
        <v>885</v>
      </c>
      <c r="E75" s="15" t="s">
        <v>554</v>
      </c>
      <c r="F75" s="37"/>
      <c r="G75" s="433"/>
    </row>
    <row r="76" spans="1:8" customFormat="1" ht="27.75" customHeight="1" x14ac:dyDescent="0.3">
      <c r="A76" s="5"/>
      <c r="B76" s="6"/>
      <c r="C76" s="13" t="s">
        <v>886</v>
      </c>
      <c r="D76" s="14" t="s">
        <v>887</v>
      </c>
      <c r="E76" s="19" t="s">
        <v>505</v>
      </c>
      <c r="F76" s="37"/>
      <c r="G76" s="434" t="s">
        <v>888</v>
      </c>
    </row>
    <row r="77" spans="1:8" customFormat="1" ht="27.75" customHeight="1" x14ac:dyDescent="0.3">
      <c r="A77" s="5"/>
      <c r="B77" s="6"/>
      <c r="C77" s="158" t="s">
        <v>683</v>
      </c>
      <c r="D77" s="8" t="s">
        <v>512</v>
      </c>
      <c r="E77" s="96" t="s">
        <v>739</v>
      </c>
      <c r="F77" s="37"/>
      <c r="G77" s="377"/>
    </row>
    <row r="78" spans="1:8" customFormat="1" ht="27.75" customHeight="1" x14ac:dyDescent="0.3">
      <c r="A78" s="5"/>
      <c r="B78" s="6"/>
      <c r="C78" s="16" t="s">
        <v>889</v>
      </c>
      <c r="D78" s="8" t="s">
        <v>834</v>
      </c>
      <c r="E78" s="96" t="s">
        <v>650</v>
      </c>
      <c r="F78" s="10" t="s">
        <v>839</v>
      </c>
      <c r="G78" s="377"/>
    </row>
    <row r="79" spans="1:8" customFormat="1" ht="27.75" customHeight="1" thickBot="1" x14ac:dyDescent="0.35">
      <c r="A79" s="5"/>
      <c r="B79" s="6"/>
      <c r="C79" s="20"/>
      <c r="D79" s="21" t="s">
        <v>890</v>
      </c>
      <c r="E79" s="22" t="s">
        <v>505</v>
      </c>
      <c r="F79" s="77"/>
      <c r="G79" s="408"/>
    </row>
    <row r="80" spans="1:8" customFormat="1" ht="27.75" customHeight="1" thickBot="1" x14ac:dyDescent="0.35">
      <c r="A80" s="25"/>
      <c r="B80" s="26"/>
      <c r="C80" s="435"/>
      <c r="D80" s="28"/>
      <c r="E80" s="365"/>
      <c r="F80" s="436"/>
      <c r="G80" s="437"/>
    </row>
    <row r="81" spans="1:8" s="4" customFormat="1" ht="36" customHeight="1" x14ac:dyDescent="0.3">
      <c r="A81" s="72">
        <v>44120</v>
      </c>
      <c r="B81" s="99" t="s">
        <v>55</v>
      </c>
      <c r="C81" s="114" t="s">
        <v>783</v>
      </c>
      <c r="D81" s="14" t="s">
        <v>712</v>
      </c>
      <c r="E81" s="15">
        <v>182</v>
      </c>
      <c r="F81" s="178"/>
      <c r="G81" s="237"/>
      <c r="H81" s="298"/>
    </row>
    <row r="82" spans="1:8" customFormat="1" ht="27.75" customHeight="1" x14ac:dyDescent="0.3">
      <c r="A82" s="5"/>
      <c r="B82" s="6"/>
      <c r="C82" s="305" t="s">
        <v>485</v>
      </c>
      <c r="D82" s="8" t="s">
        <v>491</v>
      </c>
      <c r="E82" s="9" t="s">
        <v>799</v>
      </c>
      <c r="F82" s="83"/>
      <c r="G82" s="431" t="s">
        <v>841</v>
      </c>
    </row>
    <row r="83" spans="1:8" customFormat="1" ht="27.75" customHeight="1" x14ac:dyDescent="0.3">
      <c r="A83" s="5"/>
      <c r="B83" s="6"/>
      <c r="C83" s="305"/>
      <c r="D83" s="8" t="s">
        <v>891</v>
      </c>
      <c r="E83" s="9" t="s">
        <v>892</v>
      </c>
      <c r="F83" s="131"/>
      <c r="G83" s="433"/>
    </row>
    <row r="84" spans="1:8" customFormat="1" ht="27.75" customHeight="1" x14ac:dyDescent="0.3">
      <c r="A84" s="5"/>
      <c r="B84" s="6"/>
      <c r="C84" s="97" t="s">
        <v>893</v>
      </c>
      <c r="D84" s="8" t="s">
        <v>894</v>
      </c>
      <c r="E84" s="9" t="s">
        <v>531</v>
      </c>
      <c r="F84" s="131"/>
      <c r="G84" s="361"/>
    </row>
    <row r="85" spans="1:8" customFormat="1" ht="27.75" customHeight="1" x14ac:dyDescent="0.3">
      <c r="A85" s="5"/>
      <c r="B85" s="6"/>
      <c r="C85" s="5"/>
      <c r="D85" s="8" t="s">
        <v>895</v>
      </c>
      <c r="E85" s="9" t="s">
        <v>641</v>
      </c>
      <c r="F85" s="83"/>
      <c r="G85" s="361"/>
    </row>
    <row r="86" spans="1:8" customFormat="1" ht="27.75" customHeight="1" x14ac:dyDescent="0.3">
      <c r="A86" s="5"/>
      <c r="B86" s="6"/>
      <c r="C86" s="84"/>
      <c r="D86" s="8" t="s">
        <v>896</v>
      </c>
      <c r="E86" s="9" t="s">
        <v>897</v>
      </c>
      <c r="F86" s="10"/>
      <c r="G86" s="362"/>
    </row>
    <row r="87" spans="1:8" s="4" customFormat="1" ht="36" customHeight="1" thickBot="1" x14ac:dyDescent="0.35">
      <c r="A87" s="5"/>
      <c r="B87" s="6"/>
      <c r="C87" s="157"/>
      <c r="D87" s="161"/>
      <c r="E87" s="162"/>
      <c r="F87" s="23"/>
      <c r="G87" s="312"/>
      <c r="H87" s="298"/>
    </row>
    <row r="88" spans="1:8" s="4" customFormat="1" ht="36" customHeight="1" thickBot="1" x14ac:dyDescent="0.35">
      <c r="A88" s="25"/>
      <c r="B88" s="26"/>
      <c r="C88" s="143"/>
      <c r="D88" s="148"/>
      <c r="E88" s="148"/>
      <c r="F88" s="148"/>
      <c r="G88" s="149"/>
      <c r="H88" s="298"/>
    </row>
    <row r="89" spans="1:8" s="4" customFormat="1" ht="86.25" customHeight="1" thickBot="1" x14ac:dyDescent="0.35">
      <c r="A89" s="1" t="s">
        <v>0</v>
      </c>
      <c r="B89" s="2"/>
      <c r="C89" s="2"/>
      <c r="D89" s="2"/>
      <c r="E89" s="2"/>
      <c r="F89" s="2"/>
      <c r="G89" s="3"/>
      <c r="H89" s="298"/>
    </row>
    <row r="90" spans="1:8" s="4" customFormat="1" ht="35.25" customHeight="1" x14ac:dyDescent="0.3">
      <c r="A90" s="72">
        <v>44123</v>
      </c>
      <c r="B90" s="99" t="s">
        <v>1</v>
      </c>
      <c r="C90" s="438" t="s">
        <v>485</v>
      </c>
      <c r="D90" s="32" t="s">
        <v>547</v>
      </c>
      <c r="E90" s="33" t="s">
        <v>641</v>
      </c>
      <c r="F90" s="81"/>
      <c r="G90" s="204" t="s">
        <v>898</v>
      </c>
      <c r="H90" s="298"/>
    </row>
    <row r="91" spans="1:8" s="4" customFormat="1" ht="35.25" customHeight="1" x14ac:dyDescent="0.3">
      <c r="A91" s="5"/>
      <c r="B91" s="6"/>
      <c r="C91" s="305"/>
      <c r="D91" s="8" t="s">
        <v>899</v>
      </c>
      <c r="E91" s="9" t="s">
        <v>554</v>
      </c>
      <c r="F91" s="83"/>
      <c r="G91" s="280"/>
      <c r="H91" s="298"/>
    </row>
    <row r="92" spans="1:8" s="4" customFormat="1" ht="35.25" customHeight="1" x14ac:dyDescent="0.3">
      <c r="A92" s="5"/>
      <c r="B92" s="6"/>
      <c r="C92" s="305"/>
      <c r="D92" s="8" t="s">
        <v>891</v>
      </c>
      <c r="E92" s="9" t="s">
        <v>496</v>
      </c>
      <c r="F92" s="131"/>
      <c r="G92" s="306"/>
      <c r="H92" s="298"/>
    </row>
    <row r="93" spans="1:8" s="4" customFormat="1" ht="35.25" customHeight="1" x14ac:dyDescent="0.3">
      <c r="A93" s="5"/>
      <c r="B93" s="6"/>
      <c r="C93" s="16" t="s">
        <v>805</v>
      </c>
      <c r="D93" s="95" t="s">
        <v>900</v>
      </c>
      <c r="E93" s="96" t="s">
        <v>641</v>
      </c>
      <c r="F93" s="439"/>
      <c r="G93" s="205"/>
      <c r="H93" s="298"/>
    </row>
    <row r="94" spans="1:8" s="4" customFormat="1" ht="35.25" customHeight="1" x14ac:dyDescent="0.3">
      <c r="A94" s="5"/>
      <c r="B94" s="6"/>
      <c r="C94" s="17"/>
      <c r="D94" s="95" t="s">
        <v>901</v>
      </c>
      <c r="E94" s="96">
        <v>20</v>
      </c>
      <c r="F94" s="439"/>
      <c r="G94" s="205"/>
      <c r="H94" s="298"/>
    </row>
    <row r="95" spans="1:8" s="4" customFormat="1" ht="35.25" customHeight="1" x14ac:dyDescent="0.3">
      <c r="A95" s="5"/>
      <c r="B95" s="6"/>
      <c r="C95" s="17"/>
      <c r="D95" s="95" t="s">
        <v>902</v>
      </c>
      <c r="E95" s="96" t="s">
        <v>903</v>
      </c>
      <c r="F95" s="439"/>
      <c r="G95" s="205"/>
      <c r="H95" s="298"/>
    </row>
    <row r="96" spans="1:8" s="4" customFormat="1" ht="35.25" customHeight="1" x14ac:dyDescent="0.3">
      <c r="A96" s="5"/>
      <c r="B96" s="6"/>
      <c r="C96" s="17"/>
      <c r="D96" s="8" t="s">
        <v>904</v>
      </c>
      <c r="E96" s="9" t="s">
        <v>903</v>
      </c>
      <c r="F96" s="439"/>
      <c r="G96" s="205"/>
      <c r="H96" s="298"/>
    </row>
    <row r="97" spans="1:8" s="4" customFormat="1" ht="35.25" customHeight="1" x14ac:dyDescent="0.3">
      <c r="A97" s="5"/>
      <c r="B97" s="6"/>
      <c r="C97" s="36"/>
      <c r="D97" s="8" t="s">
        <v>891</v>
      </c>
      <c r="E97" s="9" t="s">
        <v>905</v>
      </c>
      <c r="F97" s="439"/>
      <c r="G97" s="205"/>
      <c r="H97" s="298"/>
    </row>
    <row r="98" spans="1:8" s="4" customFormat="1" ht="35.25" customHeight="1" x14ac:dyDescent="0.3">
      <c r="A98" s="5"/>
      <c r="B98" s="6"/>
      <c r="C98" s="7" t="s">
        <v>906</v>
      </c>
      <c r="D98" s="8" t="s">
        <v>497</v>
      </c>
      <c r="E98" s="9" t="s">
        <v>907</v>
      </c>
      <c r="F98" s="440" t="s">
        <v>908</v>
      </c>
      <c r="G98" s="205" t="s">
        <v>750</v>
      </c>
      <c r="H98" s="298"/>
    </row>
    <row r="99" spans="1:8" s="4" customFormat="1" ht="35.25" customHeight="1" x14ac:dyDescent="0.3">
      <c r="A99" s="5"/>
      <c r="B99" s="6"/>
      <c r="C99" s="7" t="s">
        <v>500</v>
      </c>
      <c r="D99" s="8" t="s">
        <v>501</v>
      </c>
      <c r="E99" s="9" t="s">
        <v>739</v>
      </c>
      <c r="F99" s="422"/>
      <c r="G99" s="306"/>
      <c r="H99" s="298"/>
    </row>
    <row r="100" spans="1:8" s="4" customFormat="1" ht="35.25" customHeight="1" x14ac:dyDescent="0.3">
      <c r="A100" s="5"/>
      <c r="B100" s="6"/>
      <c r="C100" s="13" t="s">
        <v>909</v>
      </c>
      <c r="D100" s="8" t="s">
        <v>910</v>
      </c>
      <c r="E100" s="9" t="s">
        <v>724</v>
      </c>
      <c r="F100" s="398" t="s">
        <v>911</v>
      </c>
      <c r="G100" s="306" t="s">
        <v>912</v>
      </c>
      <c r="H100" s="298"/>
    </row>
    <row r="101" spans="1:8" s="4" customFormat="1" ht="35.25" customHeight="1" x14ac:dyDescent="0.3">
      <c r="A101" s="5"/>
      <c r="B101" s="6"/>
      <c r="C101" s="13" t="s">
        <v>913</v>
      </c>
      <c r="D101" s="8" t="s">
        <v>914</v>
      </c>
      <c r="E101" s="9" t="s">
        <v>915</v>
      </c>
      <c r="F101" s="398"/>
      <c r="G101" s="306" t="s">
        <v>743</v>
      </c>
      <c r="H101" s="298"/>
    </row>
    <row r="102" spans="1:8" s="4" customFormat="1" ht="35.25" customHeight="1" thickBot="1" x14ac:dyDescent="0.35">
      <c r="A102" s="5"/>
      <c r="B102" s="6"/>
      <c r="C102" s="76"/>
      <c r="D102" s="21"/>
      <c r="E102" s="22"/>
      <c r="F102" s="441"/>
      <c r="G102" s="424"/>
      <c r="H102" s="298"/>
    </row>
    <row r="103" spans="1:8" s="4" customFormat="1" ht="35.25" customHeight="1" thickBot="1" x14ac:dyDescent="0.35">
      <c r="A103" s="5"/>
      <c r="B103" s="6"/>
      <c r="C103" s="143"/>
      <c r="D103" s="90"/>
      <c r="E103" s="144"/>
      <c r="F103" s="144"/>
      <c r="G103" s="149"/>
      <c r="H103" s="298"/>
    </row>
    <row r="104" spans="1:8" s="4" customFormat="1" ht="35.25" customHeight="1" x14ac:dyDescent="0.3">
      <c r="A104" s="72">
        <v>44124</v>
      </c>
      <c r="B104" s="73" t="s">
        <v>15</v>
      </c>
      <c r="C104" s="31" t="s">
        <v>783</v>
      </c>
      <c r="D104" s="8" t="s">
        <v>621</v>
      </c>
      <c r="E104" s="9">
        <v>13</v>
      </c>
      <c r="F104" s="442" t="s">
        <v>916</v>
      </c>
      <c r="G104" s="443"/>
      <c r="H104" s="298"/>
    </row>
    <row r="105" spans="1:8" s="4" customFormat="1" ht="35.25" customHeight="1" x14ac:dyDescent="0.3">
      <c r="A105" s="5"/>
      <c r="B105" s="75"/>
      <c r="C105" s="36"/>
      <c r="D105" s="8" t="s">
        <v>917</v>
      </c>
      <c r="E105" s="9">
        <v>200</v>
      </c>
      <c r="F105" s="444"/>
      <c r="G105" s="445"/>
      <c r="H105" s="298"/>
    </row>
    <row r="106" spans="1:8" s="4" customFormat="1" ht="35.25" customHeight="1" x14ac:dyDescent="0.3">
      <c r="A106" s="5"/>
      <c r="B106" s="75"/>
      <c r="C106" s="16" t="s">
        <v>680</v>
      </c>
      <c r="D106" s="8" t="s">
        <v>547</v>
      </c>
      <c r="E106" s="9" t="s">
        <v>724</v>
      </c>
      <c r="F106" s="446" t="s">
        <v>918</v>
      </c>
      <c r="G106" s="447"/>
      <c r="H106" s="298"/>
    </row>
    <row r="107" spans="1:8" s="4" customFormat="1" ht="35.25" customHeight="1" x14ac:dyDescent="0.3">
      <c r="A107" s="5"/>
      <c r="B107" s="75"/>
      <c r="C107" s="17"/>
      <c r="D107" s="8" t="s">
        <v>519</v>
      </c>
      <c r="E107" s="9" t="s">
        <v>745</v>
      </c>
      <c r="F107" s="448"/>
      <c r="G107" s="449"/>
      <c r="H107" s="298"/>
    </row>
    <row r="108" spans="1:8" s="4" customFormat="1" ht="35.25" customHeight="1" x14ac:dyDescent="0.3">
      <c r="A108" s="5"/>
      <c r="B108" s="75"/>
      <c r="C108" s="17"/>
      <c r="D108" s="8" t="s">
        <v>919</v>
      </c>
      <c r="E108" s="9" t="s">
        <v>767</v>
      </c>
      <c r="F108" s="448"/>
      <c r="G108" s="449"/>
      <c r="H108" s="298"/>
    </row>
    <row r="109" spans="1:8" customFormat="1" ht="35.25" customHeight="1" x14ac:dyDescent="0.3">
      <c r="A109" s="5"/>
      <c r="B109" s="75"/>
      <c r="C109" s="36"/>
      <c r="D109" s="8" t="s">
        <v>855</v>
      </c>
      <c r="E109" s="9" t="s">
        <v>751</v>
      </c>
      <c r="F109" s="450"/>
      <c r="G109" s="451"/>
    </row>
    <row r="110" spans="1:8" customFormat="1" ht="35.25" customHeight="1" x14ac:dyDescent="0.3">
      <c r="A110" s="5"/>
      <c r="B110" s="75"/>
      <c r="C110" s="16" t="s">
        <v>545</v>
      </c>
      <c r="D110" s="8" t="s">
        <v>857</v>
      </c>
      <c r="E110" s="9" t="s">
        <v>739</v>
      </c>
      <c r="F110" s="37"/>
      <c r="G110" s="319" t="s">
        <v>920</v>
      </c>
    </row>
    <row r="111" spans="1:8" customFormat="1" ht="35.25" customHeight="1" x14ac:dyDescent="0.3">
      <c r="A111" s="5"/>
      <c r="B111" s="75"/>
      <c r="C111" s="36"/>
      <c r="D111" s="8" t="s">
        <v>764</v>
      </c>
      <c r="E111" s="9" t="s">
        <v>739</v>
      </c>
      <c r="F111" s="37"/>
      <c r="G111" s="310"/>
    </row>
    <row r="112" spans="1:8" customFormat="1" ht="35.25" customHeight="1" x14ac:dyDescent="0.3">
      <c r="A112" s="5"/>
      <c r="B112" s="75"/>
      <c r="C112" s="7" t="s">
        <v>518</v>
      </c>
      <c r="D112" s="8" t="s">
        <v>764</v>
      </c>
      <c r="E112" s="9" t="s">
        <v>641</v>
      </c>
      <c r="F112" s="37" t="s">
        <v>921</v>
      </c>
      <c r="G112" s="309" t="s">
        <v>781</v>
      </c>
    </row>
    <row r="113" spans="1:8" customFormat="1" ht="35.25" customHeight="1" x14ac:dyDescent="0.3">
      <c r="A113" s="5"/>
      <c r="B113" s="75"/>
      <c r="C113" s="97" t="s">
        <v>532</v>
      </c>
      <c r="D113" s="8" t="s">
        <v>922</v>
      </c>
      <c r="E113" s="9" t="s">
        <v>534</v>
      </c>
      <c r="F113" s="452" t="s">
        <v>923</v>
      </c>
      <c r="G113" s="319" t="s">
        <v>924</v>
      </c>
    </row>
    <row r="114" spans="1:8" customFormat="1" ht="35.25" customHeight="1" x14ac:dyDescent="0.3">
      <c r="A114" s="5"/>
      <c r="B114" s="75"/>
      <c r="C114" s="5"/>
      <c r="D114" s="8" t="s">
        <v>925</v>
      </c>
      <c r="E114" s="9" t="s">
        <v>926</v>
      </c>
      <c r="F114" s="453"/>
      <c r="G114" s="338"/>
    </row>
    <row r="115" spans="1:8" customFormat="1" ht="35.25" customHeight="1" x14ac:dyDescent="0.3">
      <c r="A115" s="5"/>
      <c r="B115" s="75"/>
      <c r="C115" s="5"/>
      <c r="D115" s="8" t="s">
        <v>491</v>
      </c>
      <c r="E115" s="426" t="s">
        <v>927</v>
      </c>
      <c r="F115" s="454"/>
      <c r="G115" s="310"/>
    </row>
    <row r="116" spans="1:8" customFormat="1" ht="35.25" customHeight="1" x14ac:dyDescent="0.3">
      <c r="A116" s="5"/>
      <c r="B116" s="75"/>
      <c r="C116" s="13" t="s">
        <v>503</v>
      </c>
      <c r="D116" s="8" t="s">
        <v>884</v>
      </c>
      <c r="E116" s="9" t="s">
        <v>779</v>
      </c>
      <c r="F116" s="37" t="s">
        <v>839</v>
      </c>
      <c r="G116" s="309" t="s">
        <v>928</v>
      </c>
    </row>
    <row r="117" spans="1:8" customFormat="1" ht="35.25" customHeight="1" x14ac:dyDescent="0.3">
      <c r="A117" s="5"/>
      <c r="B117" s="75"/>
      <c r="C117" s="7" t="s">
        <v>848</v>
      </c>
      <c r="D117" s="8" t="s">
        <v>929</v>
      </c>
      <c r="E117" s="9" t="s">
        <v>930</v>
      </c>
      <c r="F117" s="37" t="s">
        <v>931</v>
      </c>
      <c r="G117" s="309" t="s">
        <v>582</v>
      </c>
    </row>
    <row r="118" spans="1:8" customFormat="1" ht="35.25" customHeight="1" x14ac:dyDescent="0.3">
      <c r="A118" s="5"/>
      <c r="B118" s="75"/>
      <c r="C118" s="13" t="s">
        <v>606</v>
      </c>
      <c r="D118" s="8" t="s">
        <v>744</v>
      </c>
      <c r="E118" s="9" t="s">
        <v>739</v>
      </c>
      <c r="F118" s="398"/>
      <c r="G118" s="306" t="s">
        <v>781</v>
      </c>
    </row>
    <row r="119" spans="1:8" customFormat="1" ht="35.25" customHeight="1" x14ac:dyDescent="0.3">
      <c r="A119" s="5"/>
      <c r="B119" s="75"/>
      <c r="C119" s="7" t="s">
        <v>932</v>
      </c>
      <c r="D119" s="8" t="s">
        <v>933</v>
      </c>
      <c r="E119" s="9" t="s">
        <v>934</v>
      </c>
      <c r="F119" s="455" t="s">
        <v>935</v>
      </c>
      <c r="G119" s="456" t="s">
        <v>936</v>
      </c>
    </row>
    <row r="120" spans="1:8" s="4" customFormat="1" ht="35.25" customHeight="1" thickBot="1" x14ac:dyDescent="0.35">
      <c r="A120" s="5"/>
      <c r="B120" s="75"/>
      <c r="C120" s="457" t="s">
        <v>937</v>
      </c>
      <c r="D120" s="95" t="s">
        <v>933</v>
      </c>
      <c r="E120" s="96" t="s">
        <v>938</v>
      </c>
      <c r="F120" s="63"/>
      <c r="G120" s="458" t="s">
        <v>939</v>
      </c>
      <c r="H120" s="298"/>
    </row>
    <row r="121" spans="1:8" s="4" customFormat="1" ht="35.25" customHeight="1" thickBot="1" x14ac:dyDescent="0.35">
      <c r="A121" s="25"/>
      <c r="B121" s="79"/>
      <c r="C121" s="27"/>
      <c r="D121" s="28"/>
      <c r="E121" s="365"/>
      <c r="F121" s="365"/>
      <c r="G121" s="459"/>
      <c r="H121" s="298"/>
    </row>
    <row r="122" spans="1:8" s="4" customFormat="1" ht="35.25" customHeight="1" x14ac:dyDescent="0.3">
      <c r="A122" s="72">
        <v>44125</v>
      </c>
      <c r="B122" s="99" t="s">
        <v>21</v>
      </c>
      <c r="C122" s="114" t="s">
        <v>940</v>
      </c>
      <c r="D122" s="32" t="s">
        <v>621</v>
      </c>
      <c r="E122" s="33">
        <v>512</v>
      </c>
      <c r="F122" s="34"/>
      <c r="G122" s="204"/>
      <c r="H122" s="298"/>
    </row>
    <row r="123" spans="1:8" customFormat="1" ht="35.25" customHeight="1" x14ac:dyDescent="0.3">
      <c r="A123" s="5"/>
      <c r="B123" s="6"/>
      <c r="C123" s="87" t="s">
        <v>941</v>
      </c>
      <c r="D123" s="8" t="s">
        <v>942</v>
      </c>
      <c r="E123" s="426" t="s">
        <v>856</v>
      </c>
      <c r="F123" s="460" t="s">
        <v>943</v>
      </c>
      <c r="G123" s="306" t="s">
        <v>944</v>
      </c>
    </row>
    <row r="124" spans="1:8" s="4" customFormat="1" ht="35.25" customHeight="1" x14ac:dyDescent="0.3">
      <c r="A124" s="5"/>
      <c r="B124" s="6"/>
      <c r="C124" s="101" t="s">
        <v>578</v>
      </c>
      <c r="D124" s="14" t="s">
        <v>945</v>
      </c>
      <c r="E124" s="15" t="s">
        <v>724</v>
      </c>
      <c r="F124" s="461" t="s">
        <v>946</v>
      </c>
      <c r="G124" s="327" t="s">
        <v>947</v>
      </c>
      <c r="H124" s="298"/>
    </row>
    <row r="125" spans="1:8" s="4" customFormat="1" ht="35.25" customHeight="1" x14ac:dyDescent="0.3">
      <c r="A125" s="5"/>
      <c r="B125" s="6"/>
      <c r="C125" s="13" t="s">
        <v>606</v>
      </c>
      <c r="D125" s="8" t="s">
        <v>593</v>
      </c>
      <c r="E125" s="9" t="s">
        <v>948</v>
      </c>
      <c r="F125" s="10"/>
      <c r="G125" s="306" t="s">
        <v>781</v>
      </c>
      <c r="H125" s="298"/>
    </row>
    <row r="126" spans="1:8" s="4" customFormat="1" ht="35.25" customHeight="1" x14ac:dyDescent="0.3">
      <c r="A126" s="5"/>
      <c r="B126" s="6"/>
      <c r="C126" s="13" t="s">
        <v>610</v>
      </c>
      <c r="D126" s="8" t="s">
        <v>949</v>
      </c>
      <c r="E126" s="9" t="s">
        <v>531</v>
      </c>
      <c r="F126" s="10"/>
      <c r="G126" s="306" t="s">
        <v>781</v>
      </c>
      <c r="H126" s="298"/>
    </row>
    <row r="127" spans="1:8" s="4" customFormat="1" ht="35.25" customHeight="1" thickBot="1" x14ac:dyDescent="0.35">
      <c r="A127" s="5"/>
      <c r="B127" s="6"/>
      <c r="C127" s="250"/>
      <c r="D127" s="161"/>
      <c r="E127" s="162"/>
      <c r="F127" s="23"/>
      <c r="G127" s="312"/>
      <c r="H127" s="298"/>
    </row>
    <row r="128" spans="1:8" s="4" customFormat="1" ht="35.25" customHeight="1" thickBot="1" x14ac:dyDescent="0.35">
      <c r="A128" s="25"/>
      <c r="B128" s="26"/>
      <c r="C128" s="27" t="s">
        <v>950</v>
      </c>
      <c r="D128" s="28" t="s">
        <v>773</v>
      </c>
      <c r="E128" s="365" t="s">
        <v>584</v>
      </c>
      <c r="F128" s="365"/>
      <c r="G128" s="459"/>
      <c r="H128" s="298"/>
    </row>
    <row r="129" spans="1:8" s="4" customFormat="1" ht="35.25" customHeight="1" x14ac:dyDescent="0.3">
      <c r="A129" s="72">
        <v>44126</v>
      </c>
      <c r="B129" s="99" t="s">
        <v>41</v>
      </c>
      <c r="C129" s="114" t="s">
        <v>783</v>
      </c>
      <c r="D129" s="14" t="s">
        <v>612</v>
      </c>
      <c r="E129" s="15">
        <v>435</v>
      </c>
      <c r="F129" s="81"/>
      <c r="G129" s="11"/>
      <c r="H129" s="298"/>
    </row>
    <row r="130" spans="1:8" s="4" customFormat="1" ht="35.25" customHeight="1" x14ac:dyDescent="0.3">
      <c r="A130" s="5"/>
      <c r="B130" s="6"/>
      <c r="C130" s="87" t="s">
        <v>688</v>
      </c>
      <c r="D130" s="82" t="s">
        <v>780</v>
      </c>
      <c r="E130" s="9" t="s">
        <v>739</v>
      </c>
      <c r="F130" s="152"/>
      <c r="G130" s="335" t="s">
        <v>637</v>
      </c>
      <c r="H130" s="298"/>
    </row>
    <row r="131" spans="1:8" s="4" customFormat="1" ht="35.25" customHeight="1" thickBot="1" x14ac:dyDescent="0.35">
      <c r="A131" s="5"/>
      <c r="B131" s="6"/>
      <c r="C131" s="213"/>
      <c r="D131" s="193"/>
      <c r="E131" s="162"/>
      <c r="F131" s="233"/>
      <c r="G131" s="335"/>
      <c r="H131" s="298"/>
    </row>
    <row r="132" spans="1:8" s="4" customFormat="1" ht="35.25" customHeight="1" thickBot="1" x14ac:dyDescent="0.35">
      <c r="A132" s="25"/>
      <c r="B132" s="26"/>
      <c r="C132" s="27"/>
      <c r="D132" s="28"/>
      <c r="E132" s="365"/>
      <c r="F132" s="365"/>
      <c r="G132" s="462"/>
      <c r="H132" s="298"/>
    </row>
    <row r="133" spans="1:8" s="4" customFormat="1" ht="35.25" customHeight="1" x14ac:dyDescent="0.3">
      <c r="A133" s="5">
        <v>44127</v>
      </c>
      <c r="B133" s="6" t="s">
        <v>951</v>
      </c>
      <c r="C133" s="97" t="s">
        <v>578</v>
      </c>
      <c r="D133" s="82" t="s">
        <v>579</v>
      </c>
      <c r="E133" s="9" t="s">
        <v>641</v>
      </c>
      <c r="F133" s="131"/>
      <c r="G133" s="319" t="s">
        <v>952</v>
      </c>
      <c r="H133" s="298"/>
    </row>
    <row r="134" spans="1:8" s="4" customFormat="1" ht="35.25" customHeight="1" x14ac:dyDescent="0.3">
      <c r="A134" s="5"/>
      <c r="B134" s="6"/>
      <c r="C134" s="5"/>
      <c r="D134" s="82" t="s">
        <v>953</v>
      </c>
      <c r="E134" s="9" t="s">
        <v>858</v>
      </c>
      <c r="F134" s="131"/>
      <c r="G134" s="338"/>
      <c r="H134" s="298"/>
    </row>
    <row r="135" spans="1:8" s="4" customFormat="1" ht="35.25" customHeight="1" x14ac:dyDescent="0.3">
      <c r="A135" s="5"/>
      <c r="B135" s="6"/>
      <c r="C135" s="84"/>
      <c r="D135" s="82" t="s">
        <v>884</v>
      </c>
      <c r="E135" s="9" t="s">
        <v>505</v>
      </c>
      <c r="F135" s="131" t="s">
        <v>771</v>
      </c>
      <c r="G135" s="310"/>
      <c r="H135" s="298"/>
    </row>
    <row r="136" spans="1:8" s="4" customFormat="1" ht="35.25" customHeight="1" thickBot="1" x14ac:dyDescent="0.35">
      <c r="A136" s="5"/>
      <c r="B136" s="6"/>
      <c r="C136" s="107" t="s">
        <v>954</v>
      </c>
      <c r="D136" s="108" t="s">
        <v>955</v>
      </c>
      <c r="E136" s="22" t="s">
        <v>650</v>
      </c>
      <c r="F136" s="177" t="s">
        <v>664</v>
      </c>
      <c r="G136" s="424"/>
      <c r="H136" s="298"/>
    </row>
    <row r="137" spans="1:8" s="4" customFormat="1" ht="35.25" customHeight="1" thickBot="1" x14ac:dyDescent="0.35">
      <c r="A137" s="25"/>
      <c r="B137" s="26"/>
      <c r="C137" s="89" t="s">
        <v>956</v>
      </c>
      <c r="D137" s="90" t="s">
        <v>586</v>
      </c>
      <c r="E137" s="144" t="s">
        <v>691</v>
      </c>
      <c r="F137" s="144"/>
      <c r="G137" s="149"/>
      <c r="H137" s="298"/>
    </row>
    <row r="138" spans="1:8" s="4" customFormat="1" ht="86.25" customHeight="1" thickBot="1" x14ac:dyDescent="0.35">
      <c r="A138" s="1" t="s">
        <v>0</v>
      </c>
      <c r="B138" s="2"/>
      <c r="C138" s="2"/>
      <c r="D138" s="2"/>
      <c r="E138" s="2"/>
      <c r="F138" s="2"/>
      <c r="G138" s="3"/>
      <c r="H138" s="298"/>
    </row>
    <row r="139" spans="1:8" ht="30.75" customHeight="1" x14ac:dyDescent="0.3">
      <c r="A139" s="72">
        <v>44130</v>
      </c>
      <c r="B139" s="99" t="s">
        <v>1</v>
      </c>
      <c r="C139" s="274" t="s">
        <v>957</v>
      </c>
      <c r="D139" s="8" t="s">
        <v>958</v>
      </c>
      <c r="E139" s="15" t="s">
        <v>575</v>
      </c>
      <c r="F139" s="81"/>
      <c r="G139" s="361"/>
    </row>
    <row r="140" spans="1:8" ht="30.75" customHeight="1" x14ac:dyDescent="0.3">
      <c r="A140" s="5"/>
      <c r="B140" s="6"/>
      <c r="C140" s="235" t="s">
        <v>755</v>
      </c>
      <c r="D140" s="8" t="s">
        <v>657</v>
      </c>
      <c r="E140" s="9">
        <v>150</v>
      </c>
      <c r="F140" s="49"/>
      <c r="G140" s="361" t="s">
        <v>959</v>
      </c>
    </row>
    <row r="141" spans="1:8" s="4" customFormat="1" ht="30.75" customHeight="1" x14ac:dyDescent="0.3">
      <c r="A141" s="5"/>
      <c r="B141" s="6"/>
      <c r="C141" s="87" t="s">
        <v>567</v>
      </c>
      <c r="D141" s="82" t="s">
        <v>960</v>
      </c>
      <c r="E141" s="9" t="s">
        <v>650</v>
      </c>
      <c r="F141" s="398" t="s">
        <v>633</v>
      </c>
      <c r="G141" s="306" t="s">
        <v>961</v>
      </c>
      <c r="H141" s="298"/>
    </row>
    <row r="142" spans="1:8" customFormat="1" ht="30.75" customHeight="1" x14ac:dyDescent="0.3">
      <c r="A142" s="5"/>
      <c r="B142" s="6"/>
      <c r="C142" s="16" t="s">
        <v>532</v>
      </c>
      <c r="D142" s="8" t="s">
        <v>962</v>
      </c>
      <c r="E142" s="15" t="s">
        <v>822</v>
      </c>
      <c r="F142" s="49" t="s">
        <v>963</v>
      </c>
      <c r="G142" s="319" t="s">
        <v>750</v>
      </c>
    </row>
    <row r="143" spans="1:8" customFormat="1" ht="30.75" customHeight="1" x14ac:dyDescent="0.3">
      <c r="A143" s="5"/>
      <c r="B143" s="6"/>
      <c r="C143" s="17"/>
      <c r="D143" s="8" t="s">
        <v>964</v>
      </c>
      <c r="E143" s="15" t="s">
        <v>590</v>
      </c>
      <c r="F143" s="49" t="s">
        <v>965</v>
      </c>
      <c r="G143" s="338"/>
    </row>
    <row r="144" spans="1:8" customFormat="1" ht="30.75" customHeight="1" x14ac:dyDescent="0.3">
      <c r="A144" s="5"/>
      <c r="B144" s="6"/>
      <c r="C144" s="17"/>
      <c r="D144" s="8" t="s">
        <v>491</v>
      </c>
      <c r="E144" s="15" t="s">
        <v>756</v>
      </c>
      <c r="F144" s="49" t="s">
        <v>963</v>
      </c>
      <c r="G144" s="338"/>
    </row>
    <row r="145" spans="1:9" customFormat="1" ht="30.75" customHeight="1" x14ac:dyDescent="0.3">
      <c r="A145" s="5"/>
      <c r="B145" s="6"/>
      <c r="C145" s="36"/>
      <c r="D145" s="8" t="s">
        <v>966</v>
      </c>
      <c r="E145" s="15" t="s">
        <v>745</v>
      </c>
      <c r="F145" s="49" t="s">
        <v>967</v>
      </c>
      <c r="G145" s="310"/>
    </row>
    <row r="146" spans="1:9" s="4" customFormat="1" ht="30.75" customHeight="1" thickBot="1" x14ac:dyDescent="0.35">
      <c r="A146" s="5"/>
      <c r="B146" s="6"/>
      <c r="C146" s="213" t="s">
        <v>871</v>
      </c>
      <c r="D146" s="193" t="s">
        <v>968</v>
      </c>
      <c r="E146" s="162" t="s">
        <v>882</v>
      </c>
      <c r="F146" s="463" t="s">
        <v>969</v>
      </c>
      <c r="G146" s="364" t="s">
        <v>970</v>
      </c>
      <c r="H146" s="298"/>
    </row>
    <row r="147" spans="1:9" ht="30.75" customHeight="1" thickBot="1" x14ac:dyDescent="0.35">
      <c r="A147" s="25"/>
      <c r="B147" s="26"/>
      <c r="C147" s="89"/>
      <c r="D147" s="90"/>
      <c r="E147" s="365"/>
      <c r="F147" s="144"/>
      <c r="G147" s="366"/>
    </row>
    <row r="148" spans="1:9" ht="30.75" customHeight="1" x14ac:dyDescent="0.3">
      <c r="A148" s="72">
        <v>44131</v>
      </c>
      <c r="B148" s="99" t="s">
        <v>694</v>
      </c>
      <c r="C148" s="31" t="s">
        <v>913</v>
      </c>
      <c r="D148" s="8" t="s">
        <v>971</v>
      </c>
      <c r="E148" s="15">
        <v>101</v>
      </c>
      <c r="F148" s="81"/>
      <c r="G148" s="361" t="s">
        <v>637</v>
      </c>
      <c r="I148" s="464" t="s">
        <v>972</v>
      </c>
    </row>
    <row r="149" spans="1:9" ht="30.75" customHeight="1" x14ac:dyDescent="0.3">
      <c r="A149" s="5"/>
      <c r="B149" s="6"/>
      <c r="C149" s="36"/>
      <c r="D149" s="8" t="s">
        <v>973</v>
      </c>
      <c r="E149" s="15">
        <v>50</v>
      </c>
      <c r="F149" s="104"/>
      <c r="G149" s="361"/>
      <c r="I149" s="465" t="s">
        <v>974</v>
      </c>
    </row>
    <row r="150" spans="1:9" ht="30.75" customHeight="1" x14ac:dyDescent="0.3">
      <c r="A150" s="5"/>
      <c r="B150" s="6"/>
      <c r="C150" s="13" t="s">
        <v>873</v>
      </c>
      <c r="D150" s="8" t="s">
        <v>955</v>
      </c>
      <c r="E150" s="9" t="s">
        <v>526</v>
      </c>
      <c r="F150" s="49"/>
      <c r="G150" s="361" t="s">
        <v>975</v>
      </c>
      <c r="I150" s="465"/>
    </row>
    <row r="151" spans="1:9" s="4" customFormat="1" ht="30.75" customHeight="1" x14ac:dyDescent="0.3">
      <c r="A151" s="5"/>
      <c r="B151" s="6"/>
      <c r="C151" s="151" t="s">
        <v>976</v>
      </c>
      <c r="D151" s="85" t="s">
        <v>977</v>
      </c>
      <c r="E151" s="19" t="s">
        <v>713</v>
      </c>
      <c r="F151" s="466"/>
      <c r="G151" s="467" t="s">
        <v>978</v>
      </c>
      <c r="H151" s="298"/>
    </row>
    <row r="152" spans="1:9" s="4" customFormat="1" ht="30.75" customHeight="1" x14ac:dyDescent="0.3">
      <c r="A152" s="5"/>
      <c r="B152" s="6"/>
      <c r="C152" s="97" t="s">
        <v>752</v>
      </c>
      <c r="D152" s="173" t="s">
        <v>979</v>
      </c>
      <c r="E152" s="96" t="s">
        <v>641</v>
      </c>
      <c r="F152" s="468"/>
      <c r="G152" s="431" t="s">
        <v>980</v>
      </c>
      <c r="H152" s="298"/>
    </row>
    <row r="153" spans="1:9" s="4" customFormat="1" ht="30.75" customHeight="1" x14ac:dyDescent="0.3">
      <c r="A153" s="5"/>
      <c r="B153" s="6"/>
      <c r="C153" s="5"/>
      <c r="D153" s="82" t="s">
        <v>981</v>
      </c>
      <c r="E153" s="9" t="s">
        <v>982</v>
      </c>
      <c r="F153" s="398" t="s">
        <v>983</v>
      </c>
      <c r="G153" s="432"/>
      <c r="H153" s="298"/>
    </row>
    <row r="154" spans="1:9" s="4" customFormat="1" ht="30.75" customHeight="1" x14ac:dyDescent="0.3">
      <c r="A154" s="5"/>
      <c r="B154" s="6"/>
      <c r="C154" s="84"/>
      <c r="D154" s="82" t="s">
        <v>984</v>
      </c>
      <c r="E154" s="9" t="s">
        <v>985</v>
      </c>
      <c r="F154" s="368"/>
      <c r="G154" s="433"/>
      <c r="H154" s="298"/>
    </row>
    <row r="155" spans="1:9" s="4" customFormat="1" ht="30.75" customHeight="1" x14ac:dyDescent="0.3">
      <c r="A155" s="5"/>
      <c r="B155" s="6"/>
      <c r="C155" s="5" t="s">
        <v>752</v>
      </c>
      <c r="D155" s="100" t="s">
        <v>981</v>
      </c>
      <c r="E155" s="15" t="s">
        <v>986</v>
      </c>
      <c r="F155" s="422" t="s">
        <v>633</v>
      </c>
      <c r="G155" s="432" t="s">
        <v>637</v>
      </c>
      <c r="H155" s="298"/>
    </row>
    <row r="156" spans="1:9" s="4" customFormat="1" ht="30.75" customHeight="1" thickBot="1" x14ac:dyDescent="0.35">
      <c r="A156" s="5"/>
      <c r="B156" s="6"/>
      <c r="C156" s="25"/>
      <c r="D156" s="193" t="s">
        <v>987</v>
      </c>
      <c r="E156" s="162" t="s">
        <v>903</v>
      </c>
      <c r="F156" s="369"/>
      <c r="G156" s="469"/>
      <c r="H156" s="298"/>
    </row>
    <row r="157" spans="1:9" ht="30.75" customHeight="1" thickBot="1" x14ac:dyDescent="0.35">
      <c r="A157" s="25"/>
      <c r="B157" s="26"/>
      <c r="C157" s="89"/>
      <c r="D157" s="90"/>
      <c r="E157" s="144"/>
      <c r="F157" s="144"/>
      <c r="G157" s="145"/>
    </row>
    <row r="158" spans="1:9" ht="30.75" customHeight="1" x14ac:dyDescent="0.3">
      <c r="A158" s="5">
        <v>44132</v>
      </c>
      <c r="B158" s="6" t="s">
        <v>506</v>
      </c>
      <c r="C158" s="72" t="s">
        <v>680</v>
      </c>
      <c r="D158" s="32" t="s">
        <v>988</v>
      </c>
      <c r="E158" s="33">
        <v>50</v>
      </c>
      <c r="F158" s="34"/>
      <c r="G158" s="370"/>
    </row>
    <row r="159" spans="1:9" ht="30.75" customHeight="1" x14ac:dyDescent="0.3">
      <c r="A159" s="5"/>
      <c r="B159" s="6"/>
      <c r="C159" s="5"/>
      <c r="D159" s="14" t="s">
        <v>989</v>
      </c>
      <c r="E159" s="15">
        <v>64</v>
      </c>
      <c r="F159" s="37"/>
      <c r="G159" s="309"/>
    </row>
    <row r="160" spans="1:9" ht="30.75" customHeight="1" x14ac:dyDescent="0.3">
      <c r="A160" s="5"/>
      <c r="B160" s="6"/>
      <c r="C160" s="5"/>
      <c r="D160" s="14" t="s">
        <v>990</v>
      </c>
      <c r="E160" s="15">
        <v>50</v>
      </c>
      <c r="F160" s="37"/>
      <c r="G160" s="309"/>
    </row>
    <row r="161" spans="1:8" ht="30.75" customHeight="1" x14ac:dyDescent="0.3">
      <c r="A161" s="5"/>
      <c r="B161" s="6"/>
      <c r="C161" s="5"/>
      <c r="D161" s="14" t="s">
        <v>991</v>
      </c>
      <c r="E161" s="15">
        <v>64</v>
      </c>
      <c r="F161" s="37"/>
      <c r="G161" s="309"/>
    </row>
    <row r="162" spans="1:8" ht="30.75" customHeight="1" x14ac:dyDescent="0.3">
      <c r="A162" s="5"/>
      <c r="B162" s="6"/>
      <c r="C162" s="5"/>
      <c r="D162" s="14" t="s">
        <v>992</v>
      </c>
      <c r="E162" s="15">
        <v>40</v>
      </c>
      <c r="F162" s="37"/>
      <c r="G162" s="309"/>
    </row>
    <row r="163" spans="1:8" ht="30.75" customHeight="1" x14ac:dyDescent="0.3">
      <c r="A163" s="5"/>
      <c r="B163" s="6"/>
      <c r="C163" s="5"/>
      <c r="D163" s="14" t="s">
        <v>993</v>
      </c>
      <c r="E163" s="15">
        <v>64</v>
      </c>
      <c r="F163" s="37"/>
      <c r="G163" s="309"/>
    </row>
    <row r="164" spans="1:8" ht="30.75" customHeight="1" x14ac:dyDescent="0.3">
      <c r="A164" s="5"/>
      <c r="B164" s="6"/>
      <c r="C164" s="84"/>
      <c r="D164" s="14" t="s">
        <v>994</v>
      </c>
      <c r="E164" s="15" t="s">
        <v>995</v>
      </c>
      <c r="F164" s="37"/>
      <c r="G164" s="371"/>
    </row>
    <row r="165" spans="1:8" s="4" customFormat="1" ht="30.75" customHeight="1" x14ac:dyDescent="0.3">
      <c r="A165" s="5"/>
      <c r="B165" s="6"/>
      <c r="C165" s="87" t="s">
        <v>996</v>
      </c>
      <c r="D165" s="82" t="s">
        <v>997</v>
      </c>
      <c r="E165" s="9" t="s">
        <v>998</v>
      </c>
      <c r="F165" s="368"/>
      <c r="G165" s="361" t="s">
        <v>637</v>
      </c>
      <c r="H165" s="298"/>
    </row>
    <row r="166" spans="1:8" ht="30.75" customHeight="1" x14ac:dyDescent="0.3">
      <c r="A166" s="5"/>
      <c r="B166" s="6"/>
      <c r="C166" s="17" t="s">
        <v>999</v>
      </c>
      <c r="D166" s="14" t="s">
        <v>1000</v>
      </c>
      <c r="E166" s="15">
        <v>25</v>
      </c>
      <c r="F166" s="49"/>
      <c r="G166" s="309"/>
    </row>
    <row r="167" spans="1:8" ht="30.75" customHeight="1" x14ac:dyDescent="0.3">
      <c r="A167" s="5"/>
      <c r="B167" s="6"/>
      <c r="C167" s="17"/>
      <c r="D167" s="14" t="s">
        <v>1001</v>
      </c>
      <c r="E167" s="15">
        <v>40</v>
      </c>
      <c r="F167" s="49"/>
      <c r="G167" s="306"/>
    </row>
    <row r="168" spans="1:8" ht="30.75" customHeight="1" thickBot="1" x14ac:dyDescent="0.35">
      <c r="A168" s="5"/>
      <c r="B168" s="6"/>
      <c r="C168" s="36"/>
      <c r="D168" s="14" t="s">
        <v>991</v>
      </c>
      <c r="E168" s="15">
        <v>25</v>
      </c>
      <c r="F168" s="49"/>
      <c r="G168" s="306"/>
    </row>
    <row r="169" spans="1:8" ht="30.75" customHeight="1" thickBot="1" x14ac:dyDescent="0.35">
      <c r="A169" s="25"/>
      <c r="B169" s="26"/>
      <c r="C169" s="27" t="s">
        <v>1002</v>
      </c>
      <c r="D169" s="28" t="s">
        <v>586</v>
      </c>
      <c r="E169" s="365" t="s">
        <v>1003</v>
      </c>
      <c r="F169" s="365" t="s">
        <v>1004</v>
      </c>
      <c r="G169" s="366"/>
    </row>
    <row r="170" spans="1:8" ht="30.75" customHeight="1" x14ac:dyDescent="0.3">
      <c r="A170" s="72">
        <v>44133</v>
      </c>
      <c r="B170" s="99" t="s">
        <v>41</v>
      </c>
      <c r="C170" s="31" t="s">
        <v>688</v>
      </c>
      <c r="D170" s="32" t="s">
        <v>815</v>
      </c>
      <c r="E170" s="33" t="s">
        <v>799</v>
      </c>
      <c r="F170" s="81"/>
      <c r="G170" s="337" t="s">
        <v>1005</v>
      </c>
    </row>
    <row r="171" spans="1:8" ht="30.75" customHeight="1" x14ac:dyDescent="0.3">
      <c r="A171" s="5"/>
      <c r="B171" s="6"/>
      <c r="C171" s="36"/>
      <c r="D171" s="14" t="s">
        <v>491</v>
      </c>
      <c r="E171" s="15" t="s">
        <v>799</v>
      </c>
      <c r="F171" s="104"/>
      <c r="G171" s="310"/>
    </row>
    <row r="172" spans="1:8" ht="30.75" customHeight="1" x14ac:dyDescent="0.3">
      <c r="A172" s="5"/>
      <c r="B172" s="6"/>
      <c r="C172" s="16" t="s">
        <v>1006</v>
      </c>
      <c r="D172" s="8" t="s">
        <v>1007</v>
      </c>
      <c r="E172" s="9">
        <v>230</v>
      </c>
      <c r="F172" s="37"/>
      <c r="G172" s="306" t="s">
        <v>1008</v>
      </c>
    </row>
    <row r="173" spans="1:8" ht="30.75" customHeight="1" x14ac:dyDescent="0.3">
      <c r="A173" s="5"/>
      <c r="B173" s="6"/>
      <c r="C173" s="17"/>
      <c r="D173" s="8" t="s">
        <v>990</v>
      </c>
      <c r="E173" s="9">
        <v>20</v>
      </c>
      <c r="F173" s="8"/>
      <c r="G173" s="345"/>
    </row>
    <row r="174" spans="1:8" ht="30.75" customHeight="1" x14ac:dyDescent="0.3">
      <c r="A174" s="5"/>
      <c r="B174" s="6"/>
      <c r="C174" s="17"/>
      <c r="D174" s="8" t="s">
        <v>987</v>
      </c>
      <c r="E174" s="9">
        <v>30</v>
      </c>
      <c r="F174" s="8"/>
      <c r="G174" s="374"/>
    </row>
    <row r="175" spans="1:8" ht="30.75" customHeight="1" x14ac:dyDescent="0.3">
      <c r="A175" s="5"/>
      <c r="B175" s="6"/>
      <c r="C175" s="17"/>
      <c r="D175" s="8" t="s">
        <v>992</v>
      </c>
      <c r="E175" s="9">
        <v>20</v>
      </c>
      <c r="F175" s="8"/>
      <c r="G175" s="379"/>
    </row>
    <row r="176" spans="1:8" ht="30.75" customHeight="1" x14ac:dyDescent="0.3">
      <c r="A176" s="5"/>
      <c r="B176" s="6"/>
      <c r="C176" s="17"/>
      <c r="D176" s="14" t="s">
        <v>710</v>
      </c>
      <c r="E176" s="9">
        <v>10</v>
      </c>
      <c r="F176" s="8"/>
      <c r="G176" s="379"/>
    </row>
    <row r="177" spans="1:7" ht="30.75" customHeight="1" x14ac:dyDescent="0.3">
      <c r="A177" s="5"/>
      <c r="B177" s="6"/>
      <c r="C177" s="36"/>
      <c r="D177" s="14" t="s">
        <v>981</v>
      </c>
      <c r="E177" s="9" t="s">
        <v>505</v>
      </c>
      <c r="F177" s="43" t="s">
        <v>771</v>
      </c>
      <c r="G177" s="306"/>
    </row>
    <row r="178" spans="1:7" s="298" customFormat="1" ht="30.75" customHeight="1" thickBot="1" x14ac:dyDescent="0.35">
      <c r="A178" s="5"/>
      <c r="B178" s="6"/>
      <c r="C178" s="386" t="s">
        <v>1009</v>
      </c>
      <c r="D178" s="82" t="s">
        <v>955</v>
      </c>
      <c r="E178" s="9" t="s">
        <v>779</v>
      </c>
      <c r="F178" s="43" t="s">
        <v>664</v>
      </c>
      <c r="G178" s="205"/>
    </row>
    <row r="179" spans="1:7" ht="30.75" customHeight="1" thickBot="1" x14ac:dyDescent="0.35">
      <c r="A179" s="25"/>
      <c r="B179" s="26"/>
      <c r="C179" s="27"/>
      <c r="D179" s="28"/>
      <c r="E179" s="365"/>
      <c r="F179" s="365"/>
      <c r="G179" s="366"/>
    </row>
    <row r="180" spans="1:7" ht="30.75" customHeight="1" x14ac:dyDescent="0.3">
      <c r="A180" s="72">
        <v>44134</v>
      </c>
      <c r="B180" s="99" t="s">
        <v>55</v>
      </c>
      <c r="C180" s="31" t="s">
        <v>940</v>
      </c>
      <c r="D180" s="32" t="s">
        <v>597</v>
      </c>
      <c r="E180" s="33">
        <v>65</v>
      </c>
      <c r="F180" s="178"/>
      <c r="G180" s="343"/>
    </row>
    <row r="181" spans="1:7" ht="30.75" customHeight="1" x14ac:dyDescent="0.3">
      <c r="A181" s="5"/>
      <c r="B181" s="6"/>
      <c r="C181" s="17"/>
      <c r="D181" s="8" t="s">
        <v>612</v>
      </c>
      <c r="E181" s="9">
        <v>3</v>
      </c>
      <c r="F181" s="183"/>
      <c r="G181" s="345"/>
    </row>
    <row r="182" spans="1:7" ht="30.75" customHeight="1" x14ac:dyDescent="0.3">
      <c r="A182" s="5"/>
      <c r="B182" s="6"/>
      <c r="C182" s="36"/>
      <c r="D182" s="8" t="s">
        <v>1010</v>
      </c>
      <c r="E182" s="9" t="s">
        <v>1011</v>
      </c>
      <c r="F182" s="183"/>
      <c r="G182" s="327"/>
    </row>
    <row r="183" spans="1:7" ht="30.75" customHeight="1" x14ac:dyDescent="0.3">
      <c r="A183" s="5"/>
      <c r="B183" s="6"/>
      <c r="C183" s="7" t="s">
        <v>598</v>
      </c>
      <c r="D183" s="14" t="s">
        <v>891</v>
      </c>
      <c r="E183" s="15" t="s">
        <v>604</v>
      </c>
      <c r="F183" s="49" t="s">
        <v>967</v>
      </c>
      <c r="G183" s="470" t="s">
        <v>1012</v>
      </c>
    </row>
    <row r="184" spans="1:7" ht="30.75" customHeight="1" x14ac:dyDescent="0.3">
      <c r="A184" s="5"/>
      <c r="B184" s="6"/>
      <c r="C184" s="16" t="s">
        <v>755</v>
      </c>
      <c r="D184" s="8" t="s">
        <v>657</v>
      </c>
      <c r="E184" s="9">
        <v>100</v>
      </c>
      <c r="F184" s="49"/>
      <c r="G184" s="361"/>
    </row>
    <row r="185" spans="1:7" ht="30.75" customHeight="1" x14ac:dyDescent="0.3">
      <c r="A185" s="5"/>
      <c r="B185" s="6"/>
      <c r="C185" s="17"/>
      <c r="D185" s="8" t="s">
        <v>1013</v>
      </c>
      <c r="E185" s="9">
        <v>100</v>
      </c>
      <c r="F185" s="43"/>
      <c r="G185" s="471"/>
    </row>
    <row r="186" spans="1:7" ht="30.75" customHeight="1" thickBot="1" x14ac:dyDescent="0.35">
      <c r="A186" s="5"/>
      <c r="B186" s="6"/>
      <c r="C186" s="36"/>
      <c r="D186" s="14" t="s">
        <v>1014</v>
      </c>
      <c r="E186" s="15" t="s">
        <v>759</v>
      </c>
      <c r="F186" s="49"/>
      <c r="G186" s="472"/>
    </row>
    <row r="187" spans="1:7" s="298" customFormat="1" ht="30.75" customHeight="1" thickBot="1" x14ac:dyDescent="0.35">
      <c r="A187" s="25"/>
      <c r="B187" s="26"/>
      <c r="C187" s="27"/>
      <c r="D187" s="28"/>
      <c r="E187" s="365"/>
      <c r="F187" s="365"/>
      <c r="G187" s="366"/>
    </row>
    <row r="188" spans="1:7" s="298" customFormat="1" ht="36" customHeight="1" x14ac:dyDescent="0.3">
      <c r="A188" s="124"/>
      <c r="B188" s="125"/>
      <c r="C188" s="126"/>
      <c r="D188" s="12"/>
      <c r="E188" s="127"/>
      <c r="F188" s="127"/>
      <c r="G188" s="128"/>
    </row>
  </sheetData>
  <mergeCells count="100">
    <mergeCell ref="G170:G171"/>
    <mergeCell ref="C172:C177"/>
    <mergeCell ref="A180:A187"/>
    <mergeCell ref="B180:B187"/>
    <mergeCell ref="C180:C182"/>
    <mergeCell ref="C184:C186"/>
    <mergeCell ref="A158:A169"/>
    <mergeCell ref="B158:B169"/>
    <mergeCell ref="C158:C164"/>
    <mergeCell ref="C166:C168"/>
    <mergeCell ref="A170:A179"/>
    <mergeCell ref="B170:B179"/>
    <mergeCell ref="C170:C171"/>
    <mergeCell ref="A148:A157"/>
    <mergeCell ref="B148:B157"/>
    <mergeCell ref="C148:C149"/>
    <mergeCell ref="C152:C154"/>
    <mergeCell ref="G152:G154"/>
    <mergeCell ref="C155:C156"/>
    <mergeCell ref="G155:G156"/>
    <mergeCell ref="C133:C135"/>
    <mergeCell ref="G133:G135"/>
    <mergeCell ref="A138:G138"/>
    <mergeCell ref="A139:A147"/>
    <mergeCell ref="B139:B147"/>
    <mergeCell ref="C142:C145"/>
    <mergeCell ref="G142:G145"/>
    <mergeCell ref="A122:A128"/>
    <mergeCell ref="B122:B128"/>
    <mergeCell ref="A129:A132"/>
    <mergeCell ref="B129:B132"/>
    <mergeCell ref="A133:A137"/>
    <mergeCell ref="B133:B137"/>
    <mergeCell ref="F106:G109"/>
    <mergeCell ref="C110:C111"/>
    <mergeCell ref="G110:G111"/>
    <mergeCell ref="C113:C115"/>
    <mergeCell ref="F113:F115"/>
    <mergeCell ref="G113:G115"/>
    <mergeCell ref="A89:G89"/>
    <mergeCell ref="A90:A103"/>
    <mergeCell ref="B90:B103"/>
    <mergeCell ref="C90:C92"/>
    <mergeCell ref="C93:C97"/>
    <mergeCell ref="A104:A121"/>
    <mergeCell ref="B104:B121"/>
    <mergeCell ref="C104:C105"/>
    <mergeCell ref="F104:G105"/>
    <mergeCell ref="C106:C109"/>
    <mergeCell ref="C78:C79"/>
    <mergeCell ref="A81:A88"/>
    <mergeCell ref="B81:B88"/>
    <mergeCell ref="C82:C83"/>
    <mergeCell ref="G82:G83"/>
    <mergeCell ref="C84:C86"/>
    <mergeCell ref="G55:G57"/>
    <mergeCell ref="C58:C61"/>
    <mergeCell ref="G58:G61"/>
    <mergeCell ref="C64:C65"/>
    <mergeCell ref="G64:G65"/>
    <mergeCell ref="A71:A80"/>
    <mergeCell ref="B71:B80"/>
    <mergeCell ref="C71:C72"/>
    <mergeCell ref="C73:C75"/>
    <mergeCell ref="G73:G75"/>
    <mergeCell ref="A43:A54"/>
    <mergeCell ref="B43:B54"/>
    <mergeCell ref="C45:C48"/>
    <mergeCell ref="C52:C53"/>
    <mergeCell ref="A55:A70"/>
    <mergeCell ref="B55:B70"/>
    <mergeCell ref="C55:C57"/>
    <mergeCell ref="A34:G34"/>
    <mergeCell ref="A35:A42"/>
    <mergeCell ref="B35:B42"/>
    <mergeCell ref="C35:C36"/>
    <mergeCell ref="C37:C38"/>
    <mergeCell ref="F37:F38"/>
    <mergeCell ref="G37:G38"/>
    <mergeCell ref="A23:A30"/>
    <mergeCell ref="B23:B30"/>
    <mergeCell ref="C23:C24"/>
    <mergeCell ref="C25:C26"/>
    <mergeCell ref="C27:C28"/>
    <mergeCell ref="A31:A33"/>
    <mergeCell ref="B31:B33"/>
    <mergeCell ref="C31:G32"/>
    <mergeCell ref="A10:A22"/>
    <mergeCell ref="B10:B22"/>
    <mergeCell ref="C11:C16"/>
    <mergeCell ref="G11:G16"/>
    <mergeCell ref="C17:C19"/>
    <mergeCell ref="G17:G19"/>
    <mergeCell ref="C20:C21"/>
    <mergeCell ref="A1:G1"/>
    <mergeCell ref="A2:A4"/>
    <mergeCell ref="B2:B4"/>
    <mergeCell ref="A5:A9"/>
    <mergeCell ref="B5:B9"/>
    <mergeCell ref="C5:C6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  <rowBreaks count="1" manualBreakCount="1">
    <brk id="3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1"/>
  <sheetViews>
    <sheetView topLeftCell="A94" zoomScale="70" zoomScaleNormal="70" zoomScaleSheetLayoutView="70" workbookViewId="0">
      <selection activeCell="D121" sqref="D121"/>
    </sheetView>
  </sheetViews>
  <sheetFormatPr defaultColWidth="9" defaultRowHeight="36" customHeight="1" x14ac:dyDescent="0.3"/>
  <cols>
    <col min="1" max="1" width="12.375" style="124" customWidth="1"/>
    <col min="2" max="2" width="7.25" style="125" customWidth="1"/>
    <col min="3" max="3" width="21.875" style="126" customWidth="1"/>
    <col min="4" max="4" width="28.375" style="12" customWidth="1"/>
    <col min="5" max="5" width="15.375" style="127" customWidth="1"/>
    <col min="6" max="6" width="26.25" style="600" customWidth="1"/>
    <col min="7" max="7" width="28.125" style="601" customWidth="1"/>
    <col min="8" max="8" width="7.375" style="298" customWidth="1"/>
    <col min="9" max="11" width="9" style="12"/>
    <col min="12" max="12" width="11.375" style="12" bestFit="1" customWidth="1"/>
    <col min="13" max="16384" width="9" style="12"/>
  </cols>
  <sheetData>
    <row r="1" spans="1:7" s="298" customFormat="1" ht="95.25" customHeight="1" thickBot="1" x14ac:dyDescent="0.35">
      <c r="A1" s="1" t="s">
        <v>0</v>
      </c>
      <c r="B1" s="2"/>
      <c r="C1" s="2"/>
      <c r="D1" s="2"/>
      <c r="E1" s="2"/>
      <c r="F1" s="2"/>
      <c r="G1" s="3"/>
    </row>
    <row r="2" spans="1:7" s="298" customFormat="1" ht="29.25" customHeight="1" x14ac:dyDescent="0.3">
      <c r="A2" s="72">
        <v>44137</v>
      </c>
      <c r="B2" s="99" t="s">
        <v>1</v>
      </c>
      <c r="C2" s="473" t="s">
        <v>1015</v>
      </c>
      <c r="D2" s="43" t="s">
        <v>1016</v>
      </c>
      <c r="E2" s="43" t="s">
        <v>1017</v>
      </c>
      <c r="F2" s="474" t="s">
        <v>1018</v>
      </c>
      <c r="G2" s="337" t="s">
        <v>1019</v>
      </c>
    </row>
    <row r="3" spans="1:7" s="298" customFormat="1" ht="29.25" customHeight="1" x14ac:dyDescent="0.3">
      <c r="A3" s="5"/>
      <c r="B3" s="6"/>
      <c r="C3" s="419"/>
      <c r="D3" s="43" t="s">
        <v>1020</v>
      </c>
      <c r="E3" s="43" t="s">
        <v>1021</v>
      </c>
      <c r="F3" s="454"/>
      <c r="G3" s="310"/>
    </row>
    <row r="4" spans="1:7" s="298" customFormat="1" ht="29.25" customHeight="1" x14ac:dyDescent="0.3">
      <c r="A4" s="5"/>
      <c r="B4" s="6"/>
      <c r="C4" s="16" t="s">
        <v>1022</v>
      </c>
      <c r="D4" s="8" t="s">
        <v>1023</v>
      </c>
      <c r="E4" s="9" t="s">
        <v>1024</v>
      </c>
      <c r="F4" s="49" t="s">
        <v>1025</v>
      </c>
      <c r="G4" s="409" t="s">
        <v>1026</v>
      </c>
    </row>
    <row r="5" spans="1:7" s="298" customFormat="1" ht="29.25" customHeight="1" x14ac:dyDescent="0.3">
      <c r="A5" s="5"/>
      <c r="B5" s="6"/>
      <c r="C5" s="17"/>
      <c r="D5" s="8" t="s">
        <v>1027</v>
      </c>
      <c r="E5" s="9">
        <v>50</v>
      </c>
      <c r="F5" s="49" t="s">
        <v>1028</v>
      </c>
      <c r="G5" s="409"/>
    </row>
    <row r="6" spans="1:7" s="298" customFormat="1" ht="29.25" customHeight="1" x14ac:dyDescent="0.3">
      <c r="A6" s="5"/>
      <c r="B6" s="6"/>
      <c r="C6" s="36"/>
      <c r="D6" s="95" t="s">
        <v>1029</v>
      </c>
      <c r="E6" s="96" t="s">
        <v>1030</v>
      </c>
      <c r="F6" s="43" t="s">
        <v>1031</v>
      </c>
      <c r="G6" s="409"/>
    </row>
    <row r="7" spans="1:7" s="298" customFormat="1" ht="29.25" customHeight="1" x14ac:dyDescent="0.3">
      <c r="A7" s="5"/>
      <c r="B7" s="6"/>
      <c r="C7" s="13" t="s">
        <v>1032</v>
      </c>
      <c r="D7" s="95" t="s">
        <v>1033</v>
      </c>
      <c r="E7" s="96" t="s">
        <v>1034</v>
      </c>
      <c r="F7" s="61"/>
      <c r="G7" s="409" t="s">
        <v>1035</v>
      </c>
    </row>
    <row r="8" spans="1:7" s="298" customFormat="1" ht="29.25" customHeight="1" x14ac:dyDescent="0.3">
      <c r="A8" s="5"/>
      <c r="B8" s="6"/>
      <c r="C8" s="16" t="s">
        <v>1036</v>
      </c>
      <c r="D8" s="95" t="s">
        <v>1033</v>
      </c>
      <c r="E8" s="96" t="s">
        <v>1037</v>
      </c>
      <c r="F8" s="61"/>
      <c r="G8" s="319" t="s">
        <v>1038</v>
      </c>
    </row>
    <row r="9" spans="1:7" s="298" customFormat="1" ht="29.25" customHeight="1" x14ac:dyDescent="0.3">
      <c r="A9" s="5"/>
      <c r="B9" s="6"/>
      <c r="C9" s="36"/>
      <c r="D9" s="43" t="s">
        <v>1020</v>
      </c>
      <c r="E9" s="96" t="s">
        <v>1039</v>
      </c>
      <c r="F9" s="61"/>
      <c r="G9" s="310"/>
    </row>
    <row r="10" spans="1:7" s="298" customFormat="1" ht="29.25" customHeight="1" thickBot="1" x14ac:dyDescent="0.35">
      <c r="A10" s="5"/>
      <c r="B10" s="6"/>
      <c r="C10" s="76" t="s">
        <v>1040</v>
      </c>
      <c r="D10" s="21" t="s">
        <v>1041</v>
      </c>
      <c r="E10" s="22">
        <v>212</v>
      </c>
      <c r="F10" s="65"/>
      <c r="G10" s="475"/>
    </row>
    <row r="11" spans="1:7" s="298" customFormat="1" ht="29.25" customHeight="1" thickBot="1" x14ac:dyDescent="0.35">
      <c r="A11" s="25"/>
      <c r="B11" s="26"/>
      <c r="C11" s="89"/>
      <c r="D11" s="90"/>
      <c r="E11" s="144"/>
      <c r="F11" s="215"/>
      <c r="G11" s="476"/>
    </row>
    <row r="12" spans="1:7" s="298" customFormat="1" ht="29.25" customHeight="1" x14ac:dyDescent="0.3">
      <c r="A12" s="72">
        <v>44138</v>
      </c>
      <c r="B12" s="73" t="s">
        <v>1042</v>
      </c>
      <c r="C12" s="477" t="s">
        <v>1043</v>
      </c>
      <c r="D12" s="478" t="s">
        <v>1044</v>
      </c>
      <c r="E12" s="479" t="s">
        <v>1037</v>
      </c>
      <c r="F12" s="479"/>
      <c r="G12" s="480" t="s">
        <v>1045</v>
      </c>
    </row>
    <row r="13" spans="1:7" s="298" customFormat="1" ht="29.25" customHeight="1" x14ac:dyDescent="0.3">
      <c r="A13" s="5"/>
      <c r="B13" s="75"/>
      <c r="C13" s="481"/>
      <c r="D13" s="14" t="s">
        <v>1046</v>
      </c>
      <c r="E13" s="15" t="s">
        <v>1037</v>
      </c>
      <c r="F13" s="106"/>
      <c r="G13" s="482"/>
    </row>
    <row r="14" spans="1:7" s="298" customFormat="1" ht="29.25" customHeight="1" x14ac:dyDescent="0.3">
      <c r="A14" s="5"/>
      <c r="B14" s="75"/>
      <c r="C14" s="7" t="s">
        <v>1047</v>
      </c>
      <c r="D14" s="14" t="s">
        <v>1029</v>
      </c>
      <c r="E14" s="15" t="s">
        <v>1048</v>
      </c>
      <c r="F14" s="106" t="s">
        <v>1049</v>
      </c>
      <c r="G14" s="309" t="s">
        <v>1019</v>
      </c>
    </row>
    <row r="15" spans="1:7" s="298" customFormat="1" ht="29.25" customHeight="1" x14ac:dyDescent="0.3">
      <c r="A15" s="5"/>
      <c r="B15" s="75"/>
      <c r="C15" s="13" t="s">
        <v>1050</v>
      </c>
      <c r="D15" s="8" t="s">
        <v>1051</v>
      </c>
      <c r="E15" s="9" t="s">
        <v>1052</v>
      </c>
      <c r="F15" s="49" t="s">
        <v>1053</v>
      </c>
      <c r="G15" s="306" t="s">
        <v>1054</v>
      </c>
    </row>
    <row r="16" spans="1:7" s="298" customFormat="1" ht="29.25" customHeight="1" thickBot="1" x14ac:dyDescent="0.35">
      <c r="A16" s="5"/>
      <c r="B16" s="75"/>
      <c r="C16" s="483"/>
      <c r="D16" s="21"/>
      <c r="E16" s="22"/>
      <c r="F16" s="65"/>
      <c r="G16" s="424"/>
    </row>
    <row r="17" spans="1:7" s="298" customFormat="1" ht="29.25" customHeight="1" thickBot="1" x14ac:dyDescent="0.35">
      <c r="A17" s="25"/>
      <c r="B17" s="79"/>
      <c r="C17" s="89" t="s">
        <v>1055</v>
      </c>
      <c r="D17" s="90" t="s">
        <v>1056</v>
      </c>
      <c r="E17" s="144" t="s">
        <v>1057</v>
      </c>
      <c r="F17" s="144" t="s">
        <v>1004</v>
      </c>
      <c r="G17" s="476"/>
    </row>
    <row r="18" spans="1:7" s="298" customFormat="1" ht="29.25" customHeight="1" x14ac:dyDescent="0.3">
      <c r="A18" s="72">
        <v>44139</v>
      </c>
      <c r="B18" s="73" t="s">
        <v>1058</v>
      </c>
      <c r="C18" s="72" t="s">
        <v>1059</v>
      </c>
      <c r="D18" s="32" t="s">
        <v>621</v>
      </c>
      <c r="E18" s="33">
        <v>306</v>
      </c>
      <c r="F18" s="34"/>
      <c r="G18" s="370"/>
    </row>
    <row r="19" spans="1:7" s="298" customFormat="1" ht="29.25" customHeight="1" x14ac:dyDescent="0.3">
      <c r="A19" s="5"/>
      <c r="B19" s="75"/>
      <c r="C19" s="84"/>
      <c r="D19" s="95" t="s">
        <v>1060</v>
      </c>
      <c r="E19" s="96">
        <v>100</v>
      </c>
      <c r="F19" s="375"/>
      <c r="G19" s="484"/>
    </row>
    <row r="20" spans="1:7" s="298" customFormat="1" ht="29.25" customHeight="1" x14ac:dyDescent="0.3">
      <c r="A20" s="5"/>
      <c r="B20" s="75"/>
      <c r="C20" s="151" t="s">
        <v>996</v>
      </c>
      <c r="D20" s="95" t="s">
        <v>1061</v>
      </c>
      <c r="E20" s="96" t="s">
        <v>1062</v>
      </c>
      <c r="F20" s="375"/>
      <c r="G20" s="485" t="s">
        <v>1063</v>
      </c>
    </row>
    <row r="21" spans="1:7" s="298" customFormat="1" ht="29.25" customHeight="1" x14ac:dyDescent="0.3">
      <c r="A21" s="5"/>
      <c r="B21" s="75"/>
      <c r="C21" s="16" t="s">
        <v>1032</v>
      </c>
      <c r="D21" s="8" t="s">
        <v>1064</v>
      </c>
      <c r="E21" s="9">
        <v>100</v>
      </c>
      <c r="F21" s="131"/>
      <c r="G21" s="306" t="s">
        <v>1065</v>
      </c>
    </row>
    <row r="22" spans="1:7" s="298" customFormat="1" ht="29.25" customHeight="1" x14ac:dyDescent="0.3">
      <c r="A22" s="5"/>
      <c r="B22" s="75"/>
      <c r="C22" s="36"/>
      <c r="D22" s="8" t="s">
        <v>1066</v>
      </c>
      <c r="E22" s="9" t="s">
        <v>1067</v>
      </c>
      <c r="F22" s="8" t="s">
        <v>1068</v>
      </c>
      <c r="G22" s="306" t="s">
        <v>1069</v>
      </c>
    </row>
    <row r="23" spans="1:7" s="298" customFormat="1" ht="29.25" customHeight="1" x14ac:dyDescent="0.3">
      <c r="A23" s="5"/>
      <c r="B23" s="75"/>
      <c r="C23" s="87" t="s">
        <v>1070</v>
      </c>
      <c r="D23" s="8" t="s">
        <v>1071</v>
      </c>
      <c r="E23" s="9">
        <v>100</v>
      </c>
      <c r="F23" s="8" t="s">
        <v>1072</v>
      </c>
      <c r="G23" s="306" t="s">
        <v>1073</v>
      </c>
    </row>
    <row r="24" spans="1:7" s="298" customFormat="1" ht="29.25" customHeight="1" x14ac:dyDescent="0.3">
      <c r="A24" s="5"/>
      <c r="B24" s="75"/>
      <c r="C24" s="7" t="s">
        <v>999</v>
      </c>
      <c r="D24" s="14" t="s">
        <v>994</v>
      </c>
      <c r="E24" s="15" t="s">
        <v>1074</v>
      </c>
      <c r="F24" s="14"/>
      <c r="G24" s="309" t="s">
        <v>1075</v>
      </c>
    </row>
    <row r="25" spans="1:7" s="298" customFormat="1" ht="29.25" customHeight="1" thickBot="1" x14ac:dyDescent="0.35">
      <c r="A25" s="5"/>
      <c r="B25" s="75"/>
      <c r="C25" s="101" t="s">
        <v>1076</v>
      </c>
      <c r="D25" s="18" t="s">
        <v>1071</v>
      </c>
      <c r="E25" s="19">
        <v>4</v>
      </c>
      <c r="F25" s="18"/>
      <c r="G25" s="308" t="s">
        <v>1075</v>
      </c>
    </row>
    <row r="26" spans="1:7" s="298" customFormat="1" ht="29.25" customHeight="1" thickBot="1" x14ac:dyDescent="0.35">
      <c r="A26" s="25"/>
      <c r="B26" s="79"/>
      <c r="C26" s="27" t="s">
        <v>1077</v>
      </c>
      <c r="D26" s="28" t="s">
        <v>1056</v>
      </c>
      <c r="E26" s="365" t="s">
        <v>1078</v>
      </c>
      <c r="F26" s="365" t="s">
        <v>1079</v>
      </c>
      <c r="G26" s="486"/>
    </row>
    <row r="27" spans="1:7" s="298" customFormat="1" ht="29.25" customHeight="1" x14ac:dyDescent="0.3">
      <c r="A27" s="72">
        <v>44140</v>
      </c>
      <c r="B27" s="73" t="s">
        <v>1080</v>
      </c>
      <c r="C27" s="31" t="s">
        <v>1015</v>
      </c>
      <c r="D27" s="8" t="s">
        <v>1081</v>
      </c>
      <c r="E27" s="15" t="s">
        <v>732</v>
      </c>
      <c r="F27" s="487" t="s">
        <v>1082</v>
      </c>
      <c r="G27" s="337" t="s">
        <v>1083</v>
      </c>
    </row>
    <row r="28" spans="1:7" s="298" customFormat="1" ht="29.25" customHeight="1" x14ac:dyDescent="0.3">
      <c r="A28" s="5"/>
      <c r="B28" s="75"/>
      <c r="C28" s="36"/>
      <c r="D28" s="8" t="s">
        <v>1033</v>
      </c>
      <c r="E28" s="9" t="s">
        <v>1034</v>
      </c>
      <c r="F28" s="488"/>
      <c r="G28" s="310"/>
    </row>
    <row r="29" spans="1:7" s="298" customFormat="1" ht="29.25" customHeight="1" x14ac:dyDescent="0.3">
      <c r="A29" s="5"/>
      <c r="B29" s="75"/>
      <c r="C29" s="13" t="s">
        <v>1022</v>
      </c>
      <c r="D29" s="14" t="s">
        <v>547</v>
      </c>
      <c r="E29" s="15" t="s">
        <v>1024</v>
      </c>
      <c r="F29" s="49"/>
      <c r="G29" s="409"/>
    </row>
    <row r="30" spans="1:7" s="298" customFormat="1" ht="29.25" customHeight="1" x14ac:dyDescent="0.3">
      <c r="A30" s="5"/>
      <c r="B30" s="75"/>
      <c r="C30" s="13" t="s">
        <v>1032</v>
      </c>
      <c r="D30" s="14" t="s">
        <v>1084</v>
      </c>
      <c r="E30" s="15" t="s">
        <v>1037</v>
      </c>
      <c r="F30" s="8" t="s">
        <v>1085</v>
      </c>
      <c r="G30" s="306" t="s">
        <v>669</v>
      </c>
    </row>
    <row r="31" spans="1:7" s="298" customFormat="1" ht="29.25" customHeight="1" x14ac:dyDescent="0.3">
      <c r="A31" s="5"/>
      <c r="B31" s="75"/>
      <c r="C31" s="16" t="s">
        <v>999</v>
      </c>
      <c r="D31" s="14" t="s">
        <v>1086</v>
      </c>
      <c r="E31" s="15">
        <v>30</v>
      </c>
      <c r="F31" s="8"/>
      <c r="G31" s="319" t="s">
        <v>669</v>
      </c>
    </row>
    <row r="32" spans="1:7" s="298" customFormat="1" ht="29.25" customHeight="1" x14ac:dyDescent="0.3">
      <c r="A32" s="5"/>
      <c r="B32" s="75"/>
      <c r="C32" s="17"/>
      <c r="D32" s="14" t="s">
        <v>1027</v>
      </c>
      <c r="E32" s="15">
        <v>20</v>
      </c>
      <c r="F32" s="8"/>
      <c r="G32" s="338"/>
    </row>
    <row r="33" spans="1:8" s="298" customFormat="1" ht="29.25" customHeight="1" x14ac:dyDescent="0.3">
      <c r="A33" s="5"/>
      <c r="B33" s="75"/>
      <c r="C33" s="17"/>
      <c r="D33" s="14" t="s">
        <v>1020</v>
      </c>
      <c r="E33" s="15" t="s">
        <v>1074</v>
      </c>
      <c r="F33" s="8"/>
      <c r="G33" s="338"/>
    </row>
    <row r="34" spans="1:8" s="298" customFormat="1" ht="29.25" customHeight="1" thickBot="1" x14ac:dyDescent="0.35">
      <c r="A34" s="5"/>
      <c r="B34" s="75"/>
      <c r="C34" s="36"/>
      <c r="D34" s="14" t="s">
        <v>955</v>
      </c>
      <c r="E34" s="15" t="s">
        <v>1087</v>
      </c>
      <c r="F34" s="8"/>
      <c r="G34" s="310"/>
    </row>
    <row r="35" spans="1:8" s="298" customFormat="1" ht="29.25" customHeight="1" thickBot="1" x14ac:dyDescent="0.35">
      <c r="A35" s="25"/>
      <c r="B35" s="79"/>
      <c r="C35" s="27"/>
      <c r="D35" s="28"/>
      <c r="E35" s="365"/>
      <c r="F35" s="489"/>
      <c r="G35" s="486"/>
    </row>
    <row r="36" spans="1:8" s="298" customFormat="1" ht="29.25" customHeight="1" x14ac:dyDescent="0.3">
      <c r="A36" s="72">
        <v>44141</v>
      </c>
      <c r="B36" s="73" t="s">
        <v>817</v>
      </c>
      <c r="C36" s="31" t="s">
        <v>1059</v>
      </c>
      <c r="D36" s="82" t="s">
        <v>1041</v>
      </c>
      <c r="E36" s="9">
        <v>4</v>
      </c>
      <c r="F36" s="398" t="s">
        <v>1088</v>
      </c>
      <c r="G36" s="409"/>
    </row>
    <row r="37" spans="1:8" s="298" customFormat="1" ht="29.25" customHeight="1" x14ac:dyDescent="0.3">
      <c r="A37" s="5"/>
      <c r="B37" s="75"/>
      <c r="C37" s="36"/>
      <c r="D37" s="82" t="s">
        <v>1089</v>
      </c>
      <c r="E37" s="9">
        <v>1</v>
      </c>
      <c r="F37" s="398"/>
      <c r="G37" s="409"/>
    </row>
    <row r="38" spans="1:8" s="298" customFormat="1" ht="29.25" customHeight="1" x14ac:dyDescent="0.3">
      <c r="A38" s="5"/>
      <c r="B38" s="75"/>
      <c r="C38" s="13" t="s">
        <v>1015</v>
      </c>
      <c r="D38" s="8" t="s">
        <v>1016</v>
      </c>
      <c r="E38" s="9" t="s">
        <v>1017</v>
      </c>
      <c r="F38" s="43"/>
      <c r="G38" s="205"/>
    </row>
    <row r="39" spans="1:8" s="298" customFormat="1" ht="29.25" customHeight="1" x14ac:dyDescent="0.3">
      <c r="A39" s="5"/>
      <c r="B39" s="75"/>
      <c r="C39" s="7" t="s">
        <v>1090</v>
      </c>
      <c r="D39" s="14" t="s">
        <v>1091</v>
      </c>
      <c r="E39" s="15" t="s">
        <v>1092</v>
      </c>
      <c r="F39" s="43"/>
      <c r="G39" s="309" t="s">
        <v>1093</v>
      </c>
    </row>
    <row r="40" spans="1:8" s="298" customFormat="1" ht="29.25" customHeight="1" thickBot="1" x14ac:dyDescent="0.35">
      <c r="A40" s="5"/>
      <c r="B40" s="75"/>
      <c r="C40" s="7" t="s">
        <v>1094</v>
      </c>
      <c r="D40" s="14" t="s">
        <v>1095</v>
      </c>
      <c r="E40" s="9">
        <v>10</v>
      </c>
      <c r="F40" s="8"/>
      <c r="G40" s="490" t="s">
        <v>837</v>
      </c>
    </row>
    <row r="41" spans="1:8" s="298" customFormat="1" ht="29.25" customHeight="1" thickBot="1" x14ac:dyDescent="0.35">
      <c r="A41" s="25"/>
      <c r="B41" s="79"/>
      <c r="C41" s="27"/>
      <c r="D41" s="28"/>
      <c r="E41" s="365"/>
      <c r="F41" s="365"/>
      <c r="G41" s="476"/>
    </row>
    <row r="42" spans="1:8" s="4" customFormat="1" ht="86.25" customHeight="1" thickBot="1" x14ac:dyDescent="0.35">
      <c r="A42" s="1" t="s">
        <v>0</v>
      </c>
      <c r="B42" s="2"/>
      <c r="C42" s="2"/>
      <c r="D42" s="2"/>
      <c r="E42" s="2"/>
      <c r="F42" s="2"/>
      <c r="G42" s="3"/>
      <c r="H42" s="298"/>
    </row>
    <row r="43" spans="1:8" customFormat="1" ht="30" customHeight="1" x14ac:dyDescent="0.3">
      <c r="A43" s="72">
        <v>44144</v>
      </c>
      <c r="B43" s="99" t="s">
        <v>829</v>
      </c>
      <c r="C43" s="31" t="s">
        <v>1036</v>
      </c>
      <c r="D43" s="32" t="s">
        <v>1023</v>
      </c>
      <c r="E43" s="33">
        <v>50</v>
      </c>
      <c r="F43" s="420"/>
      <c r="G43" s="337" t="s">
        <v>1054</v>
      </c>
    </row>
    <row r="44" spans="1:8" customFormat="1" ht="30" customHeight="1" x14ac:dyDescent="0.3">
      <c r="A44" s="5"/>
      <c r="B44" s="6"/>
      <c r="C44" s="36"/>
      <c r="D44" s="8" t="s">
        <v>1029</v>
      </c>
      <c r="E44" s="9" t="s">
        <v>650</v>
      </c>
      <c r="F44" s="43" t="s">
        <v>596</v>
      </c>
      <c r="G44" s="310"/>
    </row>
    <row r="45" spans="1:8" customFormat="1" ht="30" customHeight="1" x14ac:dyDescent="0.3">
      <c r="A45" s="5"/>
      <c r="B45" s="6"/>
      <c r="C45" s="13" t="s">
        <v>1040</v>
      </c>
      <c r="D45" s="18" t="s">
        <v>621</v>
      </c>
      <c r="E45" s="19" t="s">
        <v>1096</v>
      </c>
      <c r="F45" s="439"/>
      <c r="G45" s="306" t="s">
        <v>1045</v>
      </c>
    </row>
    <row r="46" spans="1:8" customFormat="1" ht="30" customHeight="1" x14ac:dyDescent="0.3">
      <c r="A46" s="5"/>
      <c r="B46" s="6"/>
      <c r="C46" s="7" t="s">
        <v>1097</v>
      </c>
      <c r="D46" s="8" t="s">
        <v>1098</v>
      </c>
      <c r="E46" s="9" t="s">
        <v>1092</v>
      </c>
      <c r="F46" s="422" t="s">
        <v>1099</v>
      </c>
      <c r="G46" s="306" t="s">
        <v>1100</v>
      </c>
    </row>
    <row r="47" spans="1:8" customFormat="1" ht="30" customHeight="1" x14ac:dyDescent="0.3">
      <c r="A47" s="5"/>
      <c r="B47" s="6"/>
      <c r="C47" s="13" t="s">
        <v>1015</v>
      </c>
      <c r="D47" s="14" t="s">
        <v>547</v>
      </c>
      <c r="E47" s="15" t="s">
        <v>1034</v>
      </c>
      <c r="F47" s="422"/>
      <c r="G47" s="306" t="s">
        <v>866</v>
      </c>
    </row>
    <row r="48" spans="1:8" customFormat="1" ht="30" customHeight="1" thickBot="1" x14ac:dyDescent="0.35">
      <c r="A48" s="25"/>
      <c r="B48" s="26"/>
      <c r="C48" s="89" t="s">
        <v>1101</v>
      </c>
      <c r="D48" s="90" t="s">
        <v>1056</v>
      </c>
      <c r="E48" s="144" t="s">
        <v>1102</v>
      </c>
      <c r="F48" s="144" t="s">
        <v>1004</v>
      </c>
      <c r="G48" s="476"/>
    </row>
    <row r="49" spans="1:10" customFormat="1" ht="30" customHeight="1" x14ac:dyDescent="0.3">
      <c r="A49" s="5">
        <v>44145</v>
      </c>
      <c r="B49" s="6"/>
      <c r="C49" s="31" t="s">
        <v>1022</v>
      </c>
      <c r="D49" s="32" t="s">
        <v>1103</v>
      </c>
      <c r="E49" s="33" t="s">
        <v>650</v>
      </c>
      <c r="F49" s="420" t="s">
        <v>1028</v>
      </c>
      <c r="G49" s="337" t="s">
        <v>1054</v>
      </c>
    </row>
    <row r="50" spans="1:10" customFormat="1" ht="30" customHeight="1" x14ac:dyDescent="0.3">
      <c r="A50" s="5"/>
      <c r="B50" s="6"/>
      <c r="C50" s="17"/>
      <c r="D50" s="8" t="s">
        <v>1081</v>
      </c>
      <c r="E50" s="9" t="s">
        <v>1030</v>
      </c>
      <c r="F50" s="43" t="s">
        <v>1031</v>
      </c>
      <c r="G50" s="338"/>
    </row>
    <row r="51" spans="1:10" customFormat="1" ht="30" customHeight="1" x14ac:dyDescent="0.3">
      <c r="A51" s="5"/>
      <c r="B51" s="6"/>
      <c r="C51" s="17"/>
      <c r="D51" s="95" t="s">
        <v>1104</v>
      </c>
      <c r="E51" s="96" t="s">
        <v>1105</v>
      </c>
      <c r="F51" s="43" t="s">
        <v>1106</v>
      </c>
      <c r="G51" s="310"/>
    </row>
    <row r="52" spans="1:10" customFormat="1" ht="30" customHeight="1" x14ac:dyDescent="0.3">
      <c r="A52" s="5"/>
      <c r="B52" s="6"/>
      <c r="C52" s="87" t="s">
        <v>1059</v>
      </c>
      <c r="D52" s="8" t="s">
        <v>621</v>
      </c>
      <c r="E52" s="9">
        <v>190</v>
      </c>
      <c r="F52" s="398"/>
      <c r="G52" s="306" t="s">
        <v>1045</v>
      </c>
    </row>
    <row r="53" spans="1:10" customFormat="1" ht="30" customHeight="1" x14ac:dyDescent="0.3">
      <c r="A53" s="5"/>
      <c r="B53" s="6"/>
      <c r="C53" s="97" t="s">
        <v>1107</v>
      </c>
      <c r="D53" s="8" t="s">
        <v>1029</v>
      </c>
      <c r="E53" s="15" t="s">
        <v>650</v>
      </c>
      <c r="F53" s="398" t="s">
        <v>1028</v>
      </c>
      <c r="G53" s="319" t="s">
        <v>1108</v>
      </c>
    </row>
    <row r="54" spans="1:10" customFormat="1" ht="30" customHeight="1" x14ac:dyDescent="0.3">
      <c r="A54" s="5"/>
      <c r="B54" s="6"/>
      <c r="C54" s="5"/>
      <c r="D54" s="95" t="s">
        <v>1104</v>
      </c>
      <c r="E54" s="96" t="s">
        <v>769</v>
      </c>
      <c r="F54" s="491" t="s">
        <v>1028</v>
      </c>
      <c r="G54" s="338"/>
    </row>
    <row r="55" spans="1:10" customFormat="1" ht="30" customHeight="1" x14ac:dyDescent="0.3">
      <c r="A55" s="5"/>
      <c r="B55" s="6"/>
      <c r="C55" s="84"/>
      <c r="D55" s="95" t="s">
        <v>1109</v>
      </c>
      <c r="E55" s="96" t="s">
        <v>769</v>
      </c>
      <c r="F55" s="492"/>
      <c r="G55" s="310"/>
    </row>
    <row r="56" spans="1:10" customFormat="1" ht="30" customHeight="1" x14ac:dyDescent="0.3">
      <c r="A56" s="5"/>
      <c r="B56" s="6"/>
      <c r="C56" s="87" t="s">
        <v>1110</v>
      </c>
      <c r="D56" s="95" t="s">
        <v>1111</v>
      </c>
      <c r="E56" s="96" t="s">
        <v>1067</v>
      </c>
      <c r="F56" s="398"/>
      <c r="G56" s="306"/>
    </row>
    <row r="57" spans="1:10" customFormat="1" ht="30" customHeight="1" x14ac:dyDescent="0.3">
      <c r="A57" s="5"/>
      <c r="B57" s="6"/>
      <c r="C57" s="97" t="s">
        <v>598</v>
      </c>
      <c r="D57" s="8" t="s">
        <v>547</v>
      </c>
      <c r="E57" s="96" t="s">
        <v>724</v>
      </c>
      <c r="F57" s="493" t="s">
        <v>1031</v>
      </c>
      <c r="G57" s="319" t="s">
        <v>1112</v>
      </c>
    </row>
    <row r="58" spans="1:10" customFormat="1" ht="30" customHeight="1" x14ac:dyDescent="0.3">
      <c r="A58" s="5"/>
      <c r="B58" s="6"/>
      <c r="C58" s="5"/>
      <c r="D58" s="14" t="s">
        <v>1103</v>
      </c>
      <c r="E58" s="96" t="s">
        <v>1113</v>
      </c>
      <c r="F58" s="491" t="s">
        <v>1106</v>
      </c>
      <c r="G58" s="338"/>
    </row>
    <row r="59" spans="1:10" customFormat="1" ht="30" customHeight="1" x14ac:dyDescent="0.3">
      <c r="A59" s="5"/>
      <c r="B59" s="6"/>
      <c r="C59" s="84"/>
      <c r="D59" s="8" t="s">
        <v>1029</v>
      </c>
      <c r="E59" s="96" t="s">
        <v>1114</v>
      </c>
      <c r="F59" s="492"/>
      <c r="G59" s="310"/>
    </row>
    <row r="60" spans="1:10" s="4" customFormat="1" ht="30" customHeight="1" thickBot="1" x14ac:dyDescent="0.35">
      <c r="A60" s="25"/>
      <c r="B60" s="26"/>
      <c r="C60" s="89" t="s">
        <v>1115</v>
      </c>
      <c r="D60" s="90" t="s">
        <v>1056</v>
      </c>
      <c r="E60" s="144" t="s">
        <v>1116</v>
      </c>
      <c r="F60" s="144" t="s">
        <v>1079</v>
      </c>
      <c r="G60" s="476"/>
      <c r="H60" s="298"/>
    </row>
    <row r="61" spans="1:10" customFormat="1" ht="30" customHeight="1" x14ac:dyDescent="0.3">
      <c r="A61" s="72">
        <v>44146</v>
      </c>
      <c r="B61" s="99" t="s">
        <v>21</v>
      </c>
      <c r="C61" s="160" t="s">
        <v>1059</v>
      </c>
      <c r="D61" s="93" t="s">
        <v>1041</v>
      </c>
      <c r="E61" s="218">
        <v>225</v>
      </c>
      <c r="F61" s="41"/>
      <c r="G61" s="370" t="s">
        <v>1045</v>
      </c>
    </row>
    <row r="62" spans="1:10" customFormat="1" ht="30" customHeight="1" x14ac:dyDescent="0.3">
      <c r="A62" s="5"/>
      <c r="B62" s="6"/>
      <c r="C62" s="16" t="s">
        <v>680</v>
      </c>
      <c r="D62" s="8" t="s">
        <v>1117</v>
      </c>
      <c r="E62" s="9" t="s">
        <v>1118</v>
      </c>
      <c r="F62" s="398"/>
      <c r="G62" s="319" t="s">
        <v>1054</v>
      </c>
    </row>
    <row r="63" spans="1:10" customFormat="1" ht="30" customHeight="1" x14ac:dyDescent="0.3">
      <c r="A63" s="5"/>
      <c r="B63" s="6"/>
      <c r="C63" s="17"/>
      <c r="D63" s="8" t="s">
        <v>1119</v>
      </c>
      <c r="E63" s="15">
        <v>52</v>
      </c>
      <c r="F63" s="398"/>
      <c r="G63" s="338"/>
      <c r="J63" s="494"/>
    </row>
    <row r="64" spans="1:10" customFormat="1" ht="30" customHeight="1" x14ac:dyDescent="0.3">
      <c r="A64" s="5"/>
      <c r="B64" s="6"/>
      <c r="C64" s="17"/>
      <c r="D64" s="8" t="s">
        <v>1120</v>
      </c>
      <c r="E64" s="9" t="s">
        <v>1121</v>
      </c>
      <c r="F64" s="43"/>
      <c r="G64" s="338"/>
    </row>
    <row r="65" spans="1:8" customFormat="1" ht="30" customHeight="1" x14ac:dyDescent="0.3">
      <c r="A65" s="5"/>
      <c r="B65" s="6"/>
      <c r="C65" s="17"/>
      <c r="D65" s="8" t="s">
        <v>1122</v>
      </c>
      <c r="E65" s="9" t="s">
        <v>1121</v>
      </c>
      <c r="F65" s="398"/>
      <c r="G65" s="338"/>
    </row>
    <row r="66" spans="1:8" customFormat="1" ht="30" customHeight="1" x14ac:dyDescent="0.3">
      <c r="A66" s="5"/>
      <c r="B66" s="6"/>
      <c r="C66" s="17"/>
      <c r="D66" s="95" t="s">
        <v>764</v>
      </c>
      <c r="E66" s="96" t="s">
        <v>1123</v>
      </c>
      <c r="F66" s="398"/>
      <c r="G66" s="338"/>
    </row>
    <row r="67" spans="1:8" customFormat="1" ht="30" customHeight="1" x14ac:dyDescent="0.3">
      <c r="A67" s="5"/>
      <c r="B67" s="6"/>
      <c r="C67" s="36"/>
      <c r="D67" s="95" t="s">
        <v>1124</v>
      </c>
      <c r="E67" s="96" t="s">
        <v>1092</v>
      </c>
      <c r="F67" s="493" t="s">
        <v>1125</v>
      </c>
      <c r="G67" s="310"/>
    </row>
    <row r="68" spans="1:8" customFormat="1" ht="30" customHeight="1" x14ac:dyDescent="0.3">
      <c r="A68" s="5"/>
      <c r="B68" s="6"/>
      <c r="C68" s="13" t="s">
        <v>1006</v>
      </c>
      <c r="D68" s="8" t="s">
        <v>1029</v>
      </c>
      <c r="E68" s="426" t="s">
        <v>1126</v>
      </c>
      <c r="F68" s="398" t="s">
        <v>1127</v>
      </c>
      <c r="G68" s="495" t="s">
        <v>1108</v>
      </c>
      <c r="H68" s="496" t="s">
        <v>1128</v>
      </c>
    </row>
    <row r="69" spans="1:8" customFormat="1" ht="30" customHeight="1" thickBot="1" x14ac:dyDescent="0.35">
      <c r="A69" s="5"/>
      <c r="B69" s="6"/>
      <c r="C69" s="107" t="s">
        <v>1129</v>
      </c>
      <c r="D69" s="21" t="s">
        <v>1081</v>
      </c>
      <c r="E69" s="22" t="s">
        <v>1087</v>
      </c>
      <c r="F69" s="441" t="s">
        <v>1130</v>
      </c>
      <c r="G69" s="424" t="s">
        <v>837</v>
      </c>
    </row>
    <row r="70" spans="1:8" s="4" customFormat="1" ht="30" customHeight="1" thickBot="1" x14ac:dyDescent="0.35">
      <c r="A70" s="25"/>
      <c r="B70" s="26"/>
      <c r="C70" s="89" t="s">
        <v>1131</v>
      </c>
      <c r="D70" s="90" t="s">
        <v>1056</v>
      </c>
      <c r="E70" s="144" t="s">
        <v>1132</v>
      </c>
      <c r="F70" s="144" t="s">
        <v>1133</v>
      </c>
      <c r="G70" s="145" t="s">
        <v>1134</v>
      </c>
      <c r="H70" s="298"/>
    </row>
    <row r="71" spans="1:8" customFormat="1" ht="30" customHeight="1" x14ac:dyDescent="0.3">
      <c r="A71" s="72">
        <v>44147</v>
      </c>
      <c r="B71" s="99" t="s">
        <v>41</v>
      </c>
      <c r="C71" s="31" t="s">
        <v>1015</v>
      </c>
      <c r="D71" s="32" t="s">
        <v>1135</v>
      </c>
      <c r="E71" s="33" t="s">
        <v>587</v>
      </c>
      <c r="F71" s="497"/>
      <c r="G71" s="370"/>
    </row>
    <row r="72" spans="1:8" customFormat="1" ht="30" customHeight="1" x14ac:dyDescent="0.3">
      <c r="A72" s="5"/>
      <c r="B72" s="6"/>
      <c r="C72" s="17"/>
      <c r="D72" s="8" t="s">
        <v>1136</v>
      </c>
      <c r="E72" s="15" t="s">
        <v>1137</v>
      </c>
      <c r="F72" s="398"/>
      <c r="G72" s="306"/>
    </row>
    <row r="73" spans="1:8" customFormat="1" ht="30" customHeight="1" x14ac:dyDescent="0.3">
      <c r="A73" s="5"/>
      <c r="B73" s="6"/>
      <c r="C73" s="36"/>
      <c r="D73" s="8" t="s">
        <v>547</v>
      </c>
      <c r="E73" s="15" t="s">
        <v>1024</v>
      </c>
      <c r="F73" s="398"/>
      <c r="G73" s="306"/>
    </row>
    <row r="74" spans="1:8" customFormat="1" ht="30" customHeight="1" x14ac:dyDescent="0.3">
      <c r="A74" s="5"/>
      <c r="B74" s="6"/>
      <c r="C74" s="13" t="s">
        <v>932</v>
      </c>
      <c r="D74" s="8" t="s">
        <v>1138</v>
      </c>
      <c r="E74" s="9">
        <v>384</v>
      </c>
      <c r="F74" s="43" t="s">
        <v>1139</v>
      </c>
      <c r="G74" s="205" t="s">
        <v>1140</v>
      </c>
    </row>
    <row r="75" spans="1:8" customFormat="1" ht="30" customHeight="1" x14ac:dyDescent="0.3">
      <c r="A75" s="5"/>
      <c r="B75" s="6"/>
      <c r="C75" s="87" t="s">
        <v>1032</v>
      </c>
      <c r="D75" s="8" t="s">
        <v>973</v>
      </c>
      <c r="E75" s="9">
        <v>100</v>
      </c>
      <c r="F75" s="10"/>
      <c r="G75" s="409" t="s">
        <v>1141</v>
      </c>
    </row>
    <row r="76" spans="1:8" customFormat="1" ht="30" customHeight="1" x14ac:dyDescent="0.3">
      <c r="A76" s="5"/>
      <c r="B76" s="6"/>
      <c r="C76" s="16" t="s">
        <v>1142</v>
      </c>
      <c r="D76" s="14" t="s">
        <v>1143</v>
      </c>
      <c r="E76" s="9" t="s">
        <v>1037</v>
      </c>
      <c r="F76" s="37"/>
      <c r="G76" s="409"/>
    </row>
    <row r="77" spans="1:8" customFormat="1" ht="30" customHeight="1" x14ac:dyDescent="0.3">
      <c r="A77" s="5"/>
      <c r="B77" s="6"/>
      <c r="C77" s="17"/>
      <c r="D77" s="14" t="s">
        <v>1144</v>
      </c>
      <c r="E77" s="19" t="s">
        <v>1145</v>
      </c>
      <c r="F77" s="37"/>
      <c r="G77" s="409"/>
    </row>
    <row r="78" spans="1:8" customFormat="1" ht="30" customHeight="1" x14ac:dyDescent="0.3">
      <c r="A78" s="5"/>
      <c r="B78" s="6"/>
      <c r="C78" s="36"/>
      <c r="D78" s="8" t="s">
        <v>1146</v>
      </c>
      <c r="E78" s="96" t="s">
        <v>1145</v>
      </c>
      <c r="F78" s="37"/>
      <c r="G78" s="409"/>
    </row>
    <row r="79" spans="1:8" customFormat="1" ht="30" customHeight="1" thickBot="1" x14ac:dyDescent="0.35">
      <c r="A79" s="5"/>
      <c r="B79" s="6"/>
      <c r="C79" s="51" t="s">
        <v>1147</v>
      </c>
      <c r="D79" s="21" t="s">
        <v>1148</v>
      </c>
      <c r="E79" s="22" t="s">
        <v>1149</v>
      </c>
      <c r="F79" s="77" t="s">
        <v>1150</v>
      </c>
      <c r="G79" s="424" t="s">
        <v>837</v>
      </c>
    </row>
    <row r="80" spans="1:8" customFormat="1" ht="30" customHeight="1" thickBot="1" x14ac:dyDescent="0.35">
      <c r="A80" s="25"/>
      <c r="B80" s="26"/>
      <c r="C80" s="435"/>
      <c r="D80" s="28"/>
      <c r="E80" s="365"/>
      <c r="F80" s="498"/>
      <c r="G80" s="499"/>
    </row>
    <row r="81" spans="1:8" s="4" customFormat="1" ht="30" customHeight="1" x14ac:dyDescent="0.3">
      <c r="A81" s="72">
        <v>44148</v>
      </c>
      <c r="B81" s="99" t="s">
        <v>55</v>
      </c>
      <c r="C81" s="114" t="s">
        <v>1151</v>
      </c>
      <c r="D81" s="32" t="s">
        <v>1152</v>
      </c>
      <c r="E81" s="33" t="s">
        <v>1067</v>
      </c>
      <c r="F81" s="178"/>
      <c r="G81" s="500"/>
      <c r="H81" s="298"/>
    </row>
    <row r="82" spans="1:8" customFormat="1" ht="30" customHeight="1" x14ac:dyDescent="0.3">
      <c r="A82" s="5"/>
      <c r="B82" s="6"/>
      <c r="C82" s="16" t="s">
        <v>1153</v>
      </c>
      <c r="D82" s="8" t="s">
        <v>1154</v>
      </c>
      <c r="E82" s="9" t="s">
        <v>799</v>
      </c>
      <c r="F82" s="131"/>
      <c r="G82" s="409" t="s">
        <v>1155</v>
      </c>
    </row>
    <row r="83" spans="1:8" customFormat="1" ht="30" customHeight="1" x14ac:dyDescent="0.3">
      <c r="A83" s="5"/>
      <c r="B83" s="6"/>
      <c r="C83" s="17"/>
      <c r="D83" s="8" t="s">
        <v>1156</v>
      </c>
      <c r="E83" s="9">
        <v>50</v>
      </c>
      <c r="F83" s="131"/>
      <c r="G83" s="319" t="s">
        <v>1157</v>
      </c>
    </row>
    <row r="84" spans="1:8" customFormat="1" ht="30" customHeight="1" x14ac:dyDescent="0.3">
      <c r="A84" s="5"/>
      <c r="B84" s="6"/>
      <c r="C84" s="36"/>
      <c r="D84" s="8" t="s">
        <v>1064</v>
      </c>
      <c r="E84" s="9">
        <v>50</v>
      </c>
      <c r="F84" s="10"/>
      <c r="G84" s="310"/>
    </row>
    <row r="85" spans="1:8" customFormat="1" ht="30" customHeight="1" x14ac:dyDescent="0.3">
      <c r="A85" s="5"/>
      <c r="B85" s="6"/>
      <c r="C85" s="7" t="s">
        <v>844</v>
      </c>
      <c r="D85" s="14" t="s">
        <v>1158</v>
      </c>
      <c r="E85" s="15">
        <v>100</v>
      </c>
      <c r="F85" s="10"/>
      <c r="G85" s="306"/>
    </row>
    <row r="86" spans="1:8" customFormat="1" ht="30" customHeight="1" x14ac:dyDescent="0.3">
      <c r="A86" s="5"/>
      <c r="B86" s="6"/>
      <c r="C86" s="16" t="s">
        <v>999</v>
      </c>
      <c r="D86" s="18" t="s">
        <v>1044</v>
      </c>
      <c r="E86" s="19">
        <v>50</v>
      </c>
      <c r="F86" s="47"/>
      <c r="G86" s="308"/>
    </row>
    <row r="87" spans="1:8" customFormat="1" ht="30" customHeight="1" x14ac:dyDescent="0.3">
      <c r="A87" s="5"/>
      <c r="B87" s="6"/>
      <c r="C87" s="17"/>
      <c r="D87" s="8" t="s">
        <v>1159</v>
      </c>
      <c r="E87" s="9">
        <v>50</v>
      </c>
      <c r="F87" s="10"/>
      <c r="G87" s="306"/>
    </row>
    <row r="88" spans="1:8" customFormat="1" ht="30" customHeight="1" x14ac:dyDescent="0.3">
      <c r="A88" s="5"/>
      <c r="B88" s="6"/>
      <c r="C88" s="17"/>
      <c r="D88" s="8" t="s">
        <v>1160</v>
      </c>
      <c r="E88" s="9">
        <v>4</v>
      </c>
      <c r="F88" s="10"/>
      <c r="G88" s="306"/>
    </row>
    <row r="89" spans="1:8" s="4" customFormat="1" ht="30" customHeight="1" thickBot="1" x14ac:dyDescent="0.35">
      <c r="A89" s="5"/>
      <c r="B89" s="6"/>
      <c r="C89" s="20"/>
      <c r="D89" s="161" t="s">
        <v>1016</v>
      </c>
      <c r="E89" s="162" t="s">
        <v>489</v>
      </c>
      <c r="F89" s="23" t="s">
        <v>1150</v>
      </c>
      <c r="G89" s="312"/>
      <c r="H89" s="298"/>
    </row>
    <row r="90" spans="1:8" s="4" customFormat="1" ht="30" customHeight="1" thickBot="1" x14ac:dyDescent="0.35">
      <c r="A90" s="25"/>
      <c r="B90" s="26"/>
      <c r="C90" s="27"/>
      <c r="D90" s="28"/>
      <c r="E90" s="365"/>
      <c r="F90" s="365"/>
      <c r="G90" s="476"/>
      <c r="H90" s="298"/>
    </row>
    <row r="91" spans="1:8" s="4" customFormat="1" ht="86.25" customHeight="1" thickBot="1" x14ac:dyDescent="0.35">
      <c r="A91" s="1" t="s">
        <v>0</v>
      </c>
      <c r="B91" s="2"/>
      <c r="C91" s="2"/>
      <c r="D91" s="2"/>
      <c r="E91" s="2"/>
      <c r="F91" s="2"/>
      <c r="G91" s="3"/>
      <c r="H91" s="298"/>
    </row>
    <row r="92" spans="1:8" s="4" customFormat="1" ht="30" customHeight="1" x14ac:dyDescent="0.3">
      <c r="A92" s="72">
        <v>44151</v>
      </c>
      <c r="B92" s="99" t="s">
        <v>1</v>
      </c>
      <c r="C92" s="114" t="s">
        <v>1032</v>
      </c>
      <c r="D92" s="32" t="s">
        <v>1161</v>
      </c>
      <c r="E92" s="33">
        <v>51</v>
      </c>
      <c r="F92" s="129" t="s">
        <v>1162</v>
      </c>
      <c r="G92" s="204" t="s">
        <v>1083</v>
      </c>
      <c r="H92" s="298"/>
    </row>
    <row r="93" spans="1:8" s="4" customFormat="1" ht="30" customHeight="1" x14ac:dyDescent="0.3">
      <c r="A93" s="5"/>
      <c r="B93" s="6"/>
      <c r="C93" s="16" t="s">
        <v>1163</v>
      </c>
      <c r="D93" s="8" t="s">
        <v>1164</v>
      </c>
      <c r="E93" s="9" t="s">
        <v>489</v>
      </c>
      <c r="F93" s="398"/>
      <c r="G93" s="319" t="s">
        <v>1065</v>
      </c>
      <c r="H93" s="298"/>
    </row>
    <row r="94" spans="1:8" s="4" customFormat="1" ht="30" customHeight="1" x14ac:dyDescent="0.3">
      <c r="A94" s="5"/>
      <c r="B94" s="6"/>
      <c r="C94" s="36"/>
      <c r="D94" s="8" t="s">
        <v>1165</v>
      </c>
      <c r="E94" s="9" t="s">
        <v>1087</v>
      </c>
      <c r="F94" s="398"/>
      <c r="G94" s="310"/>
      <c r="H94" s="298"/>
    </row>
    <row r="95" spans="1:8" s="4" customFormat="1" ht="30" customHeight="1" thickBot="1" x14ac:dyDescent="0.35">
      <c r="A95" s="5"/>
      <c r="B95" s="6"/>
      <c r="C95" s="76"/>
      <c r="D95" s="21"/>
      <c r="E95" s="22"/>
      <c r="F95" s="441"/>
      <c r="G95" s="424"/>
      <c r="H95" s="298"/>
    </row>
    <row r="96" spans="1:8" s="4" customFormat="1" ht="30" customHeight="1" thickBot="1" x14ac:dyDescent="0.35">
      <c r="A96" s="5"/>
      <c r="B96" s="6"/>
      <c r="C96" s="143" t="s">
        <v>1166</v>
      </c>
      <c r="D96" s="90" t="s">
        <v>1167</v>
      </c>
      <c r="E96" s="144" t="s">
        <v>1168</v>
      </c>
      <c r="F96" s="144" t="s">
        <v>1079</v>
      </c>
      <c r="G96" s="149"/>
      <c r="H96" s="298"/>
    </row>
    <row r="97" spans="1:13" s="4" customFormat="1" ht="30" customHeight="1" x14ac:dyDescent="0.3">
      <c r="A97" s="72">
        <v>44152</v>
      </c>
      <c r="B97" s="73" t="s">
        <v>15</v>
      </c>
      <c r="C97" s="501" t="s">
        <v>1169</v>
      </c>
      <c r="D97" s="502" t="s">
        <v>1170</v>
      </c>
      <c r="E97" s="503">
        <v>50</v>
      </c>
      <c r="F97" s="504"/>
      <c r="G97" s="505"/>
      <c r="H97" s="298"/>
    </row>
    <row r="98" spans="1:13" s="4" customFormat="1" ht="30" customHeight="1" x14ac:dyDescent="0.3">
      <c r="A98" s="5"/>
      <c r="B98" s="75"/>
      <c r="C98" s="506"/>
      <c r="D98" s="502" t="s">
        <v>1171</v>
      </c>
      <c r="E98" s="503">
        <v>50</v>
      </c>
      <c r="F98" s="504"/>
      <c r="G98" s="507"/>
      <c r="H98" s="298"/>
    </row>
    <row r="99" spans="1:13" s="4" customFormat="1" ht="30" customHeight="1" x14ac:dyDescent="0.3">
      <c r="A99" s="5"/>
      <c r="B99" s="6"/>
      <c r="C99" s="508" t="s">
        <v>688</v>
      </c>
      <c r="D99" s="502" t="s">
        <v>1172</v>
      </c>
      <c r="E99" s="503" t="s">
        <v>799</v>
      </c>
      <c r="F99" s="509" t="s">
        <v>1173</v>
      </c>
      <c r="G99" s="507"/>
      <c r="H99" s="298"/>
    </row>
    <row r="100" spans="1:13" s="4" customFormat="1" ht="30" customHeight="1" x14ac:dyDescent="0.3">
      <c r="A100" s="5"/>
      <c r="B100" s="6"/>
      <c r="C100" s="510" t="s">
        <v>1174</v>
      </c>
      <c r="D100" s="511" t="s">
        <v>1007</v>
      </c>
      <c r="E100" s="512" t="s">
        <v>769</v>
      </c>
      <c r="F100" s="513"/>
      <c r="G100" s="514"/>
      <c r="H100" s="298"/>
    </row>
    <row r="101" spans="1:13" s="4" customFormat="1" ht="30" customHeight="1" x14ac:dyDescent="0.3">
      <c r="A101" s="5"/>
      <c r="B101" s="6"/>
      <c r="C101" s="235"/>
      <c r="D101" s="95"/>
      <c r="E101" s="96"/>
      <c r="F101" s="493"/>
      <c r="G101" s="409"/>
      <c r="H101" s="298"/>
    </row>
    <row r="102" spans="1:13" s="4" customFormat="1" ht="30" customHeight="1" thickBot="1" x14ac:dyDescent="0.35">
      <c r="A102" s="5"/>
      <c r="B102" s="6"/>
      <c r="C102" s="76"/>
      <c r="D102" s="21"/>
      <c r="E102" s="22"/>
      <c r="F102" s="441"/>
      <c r="G102" s="424"/>
      <c r="H102" s="298"/>
    </row>
    <row r="103" spans="1:13" s="4" customFormat="1" ht="30" customHeight="1" thickBot="1" x14ac:dyDescent="0.35">
      <c r="A103" s="25"/>
      <c r="B103" s="79"/>
      <c r="C103" s="27" t="s">
        <v>1175</v>
      </c>
      <c r="D103" s="28" t="s">
        <v>1176</v>
      </c>
      <c r="E103" s="365" t="s">
        <v>1177</v>
      </c>
      <c r="F103" s="365" t="s">
        <v>1079</v>
      </c>
      <c r="G103" s="459"/>
      <c r="H103" s="298"/>
    </row>
    <row r="104" spans="1:13" s="4" customFormat="1" ht="30" customHeight="1" x14ac:dyDescent="0.3">
      <c r="A104" s="72">
        <v>44153</v>
      </c>
      <c r="B104" s="99" t="s">
        <v>21</v>
      </c>
      <c r="C104" s="515" t="s">
        <v>1036</v>
      </c>
      <c r="D104" s="516" t="s">
        <v>1178</v>
      </c>
      <c r="E104" s="517" t="s">
        <v>1179</v>
      </c>
      <c r="F104" s="518" t="s">
        <v>1180</v>
      </c>
      <c r="G104" s="519" t="s">
        <v>1181</v>
      </c>
      <c r="H104" s="298"/>
    </row>
    <row r="105" spans="1:13" customFormat="1" ht="30" customHeight="1" x14ac:dyDescent="0.3">
      <c r="A105" s="5"/>
      <c r="B105" s="6"/>
      <c r="C105" s="506"/>
      <c r="D105" s="502" t="s">
        <v>1182</v>
      </c>
      <c r="E105" s="503" t="s">
        <v>1183</v>
      </c>
      <c r="F105" s="520"/>
      <c r="G105" s="521"/>
    </row>
    <row r="106" spans="1:13" customFormat="1" ht="30" customHeight="1" x14ac:dyDescent="0.3">
      <c r="A106" s="5"/>
      <c r="B106" s="6"/>
      <c r="C106" s="522"/>
      <c r="D106" s="502" t="s">
        <v>1086</v>
      </c>
      <c r="E106" s="503" t="s">
        <v>769</v>
      </c>
      <c r="F106" s="520"/>
      <c r="G106" s="523"/>
    </row>
    <row r="107" spans="1:13" customFormat="1" ht="30" customHeight="1" x14ac:dyDescent="0.3">
      <c r="A107" s="5"/>
      <c r="B107" s="6"/>
      <c r="C107" s="501" t="s">
        <v>1040</v>
      </c>
      <c r="D107" s="502" t="s">
        <v>621</v>
      </c>
      <c r="E107" s="503" t="s">
        <v>1184</v>
      </c>
      <c r="F107" s="520"/>
      <c r="G107" s="514" t="s">
        <v>1185</v>
      </c>
      <c r="M107" s="524"/>
    </row>
    <row r="108" spans="1:13" customFormat="1" ht="30" customHeight="1" x14ac:dyDescent="0.3">
      <c r="A108" s="5"/>
      <c r="B108" s="6"/>
      <c r="C108" s="506"/>
      <c r="D108" s="511" t="s">
        <v>1186</v>
      </c>
      <c r="E108" s="512" t="s">
        <v>1187</v>
      </c>
      <c r="F108" s="525" t="s">
        <v>1188</v>
      </c>
      <c r="G108" s="514" t="s">
        <v>1035</v>
      </c>
    </row>
    <row r="109" spans="1:13" customFormat="1" ht="30" customHeight="1" x14ac:dyDescent="0.3">
      <c r="A109" s="5"/>
      <c r="B109" s="6"/>
      <c r="C109" s="508" t="s">
        <v>1107</v>
      </c>
      <c r="D109" s="502" t="s">
        <v>1178</v>
      </c>
      <c r="E109" s="503" t="s">
        <v>1113</v>
      </c>
      <c r="F109" s="509" t="s">
        <v>1189</v>
      </c>
      <c r="G109" s="507" t="s">
        <v>1035</v>
      </c>
    </row>
    <row r="110" spans="1:13" s="4" customFormat="1" ht="30" customHeight="1" thickBot="1" x14ac:dyDescent="0.35">
      <c r="A110" s="5"/>
      <c r="B110" s="6"/>
      <c r="C110" s="526" t="s">
        <v>1163</v>
      </c>
      <c r="D110" s="527" t="s">
        <v>1190</v>
      </c>
      <c r="E110" s="528" t="s">
        <v>892</v>
      </c>
      <c r="F110" s="529"/>
      <c r="G110" s="530" t="s">
        <v>669</v>
      </c>
      <c r="H110" s="298"/>
    </row>
    <row r="111" spans="1:13" s="4" customFormat="1" ht="30" customHeight="1" x14ac:dyDescent="0.3">
      <c r="A111" s="5"/>
      <c r="B111" s="6"/>
      <c r="C111" s="235"/>
      <c r="D111" s="95"/>
      <c r="E111" s="96"/>
      <c r="F111" s="493"/>
      <c r="G111" s="409"/>
      <c r="H111" s="298"/>
    </row>
    <row r="112" spans="1:13" s="4" customFormat="1" ht="30" customHeight="1" thickBot="1" x14ac:dyDescent="0.35">
      <c r="A112" s="5"/>
      <c r="B112" s="6"/>
      <c r="C112" s="76"/>
      <c r="D112" s="21"/>
      <c r="E112" s="22"/>
      <c r="F112" s="441"/>
      <c r="G112" s="424"/>
      <c r="H112" s="298"/>
    </row>
    <row r="113" spans="1:8" s="4" customFormat="1" ht="30" customHeight="1" thickBot="1" x14ac:dyDescent="0.35">
      <c r="A113" s="25"/>
      <c r="B113" s="26"/>
      <c r="C113" s="89"/>
      <c r="D113" s="90"/>
      <c r="E113" s="144"/>
      <c r="F113" s="144"/>
      <c r="G113" s="222"/>
      <c r="H113" s="298"/>
    </row>
    <row r="114" spans="1:8" s="4" customFormat="1" ht="30" customHeight="1" x14ac:dyDescent="0.3">
      <c r="A114" s="72">
        <v>44154</v>
      </c>
      <c r="B114" s="99" t="s">
        <v>41</v>
      </c>
      <c r="C114" s="515" t="s">
        <v>1040</v>
      </c>
      <c r="D114" s="531" t="s">
        <v>621</v>
      </c>
      <c r="E114" s="532">
        <v>112</v>
      </c>
      <c r="F114" s="533"/>
      <c r="G114" s="519" t="s">
        <v>1181</v>
      </c>
      <c r="H114" s="298"/>
    </row>
    <row r="115" spans="1:8" s="4" customFormat="1" ht="30" customHeight="1" x14ac:dyDescent="0.3">
      <c r="A115" s="5"/>
      <c r="B115" s="6"/>
      <c r="C115" s="506"/>
      <c r="D115" s="516" t="s">
        <v>917</v>
      </c>
      <c r="E115" s="517">
        <v>100</v>
      </c>
      <c r="F115" s="534"/>
      <c r="G115" s="521"/>
      <c r="H115" s="298"/>
    </row>
    <row r="116" spans="1:8" s="4" customFormat="1" ht="30" customHeight="1" x14ac:dyDescent="0.3">
      <c r="A116" s="5"/>
      <c r="B116" s="6"/>
      <c r="C116" s="522"/>
      <c r="D116" s="516" t="s">
        <v>1191</v>
      </c>
      <c r="E116" s="517" t="s">
        <v>1192</v>
      </c>
      <c r="F116" s="534"/>
      <c r="G116" s="523"/>
      <c r="H116" s="298"/>
    </row>
    <row r="117" spans="1:8" s="4" customFormat="1" ht="30" customHeight="1" x14ac:dyDescent="0.3">
      <c r="A117" s="5"/>
      <c r="B117" s="6"/>
      <c r="C117" s="506" t="s">
        <v>1193</v>
      </c>
      <c r="D117" s="516" t="s">
        <v>1194</v>
      </c>
      <c r="E117" s="517">
        <v>40</v>
      </c>
      <c r="F117" s="518"/>
      <c r="G117" s="535" t="s">
        <v>1195</v>
      </c>
      <c r="H117" s="298"/>
    </row>
    <row r="118" spans="1:8" s="4" customFormat="1" ht="30" customHeight="1" x14ac:dyDescent="0.3">
      <c r="A118" s="5"/>
      <c r="B118" s="6"/>
      <c r="C118" s="506"/>
      <c r="D118" s="502" t="s">
        <v>1196</v>
      </c>
      <c r="E118" s="503">
        <v>80</v>
      </c>
      <c r="F118" s="518"/>
      <c r="G118" s="521"/>
      <c r="H118" s="298"/>
    </row>
    <row r="119" spans="1:8" s="4" customFormat="1" ht="30" customHeight="1" x14ac:dyDescent="0.3">
      <c r="A119" s="5"/>
      <c r="B119" s="6"/>
      <c r="C119" s="506"/>
      <c r="D119" s="502" t="s">
        <v>1197</v>
      </c>
      <c r="E119" s="503" t="s">
        <v>1198</v>
      </c>
      <c r="F119" s="520"/>
      <c r="G119" s="521"/>
      <c r="H119" s="298"/>
    </row>
    <row r="120" spans="1:8" s="4" customFormat="1" ht="30" customHeight="1" x14ac:dyDescent="0.3">
      <c r="A120" s="5"/>
      <c r="B120" s="6"/>
      <c r="C120" s="506"/>
      <c r="D120" s="511" t="s">
        <v>991</v>
      </c>
      <c r="E120" s="512" t="s">
        <v>1199</v>
      </c>
      <c r="F120" s="520"/>
      <c r="G120" s="523"/>
      <c r="H120" s="298"/>
    </row>
    <row r="121" spans="1:8" s="4" customFormat="1" ht="30" customHeight="1" x14ac:dyDescent="0.3">
      <c r="A121" s="5"/>
      <c r="B121" s="6"/>
      <c r="C121" s="536" t="s">
        <v>1200</v>
      </c>
      <c r="D121" s="537" t="s">
        <v>1201</v>
      </c>
      <c r="E121" s="503" t="s">
        <v>1092</v>
      </c>
      <c r="F121" s="538"/>
      <c r="G121" s="507" t="s">
        <v>1202</v>
      </c>
      <c r="H121" s="298"/>
    </row>
    <row r="122" spans="1:8" s="4" customFormat="1" ht="30" customHeight="1" x14ac:dyDescent="0.3">
      <c r="A122" s="5"/>
      <c r="B122" s="6"/>
      <c r="C122" s="539" t="s">
        <v>1090</v>
      </c>
      <c r="D122" s="537" t="s">
        <v>1194</v>
      </c>
      <c r="E122" s="503" t="s">
        <v>1092</v>
      </c>
      <c r="F122" s="538"/>
      <c r="G122" s="540" t="s">
        <v>1203</v>
      </c>
      <c r="H122" s="298"/>
    </row>
    <row r="123" spans="1:8" s="4" customFormat="1" ht="30" customHeight="1" x14ac:dyDescent="0.3">
      <c r="A123" s="5"/>
      <c r="B123" s="6"/>
      <c r="C123" s="539" t="s">
        <v>1204</v>
      </c>
      <c r="D123" s="502" t="s">
        <v>1016</v>
      </c>
      <c r="E123" s="503" t="s">
        <v>1205</v>
      </c>
      <c r="F123" s="520" t="s">
        <v>1206</v>
      </c>
      <c r="G123" s="540" t="s">
        <v>1075</v>
      </c>
      <c r="H123" s="298"/>
    </row>
    <row r="124" spans="1:8" s="4" customFormat="1" ht="30" customHeight="1" thickBot="1" x14ac:dyDescent="0.35">
      <c r="A124" s="5"/>
      <c r="B124" s="6"/>
      <c r="C124" s="249"/>
      <c r="D124" s="82"/>
      <c r="E124" s="9"/>
      <c r="F124" s="131"/>
      <c r="G124" s="280"/>
      <c r="H124" s="298"/>
    </row>
    <row r="125" spans="1:8" s="4" customFormat="1" ht="30" customHeight="1" thickBot="1" x14ac:dyDescent="0.35">
      <c r="A125" s="25"/>
      <c r="B125" s="26"/>
      <c r="C125" s="27"/>
      <c r="D125" s="28"/>
      <c r="E125" s="365"/>
      <c r="F125" s="365"/>
      <c r="G125" s="462"/>
      <c r="H125" s="298"/>
    </row>
    <row r="126" spans="1:8" s="4" customFormat="1" ht="30" customHeight="1" x14ac:dyDescent="0.3">
      <c r="A126" s="5">
        <v>44155</v>
      </c>
      <c r="B126" s="6" t="s">
        <v>1207</v>
      </c>
      <c r="C126" s="541" t="s">
        <v>1208</v>
      </c>
      <c r="D126" s="531" t="s">
        <v>1044</v>
      </c>
      <c r="E126" s="532">
        <v>50</v>
      </c>
      <c r="F126" s="542"/>
      <c r="G126" s="543" t="s">
        <v>1209</v>
      </c>
      <c r="H126" s="298" t="s">
        <v>1210</v>
      </c>
    </row>
    <row r="127" spans="1:8" s="4" customFormat="1" ht="30" customHeight="1" x14ac:dyDescent="0.3">
      <c r="A127" s="5"/>
      <c r="B127" s="6"/>
      <c r="C127" s="544"/>
      <c r="D127" s="502" t="s">
        <v>955</v>
      </c>
      <c r="E127" s="503" t="s">
        <v>1211</v>
      </c>
      <c r="F127" s="520" t="s">
        <v>1150</v>
      </c>
      <c r="G127" s="545"/>
      <c r="H127" s="298"/>
    </row>
    <row r="128" spans="1:8" s="4" customFormat="1" ht="30" customHeight="1" x14ac:dyDescent="0.3">
      <c r="A128" s="5"/>
      <c r="B128" s="6"/>
      <c r="C128" s="546" t="s">
        <v>1110</v>
      </c>
      <c r="D128" s="502" t="s">
        <v>1111</v>
      </c>
      <c r="E128" s="503" t="s">
        <v>724</v>
      </c>
      <c r="F128" s="520"/>
      <c r="G128" s="540" t="s">
        <v>1212</v>
      </c>
      <c r="H128" s="298"/>
    </row>
    <row r="129" spans="1:8" s="4" customFormat="1" ht="30" customHeight="1" x14ac:dyDescent="0.3">
      <c r="A129" s="5"/>
      <c r="B129" s="6"/>
      <c r="C129" s="510" t="s">
        <v>1213</v>
      </c>
      <c r="D129" s="511" t="s">
        <v>1178</v>
      </c>
      <c r="E129" s="512" t="s">
        <v>1062</v>
      </c>
      <c r="F129" s="513" t="s">
        <v>596</v>
      </c>
      <c r="G129" s="514" t="s">
        <v>1214</v>
      </c>
      <c r="H129" s="298"/>
    </row>
    <row r="130" spans="1:8" s="4" customFormat="1" ht="30" customHeight="1" x14ac:dyDescent="0.3">
      <c r="A130" s="5"/>
      <c r="B130" s="6"/>
      <c r="C130" s="235"/>
      <c r="D130" s="95"/>
      <c r="E130" s="96"/>
      <c r="F130" s="493"/>
      <c r="G130" s="409"/>
      <c r="H130" s="298"/>
    </row>
    <row r="131" spans="1:8" s="4" customFormat="1" ht="30" customHeight="1" thickBot="1" x14ac:dyDescent="0.35">
      <c r="A131" s="5"/>
      <c r="B131" s="6"/>
      <c r="C131" s="107"/>
      <c r="D131" s="108"/>
      <c r="E131" s="22"/>
      <c r="F131" s="177"/>
      <c r="G131" s="424"/>
      <c r="H131" s="298"/>
    </row>
    <row r="132" spans="1:8" s="4" customFormat="1" ht="30" customHeight="1" thickBot="1" x14ac:dyDescent="0.35">
      <c r="A132" s="25"/>
      <c r="B132" s="26"/>
      <c r="C132" s="89"/>
      <c r="D132" s="90"/>
      <c r="E132" s="144"/>
      <c r="F132" s="144"/>
      <c r="G132" s="149"/>
      <c r="H132" s="298"/>
    </row>
    <row r="133" spans="1:8" s="4" customFormat="1" ht="86.25" customHeight="1" thickBot="1" x14ac:dyDescent="0.35">
      <c r="A133" s="1" t="s">
        <v>0</v>
      </c>
      <c r="B133" s="2"/>
      <c r="C133" s="2"/>
      <c r="D133" s="2"/>
      <c r="E133" s="2"/>
      <c r="F133" s="2"/>
      <c r="G133" s="3"/>
      <c r="H133" s="298"/>
    </row>
    <row r="134" spans="1:8" ht="30.75" customHeight="1" x14ac:dyDescent="0.3">
      <c r="A134" s="72">
        <v>44158</v>
      </c>
      <c r="B134" s="99" t="s">
        <v>1</v>
      </c>
      <c r="C134" s="547" t="s">
        <v>1215</v>
      </c>
      <c r="D134" s="537" t="s">
        <v>1138</v>
      </c>
      <c r="E134" s="503" t="s">
        <v>1216</v>
      </c>
      <c r="F134" s="538"/>
      <c r="G134" s="519" t="s">
        <v>1026</v>
      </c>
      <c r="H134" s="298" t="s">
        <v>1217</v>
      </c>
    </row>
    <row r="135" spans="1:8" ht="30.75" customHeight="1" x14ac:dyDescent="0.3">
      <c r="A135" s="5"/>
      <c r="B135" s="6"/>
      <c r="C135" s="548"/>
      <c r="D135" s="537" t="s">
        <v>1218</v>
      </c>
      <c r="E135" s="503" t="s">
        <v>1219</v>
      </c>
      <c r="F135" s="538"/>
      <c r="G135" s="523"/>
    </row>
    <row r="136" spans="1:8" ht="30.75" customHeight="1" x14ac:dyDescent="0.3">
      <c r="A136" s="5"/>
      <c r="B136" s="6"/>
      <c r="C136" s="536" t="s">
        <v>1059</v>
      </c>
      <c r="D136" s="502" t="s">
        <v>1041</v>
      </c>
      <c r="E136" s="517" t="s">
        <v>1220</v>
      </c>
      <c r="F136" s="549"/>
      <c r="G136" s="507" t="s">
        <v>1221</v>
      </c>
      <c r="H136" s="496"/>
    </row>
    <row r="137" spans="1:8" s="4" customFormat="1" ht="30.75" customHeight="1" x14ac:dyDescent="0.3">
      <c r="A137" s="5"/>
      <c r="B137" s="6"/>
      <c r="C137" s="544" t="s">
        <v>1222</v>
      </c>
      <c r="D137" s="502" t="s">
        <v>1071</v>
      </c>
      <c r="E137" s="503">
        <v>50</v>
      </c>
      <c r="F137" s="550" t="s">
        <v>1223</v>
      </c>
      <c r="G137" s="545" t="s">
        <v>1224</v>
      </c>
      <c r="H137" s="298"/>
    </row>
    <row r="138" spans="1:8" customFormat="1" ht="30.75" customHeight="1" x14ac:dyDescent="0.3">
      <c r="A138" s="5"/>
      <c r="B138" s="6"/>
      <c r="C138" s="544"/>
      <c r="D138" s="502" t="s">
        <v>1225</v>
      </c>
      <c r="E138" s="503">
        <v>50</v>
      </c>
      <c r="F138" s="550"/>
      <c r="G138" s="545"/>
    </row>
    <row r="139" spans="1:8" customFormat="1" ht="30.75" customHeight="1" x14ac:dyDescent="0.3">
      <c r="A139" s="5"/>
      <c r="B139" s="6"/>
      <c r="C139" s="536" t="s">
        <v>1226</v>
      </c>
      <c r="D139" s="537" t="s">
        <v>1227</v>
      </c>
      <c r="E139" s="503" t="s">
        <v>1067</v>
      </c>
      <c r="F139" s="538"/>
      <c r="G139" s="507" t="s">
        <v>1228</v>
      </c>
      <c r="H139" s="496" t="s">
        <v>1229</v>
      </c>
    </row>
    <row r="140" spans="1:8" customFormat="1" ht="30.75" customHeight="1" x14ac:dyDescent="0.3">
      <c r="A140" s="5"/>
      <c r="B140" s="6"/>
      <c r="C140" s="508" t="s">
        <v>1032</v>
      </c>
      <c r="D140" s="502" t="s">
        <v>1230</v>
      </c>
      <c r="E140" s="503" t="s">
        <v>742</v>
      </c>
      <c r="F140" s="509"/>
      <c r="G140" s="507" t="s">
        <v>1231</v>
      </c>
    </row>
    <row r="141" spans="1:8" customFormat="1" ht="30.75" customHeight="1" x14ac:dyDescent="0.3">
      <c r="A141" s="5"/>
      <c r="B141" s="6"/>
      <c r="C141" s="501" t="s">
        <v>1232</v>
      </c>
      <c r="D141" s="502" t="s">
        <v>1165</v>
      </c>
      <c r="E141" s="503" t="s">
        <v>1233</v>
      </c>
      <c r="F141" s="509"/>
      <c r="G141" s="535" t="s">
        <v>669</v>
      </c>
    </row>
    <row r="142" spans="1:8" customFormat="1" ht="30.75" customHeight="1" x14ac:dyDescent="0.3">
      <c r="A142" s="5"/>
      <c r="B142" s="6"/>
      <c r="C142" s="506"/>
      <c r="D142" s="502" t="s">
        <v>1190</v>
      </c>
      <c r="E142" s="503" t="s">
        <v>489</v>
      </c>
      <c r="F142" s="509"/>
      <c r="G142" s="521"/>
    </row>
    <row r="143" spans="1:8" customFormat="1" ht="30.75" customHeight="1" x14ac:dyDescent="0.3">
      <c r="A143" s="5"/>
      <c r="B143" s="6"/>
      <c r="C143" s="506"/>
      <c r="D143" s="502" t="s">
        <v>1234</v>
      </c>
      <c r="E143" s="503" t="s">
        <v>1235</v>
      </c>
      <c r="F143" s="509"/>
      <c r="G143" s="521"/>
    </row>
    <row r="144" spans="1:8" customFormat="1" ht="30.75" customHeight="1" x14ac:dyDescent="0.3">
      <c r="A144" s="5"/>
      <c r="B144" s="6"/>
      <c r="C144" s="522"/>
      <c r="D144" s="502" t="s">
        <v>1236</v>
      </c>
      <c r="E144" s="503" t="s">
        <v>870</v>
      </c>
      <c r="F144" s="509"/>
      <c r="G144" s="523"/>
    </row>
    <row r="145" spans="1:8" customFormat="1" ht="30.75" customHeight="1" thickBot="1" x14ac:dyDescent="0.35">
      <c r="A145" s="5"/>
      <c r="B145" s="6"/>
      <c r="C145" s="276"/>
      <c r="D145" s="8"/>
      <c r="E145" s="9"/>
      <c r="F145" s="439"/>
      <c r="G145" s="205"/>
    </row>
    <row r="146" spans="1:8" ht="30.75" customHeight="1" thickBot="1" x14ac:dyDescent="0.35">
      <c r="A146" s="25"/>
      <c r="B146" s="26"/>
      <c r="C146" s="27"/>
      <c r="D146" s="28"/>
      <c r="E146" s="365"/>
      <c r="F146" s="489"/>
      <c r="G146" s="486"/>
    </row>
    <row r="147" spans="1:8" ht="30.75" customHeight="1" x14ac:dyDescent="0.3">
      <c r="A147" s="72">
        <v>44159</v>
      </c>
      <c r="B147" s="99" t="s">
        <v>1042</v>
      </c>
      <c r="C147" s="536" t="s">
        <v>1237</v>
      </c>
      <c r="D147" s="537" t="s">
        <v>1111</v>
      </c>
      <c r="E147" s="503" t="s">
        <v>1067</v>
      </c>
      <c r="F147" s="538"/>
      <c r="G147" s="507" t="s">
        <v>1238</v>
      </c>
    </row>
    <row r="148" spans="1:8" ht="30.75" customHeight="1" x14ac:dyDescent="0.3">
      <c r="A148" s="5"/>
      <c r="B148" s="6"/>
      <c r="C148" s="508" t="s">
        <v>1208</v>
      </c>
      <c r="D148" s="502" t="s">
        <v>1071</v>
      </c>
      <c r="E148" s="503" t="s">
        <v>724</v>
      </c>
      <c r="F148" s="549" t="s">
        <v>1239</v>
      </c>
      <c r="G148" s="507" t="s">
        <v>1240</v>
      </c>
      <c r="H148" s="298" t="s">
        <v>1241</v>
      </c>
    </row>
    <row r="149" spans="1:8" ht="30.75" customHeight="1" x14ac:dyDescent="0.3">
      <c r="A149" s="5"/>
      <c r="B149" s="6"/>
      <c r="C149" s="508" t="s">
        <v>1032</v>
      </c>
      <c r="D149" s="502" t="s">
        <v>1064</v>
      </c>
      <c r="E149" s="503" t="s">
        <v>1067</v>
      </c>
      <c r="F149" s="549"/>
      <c r="G149" s="514" t="s">
        <v>1065</v>
      </c>
    </row>
    <row r="150" spans="1:8" ht="30.75" customHeight="1" x14ac:dyDescent="0.3">
      <c r="A150" s="5"/>
      <c r="B150" s="6"/>
      <c r="C150" s="510" t="s">
        <v>598</v>
      </c>
      <c r="D150" s="511" t="s">
        <v>1242</v>
      </c>
      <c r="E150" s="512" t="s">
        <v>1037</v>
      </c>
      <c r="F150" s="551"/>
      <c r="G150" s="552" t="s">
        <v>1065</v>
      </c>
    </row>
    <row r="151" spans="1:8" ht="30.75" customHeight="1" x14ac:dyDescent="0.3">
      <c r="A151" s="5"/>
      <c r="B151" s="6"/>
      <c r="C151" s="501" t="s">
        <v>752</v>
      </c>
      <c r="D151" s="511" t="s">
        <v>1178</v>
      </c>
      <c r="E151" s="512" t="s">
        <v>1243</v>
      </c>
      <c r="F151" s="553" t="s">
        <v>1244</v>
      </c>
      <c r="G151" s="554" t="s">
        <v>1065</v>
      </c>
    </row>
    <row r="152" spans="1:8" ht="30.75" customHeight="1" thickBot="1" x14ac:dyDescent="0.35">
      <c r="A152" s="5"/>
      <c r="B152" s="6"/>
      <c r="C152" s="555"/>
      <c r="D152" s="511" t="s">
        <v>1245</v>
      </c>
      <c r="E152" s="556" t="s">
        <v>1087</v>
      </c>
      <c r="F152" s="553" t="s">
        <v>596</v>
      </c>
      <c r="G152" s="557"/>
    </row>
    <row r="153" spans="1:8" ht="30.75" customHeight="1" thickBot="1" x14ac:dyDescent="0.35">
      <c r="A153" s="25"/>
      <c r="B153" s="26"/>
      <c r="C153" s="52"/>
      <c r="D153" s="558"/>
      <c r="E153" s="559"/>
      <c r="F153" s="560"/>
      <c r="G153" s="561"/>
    </row>
    <row r="154" spans="1:8" ht="30.75" customHeight="1" x14ac:dyDescent="0.3">
      <c r="A154" s="5">
        <v>44160</v>
      </c>
      <c r="B154" s="6" t="s">
        <v>1058</v>
      </c>
      <c r="C154" s="562" t="s">
        <v>1022</v>
      </c>
      <c r="D154" s="531" t="s">
        <v>1007</v>
      </c>
      <c r="E154" s="532" t="s">
        <v>724</v>
      </c>
      <c r="F154" s="563"/>
      <c r="G154" s="564" t="s">
        <v>1181</v>
      </c>
    </row>
    <row r="155" spans="1:8" ht="30.75" customHeight="1" x14ac:dyDescent="0.3">
      <c r="A155" s="5"/>
      <c r="B155" s="6"/>
      <c r="C155" s="501" t="s">
        <v>1193</v>
      </c>
      <c r="D155" s="502" t="s">
        <v>1164</v>
      </c>
      <c r="E155" s="503" t="s">
        <v>1246</v>
      </c>
      <c r="F155" s="565"/>
      <c r="G155" s="566"/>
    </row>
    <row r="156" spans="1:8" ht="30.75" customHeight="1" x14ac:dyDescent="0.3">
      <c r="A156" s="5"/>
      <c r="B156" s="6"/>
      <c r="C156" s="506"/>
      <c r="D156" s="502" t="s">
        <v>1000</v>
      </c>
      <c r="E156" s="503" t="s">
        <v>1247</v>
      </c>
      <c r="F156" s="565"/>
      <c r="G156" s="566"/>
    </row>
    <row r="157" spans="1:8" ht="30.75" customHeight="1" x14ac:dyDescent="0.3">
      <c r="A157" s="5"/>
      <c r="B157" s="6"/>
      <c r="C157" s="522"/>
      <c r="D157" s="511" t="s">
        <v>1248</v>
      </c>
      <c r="E157" s="512" t="s">
        <v>1199</v>
      </c>
      <c r="F157" s="567"/>
      <c r="G157" s="568"/>
    </row>
    <row r="158" spans="1:8" ht="30.75" customHeight="1" x14ac:dyDescent="0.3">
      <c r="A158" s="5"/>
      <c r="B158" s="6"/>
      <c r="C158" s="508" t="s">
        <v>1110</v>
      </c>
      <c r="D158" s="502" t="s">
        <v>1249</v>
      </c>
      <c r="E158" s="503" t="s">
        <v>724</v>
      </c>
      <c r="F158" s="565"/>
      <c r="G158" s="569" t="s">
        <v>1185</v>
      </c>
    </row>
    <row r="159" spans="1:8" ht="30.75" customHeight="1" x14ac:dyDescent="0.3">
      <c r="A159" s="5"/>
      <c r="B159" s="6"/>
      <c r="C159" s="544" t="s">
        <v>1043</v>
      </c>
      <c r="D159" s="502" t="s">
        <v>1250</v>
      </c>
      <c r="E159" s="503" t="s">
        <v>1087</v>
      </c>
      <c r="F159" s="565" t="s">
        <v>771</v>
      </c>
      <c r="G159" s="570" t="s">
        <v>1251</v>
      </c>
    </row>
    <row r="160" spans="1:8" ht="30.75" customHeight="1" x14ac:dyDescent="0.3">
      <c r="A160" s="5"/>
      <c r="B160" s="6"/>
      <c r="C160" s="544"/>
      <c r="D160" s="502" t="s">
        <v>1160</v>
      </c>
      <c r="E160" s="503" t="s">
        <v>1105</v>
      </c>
      <c r="F160" s="565"/>
      <c r="G160" s="570"/>
    </row>
    <row r="161" spans="1:9" ht="30.75" customHeight="1" x14ac:dyDescent="0.3">
      <c r="A161" s="5"/>
      <c r="B161" s="6"/>
      <c r="C161" s="544"/>
      <c r="D161" s="502" t="s">
        <v>1071</v>
      </c>
      <c r="E161" s="503" t="s">
        <v>1037</v>
      </c>
      <c r="F161" s="565"/>
      <c r="G161" s="570"/>
    </row>
    <row r="162" spans="1:9" ht="30.75" customHeight="1" x14ac:dyDescent="0.3">
      <c r="A162" s="5"/>
      <c r="B162" s="6"/>
      <c r="C162" s="544"/>
      <c r="D162" s="502" t="s">
        <v>1225</v>
      </c>
      <c r="E162" s="503" t="s">
        <v>769</v>
      </c>
      <c r="F162" s="565"/>
      <c r="G162" s="570"/>
    </row>
    <row r="163" spans="1:9" ht="30.75" customHeight="1" x14ac:dyDescent="0.3">
      <c r="A163" s="5"/>
      <c r="B163" s="6"/>
      <c r="C163" s="508" t="s">
        <v>1252</v>
      </c>
      <c r="D163" s="502" t="s">
        <v>1253</v>
      </c>
      <c r="E163" s="503" t="s">
        <v>1254</v>
      </c>
      <c r="F163" s="509"/>
      <c r="G163" s="571" t="s">
        <v>1255</v>
      </c>
      <c r="I163" s="12" t="s">
        <v>1256</v>
      </c>
    </row>
    <row r="164" spans="1:9" ht="30.75" customHeight="1" x14ac:dyDescent="0.3">
      <c r="A164" s="5"/>
      <c r="B164" s="6"/>
      <c r="C164" s="510" t="s">
        <v>1257</v>
      </c>
      <c r="D164" s="511" t="s">
        <v>1178</v>
      </c>
      <c r="E164" s="512" t="s">
        <v>1074</v>
      </c>
      <c r="F164" s="513" t="s">
        <v>1049</v>
      </c>
      <c r="G164" s="572" t="s">
        <v>1258</v>
      </c>
      <c r="H164" s="298" t="s">
        <v>1259</v>
      </c>
      <c r="I164" s="12" t="s">
        <v>1260</v>
      </c>
    </row>
    <row r="165" spans="1:9" ht="30.75" customHeight="1" thickBot="1" x14ac:dyDescent="0.35">
      <c r="A165" s="5"/>
      <c r="B165" s="6"/>
      <c r="C165" s="235"/>
      <c r="D165" s="95"/>
      <c r="E165" s="96"/>
      <c r="F165" s="493"/>
      <c r="G165" s="211"/>
    </row>
    <row r="166" spans="1:9" ht="30.75" customHeight="1" thickBot="1" x14ac:dyDescent="0.35">
      <c r="A166" s="25"/>
      <c r="B166" s="26"/>
      <c r="C166" s="27"/>
      <c r="D166" s="28"/>
      <c r="E166" s="365"/>
      <c r="F166" s="365"/>
      <c r="G166" s="366"/>
    </row>
    <row r="167" spans="1:9" ht="30.75" customHeight="1" x14ac:dyDescent="0.3">
      <c r="A167" s="72">
        <v>44161</v>
      </c>
      <c r="B167" s="99" t="s">
        <v>41</v>
      </c>
      <c r="C167" s="547" t="s">
        <v>598</v>
      </c>
      <c r="D167" s="537" t="s">
        <v>1250</v>
      </c>
      <c r="E167" s="503" t="s">
        <v>1261</v>
      </c>
      <c r="F167" s="538"/>
      <c r="G167" s="507"/>
    </row>
    <row r="168" spans="1:9" ht="30.75" customHeight="1" x14ac:dyDescent="0.3">
      <c r="A168" s="5"/>
      <c r="B168" s="6"/>
      <c r="C168" s="573"/>
      <c r="D168" s="516" t="s">
        <v>1262</v>
      </c>
      <c r="E168" s="517" t="s">
        <v>1263</v>
      </c>
      <c r="F168" s="518"/>
      <c r="G168" s="574"/>
    </row>
    <row r="169" spans="1:9" ht="30.75" customHeight="1" x14ac:dyDescent="0.3">
      <c r="A169" s="5"/>
      <c r="B169" s="6"/>
      <c r="C169" s="573"/>
      <c r="D169" s="537" t="s">
        <v>1264</v>
      </c>
      <c r="E169" s="503" t="s">
        <v>1265</v>
      </c>
      <c r="F169" s="538"/>
      <c r="G169" s="507"/>
    </row>
    <row r="170" spans="1:9" ht="30.75" customHeight="1" x14ac:dyDescent="0.3">
      <c r="A170" s="5"/>
      <c r="B170" s="6"/>
      <c r="C170" s="573"/>
      <c r="D170" s="502" t="s">
        <v>1266</v>
      </c>
      <c r="E170" s="512" t="s">
        <v>638</v>
      </c>
      <c r="F170" s="575"/>
      <c r="G170" s="576"/>
    </row>
    <row r="171" spans="1:9" ht="30.75" customHeight="1" x14ac:dyDescent="0.3">
      <c r="A171" s="5"/>
      <c r="B171" s="6"/>
      <c r="C171" s="573"/>
      <c r="D171" s="511" t="s">
        <v>1023</v>
      </c>
      <c r="E171" s="512" t="s">
        <v>897</v>
      </c>
      <c r="F171" s="575"/>
      <c r="G171" s="576"/>
    </row>
    <row r="172" spans="1:9" ht="30.75" customHeight="1" x14ac:dyDescent="0.3">
      <c r="A172" s="5"/>
      <c r="B172" s="6"/>
      <c r="C172" s="573"/>
      <c r="D172" s="511" t="s">
        <v>1267</v>
      </c>
      <c r="E172" s="512" t="s">
        <v>1067</v>
      </c>
      <c r="F172" s="575"/>
      <c r="G172" s="576"/>
    </row>
    <row r="173" spans="1:9" ht="30.75" customHeight="1" x14ac:dyDescent="0.3">
      <c r="A173" s="5"/>
      <c r="B173" s="6"/>
      <c r="C173" s="548"/>
      <c r="D173" s="511" t="s">
        <v>1268</v>
      </c>
      <c r="E173" s="503" t="s">
        <v>1037</v>
      </c>
      <c r="F173" s="575"/>
      <c r="G173" s="576"/>
    </row>
    <row r="174" spans="1:9" ht="30.75" customHeight="1" x14ac:dyDescent="0.3">
      <c r="A174" s="5"/>
      <c r="B174" s="6"/>
      <c r="C174" s="501" t="s">
        <v>1043</v>
      </c>
      <c r="D174" s="502" t="s">
        <v>1159</v>
      </c>
      <c r="E174" s="517" t="s">
        <v>1269</v>
      </c>
      <c r="F174" s="577" t="s">
        <v>1239</v>
      </c>
      <c r="G174" s="578" t="s">
        <v>1203</v>
      </c>
    </row>
    <row r="175" spans="1:9" ht="30.75" customHeight="1" thickBot="1" x14ac:dyDescent="0.35">
      <c r="A175" s="5"/>
      <c r="B175" s="6"/>
      <c r="C175" s="555"/>
      <c r="D175" s="579" t="s">
        <v>1270</v>
      </c>
      <c r="E175" s="556">
        <v>1</v>
      </c>
      <c r="F175" s="580"/>
      <c r="G175" s="581"/>
    </row>
    <row r="176" spans="1:9" ht="30.75" customHeight="1" thickBot="1" x14ac:dyDescent="0.35">
      <c r="A176" s="25"/>
      <c r="B176" s="26"/>
      <c r="C176" s="52"/>
      <c r="D176" s="558"/>
      <c r="E176" s="559"/>
      <c r="F176" s="560"/>
      <c r="G176" s="561"/>
    </row>
    <row r="177" spans="1:24" ht="30.75" customHeight="1" x14ac:dyDescent="0.3">
      <c r="A177" s="72">
        <v>44162</v>
      </c>
      <c r="B177" s="99" t="s">
        <v>55</v>
      </c>
      <c r="C177" s="582" t="s">
        <v>1271</v>
      </c>
      <c r="D177" s="531" t="s">
        <v>1272</v>
      </c>
      <c r="E177" s="532" t="s">
        <v>1273</v>
      </c>
      <c r="F177" s="583"/>
      <c r="G177" s="584" t="s">
        <v>1274</v>
      </c>
      <c r="H177" s="298" t="s">
        <v>1217</v>
      </c>
      <c r="L177" s="585"/>
    </row>
    <row r="178" spans="1:24" ht="30.75" customHeight="1" x14ac:dyDescent="0.3">
      <c r="A178" s="5"/>
      <c r="B178" s="6"/>
      <c r="C178" s="586"/>
      <c r="D178" s="502" t="s">
        <v>1275</v>
      </c>
      <c r="E178" s="503" t="s">
        <v>1105</v>
      </c>
      <c r="F178" s="565"/>
      <c r="G178" s="570"/>
      <c r="L178" s="585"/>
    </row>
    <row r="179" spans="1:24" ht="30.75" customHeight="1" x14ac:dyDescent="0.3">
      <c r="A179" s="5"/>
      <c r="B179" s="6"/>
      <c r="C179" s="586"/>
      <c r="D179" s="502" t="s">
        <v>1023</v>
      </c>
      <c r="E179" s="503" t="s">
        <v>883</v>
      </c>
      <c r="F179" s="565"/>
      <c r="G179" s="570"/>
    </row>
    <row r="180" spans="1:24" s="4" customFormat="1" ht="30.75" customHeight="1" x14ac:dyDescent="0.3">
      <c r="A180" s="5"/>
      <c r="B180" s="6"/>
      <c r="C180" s="586"/>
      <c r="D180" s="502" t="s">
        <v>1276</v>
      </c>
      <c r="E180" s="503" t="s">
        <v>1277</v>
      </c>
      <c r="F180" s="502" t="s">
        <v>1278</v>
      </c>
      <c r="G180" s="570"/>
      <c r="H180" s="298"/>
    </row>
    <row r="181" spans="1:24" s="4" customFormat="1" ht="30.75" customHeight="1" x14ac:dyDescent="0.3">
      <c r="A181" s="5"/>
      <c r="B181" s="6"/>
      <c r="C181" s="587" t="s">
        <v>1022</v>
      </c>
      <c r="D181" s="502" t="s">
        <v>1250</v>
      </c>
      <c r="E181" s="503" t="s">
        <v>1279</v>
      </c>
      <c r="F181" s="502" t="s">
        <v>1280</v>
      </c>
      <c r="G181" s="507" t="s">
        <v>1026</v>
      </c>
      <c r="H181" s="298" t="s">
        <v>1281</v>
      </c>
      <c r="X181" s="464" t="s">
        <v>1282</v>
      </c>
    </row>
    <row r="182" spans="1:24" s="4" customFormat="1" ht="30.75" customHeight="1" x14ac:dyDescent="0.3">
      <c r="A182" s="5"/>
      <c r="B182" s="6"/>
      <c r="C182" s="587" t="s">
        <v>688</v>
      </c>
      <c r="D182" s="502" t="s">
        <v>1194</v>
      </c>
      <c r="E182" s="503" t="s">
        <v>769</v>
      </c>
      <c r="F182" s="502"/>
      <c r="G182" s="569" t="s">
        <v>1065</v>
      </c>
      <c r="H182" s="298"/>
      <c r="X182" s="464"/>
    </row>
    <row r="183" spans="1:24" s="298" customFormat="1" ht="30.75" customHeight="1" x14ac:dyDescent="0.3">
      <c r="A183" s="5"/>
      <c r="B183" s="6"/>
      <c r="C183" s="588" t="s">
        <v>1283</v>
      </c>
      <c r="D183" s="537" t="s">
        <v>1284</v>
      </c>
      <c r="E183" s="503" t="s">
        <v>1039</v>
      </c>
      <c r="F183" s="509"/>
      <c r="G183" s="569" t="s">
        <v>1065</v>
      </c>
      <c r="H183" s="298" t="s">
        <v>1281</v>
      </c>
    </row>
    <row r="184" spans="1:24" s="298" customFormat="1" ht="30.75" customHeight="1" x14ac:dyDescent="0.3">
      <c r="A184" s="5"/>
      <c r="B184" s="6"/>
      <c r="C184" s="589"/>
      <c r="D184" s="537" t="s">
        <v>1250</v>
      </c>
      <c r="E184" s="503" t="s">
        <v>1021</v>
      </c>
      <c r="F184" s="509" t="s">
        <v>1285</v>
      </c>
      <c r="G184" s="552"/>
    </row>
    <row r="185" spans="1:24" s="298" customFormat="1" ht="30.75" customHeight="1" x14ac:dyDescent="0.3">
      <c r="A185" s="5"/>
      <c r="B185" s="6"/>
      <c r="C185" s="588" t="s">
        <v>1163</v>
      </c>
      <c r="D185" s="537" t="s">
        <v>1190</v>
      </c>
      <c r="E185" s="503" t="s">
        <v>1233</v>
      </c>
      <c r="F185" s="590"/>
      <c r="G185" s="554" t="s">
        <v>669</v>
      </c>
    </row>
    <row r="186" spans="1:24" s="298" customFormat="1" ht="30.75" customHeight="1" x14ac:dyDescent="0.3">
      <c r="A186" s="5"/>
      <c r="B186" s="6"/>
      <c r="C186" s="591"/>
      <c r="D186" s="537" t="s">
        <v>1182</v>
      </c>
      <c r="E186" s="503" t="s">
        <v>1265</v>
      </c>
      <c r="F186" s="590"/>
      <c r="G186" s="592"/>
    </row>
    <row r="187" spans="1:24" s="298" customFormat="1" ht="30.75" customHeight="1" x14ac:dyDescent="0.3">
      <c r="A187" s="5"/>
      <c r="B187" s="6"/>
      <c r="C187" s="589"/>
      <c r="D187" s="537" t="s">
        <v>1286</v>
      </c>
      <c r="E187" s="503" t="s">
        <v>1021</v>
      </c>
      <c r="F187" s="590"/>
      <c r="G187" s="593"/>
    </row>
    <row r="188" spans="1:24" s="298" customFormat="1" ht="30.75" customHeight="1" x14ac:dyDescent="0.3">
      <c r="A188" s="5"/>
      <c r="B188" s="6"/>
      <c r="C188" s="386"/>
      <c r="D188" s="82"/>
      <c r="E188" s="9"/>
      <c r="F188" s="594"/>
      <c r="G188" s="327"/>
    </row>
    <row r="189" spans="1:24" s="298" customFormat="1" ht="30.75" customHeight="1" thickBot="1" x14ac:dyDescent="0.35">
      <c r="A189" s="25"/>
      <c r="B189" s="26"/>
      <c r="C189" s="89" t="s">
        <v>1287</v>
      </c>
      <c r="D189" s="90" t="s">
        <v>1056</v>
      </c>
      <c r="E189" s="144" t="s">
        <v>1288</v>
      </c>
      <c r="F189" s="144" t="s">
        <v>1289</v>
      </c>
      <c r="G189" s="145"/>
    </row>
    <row r="190" spans="1:24" s="298" customFormat="1" ht="36" customHeight="1" thickBot="1" x14ac:dyDescent="0.35">
      <c r="A190" s="1" t="s">
        <v>0</v>
      </c>
      <c r="B190" s="2"/>
      <c r="C190" s="2"/>
      <c r="D190" s="2"/>
      <c r="E190" s="2"/>
      <c r="F190" s="2"/>
      <c r="G190" s="3"/>
    </row>
    <row r="191" spans="1:24" ht="36" customHeight="1" x14ac:dyDescent="0.3">
      <c r="A191" s="72">
        <v>44165</v>
      </c>
      <c r="B191" s="99" t="s">
        <v>1</v>
      </c>
      <c r="C191" s="595" t="s">
        <v>1050</v>
      </c>
      <c r="D191" s="596" t="s">
        <v>1290</v>
      </c>
      <c r="E191" s="597" t="s">
        <v>1052</v>
      </c>
      <c r="F191" s="598" t="s">
        <v>1140</v>
      </c>
      <c r="G191" s="599"/>
      <c r="H191" s="298" t="s">
        <v>1291</v>
      </c>
    </row>
    <row r="192" spans="1:24" ht="36" customHeight="1" x14ac:dyDescent="0.3">
      <c r="A192" s="5"/>
      <c r="B192" s="6"/>
      <c r="C192" s="508" t="s">
        <v>1292</v>
      </c>
      <c r="D192" s="502" t="s">
        <v>1293</v>
      </c>
      <c r="E192" s="503" t="s">
        <v>724</v>
      </c>
      <c r="F192" s="509"/>
      <c r="G192" s="507" t="s">
        <v>1065</v>
      </c>
    </row>
    <row r="193" spans="1:7" ht="36" customHeight="1" x14ac:dyDescent="0.3">
      <c r="A193" s="5"/>
      <c r="B193" s="6"/>
      <c r="C193" s="508" t="s">
        <v>1110</v>
      </c>
      <c r="D193" s="502" t="s">
        <v>1249</v>
      </c>
      <c r="E193" s="503" t="s">
        <v>1067</v>
      </c>
      <c r="F193" s="509"/>
      <c r="G193" s="571"/>
    </row>
    <row r="194" spans="1:7" ht="36" customHeight="1" x14ac:dyDescent="0.3">
      <c r="A194" s="5"/>
      <c r="B194" s="6"/>
      <c r="C194" s="544" t="s">
        <v>1032</v>
      </c>
      <c r="D194" s="502" t="s">
        <v>1242</v>
      </c>
      <c r="E194" s="503" t="s">
        <v>724</v>
      </c>
      <c r="F194" s="509"/>
      <c r="G194" s="507"/>
    </row>
    <row r="195" spans="1:7" ht="36" customHeight="1" x14ac:dyDescent="0.3">
      <c r="A195" s="5"/>
      <c r="B195" s="6"/>
      <c r="C195" s="544"/>
      <c r="D195" s="502" t="s">
        <v>973</v>
      </c>
      <c r="E195" s="503" t="s">
        <v>1067</v>
      </c>
      <c r="F195" s="509"/>
      <c r="G195" s="507"/>
    </row>
    <row r="196" spans="1:7" ht="36" customHeight="1" x14ac:dyDescent="0.3">
      <c r="A196" s="5"/>
      <c r="B196" s="6"/>
      <c r="C196" s="544"/>
      <c r="D196" s="502" t="s">
        <v>1250</v>
      </c>
      <c r="E196" s="503" t="s">
        <v>1021</v>
      </c>
      <c r="F196" s="509" t="s">
        <v>1294</v>
      </c>
      <c r="G196" s="507"/>
    </row>
    <row r="197" spans="1:7" ht="36" customHeight="1" x14ac:dyDescent="0.3">
      <c r="A197" s="5"/>
      <c r="B197" s="6"/>
      <c r="C197" s="13"/>
      <c r="D197" s="8"/>
      <c r="E197" s="9"/>
      <c r="F197" s="398"/>
      <c r="G197" s="306"/>
    </row>
    <row r="198" spans="1:7" ht="36" customHeight="1" x14ac:dyDescent="0.3">
      <c r="A198" s="5"/>
      <c r="B198" s="6"/>
      <c r="C198" s="13"/>
      <c r="D198" s="8"/>
      <c r="E198" s="9"/>
      <c r="F198" s="398"/>
      <c r="G198" s="306"/>
    </row>
    <row r="199" spans="1:7" ht="36" customHeight="1" x14ac:dyDescent="0.3">
      <c r="A199" s="5"/>
      <c r="B199" s="6"/>
      <c r="C199" s="13"/>
      <c r="D199" s="8"/>
      <c r="E199" s="9"/>
      <c r="F199" s="398"/>
      <c r="G199" s="306"/>
    </row>
    <row r="200" spans="1:7" ht="36" customHeight="1" thickBot="1" x14ac:dyDescent="0.35">
      <c r="A200" s="5"/>
      <c r="B200" s="6"/>
      <c r="C200" s="51"/>
      <c r="D200" s="161"/>
      <c r="E200" s="162"/>
      <c r="F200" s="463"/>
      <c r="G200" s="364"/>
    </row>
    <row r="201" spans="1:7" ht="36" customHeight="1" thickBot="1" x14ac:dyDescent="0.35">
      <c r="A201" s="25"/>
      <c r="B201" s="26"/>
      <c r="C201" s="143"/>
      <c r="D201" s="90"/>
      <c r="E201" s="144"/>
      <c r="F201" s="144"/>
      <c r="G201" s="149"/>
    </row>
  </sheetData>
  <mergeCells count="115">
    <mergeCell ref="A190:G190"/>
    <mergeCell ref="A191:A201"/>
    <mergeCell ref="B191:B201"/>
    <mergeCell ref="C194:C196"/>
    <mergeCell ref="A177:A189"/>
    <mergeCell ref="B177:B189"/>
    <mergeCell ref="C177:C180"/>
    <mergeCell ref="G177:G180"/>
    <mergeCell ref="C183:C184"/>
    <mergeCell ref="C185:C187"/>
    <mergeCell ref="G185:G187"/>
    <mergeCell ref="A167:A176"/>
    <mergeCell ref="B167:B176"/>
    <mergeCell ref="C167:C173"/>
    <mergeCell ref="C174:C175"/>
    <mergeCell ref="F174:F175"/>
    <mergeCell ref="G174:G175"/>
    <mergeCell ref="A147:A153"/>
    <mergeCell ref="B147:B153"/>
    <mergeCell ref="C151:C152"/>
    <mergeCell ref="G151:G152"/>
    <mergeCell ref="A154:A166"/>
    <mergeCell ref="B154:B166"/>
    <mergeCell ref="G154:G157"/>
    <mergeCell ref="C155:C157"/>
    <mergeCell ref="C159:C162"/>
    <mergeCell ref="G159:G162"/>
    <mergeCell ref="A134:A146"/>
    <mergeCell ref="B134:B146"/>
    <mergeCell ref="C134:C135"/>
    <mergeCell ref="G134:G135"/>
    <mergeCell ref="C137:C138"/>
    <mergeCell ref="F137:F138"/>
    <mergeCell ref="G137:G138"/>
    <mergeCell ref="C141:C144"/>
    <mergeCell ref="G141:G144"/>
    <mergeCell ref="G117:G120"/>
    <mergeCell ref="A126:A132"/>
    <mergeCell ref="B126:B132"/>
    <mergeCell ref="C126:C127"/>
    <mergeCell ref="G126:G127"/>
    <mergeCell ref="A133:G133"/>
    <mergeCell ref="A104:A113"/>
    <mergeCell ref="B104:B113"/>
    <mergeCell ref="C104:C106"/>
    <mergeCell ref="G104:G106"/>
    <mergeCell ref="C107:C108"/>
    <mergeCell ref="A114:A125"/>
    <mergeCell ref="B114:B125"/>
    <mergeCell ref="C114:C116"/>
    <mergeCell ref="G114:G116"/>
    <mergeCell ref="C117:C120"/>
    <mergeCell ref="A92:A96"/>
    <mergeCell ref="B92:B96"/>
    <mergeCell ref="C93:C94"/>
    <mergeCell ref="G93:G94"/>
    <mergeCell ref="A97:A103"/>
    <mergeCell ref="B97:B103"/>
    <mergeCell ref="C97:C98"/>
    <mergeCell ref="A81:A90"/>
    <mergeCell ref="B81:B90"/>
    <mergeCell ref="C82:C84"/>
    <mergeCell ref="G83:G84"/>
    <mergeCell ref="C86:C89"/>
    <mergeCell ref="A91:G91"/>
    <mergeCell ref="A61:A70"/>
    <mergeCell ref="B61:B70"/>
    <mergeCell ref="C62:C67"/>
    <mergeCell ref="G62:G67"/>
    <mergeCell ref="A71:A80"/>
    <mergeCell ref="B71:B80"/>
    <mergeCell ref="C71:C73"/>
    <mergeCell ref="C76:C78"/>
    <mergeCell ref="A49:A60"/>
    <mergeCell ref="B49:B60"/>
    <mergeCell ref="C49:C51"/>
    <mergeCell ref="G49:G51"/>
    <mergeCell ref="C53:C55"/>
    <mergeCell ref="G53:G55"/>
    <mergeCell ref="F54:F55"/>
    <mergeCell ref="C57:C59"/>
    <mergeCell ref="G57:G59"/>
    <mergeCell ref="F58:F59"/>
    <mergeCell ref="A36:A41"/>
    <mergeCell ref="B36:B41"/>
    <mergeCell ref="C36:C37"/>
    <mergeCell ref="A42:G42"/>
    <mergeCell ref="A43:A48"/>
    <mergeCell ref="B43:B48"/>
    <mergeCell ref="C43:C44"/>
    <mergeCell ref="G43:G44"/>
    <mergeCell ref="A27:A35"/>
    <mergeCell ref="B27:B35"/>
    <mergeCell ref="C27:C28"/>
    <mergeCell ref="F27:F28"/>
    <mergeCell ref="G27:G28"/>
    <mergeCell ref="C31:C34"/>
    <mergeCell ref="G31:G34"/>
    <mergeCell ref="A12:A17"/>
    <mergeCell ref="B12:B17"/>
    <mergeCell ref="C12:C13"/>
    <mergeCell ref="G12:G13"/>
    <mergeCell ref="A18:A26"/>
    <mergeCell ref="B18:B26"/>
    <mergeCell ref="C18:C19"/>
    <mergeCell ref="C21:C22"/>
    <mergeCell ref="A1:G1"/>
    <mergeCell ref="A2:A11"/>
    <mergeCell ref="B2:B11"/>
    <mergeCell ref="C2:C3"/>
    <mergeCell ref="F2:F3"/>
    <mergeCell ref="G2:G3"/>
    <mergeCell ref="C4:C6"/>
    <mergeCell ref="C8:C9"/>
    <mergeCell ref="G8:G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  <rowBreaks count="1" manualBreakCount="1">
    <brk id="4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63"/>
  <sheetViews>
    <sheetView tabSelected="1" topLeftCell="A94" zoomScale="55" zoomScaleNormal="55" zoomScaleSheetLayoutView="70" workbookViewId="0">
      <selection activeCell="D121" sqref="D121"/>
    </sheetView>
  </sheetViews>
  <sheetFormatPr defaultColWidth="9" defaultRowHeight="36" customHeight="1" x14ac:dyDescent="0.3"/>
  <cols>
    <col min="1" max="1" width="12.375" style="124" customWidth="1"/>
    <col min="2" max="2" width="7.25" style="125" customWidth="1"/>
    <col min="3" max="3" width="21.875" style="126" customWidth="1"/>
    <col min="4" max="4" width="28.375" style="12" customWidth="1"/>
    <col min="5" max="5" width="19.625" style="127" bestFit="1" customWidth="1"/>
    <col min="6" max="6" width="26.25" style="600" customWidth="1"/>
    <col min="7" max="7" width="28.125" style="601" customWidth="1"/>
    <col min="8" max="8" width="42.125" style="602" bestFit="1" customWidth="1"/>
    <col min="9" max="10" width="17.375" style="12" bestFit="1" customWidth="1"/>
    <col min="11" max="16384" width="9" style="12"/>
  </cols>
  <sheetData>
    <row r="1" spans="1:10" s="298" customFormat="1" ht="95.1" customHeight="1" thickBot="1" x14ac:dyDescent="0.35">
      <c r="A1" s="1" t="s">
        <v>0</v>
      </c>
      <c r="B1" s="2"/>
      <c r="C1" s="2"/>
      <c r="D1" s="2"/>
      <c r="E1" s="2"/>
      <c r="F1" s="2"/>
      <c r="G1" s="3"/>
      <c r="H1" s="602"/>
    </row>
    <row r="2" spans="1:10" s="298" customFormat="1" ht="30" customHeight="1" x14ac:dyDescent="0.3">
      <c r="A2" s="72">
        <v>44166</v>
      </c>
      <c r="B2" s="99" t="s">
        <v>1042</v>
      </c>
      <c r="C2" s="515" t="s">
        <v>1043</v>
      </c>
      <c r="D2" s="537" t="s">
        <v>1295</v>
      </c>
      <c r="E2" s="537" t="s">
        <v>1118</v>
      </c>
      <c r="F2" s="549"/>
      <c r="G2" s="514"/>
      <c r="H2" s="602"/>
    </row>
    <row r="3" spans="1:10" s="298" customFormat="1" ht="30" customHeight="1" x14ac:dyDescent="0.3">
      <c r="A3" s="5"/>
      <c r="B3" s="6"/>
      <c r="C3" s="506"/>
      <c r="D3" s="537" t="s">
        <v>1296</v>
      </c>
      <c r="E3" s="537" t="s">
        <v>1037</v>
      </c>
      <c r="F3" s="549"/>
      <c r="G3" s="514"/>
      <c r="H3" s="602"/>
    </row>
    <row r="4" spans="1:10" s="298" customFormat="1" ht="30" customHeight="1" x14ac:dyDescent="0.3">
      <c r="A4" s="5"/>
      <c r="B4" s="6"/>
      <c r="C4" s="522"/>
      <c r="D4" s="537" t="s">
        <v>1297</v>
      </c>
      <c r="E4" s="537" t="s">
        <v>1074</v>
      </c>
      <c r="F4" s="549"/>
      <c r="G4" s="514"/>
      <c r="H4" s="602"/>
    </row>
    <row r="5" spans="1:10" s="298" customFormat="1" ht="30" customHeight="1" x14ac:dyDescent="0.3">
      <c r="A5" s="5"/>
      <c r="B5" s="6"/>
      <c r="C5" s="501" t="s">
        <v>1222</v>
      </c>
      <c r="D5" s="502" t="s">
        <v>1298</v>
      </c>
      <c r="E5" s="503" t="s">
        <v>1034</v>
      </c>
      <c r="F5" s="549" t="s">
        <v>1299</v>
      </c>
      <c r="G5" s="514"/>
      <c r="H5" s="602"/>
    </row>
    <row r="6" spans="1:10" s="298" customFormat="1" ht="30" customHeight="1" x14ac:dyDescent="0.3">
      <c r="A6" s="5"/>
      <c r="B6" s="6"/>
      <c r="C6" s="506"/>
      <c r="D6" s="502" t="s">
        <v>1300</v>
      </c>
      <c r="E6" s="503" t="s">
        <v>1034</v>
      </c>
      <c r="F6" s="549" t="s">
        <v>1299</v>
      </c>
      <c r="G6" s="514"/>
      <c r="H6" s="602"/>
    </row>
    <row r="7" spans="1:10" s="298" customFormat="1" ht="30" customHeight="1" x14ac:dyDescent="0.3">
      <c r="A7" s="5"/>
      <c r="B7" s="6"/>
      <c r="C7" s="522"/>
      <c r="D7" s="511" t="s">
        <v>1178</v>
      </c>
      <c r="E7" s="512" t="s">
        <v>1074</v>
      </c>
      <c r="F7" s="537" t="s">
        <v>1301</v>
      </c>
      <c r="G7" s="514"/>
      <c r="H7" s="602" t="s">
        <v>1302</v>
      </c>
    </row>
    <row r="8" spans="1:10" s="298" customFormat="1" ht="30" customHeight="1" x14ac:dyDescent="0.3">
      <c r="A8" s="5"/>
      <c r="B8" s="6"/>
      <c r="C8" s="603" t="s">
        <v>1303</v>
      </c>
      <c r="D8" s="511" t="s">
        <v>1178</v>
      </c>
      <c r="E8" s="512" t="s">
        <v>1263</v>
      </c>
      <c r="F8" s="553" t="s">
        <v>1304</v>
      </c>
      <c r="G8" s="514" t="s">
        <v>1075</v>
      </c>
      <c r="H8" s="602" t="s">
        <v>1128</v>
      </c>
    </row>
    <row r="9" spans="1:10" s="298" customFormat="1" ht="30" customHeight="1" thickBot="1" x14ac:dyDescent="0.35">
      <c r="A9" s="5"/>
      <c r="B9" s="6"/>
      <c r="C9" s="508" t="s">
        <v>1015</v>
      </c>
      <c r="D9" s="537" t="s">
        <v>1023</v>
      </c>
      <c r="E9" s="537" t="s">
        <v>1034</v>
      </c>
      <c r="F9" s="549" t="s">
        <v>1082</v>
      </c>
      <c r="G9" s="514" t="s">
        <v>1035</v>
      </c>
      <c r="H9" s="602" t="s">
        <v>1305</v>
      </c>
    </row>
    <row r="10" spans="1:10" s="298" customFormat="1" ht="30" customHeight="1" thickBot="1" x14ac:dyDescent="0.35">
      <c r="A10" s="25"/>
      <c r="B10" s="26"/>
      <c r="C10" s="27" t="s">
        <v>1306</v>
      </c>
      <c r="D10" s="28" t="s">
        <v>1056</v>
      </c>
      <c r="E10" s="365" t="s">
        <v>1307</v>
      </c>
      <c r="F10" s="365" t="s">
        <v>1308</v>
      </c>
      <c r="G10" s="486"/>
      <c r="H10" s="602"/>
    </row>
    <row r="11" spans="1:10" ht="30" customHeight="1" x14ac:dyDescent="0.3">
      <c r="A11" s="72">
        <v>44167</v>
      </c>
      <c r="B11" s="99" t="s">
        <v>21</v>
      </c>
      <c r="C11" s="604" t="s">
        <v>1040</v>
      </c>
      <c r="D11" s="605" t="s">
        <v>1041</v>
      </c>
      <c r="E11" s="605" t="s">
        <v>1309</v>
      </c>
      <c r="F11" s="605"/>
      <c r="G11" s="606"/>
    </row>
    <row r="12" spans="1:10" ht="30" customHeight="1" x14ac:dyDescent="0.3">
      <c r="A12" s="5"/>
      <c r="B12" s="6"/>
      <c r="C12" s="508" t="s">
        <v>1032</v>
      </c>
      <c r="D12" s="537" t="s">
        <v>1310</v>
      </c>
      <c r="E12" s="537" t="s">
        <v>1037</v>
      </c>
      <c r="F12" s="549"/>
      <c r="G12" s="514" t="s">
        <v>1065</v>
      </c>
      <c r="H12" s="602" t="s">
        <v>1311</v>
      </c>
    </row>
    <row r="13" spans="1:10" ht="30" customHeight="1" x14ac:dyDescent="0.3">
      <c r="A13" s="5"/>
      <c r="B13" s="6"/>
      <c r="C13" s="603" t="s">
        <v>1312</v>
      </c>
      <c r="D13" s="579" t="s">
        <v>1313</v>
      </c>
      <c r="E13" s="556" t="s">
        <v>1314</v>
      </c>
      <c r="F13" s="551" t="s">
        <v>1315</v>
      </c>
      <c r="G13" s="607" t="s">
        <v>1073</v>
      </c>
      <c r="H13" s="602" t="s">
        <v>1316</v>
      </c>
    </row>
    <row r="14" spans="1:10" ht="30" customHeight="1" x14ac:dyDescent="0.3">
      <c r="A14" s="5"/>
      <c r="B14" s="6"/>
      <c r="C14" s="510" t="s">
        <v>1043</v>
      </c>
      <c r="D14" s="511" t="s">
        <v>1317</v>
      </c>
      <c r="E14" s="512" t="s">
        <v>1318</v>
      </c>
      <c r="F14" s="553"/>
      <c r="G14" s="514" t="s">
        <v>1035</v>
      </c>
      <c r="H14" s="602" t="s">
        <v>1319</v>
      </c>
      <c r="I14" s="12" t="s">
        <v>1320</v>
      </c>
      <c r="J14" s="12" t="s">
        <v>1321</v>
      </c>
    </row>
    <row r="15" spans="1:10" ht="30" customHeight="1" x14ac:dyDescent="0.3">
      <c r="A15" s="5"/>
      <c r="B15" s="6"/>
      <c r="C15" s="508" t="s">
        <v>1322</v>
      </c>
      <c r="D15" s="502" t="s">
        <v>1178</v>
      </c>
      <c r="E15" s="503" t="s">
        <v>1039</v>
      </c>
      <c r="F15" s="537" t="s">
        <v>1323</v>
      </c>
      <c r="G15" s="507"/>
    </row>
    <row r="16" spans="1:10" ht="30" customHeight="1" x14ac:dyDescent="0.3">
      <c r="A16" s="5"/>
      <c r="B16" s="6"/>
      <c r="C16" s="501" t="s">
        <v>1036</v>
      </c>
      <c r="D16" s="502" t="s">
        <v>1178</v>
      </c>
      <c r="E16" s="503" t="s">
        <v>1113</v>
      </c>
      <c r="F16" s="537" t="s">
        <v>1301</v>
      </c>
      <c r="G16" s="535" t="s">
        <v>1065</v>
      </c>
    </row>
    <row r="17" spans="1:51" ht="30" customHeight="1" x14ac:dyDescent="0.3">
      <c r="A17" s="5"/>
      <c r="B17" s="6"/>
      <c r="C17" s="522"/>
      <c r="D17" s="502" t="s">
        <v>1249</v>
      </c>
      <c r="E17" s="503" t="s">
        <v>1092</v>
      </c>
      <c r="F17" s="537"/>
      <c r="G17" s="523"/>
    </row>
    <row r="18" spans="1:51" ht="30" customHeight="1" x14ac:dyDescent="0.3">
      <c r="A18" s="5"/>
      <c r="B18" s="6"/>
      <c r="C18" s="508" t="s">
        <v>109</v>
      </c>
      <c r="D18" s="502" t="s">
        <v>1324</v>
      </c>
      <c r="E18" s="503" t="s">
        <v>35</v>
      </c>
      <c r="F18" s="537"/>
      <c r="G18" s="507" t="s">
        <v>449</v>
      </c>
    </row>
    <row r="19" spans="1:51" ht="30" customHeight="1" x14ac:dyDescent="0.3">
      <c r="A19" s="5"/>
      <c r="B19" s="6"/>
      <c r="C19" s="13"/>
      <c r="D19" s="8"/>
      <c r="E19" s="9"/>
      <c r="F19" s="43"/>
      <c r="G19" s="306"/>
    </row>
    <row r="20" spans="1:51" ht="30" customHeight="1" thickBot="1" x14ac:dyDescent="0.35">
      <c r="A20" s="25"/>
      <c r="B20" s="26"/>
      <c r="C20" s="89"/>
      <c r="D20" s="90"/>
      <c r="E20" s="144"/>
      <c r="F20" s="215"/>
      <c r="G20" s="476"/>
      <c r="I20" s="608"/>
      <c r="J20" s="608"/>
      <c r="K20" s="609"/>
      <c r="L20" s="610"/>
      <c r="M20" s="610"/>
      <c r="N20" s="611"/>
    </row>
    <row r="21" spans="1:51" ht="30" customHeight="1" x14ac:dyDescent="0.3">
      <c r="A21" s="72">
        <v>44168</v>
      </c>
      <c r="B21" s="99" t="s">
        <v>41</v>
      </c>
      <c r="C21" s="515" t="s">
        <v>1193</v>
      </c>
      <c r="D21" s="605" t="s">
        <v>1325</v>
      </c>
      <c r="E21" s="605" t="s">
        <v>1121</v>
      </c>
      <c r="F21" s="605"/>
      <c r="G21" s="519" t="s">
        <v>1026</v>
      </c>
      <c r="I21" s="611"/>
      <c r="J21" s="611"/>
      <c r="K21" s="611"/>
      <c r="L21" s="611"/>
      <c r="M21" s="611"/>
    </row>
    <row r="22" spans="1:51" ht="30" customHeight="1" x14ac:dyDescent="0.3">
      <c r="A22" s="5"/>
      <c r="B22" s="6"/>
      <c r="C22" s="506"/>
      <c r="D22" s="537" t="s">
        <v>1196</v>
      </c>
      <c r="E22" s="537" t="s">
        <v>1326</v>
      </c>
      <c r="F22" s="549"/>
      <c r="G22" s="521"/>
      <c r="I22" s="611"/>
      <c r="J22" s="611"/>
      <c r="K22" s="611"/>
      <c r="L22" s="611"/>
      <c r="M22" s="611"/>
    </row>
    <row r="23" spans="1:51" ht="30" customHeight="1" x14ac:dyDescent="0.3">
      <c r="A23" s="5"/>
      <c r="B23" s="6"/>
      <c r="C23" s="522"/>
      <c r="D23" s="537" t="s">
        <v>1327</v>
      </c>
      <c r="E23" s="537" t="s">
        <v>1037</v>
      </c>
      <c r="F23" s="549"/>
      <c r="G23" s="521"/>
      <c r="I23" s="611"/>
      <c r="J23" s="611"/>
      <c r="K23" s="611"/>
      <c r="L23" s="611"/>
      <c r="M23" s="611"/>
    </row>
    <row r="24" spans="1:51" ht="30" customHeight="1" x14ac:dyDescent="0.3">
      <c r="A24" s="5"/>
      <c r="B24" s="6"/>
      <c r="C24" s="508" t="s">
        <v>802</v>
      </c>
      <c r="D24" s="502" t="s">
        <v>1023</v>
      </c>
      <c r="E24" s="503" t="s">
        <v>1328</v>
      </c>
      <c r="F24" s="549"/>
      <c r="G24" s="523"/>
      <c r="I24" s="611"/>
      <c r="J24" s="611"/>
      <c r="K24" s="611"/>
      <c r="L24" s="611"/>
      <c r="M24" s="611"/>
    </row>
    <row r="25" spans="1:51" ht="30" customHeight="1" x14ac:dyDescent="0.3">
      <c r="A25" s="5"/>
      <c r="B25" s="6"/>
      <c r="C25" s="501" t="s">
        <v>1329</v>
      </c>
      <c r="D25" s="511" t="s">
        <v>1159</v>
      </c>
      <c r="E25" s="512" t="s">
        <v>1067</v>
      </c>
      <c r="F25" s="549"/>
      <c r="G25" s="535" t="s">
        <v>1195</v>
      </c>
      <c r="I25" s="611"/>
      <c r="J25" s="611"/>
      <c r="K25" s="611"/>
      <c r="L25" s="611"/>
      <c r="M25" s="611"/>
    </row>
    <row r="26" spans="1:51" ht="30" customHeight="1" x14ac:dyDescent="0.3">
      <c r="A26" s="5"/>
      <c r="B26" s="6"/>
      <c r="C26" s="506"/>
      <c r="D26" s="511" t="s">
        <v>1178</v>
      </c>
      <c r="E26" s="512" t="s">
        <v>1021</v>
      </c>
      <c r="F26" s="551" t="s">
        <v>1304</v>
      </c>
      <c r="G26" s="523"/>
      <c r="I26" s="611"/>
      <c r="J26" s="611"/>
      <c r="K26" s="611"/>
      <c r="L26" s="611"/>
      <c r="M26" s="611"/>
      <c r="AY26" s="12">
        <v>1</v>
      </c>
    </row>
    <row r="27" spans="1:51" ht="30" customHeight="1" x14ac:dyDescent="0.3">
      <c r="A27" s="5"/>
      <c r="B27" s="6"/>
      <c r="C27" s="508" t="s">
        <v>1330</v>
      </c>
      <c r="D27" s="502" t="s">
        <v>1297</v>
      </c>
      <c r="E27" s="503" t="s">
        <v>1331</v>
      </c>
      <c r="F27" s="537" t="s">
        <v>1332</v>
      </c>
      <c r="G27" s="507" t="s">
        <v>1333</v>
      </c>
      <c r="H27" s="602" t="s">
        <v>1334</v>
      </c>
      <c r="I27" s="611"/>
      <c r="J27" s="611"/>
      <c r="K27" s="611"/>
      <c r="L27" s="611"/>
      <c r="M27" s="611"/>
    </row>
    <row r="28" spans="1:51" ht="30" customHeight="1" x14ac:dyDescent="0.3">
      <c r="A28" s="5"/>
      <c r="B28" s="6"/>
      <c r="C28" s="501" t="s">
        <v>1335</v>
      </c>
      <c r="D28" s="511" t="s">
        <v>1336</v>
      </c>
      <c r="E28" s="512" t="s">
        <v>1337</v>
      </c>
      <c r="F28" s="549"/>
      <c r="G28" s="535" t="s">
        <v>1019</v>
      </c>
      <c r="H28" s="602" t="s">
        <v>1338</v>
      </c>
      <c r="I28" s="612"/>
      <c r="J28" s="612"/>
      <c r="K28" s="609"/>
      <c r="L28" s="613"/>
      <c r="M28" s="614"/>
    </row>
    <row r="29" spans="1:51" ht="30" customHeight="1" x14ac:dyDescent="0.3">
      <c r="A29" s="5"/>
      <c r="B29" s="6"/>
      <c r="C29" s="506"/>
      <c r="D29" s="511" t="s">
        <v>1027</v>
      </c>
      <c r="E29" s="512" t="s">
        <v>1037</v>
      </c>
      <c r="F29" s="549"/>
      <c r="G29" s="521"/>
      <c r="H29" s="602" t="s">
        <v>1339</v>
      </c>
      <c r="I29" s="615"/>
      <c r="J29" s="612"/>
      <c r="K29" s="609"/>
      <c r="L29" s="614"/>
      <c r="M29" s="616"/>
    </row>
    <row r="30" spans="1:51" ht="30" customHeight="1" x14ac:dyDescent="0.3">
      <c r="A30" s="5"/>
      <c r="B30" s="6"/>
      <c r="C30" s="522"/>
      <c r="D30" s="511" t="s">
        <v>1340</v>
      </c>
      <c r="E30" s="512" t="s">
        <v>1037</v>
      </c>
      <c r="F30" s="549" t="s">
        <v>1341</v>
      </c>
      <c r="G30" s="523"/>
      <c r="I30" s="615"/>
      <c r="J30" s="612"/>
      <c r="K30" s="609"/>
      <c r="L30" s="614"/>
      <c r="M30" s="616"/>
    </row>
    <row r="31" spans="1:51" ht="30" customHeight="1" x14ac:dyDescent="0.3">
      <c r="A31" s="5"/>
      <c r="B31" s="6"/>
      <c r="C31" s="13"/>
      <c r="D31" s="8"/>
      <c r="E31" s="9"/>
      <c r="F31" s="43"/>
      <c r="G31" s="306"/>
      <c r="I31" s="615"/>
      <c r="J31" s="612"/>
      <c r="K31" s="609"/>
      <c r="L31" s="614"/>
      <c r="M31" s="616"/>
    </row>
    <row r="32" spans="1:51" ht="30" customHeight="1" thickBot="1" x14ac:dyDescent="0.35">
      <c r="A32" s="5"/>
      <c r="B32" s="6"/>
      <c r="C32" s="235"/>
      <c r="D32" s="95"/>
      <c r="E32" s="96"/>
      <c r="F32" s="61"/>
      <c r="G32" s="409"/>
    </row>
    <row r="33" spans="1:7" ht="30" customHeight="1" thickBot="1" x14ac:dyDescent="0.35">
      <c r="A33" s="5"/>
      <c r="B33" s="6"/>
      <c r="C33" s="27"/>
      <c r="D33" s="28"/>
      <c r="E33" s="365"/>
      <c r="F33" s="489"/>
      <c r="G33" s="486"/>
    </row>
    <row r="34" spans="1:7" ht="30" customHeight="1" x14ac:dyDescent="0.3">
      <c r="A34" s="72">
        <v>44169</v>
      </c>
      <c r="B34" s="99" t="s">
        <v>55</v>
      </c>
      <c r="C34" s="515" t="s">
        <v>1040</v>
      </c>
      <c r="D34" s="617" t="s">
        <v>1342</v>
      </c>
      <c r="E34" s="617" t="s">
        <v>1343</v>
      </c>
      <c r="F34" s="617"/>
      <c r="G34" s="618"/>
    </row>
    <row r="35" spans="1:7" ht="30" customHeight="1" x14ac:dyDescent="0.3">
      <c r="A35" s="5"/>
      <c r="B35" s="6"/>
      <c r="C35" s="522"/>
      <c r="D35" s="537" t="s">
        <v>1089</v>
      </c>
      <c r="E35" s="537" t="s">
        <v>1344</v>
      </c>
      <c r="F35" s="537"/>
      <c r="G35" s="507"/>
    </row>
    <row r="36" spans="1:7" ht="30" customHeight="1" x14ac:dyDescent="0.3">
      <c r="A36" s="5"/>
      <c r="B36" s="6"/>
      <c r="C36" s="508" t="s">
        <v>1345</v>
      </c>
      <c r="D36" s="537" t="s">
        <v>1346</v>
      </c>
      <c r="E36" s="537" t="s">
        <v>1048</v>
      </c>
      <c r="F36" s="537"/>
      <c r="G36" s="507"/>
    </row>
    <row r="37" spans="1:7" ht="30" customHeight="1" x14ac:dyDescent="0.3">
      <c r="A37" s="5"/>
      <c r="B37" s="6"/>
      <c r="C37" s="603" t="s">
        <v>1232</v>
      </c>
      <c r="D37" s="511" t="s">
        <v>1190</v>
      </c>
      <c r="E37" s="512" t="s">
        <v>1113</v>
      </c>
      <c r="F37" s="551"/>
      <c r="G37" s="607" t="s">
        <v>1065</v>
      </c>
    </row>
    <row r="38" spans="1:7" ht="30" customHeight="1" x14ac:dyDescent="0.3">
      <c r="A38" s="5"/>
      <c r="B38" s="6"/>
      <c r="C38" s="13"/>
      <c r="D38" s="43"/>
      <c r="E38" s="43"/>
      <c r="F38" s="43"/>
      <c r="G38" s="306"/>
    </row>
    <row r="39" spans="1:7" ht="30" customHeight="1" x14ac:dyDescent="0.3">
      <c r="A39" s="5"/>
      <c r="B39" s="6"/>
      <c r="C39" s="13"/>
      <c r="D39" s="43"/>
      <c r="E39" s="43"/>
      <c r="F39" s="43"/>
      <c r="G39" s="306"/>
    </row>
    <row r="40" spans="1:7" ht="30" customHeight="1" thickBot="1" x14ac:dyDescent="0.35">
      <c r="A40" s="5"/>
      <c r="B40" s="6"/>
      <c r="C40" s="235"/>
      <c r="D40" s="61"/>
      <c r="E40" s="61"/>
      <c r="F40" s="61"/>
      <c r="G40" s="409"/>
    </row>
    <row r="41" spans="1:7" ht="30" customHeight="1" thickBot="1" x14ac:dyDescent="0.35">
      <c r="A41" s="25"/>
      <c r="B41" s="26"/>
      <c r="C41" s="27"/>
      <c r="D41" s="28"/>
      <c r="E41" s="365"/>
      <c r="F41" s="489"/>
      <c r="G41" s="486"/>
    </row>
    <row r="42" spans="1:7" ht="95.1" customHeight="1" thickBot="1" x14ac:dyDescent="0.35">
      <c r="A42" s="1" t="s">
        <v>0</v>
      </c>
      <c r="B42" s="2"/>
      <c r="C42" s="2"/>
      <c r="D42" s="2"/>
      <c r="E42" s="2"/>
      <c r="F42" s="2"/>
      <c r="G42" s="3"/>
    </row>
    <row r="43" spans="1:7" ht="36" customHeight="1" x14ac:dyDescent="0.3">
      <c r="A43" s="72">
        <v>44172</v>
      </c>
      <c r="B43" s="73" t="s">
        <v>1347</v>
      </c>
      <c r="C43" s="604" t="s">
        <v>1142</v>
      </c>
      <c r="D43" s="605" t="s">
        <v>1249</v>
      </c>
      <c r="E43" s="605" t="s">
        <v>1067</v>
      </c>
      <c r="F43" s="605"/>
      <c r="G43" s="606"/>
    </row>
    <row r="44" spans="1:7" ht="36" customHeight="1" x14ac:dyDescent="0.3">
      <c r="A44" s="5"/>
      <c r="B44" s="75"/>
      <c r="C44" s="501" t="s">
        <v>1348</v>
      </c>
      <c r="D44" s="537" t="s">
        <v>1023</v>
      </c>
      <c r="E44" s="537" t="s">
        <v>1118</v>
      </c>
      <c r="F44" s="549"/>
      <c r="G44" s="535" t="s">
        <v>1026</v>
      </c>
    </row>
    <row r="45" spans="1:7" ht="36" customHeight="1" x14ac:dyDescent="0.3">
      <c r="A45" s="5"/>
      <c r="B45" s="75"/>
      <c r="C45" s="506"/>
      <c r="D45" s="537" t="s">
        <v>1086</v>
      </c>
      <c r="E45" s="537" t="s">
        <v>1145</v>
      </c>
      <c r="F45" s="549"/>
      <c r="G45" s="521"/>
    </row>
    <row r="46" spans="1:7" ht="36" customHeight="1" x14ac:dyDescent="0.3">
      <c r="A46" s="5"/>
      <c r="B46" s="75"/>
      <c r="C46" s="506"/>
      <c r="D46" s="537" t="s">
        <v>1178</v>
      </c>
      <c r="E46" s="537" t="s">
        <v>1349</v>
      </c>
      <c r="F46" s="549" t="s">
        <v>1301</v>
      </c>
      <c r="G46" s="521"/>
    </row>
    <row r="47" spans="1:7" ht="36" customHeight="1" x14ac:dyDescent="0.3">
      <c r="A47" s="5"/>
      <c r="B47" s="75"/>
      <c r="C47" s="522"/>
      <c r="D47" s="537" t="s">
        <v>1350</v>
      </c>
      <c r="E47" s="537" t="s">
        <v>1233</v>
      </c>
      <c r="F47" s="549"/>
      <c r="G47" s="523"/>
    </row>
    <row r="48" spans="1:7" ht="36" customHeight="1" x14ac:dyDescent="0.3">
      <c r="A48" s="5"/>
      <c r="B48" s="75"/>
      <c r="C48" s="510" t="s">
        <v>1351</v>
      </c>
      <c r="D48" s="553" t="s">
        <v>1159</v>
      </c>
      <c r="E48" s="553" t="s">
        <v>1352</v>
      </c>
      <c r="F48" s="551"/>
      <c r="G48" s="514" t="s">
        <v>1065</v>
      </c>
    </row>
    <row r="49" spans="1:9" ht="36" customHeight="1" x14ac:dyDescent="0.3">
      <c r="A49" s="5"/>
      <c r="B49" s="75"/>
      <c r="C49" s="501" t="s">
        <v>1032</v>
      </c>
      <c r="D49" s="537" t="s">
        <v>1353</v>
      </c>
      <c r="E49" s="537" t="s">
        <v>1067</v>
      </c>
      <c r="F49" s="537" t="s">
        <v>1354</v>
      </c>
      <c r="G49" s="514" t="s">
        <v>1355</v>
      </c>
    </row>
    <row r="50" spans="1:9" ht="36" customHeight="1" x14ac:dyDescent="0.3">
      <c r="A50" s="5"/>
      <c r="B50" s="75"/>
      <c r="C50" s="506"/>
      <c r="D50" s="537" t="s">
        <v>1356</v>
      </c>
      <c r="E50" s="537" t="s">
        <v>1326</v>
      </c>
      <c r="F50" s="549" t="s">
        <v>607</v>
      </c>
      <c r="G50" s="535" t="s">
        <v>1357</v>
      </c>
    </row>
    <row r="51" spans="1:9" ht="36" customHeight="1" x14ac:dyDescent="0.3">
      <c r="A51" s="5"/>
      <c r="B51" s="75"/>
      <c r="C51" s="506"/>
      <c r="D51" s="502" t="s">
        <v>1358</v>
      </c>
      <c r="E51" s="503" t="s">
        <v>1326</v>
      </c>
      <c r="F51" s="549" t="s">
        <v>1085</v>
      </c>
      <c r="G51" s="523"/>
    </row>
    <row r="52" spans="1:9" ht="36" customHeight="1" x14ac:dyDescent="0.3">
      <c r="A52" s="5"/>
      <c r="B52" s="75"/>
      <c r="C52" s="522"/>
      <c r="D52" s="516" t="s">
        <v>1359</v>
      </c>
      <c r="E52" s="503" t="s">
        <v>1360</v>
      </c>
      <c r="F52" s="549" t="s">
        <v>1361</v>
      </c>
      <c r="G52" s="607" t="s">
        <v>1065</v>
      </c>
    </row>
    <row r="53" spans="1:9" ht="36" customHeight="1" x14ac:dyDescent="0.3">
      <c r="A53" s="5"/>
      <c r="B53" s="75"/>
      <c r="C53" s="510" t="s">
        <v>1090</v>
      </c>
      <c r="D53" s="516" t="s">
        <v>1362</v>
      </c>
      <c r="E53" s="503" t="s">
        <v>1074</v>
      </c>
      <c r="F53" s="549" t="s">
        <v>1363</v>
      </c>
      <c r="G53" s="514" t="s">
        <v>1075</v>
      </c>
      <c r="H53" s="619" t="s">
        <v>1364</v>
      </c>
      <c r="I53" s="620"/>
    </row>
    <row r="54" spans="1:9" ht="36" customHeight="1" x14ac:dyDescent="0.3">
      <c r="A54" s="5"/>
      <c r="B54" s="75"/>
      <c r="C54" s="510" t="s">
        <v>1365</v>
      </c>
      <c r="D54" s="553" t="s">
        <v>1366</v>
      </c>
      <c r="E54" s="553" t="s">
        <v>1367</v>
      </c>
      <c r="F54" s="551"/>
      <c r="G54" s="514" t="s">
        <v>1075</v>
      </c>
    </row>
    <row r="55" spans="1:9" ht="36" customHeight="1" thickBot="1" x14ac:dyDescent="0.35">
      <c r="A55" s="5"/>
      <c r="B55" s="75"/>
      <c r="C55" s="76"/>
      <c r="D55" s="65"/>
      <c r="E55" s="65"/>
      <c r="F55" s="65"/>
      <c r="G55" s="424"/>
    </row>
    <row r="56" spans="1:9" ht="36" customHeight="1" thickBot="1" x14ac:dyDescent="0.35">
      <c r="A56" s="25"/>
      <c r="B56" s="79"/>
      <c r="C56" s="89" t="s">
        <v>1368</v>
      </c>
      <c r="D56" s="90" t="s">
        <v>1176</v>
      </c>
      <c r="E56" s="144" t="s">
        <v>1369</v>
      </c>
      <c r="F56" s="144" t="s">
        <v>1370</v>
      </c>
      <c r="G56" s="476"/>
    </row>
    <row r="57" spans="1:9" ht="36" customHeight="1" x14ac:dyDescent="0.3">
      <c r="A57" s="72">
        <v>44173</v>
      </c>
      <c r="B57" s="99" t="s">
        <v>15</v>
      </c>
      <c r="C57" s="604" t="s">
        <v>1371</v>
      </c>
      <c r="D57" s="531" t="s">
        <v>1178</v>
      </c>
      <c r="E57" s="532" t="s">
        <v>1048</v>
      </c>
      <c r="F57" s="605" t="s">
        <v>1049</v>
      </c>
      <c r="G57" s="606" t="s">
        <v>1372</v>
      </c>
    </row>
    <row r="58" spans="1:9" ht="36" customHeight="1" x14ac:dyDescent="0.3">
      <c r="A58" s="5"/>
      <c r="B58" s="6"/>
      <c r="C58" s="546" t="s">
        <v>1373</v>
      </c>
      <c r="D58" s="516" t="s">
        <v>1178</v>
      </c>
      <c r="E58" s="517" t="s">
        <v>1062</v>
      </c>
      <c r="F58" s="549" t="s">
        <v>1294</v>
      </c>
      <c r="G58" s="507" t="s">
        <v>1374</v>
      </c>
    </row>
    <row r="59" spans="1:9" ht="36" customHeight="1" x14ac:dyDescent="0.3">
      <c r="A59" s="5"/>
      <c r="B59" s="6"/>
      <c r="C59" s="508" t="s">
        <v>1040</v>
      </c>
      <c r="D59" s="502" t="s">
        <v>1041</v>
      </c>
      <c r="E59" s="503" t="s">
        <v>1375</v>
      </c>
      <c r="F59" s="549"/>
      <c r="G59" s="514" t="s">
        <v>1026</v>
      </c>
    </row>
    <row r="60" spans="1:9" ht="36" customHeight="1" x14ac:dyDescent="0.3">
      <c r="A60" s="5"/>
      <c r="B60" s="6"/>
      <c r="C60" s="508" t="s">
        <v>1036</v>
      </c>
      <c r="D60" s="502" t="s">
        <v>1023</v>
      </c>
      <c r="E60" s="503" t="s">
        <v>859</v>
      </c>
      <c r="F60" s="549"/>
      <c r="G60" s="514" t="s">
        <v>1376</v>
      </c>
    </row>
    <row r="61" spans="1:9" ht="36" customHeight="1" x14ac:dyDescent="0.3">
      <c r="A61" s="5"/>
      <c r="B61" s="6"/>
      <c r="C61" s="501" t="s">
        <v>1142</v>
      </c>
      <c r="D61" s="502" t="s">
        <v>1159</v>
      </c>
      <c r="E61" s="503" t="s">
        <v>1037</v>
      </c>
      <c r="F61" s="549"/>
      <c r="G61" s="535" t="s">
        <v>1377</v>
      </c>
    </row>
    <row r="62" spans="1:9" ht="36" customHeight="1" x14ac:dyDescent="0.3">
      <c r="A62" s="5"/>
      <c r="B62" s="6"/>
      <c r="C62" s="522"/>
      <c r="D62" s="502" t="s">
        <v>1249</v>
      </c>
      <c r="E62" s="503" t="s">
        <v>1037</v>
      </c>
      <c r="F62" s="549"/>
      <c r="G62" s="523"/>
    </row>
    <row r="63" spans="1:9" ht="36" customHeight="1" x14ac:dyDescent="0.3">
      <c r="A63" s="5"/>
      <c r="B63" s="6"/>
      <c r="C63" s="501" t="s">
        <v>1232</v>
      </c>
      <c r="D63" s="502" t="s">
        <v>1378</v>
      </c>
      <c r="E63" s="503" t="s">
        <v>1233</v>
      </c>
      <c r="F63" s="549"/>
      <c r="G63" s="535" t="s">
        <v>669</v>
      </c>
    </row>
    <row r="64" spans="1:9" ht="36" customHeight="1" x14ac:dyDescent="0.3">
      <c r="A64" s="5"/>
      <c r="B64" s="6"/>
      <c r="C64" s="522"/>
      <c r="D64" s="516" t="s">
        <v>1190</v>
      </c>
      <c r="E64" s="503" t="s">
        <v>838</v>
      </c>
      <c r="F64" s="549"/>
      <c r="G64" s="523"/>
    </row>
    <row r="65" spans="1:10" ht="36" customHeight="1" x14ac:dyDescent="0.3">
      <c r="A65" s="5"/>
      <c r="B65" s="6"/>
      <c r="C65" s="508" t="s">
        <v>1379</v>
      </c>
      <c r="D65" s="516" t="s">
        <v>1016</v>
      </c>
      <c r="E65" s="503" t="s">
        <v>870</v>
      </c>
      <c r="F65" s="549" t="s">
        <v>1294</v>
      </c>
      <c r="G65" s="507" t="s">
        <v>1075</v>
      </c>
      <c r="H65" s="602" t="s">
        <v>1128</v>
      </c>
    </row>
    <row r="66" spans="1:10" ht="36" customHeight="1" x14ac:dyDescent="0.3">
      <c r="A66" s="5"/>
      <c r="B66" s="6"/>
      <c r="C66" s="544" t="s">
        <v>1107</v>
      </c>
      <c r="D66" s="502" t="s">
        <v>1178</v>
      </c>
      <c r="E66" s="503" t="s">
        <v>1021</v>
      </c>
      <c r="F66" s="537" t="s">
        <v>1380</v>
      </c>
      <c r="G66" s="545" t="s">
        <v>1035</v>
      </c>
    </row>
    <row r="67" spans="1:10" ht="36" customHeight="1" x14ac:dyDescent="0.3">
      <c r="A67" s="5"/>
      <c r="B67" s="6"/>
      <c r="C67" s="544"/>
      <c r="D67" s="502" t="s">
        <v>1381</v>
      </c>
      <c r="E67" s="503" t="s">
        <v>1367</v>
      </c>
      <c r="F67" s="537"/>
      <c r="G67" s="545"/>
      <c r="H67" s="602" t="s">
        <v>1382</v>
      </c>
    </row>
    <row r="68" spans="1:10" ht="36" customHeight="1" x14ac:dyDescent="0.3">
      <c r="A68" s="5"/>
      <c r="B68" s="6"/>
      <c r="C68" s="544"/>
      <c r="D68" s="502" t="s">
        <v>1383</v>
      </c>
      <c r="E68" s="503" t="s">
        <v>1367</v>
      </c>
      <c r="F68" s="537"/>
      <c r="G68" s="545"/>
      <c r="H68" s="602" t="s">
        <v>1384</v>
      </c>
    </row>
    <row r="69" spans="1:10" ht="36" customHeight="1" x14ac:dyDescent="0.3">
      <c r="A69" s="5"/>
      <c r="B69" s="6"/>
      <c r="C69" s="544"/>
      <c r="D69" s="502" t="s">
        <v>1385</v>
      </c>
      <c r="E69" s="503" t="s">
        <v>1367</v>
      </c>
      <c r="F69" s="537"/>
      <c r="G69" s="545"/>
      <c r="H69" s="602" t="s">
        <v>1386</v>
      </c>
    </row>
    <row r="70" spans="1:10" ht="36" customHeight="1" x14ac:dyDescent="0.3">
      <c r="A70" s="5"/>
      <c r="B70" s="6"/>
      <c r="C70" s="508" t="s">
        <v>1387</v>
      </c>
      <c r="D70" s="502" t="s">
        <v>1388</v>
      </c>
      <c r="E70" s="503" t="s">
        <v>1235</v>
      </c>
      <c r="F70" s="537" t="s">
        <v>1304</v>
      </c>
      <c r="G70" s="507" t="s">
        <v>1065</v>
      </c>
    </row>
    <row r="71" spans="1:10" ht="36" customHeight="1" x14ac:dyDescent="0.3">
      <c r="A71" s="5"/>
      <c r="B71" s="6"/>
      <c r="C71" s="13"/>
      <c r="D71" s="8"/>
      <c r="E71" s="9"/>
      <c r="F71" s="43"/>
      <c r="G71" s="306"/>
    </row>
    <row r="72" spans="1:10" ht="36" customHeight="1" thickBot="1" x14ac:dyDescent="0.35">
      <c r="A72" s="25"/>
      <c r="B72" s="26"/>
      <c r="C72" s="89"/>
      <c r="D72" s="90"/>
      <c r="E72" s="144"/>
      <c r="F72" s="144"/>
      <c r="G72" s="476"/>
    </row>
    <row r="73" spans="1:10" ht="36" customHeight="1" x14ac:dyDescent="0.3">
      <c r="A73" s="72">
        <v>44174</v>
      </c>
      <c r="B73" s="73" t="s">
        <v>21</v>
      </c>
      <c r="C73" s="595" t="s">
        <v>1237</v>
      </c>
      <c r="D73" s="605" t="s">
        <v>1064</v>
      </c>
      <c r="E73" s="605" t="s">
        <v>799</v>
      </c>
      <c r="F73" s="605"/>
      <c r="G73" s="606" t="s">
        <v>1389</v>
      </c>
      <c r="J73" s="12" t="s">
        <v>1390</v>
      </c>
    </row>
    <row r="74" spans="1:10" ht="36" customHeight="1" x14ac:dyDescent="0.3">
      <c r="A74" s="5"/>
      <c r="B74" s="75"/>
      <c r="C74" s="501" t="s">
        <v>1193</v>
      </c>
      <c r="D74" s="537" t="s">
        <v>1391</v>
      </c>
      <c r="E74" s="537" t="s">
        <v>1118</v>
      </c>
      <c r="F74" s="549"/>
      <c r="G74" s="514"/>
    </row>
    <row r="75" spans="1:10" ht="36" customHeight="1" x14ac:dyDescent="0.3">
      <c r="A75" s="5"/>
      <c r="B75" s="75"/>
      <c r="C75" s="506"/>
      <c r="D75" s="537" t="s">
        <v>1156</v>
      </c>
      <c r="E75" s="537" t="s">
        <v>1121</v>
      </c>
      <c r="F75" s="549"/>
      <c r="G75" s="514"/>
    </row>
    <row r="76" spans="1:10" ht="36" customHeight="1" x14ac:dyDescent="0.3">
      <c r="A76" s="5"/>
      <c r="B76" s="75"/>
      <c r="C76" s="522"/>
      <c r="D76" s="537" t="s">
        <v>1392</v>
      </c>
      <c r="E76" s="537" t="s">
        <v>1121</v>
      </c>
      <c r="F76" s="549"/>
      <c r="G76" s="514"/>
    </row>
    <row r="77" spans="1:10" ht="36" customHeight="1" x14ac:dyDescent="0.3">
      <c r="A77" s="5"/>
      <c r="B77" s="75"/>
      <c r="C77" s="510" t="s">
        <v>1393</v>
      </c>
      <c r="D77" s="553" t="s">
        <v>1086</v>
      </c>
      <c r="E77" s="553" t="s">
        <v>1067</v>
      </c>
      <c r="F77" s="537" t="s">
        <v>1394</v>
      </c>
      <c r="G77" s="514"/>
    </row>
    <row r="78" spans="1:10" ht="36" customHeight="1" x14ac:dyDescent="0.3">
      <c r="A78" s="5"/>
      <c r="B78" s="75"/>
      <c r="C78" s="510" t="s">
        <v>1070</v>
      </c>
      <c r="D78" s="553" t="s">
        <v>1044</v>
      </c>
      <c r="E78" s="553" t="s">
        <v>1067</v>
      </c>
      <c r="F78" s="553" t="s">
        <v>1299</v>
      </c>
      <c r="G78" s="514" t="s">
        <v>1395</v>
      </c>
      <c r="H78" s="602" t="s">
        <v>1396</v>
      </c>
    </row>
    <row r="79" spans="1:10" ht="36" customHeight="1" x14ac:dyDescent="0.3">
      <c r="A79" s="5"/>
      <c r="B79" s="75"/>
      <c r="C79" s="501" t="s">
        <v>1222</v>
      </c>
      <c r="D79" s="553" t="s">
        <v>1298</v>
      </c>
      <c r="E79" s="553" t="s">
        <v>1034</v>
      </c>
      <c r="F79" s="553"/>
      <c r="G79" s="535" t="s">
        <v>1397</v>
      </c>
    </row>
    <row r="80" spans="1:10" ht="36" customHeight="1" x14ac:dyDescent="0.3">
      <c r="A80" s="5"/>
      <c r="B80" s="75"/>
      <c r="C80" s="522"/>
      <c r="D80" s="553" t="s">
        <v>1398</v>
      </c>
      <c r="E80" s="553" t="s">
        <v>1034</v>
      </c>
      <c r="F80" s="553"/>
      <c r="G80" s="523"/>
    </row>
    <row r="81" spans="1:8" ht="36" customHeight="1" x14ac:dyDescent="0.3">
      <c r="A81" s="5"/>
      <c r="B81" s="75"/>
      <c r="C81" s="546" t="s">
        <v>1193</v>
      </c>
      <c r="D81" s="553" t="s">
        <v>1399</v>
      </c>
      <c r="E81" s="553" t="s">
        <v>1074</v>
      </c>
      <c r="F81" s="553"/>
      <c r="G81" s="514" t="s">
        <v>1075</v>
      </c>
    </row>
    <row r="82" spans="1:8" ht="36" customHeight="1" x14ac:dyDescent="0.3">
      <c r="A82" s="5"/>
      <c r="B82" s="75"/>
      <c r="C82" s="510" t="s">
        <v>1400</v>
      </c>
      <c r="D82" s="553" t="s">
        <v>1401</v>
      </c>
      <c r="E82" s="553" t="s">
        <v>1037</v>
      </c>
      <c r="F82" s="553"/>
      <c r="G82" s="514"/>
    </row>
    <row r="83" spans="1:8" ht="36" customHeight="1" thickBot="1" x14ac:dyDescent="0.35">
      <c r="A83" s="5"/>
      <c r="B83" s="75"/>
      <c r="C83" s="76"/>
      <c r="D83" s="65"/>
      <c r="E83" s="65"/>
      <c r="F83" s="65"/>
      <c r="G83" s="424"/>
    </row>
    <row r="84" spans="1:8" ht="36" customHeight="1" thickBot="1" x14ac:dyDescent="0.35">
      <c r="A84" s="25"/>
      <c r="B84" s="79"/>
      <c r="C84" s="27"/>
      <c r="D84" s="28"/>
      <c r="E84" s="365"/>
      <c r="F84" s="365"/>
      <c r="G84" s="486"/>
    </row>
    <row r="85" spans="1:8" ht="36" customHeight="1" x14ac:dyDescent="0.3">
      <c r="A85" s="72">
        <v>44175</v>
      </c>
      <c r="B85" s="99" t="s">
        <v>41</v>
      </c>
      <c r="C85" s="515" t="s">
        <v>1059</v>
      </c>
      <c r="D85" s="605" t="s">
        <v>621</v>
      </c>
      <c r="E85" s="605" t="s">
        <v>1402</v>
      </c>
      <c r="F85" s="605"/>
      <c r="G85" s="519" t="s">
        <v>1403</v>
      </c>
    </row>
    <row r="86" spans="1:8" ht="36" customHeight="1" x14ac:dyDescent="0.3">
      <c r="A86" s="5"/>
      <c r="B86" s="6"/>
      <c r="C86" s="522"/>
      <c r="D86" s="537" t="s">
        <v>1404</v>
      </c>
      <c r="E86" s="537" t="s">
        <v>742</v>
      </c>
      <c r="F86" s="549"/>
      <c r="G86" s="523"/>
    </row>
    <row r="87" spans="1:8" ht="36" customHeight="1" x14ac:dyDescent="0.3">
      <c r="A87" s="5"/>
      <c r="B87" s="6"/>
      <c r="C87" s="501" t="s">
        <v>1405</v>
      </c>
      <c r="D87" s="511" t="s">
        <v>1406</v>
      </c>
      <c r="E87" s="512" t="s">
        <v>1074</v>
      </c>
      <c r="F87" s="553" t="s">
        <v>1407</v>
      </c>
      <c r="G87" s="554" t="s">
        <v>1035</v>
      </c>
    </row>
    <row r="88" spans="1:8" ht="36" customHeight="1" x14ac:dyDescent="0.3">
      <c r="A88" s="5"/>
      <c r="B88" s="6"/>
      <c r="C88" s="506"/>
      <c r="D88" s="511" t="s">
        <v>1408</v>
      </c>
      <c r="E88" s="512" t="s">
        <v>1367</v>
      </c>
      <c r="F88" s="525"/>
      <c r="G88" s="592"/>
    </row>
    <row r="89" spans="1:8" ht="52.5" x14ac:dyDescent="0.3">
      <c r="A89" s="5"/>
      <c r="B89" s="6"/>
      <c r="C89" s="522"/>
      <c r="D89" s="511" t="s">
        <v>1409</v>
      </c>
      <c r="E89" s="512" t="s">
        <v>1410</v>
      </c>
      <c r="F89" s="621" t="s">
        <v>1411</v>
      </c>
      <c r="G89" s="593"/>
    </row>
    <row r="90" spans="1:8" ht="36" customHeight="1" x14ac:dyDescent="0.3">
      <c r="A90" s="5"/>
      <c r="B90" s="6"/>
      <c r="C90" s="508" t="s">
        <v>1351</v>
      </c>
      <c r="D90" s="502" t="s">
        <v>1412</v>
      </c>
      <c r="E90" s="503" t="s">
        <v>1037</v>
      </c>
      <c r="F90" s="537"/>
      <c r="G90" s="507" t="s">
        <v>1112</v>
      </c>
      <c r="H90" s="602" t="s">
        <v>1413</v>
      </c>
    </row>
    <row r="91" spans="1:8" ht="36" customHeight="1" x14ac:dyDescent="0.3">
      <c r="A91" s="5"/>
      <c r="B91" s="6"/>
      <c r="C91" s="501" t="s">
        <v>1015</v>
      </c>
      <c r="D91" s="537" t="s">
        <v>1178</v>
      </c>
      <c r="E91" s="537" t="s">
        <v>1414</v>
      </c>
      <c r="F91" s="622" t="s">
        <v>1415</v>
      </c>
      <c r="G91" s="535" t="s">
        <v>1416</v>
      </c>
      <c r="H91" s="602" t="s">
        <v>1417</v>
      </c>
    </row>
    <row r="92" spans="1:8" ht="36" customHeight="1" x14ac:dyDescent="0.3">
      <c r="A92" s="5"/>
      <c r="B92" s="6"/>
      <c r="C92" s="522"/>
      <c r="D92" s="537" t="s">
        <v>1406</v>
      </c>
      <c r="E92" s="551" t="s">
        <v>1074</v>
      </c>
      <c r="F92" s="623"/>
      <c r="G92" s="523"/>
      <c r="H92" s="602" t="s">
        <v>1418</v>
      </c>
    </row>
    <row r="93" spans="1:8" ht="36" customHeight="1" x14ac:dyDescent="0.3">
      <c r="A93" s="5"/>
      <c r="B93" s="6"/>
      <c r="C93" s="501" t="s">
        <v>1036</v>
      </c>
      <c r="D93" s="551" t="s">
        <v>1406</v>
      </c>
      <c r="E93" s="512" t="s">
        <v>1233</v>
      </c>
      <c r="F93" s="553" t="s">
        <v>1419</v>
      </c>
      <c r="G93" s="535" t="s">
        <v>1065</v>
      </c>
    </row>
    <row r="94" spans="1:8" ht="36" customHeight="1" x14ac:dyDescent="0.3">
      <c r="A94" s="5"/>
      <c r="B94" s="6"/>
      <c r="C94" s="522"/>
      <c r="D94" s="511" t="s">
        <v>1408</v>
      </c>
      <c r="E94" s="512" t="s">
        <v>1092</v>
      </c>
      <c r="F94" s="553"/>
      <c r="G94" s="523"/>
    </row>
    <row r="95" spans="1:8" ht="36" customHeight="1" thickBot="1" x14ac:dyDescent="0.35">
      <c r="A95" s="5"/>
      <c r="B95" s="6"/>
      <c r="C95" s="235"/>
      <c r="D95" s="95"/>
      <c r="E95" s="96"/>
      <c r="F95" s="61"/>
      <c r="G95" s="409"/>
    </row>
    <row r="96" spans="1:8" ht="36" customHeight="1" thickBot="1" x14ac:dyDescent="0.35">
      <c r="A96" s="25"/>
      <c r="B96" s="26"/>
      <c r="C96" s="27"/>
      <c r="D96" s="28"/>
      <c r="E96" s="365"/>
      <c r="F96" s="489"/>
      <c r="G96" s="486"/>
    </row>
    <row r="97" spans="1:8" ht="36" customHeight="1" x14ac:dyDescent="0.3">
      <c r="A97" s="72">
        <v>44176</v>
      </c>
      <c r="B97" s="99" t="s">
        <v>55</v>
      </c>
      <c r="C97" s="515" t="s">
        <v>1043</v>
      </c>
      <c r="D97" s="553" t="s">
        <v>1262</v>
      </c>
      <c r="E97" s="553" t="s">
        <v>1420</v>
      </c>
      <c r="F97" s="537" t="s">
        <v>1323</v>
      </c>
      <c r="G97" s="514" t="s">
        <v>1075</v>
      </c>
      <c r="H97" s="602" t="s">
        <v>1421</v>
      </c>
    </row>
    <row r="98" spans="1:8" ht="36" customHeight="1" x14ac:dyDescent="0.3">
      <c r="A98" s="5"/>
      <c r="B98" s="6"/>
      <c r="C98" s="522"/>
      <c r="D98" s="553" t="s">
        <v>1023</v>
      </c>
      <c r="E98" s="553" t="s">
        <v>1352</v>
      </c>
      <c r="F98" s="537"/>
      <c r="G98" s="514" t="s">
        <v>1422</v>
      </c>
    </row>
    <row r="99" spans="1:8" ht="36" customHeight="1" x14ac:dyDescent="0.3">
      <c r="A99" s="5"/>
      <c r="B99" s="6"/>
      <c r="C99" s="510" t="s">
        <v>1423</v>
      </c>
      <c r="D99" s="553" t="s">
        <v>1086</v>
      </c>
      <c r="E99" s="553" t="s">
        <v>1092</v>
      </c>
      <c r="F99" s="537"/>
      <c r="G99" s="514" t="s">
        <v>1422</v>
      </c>
    </row>
    <row r="100" spans="1:8" ht="36" customHeight="1" x14ac:dyDescent="0.3">
      <c r="A100" s="5"/>
      <c r="B100" s="6"/>
      <c r="C100" s="501" t="s">
        <v>1015</v>
      </c>
      <c r="D100" s="553" t="s">
        <v>1023</v>
      </c>
      <c r="E100" s="553" t="s">
        <v>1034</v>
      </c>
      <c r="F100" s="537"/>
      <c r="G100" s="514" t="s">
        <v>1424</v>
      </c>
      <c r="H100" s="602" t="s">
        <v>1425</v>
      </c>
    </row>
    <row r="101" spans="1:8" ht="36" customHeight="1" x14ac:dyDescent="0.3">
      <c r="A101" s="5"/>
      <c r="B101" s="6"/>
      <c r="C101" s="522"/>
      <c r="D101" s="553" t="s">
        <v>1023</v>
      </c>
      <c r="E101" s="553" t="s">
        <v>1034</v>
      </c>
      <c r="F101" s="537"/>
      <c r="G101" s="514" t="s">
        <v>1426</v>
      </c>
      <c r="H101" s="602" t="s">
        <v>1427</v>
      </c>
    </row>
    <row r="102" spans="1:8" ht="36" customHeight="1" x14ac:dyDescent="0.3">
      <c r="A102" s="5"/>
      <c r="B102" s="6"/>
      <c r="C102" s="510" t="s">
        <v>1163</v>
      </c>
      <c r="D102" s="553" t="s">
        <v>1272</v>
      </c>
      <c r="E102" s="553" t="s">
        <v>1118</v>
      </c>
      <c r="F102" s="537" t="s">
        <v>1299</v>
      </c>
      <c r="G102" s="514" t="s">
        <v>1073</v>
      </c>
      <c r="H102" s="602" t="s">
        <v>1428</v>
      </c>
    </row>
    <row r="103" spans="1:8" ht="36" customHeight="1" thickBot="1" x14ac:dyDescent="0.35">
      <c r="A103" s="5"/>
      <c r="B103" s="6"/>
      <c r="C103" s="13"/>
      <c r="D103" s="43"/>
      <c r="E103" s="43"/>
      <c r="F103" s="43"/>
      <c r="G103" s="306"/>
    </row>
    <row r="104" spans="1:8" ht="36" customHeight="1" thickBot="1" x14ac:dyDescent="0.35">
      <c r="A104" s="25"/>
      <c r="B104" s="26"/>
      <c r="C104" s="27"/>
      <c r="D104" s="28"/>
      <c r="E104" s="365"/>
      <c r="F104" s="144"/>
      <c r="G104" s="476"/>
    </row>
    <row r="105" spans="1:8" ht="95.1" customHeight="1" thickBot="1" x14ac:dyDescent="0.35">
      <c r="A105" s="1" t="s">
        <v>0</v>
      </c>
      <c r="B105" s="2"/>
      <c r="C105" s="2"/>
      <c r="D105" s="2"/>
      <c r="E105" s="2"/>
      <c r="F105" s="2"/>
      <c r="G105" s="3"/>
    </row>
    <row r="106" spans="1:8" ht="36" customHeight="1" x14ac:dyDescent="0.3">
      <c r="A106" s="72">
        <v>44179</v>
      </c>
      <c r="B106" s="99" t="s">
        <v>829</v>
      </c>
      <c r="C106" s="508" t="s">
        <v>1022</v>
      </c>
      <c r="D106" s="537" t="s">
        <v>1023</v>
      </c>
      <c r="E106" s="537" t="s">
        <v>1024</v>
      </c>
      <c r="F106" s="549" t="s">
        <v>1429</v>
      </c>
      <c r="G106" s="514" t="s">
        <v>1026</v>
      </c>
    </row>
    <row r="107" spans="1:8" ht="36" customHeight="1" x14ac:dyDescent="0.3">
      <c r="A107" s="5"/>
      <c r="B107" s="6"/>
      <c r="C107" s="508" t="s">
        <v>1153</v>
      </c>
      <c r="D107" s="537" t="s">
        <v>1430</v>
      </c>
      <c r="E107" s="537" t="s">
        <v>1037</v>
      </c>
      <c r="F107" s="537" t="s">
        <v>1389</v>
      </c>
      <c r="G107" s="624" t="s">
        <v>1431</v>
      </c>
    </row>
    <row r="108" spans="1:8" ht="36" customHeight="1" x14ac:dyDescent="0.3">
      <c r="A108" s="5"/>
      <c r="B108" s="6"/>
      <c r="C108" s="508" t="s">
        <v>1097</v>
      </c>
      <c r="D108" s="537" t="s">
        <v>1178</v>
      </c>
      <c r="E108" s="537" t="s">
        <v>838</v>
      </c>
      <c r="F108" s="537" t="s">
        <v>1432</v>
      </c>
      <c r="G108" s="625"/>
    </row>
    <row r="109" spans="1:8" ht="36" customHeight="1" x14ac:dyDescent="0.3">
      <c r="A109" s="5"/>
      <c r="B109" s="6"/>
      <c r="C109" s="501" t="s">
        <v>1015</v>
      </c>
      <c r="D109" s="553" t="s">
        <v>1268</v>
      </c>
      <c r="E109" s="553" t="s">
        <v>1433</v>
      </c>
      <c r="F109" s="551" t="s">
        <v>1434</v>
      </c>
      <c r="G109" s="535" t="s">
        <v>1435</v>
      </c>
      <c r="H109" s="602">
        <v>1</v>
      </c>
    </row>
    <row r="110" spans="1:8" ht="36" customHeight="1" x14ac:dyDescent="0.3">
      <c r="A110" s="5"/>
      <c r="B110" s="6"/>
      <c r="C110" s="506"/>
      <c r="D110" s="502" t="s">
        <v>1242</v>
      </c>
      <c r="E110" s="503" t="s">
        <v>1436</v>
      </c>
      <c r="F110" s="537"/>
      <c r="G110" s="521"/>
      <c r="H110" s="602">
        <v>3</v>
      </c>
    </row>
    <row r="111" spans="1:8" ht="36" customHeight="1" x14ac:dyDescent="0.3">
      <c r="A111" s="5"/>
      <c r="B111" s="6"/>
      <c r="C111" s="506"/>
      <c r="D111" s="537" t="s">
        <v>1437</v>
      </c>
      <c r="E111" s="626" t="s">
        <v>1021</v>
      </c>
      <c r="F111" s="553" t="s">
        <v>1301</v>
      </c>
      <c r="G111" s="521"/>
      <c r="H111" s="627"/>
    </row>
    <row r="112" spans="1:8" ht="36" customHeight="1" x14ac:dyDescent="0.3">
      <c r="A112" s="5"/>
      <c r="B112" s="6"/>
      <c r="C112" s="506"/>
      <c r="D112" s="511" t="s">
        <v>1016</v>
      </c>
      <c r="E112" s="626" t="s">
        <v>1438</v>
      </c>
      <c r="F112" s="553"/>
      <c r="G112" s="521"/>
      <c r="H112" s="602">
        <v>3</v>
      </c>
    </row>
    <row r="113" spans="1:8" ht="36" customHeight="1" x14ac:dyDescent="0.3">
      <c r="A113" s="5"/>
      <c r="B113" s="6"/>
      <c r="C113" s="506"/>
      <c r="D113" s="511" t="s">
        <v>1439</v>
      </c>
      <c r="E113" s="626" t="s">
        <v>1021</v>
      </c>
      <c r="F113" s="553"/>
      <c r="G113" s="521"/>
      <c r="H113" s="628">
        <v>1</v>
      </c>
    </row>
    <row r="114" spans="1:8" ht="36" customHeight="1" x14ac:dyDescent="0.3">
      <c r="A114" s="5"/>
      <c r="B114" s="6"/>
      <c r="C114" s="506"/>
      <c r="D114" s="511" t="s">
        <v>1440</v>
      </c>
      <c r="E114" s="626" t="s">
        <v>1113</v>
      </c>
      <c r="F114" s="553"/>
      <c r="G114" s="521"/>
      <c r="H114" s="628"/>
    </row>
    <row r="115" spans="1:8" ht="36" customHeight="1" x14ac:dyDescent="0.3">
      <c r="A115" s="5"/>
      <c r="B115" s="6"/>
      <c r="C115" s="506"/>
      <c r="D115" s="511" t="s">
        <v>984</v>
      </c>
      <c r="E115" s="512" t="s">
        <v>1441</v>
      </c>
      <c r="F115" s="537"/>
      <c r="G115" s="523"/>
      <c r="H115" s="602">
        <v>3</v>
      </c>
    </row>
    <row r="116" spans="1:8" ht="36" customHeight="1" x14ac:dyDescent="0.3">
      <c r="A116" s="5"/>
      <c r="B116" s="6"/>
      <c r="C116" s="508" t="s">
        <v>1032</v>
      </c>
      <c r="D116" s="537" t="s">
        <v>1172</v>
      </c>
      <c r="E116" s="537" t="s">
        <v>1037</v>
      </c>
      <c r="F116" s="549" t="s">
        <v>1173</v>
      </c>
      <c r="G116" s="514" t="s">
        <v>1065</v>
      </c>
    </row>
    <row r="117" spans="1:8" ht="36" customHeight="1" x14ac:dyDescent="0.3">
      <c r="A117" s="5"/>
      <c r="B117" s="6"/>
      <c r="C117" s="508" t="s">
        <v>1232</v>
      </c>
      <c r="D117" s="537" t="s">
        <v>1272</v>
      </c>
      <c r="E117" s="537" t="s">
        <v>1118</v>
      </c>
      <c r="F117" s="549"/>
      <c r="G117" s="514" t="s">
        <v>669</v>
      </c>
    </row>
    <row r="118" spans="1:8" ht="36" customHeight="1" thickBot="1" x14ac:dyDescent="0.35">
      <c r="A118" s="5"/>
      <c r="B118" s="6"/>
      <c r="C118" s="13"/>
      <c r="D118" s="43"/>
      <c r="E118" s="43"/>
      <c r="F118" s="49"/>
      <c r="G118" s="409"/>
    </row>
    <row r="119" spans="1:8" ht="36" customHeight="1" thickBot="1" x14ac:dyDescent="0.35">
      <c r="A119" s="25"/>
      <c r="B119" s="26"/>
      <c r="C119" s="27" t="s">
        <v>1442</v>
      </c>
      <c r="D119" s="28" t="s">
        <v>1176</v>
      </c>
      <c r="E119" s="365" t="s">
        <v>1443</v>
      </c>
      <c r="F119" s="365" t="s">
        <v>1308</v>
      </c>
      <c r="G119" s="486"/>
    </row>
    <row r="120" spans="1:8" ht="36" customHeight="1" x14ac:dyDescent="0.3">
      <c r="A120" s="72">
        <v>44180</v>
      </c>
      <c r="B120" s="99" t="s">
        <v>15</v>
      </c>
      <c r="C120" s="604" t="s">
        <v>1032</v>
      </c>
      <c r="D120" s="605" t="s">
        <v>1023</v>
      </c>
      <c r="E120" s="605" t="s">
        <v>1067</v>
      </c>
      <c r="F120" s="605"/>
      <c r="G120" s="606" t="s">
        <v>1065</v>
      </c>
    </row>
    <row r="121" spans="1:8" ht="36" customHeight="1" x14ac:dyDescent="0.3">
      <c r="A121" s="5"/>
      <c r="B121" s="6"/>
      <c r="C121" s="508" t="s">
        <v>1444</v>
      </c>
      <c r="D121" s="537" t="s">
        <v>1445</v>
      </c>
      <c r="E121" s="537" t="s">
        <v>1446</v>
      </c>
      <c r="F121" s="549"/>
      <c r="G121" s="514"/>
    </row>
    <row r="122" spans="1:8" ht="36" customHeight="1" x14ac:dyDescent="0.3">
      <c r="A122" s="5"/>
      <c r="B122" s="6"/>
      <c r="C122" s="501" t="s">
        <v>1059</v>
      </c>
      <c r="D122" s="537" t="s">
        <v>1447</v>
      </c>
      <c r="E122" s="537" t="s">
        <v>1318</v>
      </c>
      <c r="F122" s="549"/>
      <c r="G122" s="514"/>
    </row>
    <row r="123" spans="1:8" ht="36" customHeight="1" x14ac:dyDescent="0.3">
      <c r="A123" s="5"/>
      <c r="B123" s="6"/>
      <c r="C123" s="522"/>
      <c r="D123" s="537" t="s">
        <v>1448</v>
      </c>
      <c r="E123" s="537" t="s">
        <v>1449</v>
      </c>
      <c r="F123" s="549"/>
      <c r="G123" s="514"/>
    </row>
    <row r="124" spans="1:8" ht="36" customHeight="1" x14ac:dyDescent="0.3">
      <c r="A124" s="5"/>
      <c r="B124" s="6"/>
      <c r="C124" s="501" t="s">
        <v>1036</v>
      </c>
      <c r="D124" s="537" t="s">
        <v>1242</v>
      </c>
      <c r="E124" s="537" t="s">
        <v>1037</v>
      </c>
      <c r="F124" s="549"/>
      <c r="G124" s="554" t="s">
        <v>1450</v>
      </c>
    </row>
    <row r="125" spans="1:8" ht="36" customHeight="1" x14ac:dyDescent="0.3">
      <c r="A125" s="5"/>
      <c r="B125" s="6"/>
      <c r="C125" s="506"/>
      <c r="D125" s="537" t="s">
        <v>1451</v>
      </c>
      <c r="E125" s="537" t="s">
        <v>1367</v>
      </c>
      <c r="F125" s="549"/>
      <c r="G125" s="521"/>
    </row>
    <row r="126" spans="1:8" ht="36" customHeight="1" x14ac:dyDescent="0.3">
      <c r="A126" s="5"/>
      <c r="B126" s="6"/>
      <c r="C126" s="506"/>
      <c r="D126" s="537" t="s">
        <v>1182</v>
      </c>
      <c r="E126" s="537" t="s">
        <v>1452</v>
      </c>
      <c r="F126" s="549"/>
      <c r="G126" s="521"/>
    </row>
    <row r="127" spans="1:8" ht="36" customHeight="1" x14ac:dyDescent="0.3">
      <c r="A127" s="5"/>
      <c r="B127" s="6"/>
      <c r="C127" s="522"/>
      <c r="D127" s="537" t="s">
        <v>1178</v>
      </c>
      <c r="E127" s="537" t="s">
        <v>1021</v>
      </c>
      <c r="F127" s="549" t="s">
        <v>1323</v>
      </c>
      <c r="G127" s="523"/>
    </row>
    <row r="128" spans="1:8" ht="36" customHeight="1" thickBot="1" x14ac:dyDescent="0.35">
      <c r="A128" s="5"/>
      <c r="B128" s="6"/>
      <c r="C128" s="76"/>
      <c r="D128" s="21"/>
      <c r="E128" s="22"/>
      <c r="F128" s="423"/>
      <c r="G128" s="424"/>
    </row>
    <row r="129" spans="1:8" ht="36" customHeight="1" thickBot="1" x14ac:dyDescent="0.35">
      <c r="A129" s="25"/>
      <c r="B129" s="26"/>
      <c r="C129" s="89"/>
      <c r="D129" s="90"/>
      <c r="E129" s="144"/>
      <c r="F129" s="144"/>
      <c r="G129" s="476"/>
    </row>
    <row r="130" spans="1:8" ht="36" customHeight="1" x14ac:dyDescent="0.3">
      <c r="A130" s="72">
        <v>44181</v>
      </c>
      <c r="B130" s="99" t="s">
        <v>21</v>
      </c>
      <c r="C130" s="603" t="s">
        <v>1453</v>
      </c>
      <c r="D130" s="553" t="s">
        <v>1454</v>
      </c>
      <c r="E130" s="553" t="s">
        <v>1455</v>
      </c>
      <c r="F130" s="549"/>
      <c r="G130" s="606"/>
    </row>
    <row r="131" spans="1:8" ht="36" customHeight="1" x14ac:dyDescent="0.3">
      <c r="A131" s="5"/>
      <c r="B131" s="6"/>
      <c r="C131" s="501" t="s">
        <v>1015</v>
      </c>
      <c r="D131" s="537" t="s">
        <v>1023</v>
      </c>
      <c r="E131" s="537" t="s">
        <v>1456</v>
      </c>
      <c r="F131" s="622" t="s">
        <v>1082</v>
      </c>
      <c r="G131" s="535" t="s">
        <v>1019</v>
      </c>
    </row>
    <row r="132" spans="1:8" ht="36" customHeight="1" x14ac:dyDescent="0.3">
      <c r="A132" s="5"/>
      <c r="B132" s="6"/>
      <c r="C132" s="506"/>
      <c r="D132" s="537" t="s">
        <v>1457</v>
      </c>
      <c r="E132" s="537" t="s">
        <v>1037</v>
      </c>
      <c r="F132" s="629"/>
      <c r="G132" s="521"/>
      <c r="H132" s="602" t="s">
        <v>1458</v>
      </c>
    </row>
    <row r="133" spans="1:8" ht="36" customHeight="1" x14ac:dyDescent="0.3">
      <c r="A133" s="5"/>
      <c r="B133" s="6"/>
      <c r="C133" s="522"/>
      <c r="D133" s="537" t="s">
        <v>1459</v>
      </c>
      <c r="E133" s="537" t="s">
        <v>1460</v>
      </c>
      <c r="F133" s="623"/>
      <c r="G133" s="523"/>
      <c r="H133" s="602" t="s">
        <v>1259</v>
      </c>
    </row>
    <row r="134" spans="1:8" ht="36" customHeight="1" x14ac:dyDescent="0.3">
      <c r="A134" s="5"/>
      <c r="B134" s="6"/>
      <c r="C134" s="603" t="s">
        <v>1043</v>
      </c>
      <c r="D134" s="553" t="s">
        <v>1027</v>
      </c>
      <c r="E134" s="553" t="s">
        <v>1461</v>
      </c>
      <c r="F134" s="549" t="s">
        <v>1462</v>
      </c>
      <c r="G134" s="514" t="s">
        <v>1065</v>
      </c>
    </row>
    <row r="135" spans="1:8" ht="36" customHeight="1" thickBot="1" x14ac:dyDescent="0.35">
      <c r="A135" s="5"/>
      <c r="B135" s="6"/>
      <c r="C135" s="76"/>
      <c r="D135" s="21"/>
      <c r="E135" s="22"/>
      <c r="F135" s="423"/>
      <c r="G135" s="424"/>
    </row>
    <row r="136" spans="1:8" ht="36" customHeight="1" thickBot="1" x14ac:dyDescent="0.35">
      <c r="A136" s="25"/>
      <c r="B136" s="26"/>
      <c r="C136" s="89" t="s">
        <v>1442</v>
      </c>
      <c r="D136" s="90" t="s">
        <v>1176</v>
      </c>
      <c r="E136" s="144" t="s">
        <v>1463</v>
      </c>
      <c r="F136" s="144" t="s">
        <v>1464</v>
      </c>
      <c r="G136" s="476"/>
    </row>
    <row r="137" spans="1:8" ht="36" customHeight="1" x14ac:dyDescent="0.3">
      <c r="A137" s="72">
        <v>44182</v>
      </c>
      <c r="B137" s="99" t="s">
        <v>41</v>
      </c>
      <c r="C137" s="604" t="s">
        <v>1373</v>
      </c>
      <c r="D137" s="605" t="s">
        <v>1016</v>
      </c>
      <c r="E137" s="605" t="s">
        <v>779</v>
      </c>
      <c r="F137" s="605" t="s">
        <v>1304</v>
      </c>
      <c r="G137" s="606" t="s">
        <v>1195</v>
      </c>
    </row>
    <row r="138" spans="1:8" ht="36" customHeight="1" x14ac:dyDescent="0.3">
      <c r="A138" s="5"/>
      <c r="B138" s="6"/>
      <c r="C138" s="508" t="s">
        <v>1169</v>
      </c>
      <c r="D138" s="537" t="s">
        <v>1381</v>
      </c>
      <c r="E138" s="537" t="s">
        <v>1465</v>
      </c>
      <c r="F138" s="537" t="s">
        <v>1466</v>
      </c>
      <c r="G138" s="507" t="s">
        <v>1467</v>
      </c>
    </row>
    <row r="139" spans="1:8" ht="36" customHeight="1" x14ac:dyDescent="0.3">
      <c r="A139" s="5"/>
      <c r="B139" s="6"/>
      <c r="C139" s="508" t="s">
        <v>996</v>
      </c>
      <c r="D139" s="537" t="s">
        <v>1468</v>
      </c>
      <c r="E139" s="537" t="s">
        <v>1062</v>
      </c>
      <c r="F139" s="537"/>
      <c r="G139" s="607" t="s">
        <v>1065</v>
      </c>
    </row>
    <row r="140" spans="1:8" ht="36" customHeight="1" x14ac:dyDescent="0.3">
      <c r="A140" s="5"/>
      <c r="B140" s="6"/>
      <c r="C140" s="510" t="s">
        <v>1070</v>
      </c>
      <c r="D140" s="553" t="s">
        <v>1016</v>
      </c>
      <c r="E140" s="553" t="s">
        <v>650</v>
      </c>
      <c r="F140" s="537" t="s">
        <v>1304</v>
      </c>
      <c r="G140" s="514" t="s">
        <v>1469</v>
      </c>
      <c r="H140" s="602" t="s">
        <v>1470</v>
      </c>
    </row>
    <row r="141" spans="1:8" ht="36" customHeight="1" x14ac:dyDescent="0.3">
      <c r="A141" s="5"/>
      <c r="B141" s="6"/>
      <c r="C141" s="508" t="s">
        <v>1032</v>
      </c>
      <c r="D141" s="537" t="s">
        <v>1230</v>
      </c>
      <c r="E141" s="630" t="s">
        <v>1471</v>
      </c>
      <c r="F141" s="537" t="s">
        <v>1068</v>
      </c>
      <c r="G141" s="514" t="s">
        <v>1019</v>
      </c>
      <c r="H141" s="602" t="s">
        <v>1472</v>
      </c>
    </row>
    <row r="142" spans="1:8" ht="36" customHeight="1" x14ac:dyDescent="0.3">
      <c r="A142" s="5"/>
      <c r="B142" s="6"/>
      <c r="C142" s="501" t="s">
        <v>1232</v>
      </c>
      <c r="D142" s="553" t="s">
        <v>1459</v>
      </c>
      <c r="E142" s="631" t="s">
        <v>1243</v>
      </c>
      <c r="F142" s="537" t="s">
        <v>1473</v>
      </c>
      <c r="G142" s="535" t="s">
        <v>1065</v>
      </c>
    </row>
    <row r="143" spans="1:8" ht="36" customHeight="1" x14ac:dyDescent="0.3">
      <c r="A143" s="5"/>
      <c r="B143" s="6"/>
      <c r="C143" s="506"/>
      <c r="D143" s="553" t="s">
        <v>1020</v>
      </c>
      <c r="E143" s="631" t="s">
        <v>1074</v>
      </c>
      <c r="F143" s="537"/>
      <c r="G143" s="521"/>
    </row>
    <row r="144" spans="1:8" ht="36" customHeight="1" x14ac:dyDescent="0.3">
      <c r="A144" s="5"/>
      <c r="B144" s="6"/>
      <c r="C144" s="522"/>
      <c r="D144" s="553" t="s">
        <v>1474</v>
      </c>
      <c r="E144" s="631" t="s">
        <v>1021</v>
      </c>
      <c r="F144" s="537"/>
      <c r="G144" s="523"/>
    </row>
    <row r="145" spans="1:8" ht="36" customHeight="1" thickBot="1" x14ac:dyDescent="0.35">
      <c r="A145" s="5"/>
      <c r="B145" s="6"/>
      <c r="C145" s="76"/>
      <c r="D145" s="65"/>
      <c r="E145" s="65"/>
      <c r="F145" s="423"/>
      <c r="G145" s="424"/>
    </row>
    <row r="146" spans="1:8" ht="36" customHeight="1" thickBot="1" x14ac:dyDescent="0.35">
      <c r="A146" s="25"/>
      <c r="B146" s="26"/>
      <c r="C146" s="89"/>
      <c r="D146" s="90"/>
      <c r="E146" s="144"/>
      <c r="F146" s="215"/>
      <c r="G146" s="476"/>
    </row>
    <row r="147" spans="1:8" ht="36" customHeight="1" x14ac:dyDescent="0.3">
      <c r="A147" s="72">
        <v>44183</v>
      </c>
      <c r="B147" s="99" t="s">
        <v>55</v>
      </c>
      <c r="C147" s="604" t="s">
        <v>594</v>
      </c>
      <c r="D147" s="605" t="s">
        <v>1475</v>
      </c>
      <c r="E147" s="605" t="s">
        <v>1037</v>
      </c>
      <c r="F147" s="605"/>
      <c r="G147" s="606"/>
    </row>
    <row r="148" spans="1:8" ht="36" customHeight="1" x14ac:dyDescent="0.3">
      <c r="A148" s="5"/>
      <c r="B148" s="6"/>
      <c r="C148" s="546" t="s">
        <v>1142</v>
      </c>
      <c r="D148" s="537" t="s">
        <v>1249</v>
      </c>
      <c r="E148" s="537" t="s">
        <v>1067</v>
      </c>
      <c r="F148" s="549"/>
      <c r="G148" s="514"/>
      <c r="H148" s="632"/>
    </row>
    <row r="149" spans="1:8" ht="36" customHeight="1" x14ac:dyDescent="0.3">
      <c r="A149" s="5"/>
      <c r="B149" s="6"/>
      <c r="C149" s="633" t="s">
        <v>1476</v>
      </c>
      <c r="D149" s="634" t="s">
        <v>1071</v>
      </c>
      <c r="E149" s="634" t="s">
        <v>1328</v>
      </c>
      <c r="F149" s="634" t="s">
        <v>1477</v>
      </c>
      <c r="G149" s="635" t="s">
        <v>1478</v>
      </c>
      <c r="H149" s="632"/>
    </row>
    <row r="150" spans="1:8" ht="36" customHeight="1" x14ac:dyDescent="0.3">
      <c r="A150" s="5"/>
      <c r="B150" s="6"/>
      <c r="C150" s="636" t="s">
        <v>1348</v>
      </c>
      <c r="D150" s="634" t="s">
        <v>1016</v>
      </c>
      <c r="E150" s="634" t="s">
        <v>650</v>
      </c>
      <c r="F150" s="634" t="s">
        <v>1301</v>
      </c>
      <c r="G150" s="637" t="s">
        <v>1065</v>
      </c>
      <c r="H150" s="632"/>
    </row>
    <row r="151" spans="1:8" ht="36" customHeight="1" x14ac:dyDescent="0.3">
      <c r="A151" s="5"/>
      <c r="B151" s="6"/>
      <c r="C151" s="636"/>
      <c r="D151" s="634" t="s">
        <v>1020</v>
      </c>
      <c r="E151" s="634" t="s">
        <v>1233</v>
      </c>
      <c r="F151" s="634"/>
      <c r="G151" s="637"/>
      <c r="H151" s="632"/>
    </row>
    <row r="152" spans="1:8" ht="36" customHeight="1" x14ac:dyDescent="0.3">
      <c r="A152" s="5"/>
      <c r="B152" s="6"/>
      <c r="C152" s="633" t="s">
        <v>1032</v>
      </c>
      <c r="D152" s="634" t="s">
        <v>1064</v>
      </c>
      <c r="E152" s="634" t="s">
        <v>1024</v>
      </c>
      <c r="F152" s="634"/>
      <c r="G152" s="635" t="s">
        <v>1065</v>
      </c>
      <c r="H152" s="632"/>
    </row>
    <row r="153" spans="1:8" ht="36" customHeight="1" x14ac:dyDescent="0.3">
      <c r="A153" s="5"/>
      <c r="B153" s="6"/>
      <c r="C153" s="638" t="s">
        <v>1232</v>
      </c>
      <c r="D153" s="639" t="s">
        <v>1459</v>
      </c>
      <c r="E153" s="639" t="s">
        <v>1479</v>
      </c>
      <c r="F153" s="639"/>
      <c r="G153" s="640" t="s">
        <v>1065</v>
      </c>
      <c r="H153" s="632"/>
    </row>
    <row r="154" spans="1:8" ht="36" customHeight="1" thickBot="1" x14ac:dyDescent="0.35">
      <c r="A154" s="5"/>
      <c r="B154" s="6"/>
      <c r="C154" s="641"/>
      <c r="D154" s="642"/>
      <c r="E154" s="642"/>
      <c r="F154" s="642"/>
      <c r="G154" s="643"/>
      <c r="H154" s="632"/>
    </row>
    <row r="155" spans="1:8" ht="36" customHeight="1" thickBot="1" x14ac:dyDescent="0.35">
      <c r="A155" s="5"/>
      <c r="B155" s="6"/>
      <c r="C155" s="27" t="s">
        <v>1480</v>
      </c>
      <c r="D155" s="28" t="s">
        <v>1056</v>
      </c>
      <c r="E155" s="365" t="s">
        <v>1481</v>
      </c>
      <c r="F155" s="365" t="s">
        <v>1482</v>
      </c>
      <c r="G155" s="486"/>
      <c r="H155" s="632"/>
    </row>
    <row r="156" spans="1:8" ht="36" customHeight="1" thickBot="1" x14ac:dyDescent="0.35">
      <c r="A156" s="25"/>
      <c r="B156" s="26"/>
      <c r="C156" s="89" t="s">
        <v>1483</v>
      </c>
      <c r="D156" s="90" t="s">
        <v>1056</v>
      </c>
      <c r="E156" s="144" t="s">
        <v>1484</v>
      </c>
      <c r="F156" s="144" t="s">
        <v>1485</v>
      </c>
      <c r="G156" s="476"/>
      <c r="H156" s="632"/>
    </row>
    <row r="157" spans="1:8" ht="95.1" customHeight="1" thickBot="1" x14ac:dyDescent="0.35">
      <c r="A157" s="1" t="s">
        <v>0</v>
      </c>
      <c r="B157" s="2"/>
      <c r="C157" s="2"/>
      <c r="D157" s="2"/>
      <c r="E157" s="2"/>
      <c r="F157" s="2"/>
      <c r="G157" s="3"/>
      <c r="H157" s="632"/>
    </row>
    <row r="158" spans="1:8" ht="36" customHeight="1" x14ac:dyDescent="0.3">
      <c r="A158" s="72">
        <v>44186</v>
      </c>
      <c r="B158" s="99" t="s">
        <v>829</v>
      </c>
      <c r="C158" s="515" t="s">
        <v>1022</v>
      </c>
      <c r="D158" s="511" t="s">
        <v>1242</v>
      </c>
      <c r="E158" s="512" t="s">
        <v>1067</v>
      </c>
      <c r="F158" s="537"/>
      <c r="G158" s="514"/>
      <c r="H158" s="632"/>
    </row>
    <row r="159" spans="1:8" ht="36" customHeight="1" x14ac:dyDescent="0.3">
      <c r="A159" s="5"/>
      <c r="B159" s="6"/>
      <c r="C159" s="522"/>
      <c r="D159" s="511" t="s">
        <v>1250</v>
      </c>
      <c r="E159" s="512" t="s">
        <v>1486</v>
      </c>
      <c r="F159" s="537" t="s">
        <v>1301</v>
      </c>
      <c r="G159" s="514"/>
      <c r="H159" s="632"/>
    </row>
    <row r="160" spans="1:8" ht="36" customHeight="1" x14ac:dyDescent="0.3">
      <c r="A160" s="5"/>
      <c r="B160" s="6"/>
      <c r="C160" s="501" t="s">
        <v>1487</v>
      </c>
      <c r="D160" s="537" t="s">
        <v>1488</v>
      </c>
      <c r="E160" s="537" t="s">
        <v>897</v>
      </c>
      <c r="F160" s="537"/>
      <c r="G160" s="514"/>
      <c r="H160" s="632"/>
    </row>
    <row r="161" spans="1:8" ht="36" customHeight="1" x14ac:dyDescent="0.3">
      <c r="A161" s="5"/>
      <c r="B161" s="6"/>
      <c r="C161" s="522"/>
      <c r="D161" s="537" t="s">
        <v>1392</v>
      </c>
      <c r="E161" s="537" t="s">
        <v>1037</v>
      </c>
      <c r="F161" s="549"/>
      <c r="G161" s="514"/>
      <c r="H161" s="632"/>
    </row>
    <row r="162" spans="1:8" ht="36" customHeight="1" x14ac:dyDescent="0.3">
      <c r="A162" s="5"/>
      <c r="B162" s="6"/>
      <c r="C162" s="501" t="s">
        <v>1107</v>
      </c>
      <c r="D162" s="553" t="s">
        <v>1178</v>
      </c>
      <c r="E162" s="553" t="s">
        <v>1113</v>
      </c>
      <c r="F162" s="537" t="s">
        <v>1489</v>
      </c>
      <c r="G162" s="535" t="s">
        <v>1035</v>
      </c>
      <c r="H162" s="632"/>
    </row>
    <row r="163" spans="1:8" ht="36" customHeight="1" x14ac:dyDescent="0.3">
      <c r="A163" s="5"/>
      <c r="B163" s="6"/>
      <c r="C163" s="522"/>
      <c r="D163" s="553" t="s">
        <v>1086</v>
      </c>
      <c r="E163" s="553" t="s">
        <v>1092</v>
      </c>
      <c r="F163" s="537"/>
      <c r="G163" s="523"/>
      <c r="H163" s="602" t="s">
        <v>1490</v>
      </c>
    </row>
    <row r="164" spans="1:8" ht="36" customHeight="1" x14ac:dyDescent="0.3">
      <c r="A164" s="5"/>
      <c r="B164" s="6"/>
      <c r="C164" s="501" t="s">
        <v>1043</v>
      </c>
      <c r="D164" s="553" t="s">
        <v>1044</v>
      </c>
      <c r="E164" s="553" t="s">
        <v>1037</v>
      </c>
      <c r="F164" s="537"/>
      <c r="G164" s="535" t="s">
        <v>1491</v>
      </c>
      <c r="H164" s="632"/>
    </row>
    <row r="165" spans="1:8" ht="36" customHeight="1" x14ac:dyDescent="0.3">
      <c r="A165" s="5"/>
      <c r="B165" s="6"/>
      <c r="C165" s="506"/>
      <c r="D165" s="553" t="s">
        <v>1159</v>
      </c>
      <c r="E165" s="553" t="s">
        <v>1037</v>
      </c>
      <c r="F165" s="537"/>
      <c r="G165" s="521"/>
      <c r="H165" s="632"/>
    </row>
    <row r="166" spans="1:8" ht="36" customHeight="1" x14ac:dyDescent="0.3">
      <c r="A166" s="5"/>
      <c r="B166" s="6"/>
      <c r="C166" s="506"/>
      <c r="D166" s="553" t="s">
        <v>1016</v>
      </c>
      <c r="E166" s="553" t="s">
        <v>1074</v>
      </c>
      <c r="F166" s="537" t="s">
        <v>1473</v>
      </c>
      <c r="G166" s="521"/>
      <c r="H166" s="632"/>
    </row>
    <row r="167" spans="1:8" ht="36" customHeight="1" x14ac:dyDescent="0.3">
      <c r="A167" s="5"/>
      <c r="B167" s="6"/>
      <c r="C167" s="522"/>
      <c r="D167" s="553" t="s">
        <v>1020</v>
      </c>
      <c r="E167" s="553" t="s">
        <v>1087</v>
      </c>
      <c r="F167" s="537"/>
      <c r="G167" s="523"/>
      <c r="H167" s="632"/>
    </row>
    <row r="168" spans="1:8" ht="36" customHeight="1" x14ac:dyDescent="0.3">
      <c r="A168" s="5"/>
      <c r="B168" s="6"/>
      <c r="C168" s="603" t="s">
        <v>1032</v>
      </c>
      <c r="D168" s="553" t="s">
        <v>1492</v>
      </c>
      <c r="E168" s="553" t="s">
        <v>1493</v>
      </c>
      <c r="F168" s="553"/>
      <c r="G168" s="607" t="s">
        <v>669</v>
      </c>
      <c r="H168" s="632"/>
    </row>
    <row r="169" spans="1:8" ht="36" customHeight="1" x14ac:dyDescent="0.3">
      <c r="A169" s="5"/>
      <c r="B169" s="6"/>
      <c r="C169" s="501" t="s">
        <v>680</v>
      </c>
      <c r="D169" s="537" t="s">
        <v>1275</v>
      </c>
      <c r="E169" s="634" t="s">
        <v>1123</v>
      </c>
      <c r="F169" s="553"/>
      <c r="G169" s="535" t="s">
        <v>1494</v>
      </c>
      <c r="H169" s="632"/>
    </row>
    <row r="170" spans="1:8" ht="36" customHeight="1" x14ac:dyDescent="0.3">
      <c r="A170" s="5"/>
      <c r="B170" s="6"/>
      <c r="C170" s="506"/>
      <c r="D170" s="537" t="s">
        <v>1196</v>
      </c>
      <c r="E170" s="634" t="s">
        <v>1123</v>
      </c>
      <c r="F170" s="553"/>
      <c r="G170" s="521"/>
      <c r="H170" s="632"/>
    </row>
    <row r="171" spans="1:8" ht="36" customHeight="1" x14ac:dyDescent="0.3">
      <c r="A171" s="5"/>
      <c r="B171" s="6"/>
      <c r="C171" s="522"/>
      <c r="D171" s="502" t="s">
        <v>1194</v>
      </c>
      <c r="E171" s="644" t="s">
        <v>1118</v>
      </c>
      <c r="F171" s="553"/>
      <c r="G171" s="523"/>
      <c r="H171" s="632"/>
    </row>
    <row r="172" spans="1:8" ht="36" customHeight="1" thickBot="1" x14ac:dyDescent="0.35">
      <c r="A172" s="5"/>
      <c r="B172" s="6"/>
      <c r="C172" s="76"/>
      <c r="D172" s="21"/>
      <c r="E172" s="22"/>
      <c r="F172" s="65"/>
      <c r="G172" s="475"/>
      <c r="H172" s="632"/>
    </row>
    <row r="173" spans="1:8" ht="36" customHeight="1" thickBot="1" x14ac:dyDescent="0.35">
      <c r="A173" s="25"/>
      <c r="B173" s="26"/>
      <c r="C173" s="27"/>
      <c r="D173" s="28"/>
      <c r="E173" s="365"/>
      <c r="F173" s="144"/>
      <c r="G173" s="476"/>
      <c r="H173" s="632"/>
    </row>
    <row r="174" spans="1:8" ht="36" customHeight="1" x14ac:dyDescent="0.3">
      <c r="A174" s="72">
        <v>44187</v>
      </c>
      <c r="B174" s="99" t="s">
        <v>15</v>
      </c>
      <c r="C174" s="515" t="s">
        <v>1040</v>
      </c>
      <c r="D174" s="537" t="s">
        <v>1041</v>
      </c>
      <c r="E174" s="537" t="s">
        <v>1495</v>
      </c>
      <c r="F174" s="549"/>
      <c r="G174" s="514"/>
      <c r="H174" s="632"/>
    </row>
    <row r="175" spans="1:8" ht="36" customHeight="1" x14ac:dyDescent="0.3">
      <c r="A175" s="5"/>
      <c r="B175" s="6"/>
      <c r="C175" s="506"/>
      <c r="D175" s="537" t="s">
        <v>1496</v>
      </c>
      <c r="E175" s="537" t="s">
        <v>1497</v>
      </c>
      <c r="F175" s="549"/>
      <c r="G175" s="514"/>
      <c r="H175" s="632"/>
    </row>
    <row r="176" spans="1:8" ht="36" customHeight="1" x14ac:dyDescent="0.3">
      <c r="A176" s="5"/>
      <c r="B176" s="6"/>
      <c r="C176" s="522"/>
      <c r="D176" s="537" t="s">
        <v>1447</v>
      </c>
      <c r="E176" s="537" t="s">
        <v>1498</v>
      </c>
      <c r="F176" s="549"/>
      <c r="G176" s="514"/>
      <c r="H176" s="632"/>
    </row>
    <row r="177" spans="1:8" ht="36" customHeight="1" x14ac:dyDescent="0.3">
      <c r="A177" s="5"/>
      <c r="B177" s="6"/>
      <c r="C177" s="508" t="s">
        <v>1499</v>
      </c>
      <c r="D177" s="537" t="s">
        <v>1500</v>
      </c>
      <c r="E177" s="537" t="s">
        <v>1501</v>
      </c>
      <c r="F177" s="537" t="s">
        <v>1502</v>
      </c>
      <c r="G177" s="507" t="s">
        <v>1203</v>
      </c>
      <c r="H177" s="632"/>
    </row>
    <row r="178" spans="1:8" ht="36" customHeight="1" x14ac:dyDescent="0.3">
      <c r="A178" s="5"/>
      <c r="B178" s="6"/>
      <c r="C178" s="508" t="s">
        <v>1032</v>
      </c>
      <c r="D178" s="537" t="s">
        <v>1023</v>
      </c>
      <c r="E178" s="537"/>
      <c r="F178" s="549"/>
      <c r="G178" s="514"/>
      <c r="H178" s="632"/>
    </row>
    <row r="179" spans="1:8" ht="36" customHeight="1" thickBot="1" x14ac:dyDescent="0.35">
      <c r="A179" s="5"/>
      <c r="B179" s="6"/>
      <c r="C179" s="235"/>
      <c r="D179" s="95"/>
      <c r="E179" s="96"/>
      <c r="F179" s="45"/>
      <c r="G179" s="409"/>
      <c r="H179" s="632"/>
    </row>
    <row r="180" spans="1:8" ht="36" customHeight="1" thickBot="1" x14ac:dyDescent="0.35">
      <c r="A180" s="25"/>
      <c r="B180" s="26"/>
      <c r="C180" s="27" t="s">
        <v>1503</v>
      </c>
      <c r="D180" s="28" t="s">
        <v>1056</v>
      </c>
      <c r="E180" s="365" t="s">
        <v>1504</v>
      </c>
      <c r="F180" s="365" t="s">
        <v>1464</v>
      </c>
      <c r="G180" s="486"/>
      <c r="H180" s="632"/>
    </row>
    <row r="181" spans="1:8" ht="36" customHeight="1" x14ac:dyDescent="0.3">
      <c r="A181" s="72">
        <v>44188</v>
      </c>
      <c r="B181" s="99" t="s">
        <v>21</v>
      </c>
      <c r="C181" s="515" t="s">
        <v>1032</v>
      </c>
      <c r="D181" s="605" t="s">
        <v>1505</v>
      </c>
      <c r="E181" s="605" t="s">
        <v>1433</v>
      </c>
      <c r="F181" s="519" t="s">
        <v>1506</v>
      </c>
      <c r="G181" s="519" t="s">
        <v>1019</v>
      </c>
      <c r="H181" s="632"/>
    </row>
    <row r="182" spans="1:8" ht="36" customHeight="1" x14ac:dyDescent="0.3">
      <c r="A182" s="5"/>
      <c r="B182" s="6"/>
      <c r="C182" s="522"/>
      <c r="D182" s="537" t="s">
        <v>1507</v>
      </c>
      <c r="E182" s="537" t="s">
        <v>1508</v>
      </c>
      <c r="F182" s="523"/>
      <c r="G182" s="523"/>
      <c r="H182" s="632"/>
    </row>
    <row r="183" spans="1:8" ht="36" customHeight="1" x14ac:dyDescent="0.3">
      <c r="A183" s="5"/>
      <c r="B183" s="6"/>
      <c r="C183" s="506" t="s">
        <v>1193</v>
      </c>
      <c r="D183" s="537" t="s">
        <v>1392</v>
      </c>
      <c r="E183" s="537" t="s">
        <v>1121</v>
      </c>
      <c r="F183" s="549"/>
      <c r="G183" s="535" t="s">
        <v>1026</v>
      </c>
      <c r="H183" s="632"/>
    </row>
    <row r="184" spans="1:8" ht="36" customHeight="1" x14ac:dyDescent="0.3">
      <c r="A184" s="5"/>
      <c r="B184" s="6"/>
      <c r="C184" s="506"/>
      <c r="D184" s="502" t="s">
        <v>1430</v>
      </c>
      <c r="E184" s="503" t="s">
        <v>1118</v>
      </c>
      <c r="F184" s="549"/>
      <c r="G184" s="521"/>
      <c r="H184" s="632"/>
    </row>
    <row r="185" spans="1:8" ht="36" customHeight="1" x14ac:dyDescent="0.3">
      <c r="A185" s="5"/>
      <c r="B185" s="6"/>
      <c r="C185" s="506"/>
      <c r="D185" s="502" t="s">
        <v>1194</v>
      </c>
      <c r="E185" s="503" t="s">
        <v>1118</v>
      </c>
      <c r="F185" s="549"/>
      <c r="G185" s="521"/>
      <c r="H185" s="632"/>
    </row>
    <row r="186" spans="1:8" ht="36" customHeight="1" x14ac:dyDescent="0.3">
      <c r="A186" s="5"/>
      <c r="B186" s="6"/>
      <c r="C186" s="522"/>
      <c r="D186" s="502" t="s">
        <v>1459</v>
      </c>
      <c r="E186" s="503" t="s">
        <v>1233</v>
      </c>
      <c r="F186" s="549"/>
      <c r="G186" s="523"/>
      <c r="H186" s="632"/>
    </row>
    <row r="187" spans="1:8" ht="36" customHeight="1" x14ac:dyDescent="0.3">
      <c r="A187" s="5"/>
      <c r="B187" s="6"/>
      <c r="C187" s="510" t="s">
        <v>1059</v>
      </c>
      <c r="D187" s="553" t="s">
        <v>1447</v>
      </c>
      <c r="E187" s="553" t="s">
        <v>1509</v>
      </c>
      <c r="F187" s="553" t="s">
        <v>1510</v>
      </c>
      <c r="G187" s="514" t="s">
        <v>1026</v>
      </c>
      <c r="H187" s="632"/>
    </row>
    <row r="188" spans="1:8" ht="36" customHeight="1" x14ac:dyDescent="0.3">
      <c r="A188" s="5"/>
      <c r="B188" s="6"/>
      <c r="C188" s="508" t="s">
        <v>1373</v>
      </c>
      <c r="D188" s="537" t="s">
        <v>955</v>
      </c>
      <c r="E188" s="537" t="s">
        <v>1062</v>
      </c>
      <c r="F188" s="537" t="s">
        <v>1294</v>
      </c>
      <c r="G188" s="507" t="s">
        <v>1073</v>
      </c>
      <c r="H188" s="632"/>
    </row>
    <row r="189" spans="1:8" ht="36" customHeight="1" x14ac:dyDescent="0.3">
      <c r="A189" s="5"/>
      <c r="B189" s="6"/>
      <c r="C189" s="508" t="s">
        <v>1511</v>
      </c>
      <c r="D189" s="537" t="s">
        <v>1300</v>
      </c>
      <c r="E189" s="537" t="s">
        <v>1512</v>
      </c>
      <c r="F189" s="537"/>
      <c r="G189" s="507" t="s">
        <v>1377</v>
      </c>
      <c r="H189" s="632"/>
    </row>
    <row r="190" spans="1:8" ht="36" customHeight="1" x14ac:dyDescent="0.3">
      <c r="A190" s="5"/>
      <c r="B190" s="6"/>
      <c r="C190" s="501" t="s">
        <v>1142</v>
      </c>
      <c r="D190" s="537" t="s">
        <v>1225</v>
      </c>
      <c r="E190" s="537" t="s">
        <v>1037</v>
      </c>
      <c r="F190" s="537"/>
      <c r="G190" s="535" t="s">
        <v>1195</v>
      </c>
      <c r="H190" s="632"/>
    </row>
    <row r="191" spans="1:8" ht="36" customHeight="1" x14ac:dyDescent="0.3">
      <c r="A191" s="5"/>
      <c r="B191" s="6"/>
      <c r="C191" s="506"/>
      <c r="D191" s="537" t="s">
        <v>1044</v>
      </c>
      <c r="E191" s="537" t="s">
        <v>1145</v>
      </c>
      <c r="F191" s="537"/>
      <c r="G191" s="521"/>
      <c r="H191" s="632"/>
    </row>
    <row r="192" spans="1:8" ht="36" customHeight="1" x14ac:dyDescent="0.3">
      <c r="A192" s="5"/>
      <c r="B192" s="6"/>
      <c r="C192" s="522"/>
      <c r="D192" s="537" t="s">
        <v>1159</v>
      </c>
      <c r="E192" s="537" t="s">
        <v>1145</v>
      </c>
      <c r="F192" s="537"/>
      <c r="G192" s="523"/>
      <c r="H192" s="632"/>
    </row>
    <row r="193" spans="1:9" ht="36" customHeight="1" x14ac:dyDescent="0.3">
      <c r="A193" s="5"/>
      <c r="B193" s="6"/>
      <c r="C193" s="508" t="s">
        <v>1513</v>
      </c>
      <c r="D193" s="537" t="s">
        <v>1381</v>
      </c>
      <c r="E193" s="537" t="s">
        <v>1514</v>
      </c>
      <c r="F193" s="549" t="s">
        <v>1140</v>
      </c>
      <c r="G193" s="514" t="s">
        <v>750</v>
      </c>
      <c r="H193" s="632" t="s">
        <v>1515</v>
      </c>
      <c r="I193" s="12" t="s">
        <v>1516</v>
      </c>
    </row>
    <row r="194" spans="1:9" ht="36" customHeight="1" thickBot="1" x14ac:dyDescent="0.35">
      <c r="A194" s="5"/>
      <c r="B194" s="6"/>
      <c r="C194" s="510" t="s">
        <v>1015</v>
      </c>
      <c r="D194" s="553" t="s">
        <v>1023</v>
      </c>
      <c r="E194" s="553" t="s">
        <v>1512</v>
      </c>
      <c r="F194" s="645"/>
      <c r="G194" s="514" t="s">
        <v>1203</v>
      </c>
      <c r="H194" s="632" t="s">
        <v>1517</v>
      </c>
    </row>
    <row r="195" spans="1:9" ht="36" customHeight="1" thickBot="1" x14ac:dyDescent="0.35">
      <c r="A195" s="5"/>
      <c r="B195" s="6"/>
      <c r="C195" s="646"/>
      <c r="D195" s="173"/>
      <c r="E195" s="173"/>
      <c r="F195" s="65"/>
      <c r="G195" s="647"/>
      <c r="H195" s="632"/>
    </row>
    <row r="196" spans="1:9" ht="36" customHeight="1" thickBot="1" x14ac:dyDescent="0.35">
      <c r="A196" s="5"/>
      <c r="B196" s="6"/>
      <c r="C196" s="76"/>
      <c r="D196" s="65"/>
      <c r="E196" s="65"/>
      <c r="F196" s="65"/>
      <c r="G196" s="424"/>
      <c r="H196" s="632"/>
    </row>
    <row r="197" spans="1:9" ht="36" customHeight="1" thickBot="1" x14ac:dyDescent="0.35">
      <c r="A197" s="25"/>
      <c r="B197" s="26"/>
      <c r="C197" s="89"/>
      <c r="D197" s="90"/>
      <c r="E197" s="144"/>
      <c r="F197" s="215"/>
      <c r="G197" s="476"/>
      <c r="H197" s="632"/>
    </row>
    <row r="198" spans="1:9" ht="36" customHeight="1" x14ac:dyDescent="0.3">
      <c r="A198" s="72">
        <v>44189</v>
      </c>
      <c r="B198" s="99" t="s">
        <v>41</v>
      </c>
      <c r="C198" s="604" t="s">
        <v>1040</v>
      </c>
      <c r="D198" s="605" t="s">
        <v>1041</v>
      </c>
      <c r="E198" s="605" t="s">
        <v>1518</v>
      </c>
      <c r="F198" s="605"/>
      <c r="G198" s="606" t="s">
        <v>1195</v>
      </c>
      <c r="H198" s="632"/>
    </row>
    <row r="199" spans="1:9" ht="36" customHeight="1" x14ac:dyDescent="0.3">
      <c r="A199" s="5"/>
      <c r="B199" s="6"/>
      <c r="C199" s="508" t="s">
        <v>1208</v>
      </c>
      <c r="D199" s="537" t="s">
        <v>1044</v>
      </c>
      <c r="E199" s="537" t="s">
        <v>724</v>
      </c>
      <c r="F199" s="537" t="s">
        <v>1519</v>
      </c>
      <c r="G199" s="507" t="s">
        <v>1435</v>
      </c>
      <c r="H199" s="632"/>
    </row>
    <row r="200" spans="1:9" ht="36" customHeight="1" x14ac:dyDescent="0.3">
      <c r="A200" s="5"/>
      <c r="B200" s="6"/>
      <c r="C200" s="544" t="s">
        <v>1036</v>
      </c>
      <c r="D200" s="537" t="s">
        <v>1178</v>
      </c>
      <c r="E200" s="537" t="s">
        <v>1211</v>
      </c>
      <c r="F200" s="537" t="s">
        <v>1301</v>
      </c>
      <c r="G200" s="545" t="s">
        <v>1520</v>
      </c>
      <c r="H200" s="632"/>
    </row>
    <row r="201" spans="1:9" ht="36" customHeight="1" x14ac:dyDescent="0.3">
      <c r="A201" s="5"/>
      <c r="B201" s="6"/>
      <c r="C201" s="544"/>
      <c r="D201" s="537" t="s">
        <v>1399</v>
      </c>
      <c r="E201" s="537" t="s">
        <v>1087</v>
      </c>
      <c r="F201" s="537"/>
      <c r="G201" s="545"/>
      <c r="H201" s="632"/>
    </row>
    <row r="202" spans="1:9" ht="36" customHeight="1" x14ac:dyDescent="0.3">
      <c r="A202" s="5"/>
      <c r="B202" s="6"/>
      <c r="C202" s="544"/>
      <c r="D202" s="537" t="s">
        <v>1182</v>
      </c>
      <c r="E202" s="537" t="s">
        <v>1521</v>
      </c>
      <c r="F202" s="537"/>
      <c r="G202" s="545"/>
      <c r="H202" s="632"/>
    </row>
    <row r="203" spans="1:9" ht="36" customHeight="1" x14ac:dyDescent="0.3">
      <c r="A203" s="5"/>
      <c r="B203" s="6"/>
      <c r="C203" s="508" t="s">
        <v>1522</v>
      </c>
      <c r="D203" s="537" t="s">
        <v>1016</v>
      </c>
      <c r="E203" s="537" t="s">
        <v>1523</v>
      </c>
      <c r="F203" s="537" t="s">
        <v>1524</v>
      </c>
      <c r="G203" s="507" t="s">
        <v>1203</v>
      </c>
      <c r="H203" s="632"/>
    </row>
    <row r="204" spans="1:9" ht="36" customHeight="1" thickBot="1" x14ac:dyDescent="0.35">
      <c r="A204" s="5"/>
      <c r="B204" s="6"/>
      <c r="C204" s="51"/>
      <c r="D204" s="423"/>
      <c r="E204" s="423"/>
      <c r="F204" s="423"/>
      <c r="G204" s="364"/>
      <c r="H204" s="632"/>
    </row>
    <row r="205" spans="1:9" ht="36" customHeight="1" thickBot="1" x14ac:dyDescent="0.35">
      <c r="A205" s="25"/>
      <c r="B205" s="26"/>
      <c r="C205" s="27"/>
      <c r="D205" s="28"/>
      <c r="E205" s="365"/>
      <c r="F205" s="489"/>
      <c r="G205" s="486"/>
      <c r="H205" s="632"/>
    </row>
    <row r="206" spans="1:9" ht="95.1" customHeight="1" thickBot="1" x14ac:dyDescent="0.35">
      <c r="A206" s="1" t="s">
        <v>0</v>
      </c>
      <c r="B206" s="2"/>
      <c r="C206" s="391"/>
      <c r="D206" s="391"/>
      <c r="E206" s="391"/>
      <c r="F206" s="391"/>
      <c r="G206" s="392"/>
      <c r="H206" s="632"/>
    </row>
    <row r="207" spans="1:9" ht="36" customHeight="1" x14ac:dyDescent="0.3">
      <c r="A207" s="72">
        <v>44193</v>
      </c>
      <c r="B207" s="99" t="s">
        <v>829</v>
      </c>
      <c r="C207" s="541" t="s">
        <v>1070</v>
      </c>
      <c r="D207" s="605" t="s">
        <v>1071</v>
      </c>
      <c r="E207" s="605" t="s">
        <v>1037</v>
      </c>
      <c r="F207" s="605"/>
      <c r="G207" s="648"/>
      <c r="H207" s="632"/>
    </row>
    <row r="208" spans="1:9" ht="36" customHeight="1" x14ac:dyDescent="0.3">
      <c r="A208" s="5"/>
      <c r="B208" s="6"/>
      <c r="C208" s="544"/>
      <c r="D208" s="537" t="s">
        <v>1250</v>
      </c>
      <c r="E208" s="537" t="s">
        <v>489</v>
      </c>
      <c r="F208" s="537" t="s">
        <v>1294</v>
      </c>
      <c r="G208" s="507" t="s">
        <v>1525</v>
      </c>
      <c r="H208" s="632"/>
    </row>
    <row r="209" spans="1:8" ht="36" customHeight="1" x14ac:dyDescent="0.3">
      <c r="A209" s="5"/>
      <c r="B209" s="6"/>
      <c r="C209" s="544" t="s">
        <v>1526</v>
      </c>
      <c r="D209" s="537" t="s">
        <v>1023</v>
      </c>
      <c r="E209" s="537" t="s">
        <v>1269</v>
      </c>
      <c r="F209" s="537"/>
      <c r="G209" s="545"/>
      <c r="H209" s="632"/>
    </row>
    <row r="210" spans="1:8" ht="36" customHeight="1" x14ac:dyDescent="0.3">
      <c r="A210" s="5"/>
      <c r="B210" s="6"/>
      <c r="C210" s="544"/>
      <c r="D210" s="537" t="s">
        <v>955</v>
      </c>
      <c r="E210" s="537" t="s">
        <v>1021</v>
      </c>
      <c r="F210" s="537" t="s">
        <v>1527</v>
      </c>
      <c r="G210" s="545"/>
      <c r="H210" s="632"/>
    </row>
    <row r="211" spans="1:8" ht="36" customHeight="1" x14ac:dyDescent="0.3">
      <c r="A211" s="5"/>
      <c r="B211" s="6"/>
      <c r="C211" s="508" t="s">
        <v>913</v>
      </c>
      <c r="D211" s="537" t="s">
        <v>973</v>
      </c>
      <c r="E211" s="537" t="s">
        <v>1037</v>
      </c>
      <c r="F211" s="537"/>
      <c r="G211" s="507" t="s">
        <v>669</v>
      </c>
      <c r="H211" s="632"/>
    </row>
    <row r="212" spans="1:8" ht="36" customHeight="1" x14ac:dyDescent="0.3">
      <c r="A212" s="5"/>
      <c r="B212" s="6"/>
      <c r="C212" s="544" t="s">
        <v>1528</v>
      </c>
      <c r="D212" s="537" t="s">
        <v>1023</v>
      </c>
      <c r="E212" s="537" t="s">
        <v>769</v>
      </c>
      <c r="F212" s="537"/>
      <c r="G212" s="545" t="s">
        <v>1203</v>
      </c>
      <c r="H212" s="632"/>
    </row>
    <row r="213" spans="1:8" ht="36" customHeight="1" x14ac:dyDescent="0.3">
      <c r="A213" s="5"/>
      <c r="B213" s="6"/>
      <c r="C213" s="544"/>
      <c r="D213" s="537" t="s">
        <v>1160</v>
      </c>
      <c r="E213" s="537" t="s">
        <v>769</v>
      </c>
      <c r="F213" s="537"/>
      <c r="G213" s="545"/>
      <c r="H213" s="632" t="s">
        <v>1529</v>
      </c>
    </row>
    <row r="214" spans="1:8" ht="36" customHeight="1" x14ac:dyDescent="0.3">
      <c r="A214" s="5"/>
      <c r="B214" s="6"/>
      <c r="C214" s="544"/>
      <c r="D214" s="537" t="s">
        <v>955</v>
      </c>
      <c r="E214" s="537" t="s">
        <v>542</v>
      </c>
      <c r="F214" s="537" t="s">
        <v>1473</v>
      </c>
      <c r="G214" s="545"/>
      <c r="H214" s="632"/>
    </row>
    <row r="215" spans="1:8" ht="36" customHeight="1" x14ac:dyDescent="0.3">
      <c r="A215" s="5"/>
      <c r="B215" s="6"/>
      <c r="C215" s="508" t="s">
        <v>1530</v>
      </c>
      <c r="D215" s="537" t="s">
        <v>1016</v>
      </c>
      <c r="E215" s="537" t="s">
        <v>1087</v>
      </c>
      <c r="F215" s="537" t="s">
        <v>1531</v>
      </c>
      <c r="G215" s="507" t="s">
        <v>1065</v>
      </c>
      <c r="H215" s="632"/>
    </row>
    <row r="216" spans="1:8" ht="36" customHeight="1" x14ac:dyDescent="0.3">
      <c r="A216" s="5"/>
      <c r="B216" s="6"/>
      <c r="C216" s="501" t="s">
        <v>752</v>
      </c>
      <c r="D216" s="537" t="s">
        <v>955</v>
      </c>
      <c r="E216" s="537" t="s">
        <v>1532</v>
      </c>
      <c r="F216" s="537"/>
      <c r="G216" s="535" t="s">
        <v>669</v>
      </c>
      <c r="H216" s="632"/>
    </row>
    <row r="217" spans="1:8" ht="36" customHeight="1" x14ac:dyDescent="0.3">
      <c r="A217" s="5"/>
      <c r="B217" s="6"/>
      <c r="C217" s="522"/>
      <c r="D217" s="537" t="s">
        <v>1023</v>
      </c>
      <c r="E217" s="537" t="s">
        <v>1533</v>
      </c>
      <c r="F217" s="537"/>
      <c r="G217" s="523"/>
      <c r="H217" s="632"/>
    </row>
    <row r="218" spans="1:8" ht="36" customHeight="1" x14ac:dyDescent="0.3">
      <c r="A218" s="5"/>
      <c r="B218" s="6"/>
      <c r="C218" s="501" t="s">
        <v>1534</v>
      </c>
      <c r="D218" s="551" t="s">
        <v>1013</v>
      </c>
      <c r="E218" s="551" t="s">
        <v>769</v>
      </c>
      <c r="F218" s="551"/>
      <c r="G218" s="535" t="s">
        <v>1065</v>
      </c>
      <c r="H218" s="632"/>
    </row>
    <row r="219" spans="1:8" ht="36" customHeight="1" x14ac:dyDescent="0.3">
      <c r="A219" s="5"/>
      <c r="B219" s="6"/>
      <c r="C219" s="506"/>
      <c r="D219" s="551" t="s">
        <v>1225</v>
      </c>
      <c r="E219" s="649" t="s">
        <v>1535</v>
      </c>
      <c r="F219" s="551"/>
      <c r="G219" s="521"/>
      <c r="H219" s="632"/>
    </row>
    <row r="220" spans="1:8" ht="36" customHeight="1" thickBot="1" x14ac:dyDescent="0.35">
      <c r="A220" s="5"/>
      <c r="B220" s="6"/>
      <c r="C220" s="51"/>
      <c r="D220" s="423"/>
      <c r="E220" s="423"/>
      <c r="F220" s="423"/>
      <c r="G220" s="364"/>
      <c r="H220" s="632"/>
    </row>
    <row r="221" spans="1:8" ht="36" customHeight="1" thickBot="1" x14ac:dyDescent="0.35">
      <c r="A221" s="25"/>
      <c r="B221" s="26"/>
      <c r="C221" s="27"/>
      <c r="D221" s="28"/>
      <c r="E221" s="365"/>
      <c r="F221" s="489"/>
      <c r="G221" s="486"/>
      <c r="H221" s="632"/>
    </row>
    <row r="222" spans="1:8" ht="36" customHeight="1" x14ac:dyDescent="0.3">
      <c r="A222" s="5">
        <v>44194</v>
      </c>
      <c r="B222" s="6" t="s">
        <v>1042</v>
      </c>
      <c r="C222" s="541" t="s">
        <v>1330</v>
      </c>
      <c r="D222" s="605" t="s">
        <v>1459</v>
      </c>
      <c r="E222" s="605" t="s">
        <v>732</v>
      </c>
      <c r="F222" s="650" t="s">
        <v>1536</v>
      </c>
      <c r="G222" s="543" t="s">
        <v>1083</v>
      </c>
      <c r="H222" s="632" t="s">
        <v>1537</v>
      </c>
    </row>
    <row r="223" spans="1:8" ht="36" customHeight="1" x14ac:dyDescent="0.3">
      <c r="A223" s="5"/>
      <c r="B223" s="6"/>
      <c r="C223" s="544"/>
      <c r="D223" s="537" t="s">
        <v>1023</v>
      </c>
      <c r="E223" s="537" t="s">
        <v>1538</v>
      </c>
      <c r="F223" s="651"/>
      <c r="G223" s="545"/>
      <c r="H223" s="632" t="s">
        <v>1539</v>
      </c>
    </row>
    <row r="224" spans="1:8" ht="36" customHeight="1" x14ac:dyDescent="0.3">
      <c r="A224" s="5"/>
      <c r="B224" s="6"/>
      <c r="C224" s="544" t="s">
        <v>1015</v>
      </c>
      <c r="D224" s="537" t="s">
        <v>960</v>
      </c>
      <c r="E224" s="537" t="s">
        <v>1540</v>
      </c>
      <c r="F224" s="537"/>
      <c r="G224" s="545" t="s">
        <v>1541</v>
      </c>
      <c r="H224" s="652" t="s">
        <v>1542</v>
      </c>
    </row>
    <row r="225" spans="1:8" ht="36" customHeight="1" x14ac:dyDescent="0.3">
      <c r="A225" s="5"/>
      <c r="B225" s="6"/>
      <c r="C225" s="544"/>
      <c r="D225" s="537" t="s">
        <v>1020</v>
      </c>
      <c r="E225" s="537" t="s">
        <v>1017</v>
      </c>
      <c r="F225" s="537"/>
      <c r="G225" s="545"/>
      <c r="H225" s="652"/>
    </row>
    <row r="226" spans="1:8" ht="36" customHeight="1" x14ac:dyDescent="0.3">
      <c r="A226" s="5"/>
      <c r="B226" s="6"/>
      <c r="C226" s="544"/>
      <c r="D226" s="537" t="s">
        <v>1543</v>
      </c>
      <c r="E226" s="653" t="s">
        <v>1021</v>
      </c>
      <c r="F226" s="537"/>
      <c r="G226" s="545"/>
      <c r="H226" s="632"/>
    </row>
    <row r="227" spans="1:8" ht="36" customHeight="1" x14ac:dyDescent="0.3">
      <c r="A227" s="5"/>
      <c r="B227" s="6"/>
      <c r="C227" s="544"/>
      <c r="D227" s="537" t="s">
        <v>1242</v>
      </c>
      <c r="E227" s="653" t="s">
        <v>756</v>
      </c>
      <c r="F227" s="537"/>
      <c r="G227" s="545"/>
      <c r="H227" s="632"/>
    </row>
    <row r="228" spans="1:8" ht="36" customHeight="1" x14ac:dyDescent="0.3">
      <c r="A228" s="5"/>
      <c r="B228" s="6"/>
      <c r="C228" s="544"/>
      <c r="D228" s="537" t="s">
        <v>1027</v>
      </c>
      <c r="E228" s="653" t="s">
        <v>769</v>
      </c>
      <c r="F228" s="537"/>
      <c r="G228" s="545"/>
      <c r="H228" s="632"/>
    </row>
    <row r="229" spans="1:8" ht="36" customHeight="1" x14ac:dyDescent="0.3">
      <c r="A229" s="5"/>
      <c r="B229" s="6"/>
      <c r="C229" s="544" t="s">
        <v>1036</v>
      </c>
      <c r="D229" s="537" t="s">
        <v>1016</v>
      </c>
      <c r="E229" s="537" t="s">
        <v>1544</v>
      </c>
      <c r="F229" s="537" t="s">
        <v>1244</v>
      </c>
      <c r="G229" s="545" t="s">
        <v>1545</v>
      </c>
      <c r="H229" s="632"/>
    </row>
    <row r="230" spans="1:8" ht="36" customHeight="1" x14ac:dyDescent="0.3">
      <c r="A230" s="5"/>
      <c r="B230" s="6"/>
      <c r="C230" s="544"/>
      <c r="D230" s="537" t="s">
        <v>1023</v>
      </c>
      <c r="E230" s="537" t="s">
        <v>799</v>
      </c>
      <c r="F230" s="537"/>
      <c r="G230" s="545"/>
      <c r="H230" s="632"/>
    </row>
    <row r="231" spans="1:8" ht="36" customHeight="1" x14ac:dyDescent="0.3">
      <c r="A231" s="5"/>
      <c r="B231" s="6"/>
      <c r="C231" s="508" t="s">
        <v>1213</v>
      </c>
      <c r="D231" s="537" t="s">
        <v>955</v>
      </c>
      <c r="E231" s="537" t="s">
        <v>779</v>
      </c>
      <c r="F231" s="537" t="s">
        <v>1473</v>
      </c>
      <c r="G231" s="507" t="s">
        <v>1491</v>
      </c>
      <c r="H231" s="632"/>
    </row>
    <row r="232" spans="1:8" ht="36" customHeight="1" x14ac:dyDescent="0.3">
      <c r="A232" s="5"/>
      <c r="B232" s="6"/>
      <c r="C232" s="508" t="s">
        <v>1043</v>
      </c>
      <c r="D232" s="537" t="s">
        <v>960</v>
      </c>
      <c r="E232" s="537" t="s">
        <v>489</v>
      </c>
      <c r="F232" s="537" t="s">
        <v>1473</v>
      </c>
      <c r="G232" s="507" t="s">
        <v>669</v>
      </c>
      <c r="H232" s="632"/>
    </row>
    <row r="233" spans="1:8" ht="36" customHeight="1" x14ac:dyDescent="0.3">
      <c r="A233" s="5"/>
      <c r="B233" s="6"/>
      <c r="C233" s="508" t="s">
        <v>1546</v>
      </c>
      <c r="D233" s="537" t="s">
        <v>1547</v>
      </c>
      <c r="E233" s="537" t="s">
        <v>1092</v>
      </c>
      <c r="F233" s="537"/>
      <c r="G233" s="507"/>
      <c r="H233" s="632"/>
    </row>
    <row r="234" spans="1:8" ht="36" customHeight="1" x14ac:dyDescent="0.3">
      <c r="A234" s="5"/>
      <c r="B234" s="6"/>
      <c r="C234" s="544" t="s">
        <v>1232</v>
      </c>
      <c r="D234" s="537" t="s">
        <v>1459</v>
      </c>
      <c r="E234" s="537" t="s">
        <v>1087</v>
      </c>
      <c r="F234" s="537"/>
      <c r="G234" s="545" t="s">
        <v>1548</v>
      </c>
      <c r="H234" s="632"/>
    </row>
    <row r="235" spans="1:8" ht="36" customHeight="1" x14ac:dyDescent="0.3">
      <c r="A235" s="5"/>
      <c r="B235" s="6"/>
      <c r="C235" s="544"/>
      <c r="D235" s="537" t="s">
        <v>984</v>
      </c>
      <c r="E235" s="537" t="s">
        <v>1074</v>
      </c>
      <c r="F235" s="537"/>
      <c r="G235" s="545"/>
      <c r="H235" s="632"/>
    </row>
    <row r="236" spans="1:8" ht="36" customHeight="1" x14ac:dyDescent="0.3">
      <c r="A236" s="5"/>
      <c r="B236" s="6"/>
      <c r="C236" s="544"/>
      <c r="D236" s="537" t="s">
        <v>1549</v>
      </c>
      <c r="E236" s="537" t="s">
        <v>1149</v>
      </c>
      <c r="F236" s="537"/>
      <c r="G236" s="545"/>
      <c r="H236" s="632"/>
    </row>
    <row r="237" spans="1:8" ht="36" customHeight="1" x14ac:dyDescent="0.3">
      <c r="A237" s="5"/>
      <c r="B237" s="6"/>
      <c r="C237" s="544"/>
      <c r="D237" s="537" t="s">
        <v>1550</v>
      </c>
      <c r="E237" s="537" t="s">
        <v>870</v>
      </c>
      <c r="F237" s="537"/>
      <c r="G237" s="545"/>
      <c r="H237" s="632"/>
    </row>
    <row r="238" spans="1:8" ht="36" customHeight="1" thickBot="1" x14ac:dyDescent="0.35">
      <c r="A238" s="5"/>
      <c r="B238" s="6"/>
      <c r="C238" s="654"/>
      <c r="D238" s="193"/>
      <c r="E238" s="193"/>
      <c r="F238" s="193"/>
      <c r="G238" s="655"/>
      <c r="H238" s="632"/>
    </row>
    <row r="239" spans="1:8" ht="36" customHeight="1" thickBot="1" x14ac:dyDescent="0.35">
      <c r="A239" s="25"/>
      <c r="B239" s="26"/>
      <c r="C239" s="435"/>
      <c r="D239" s="170"/>
      <c r="E239" s="436"/>
      <c r="F239" s="436"/>
      <c r="G239" s="499"/>
      <c r="H239" s="632"/>
    </row>
    <row r="240" spans="1:8" ht="36" customHeight="1" x14ac:dyDescent="0.3">
      <c r="A240" s="72">
        <v>44195</v>
      </c>
      <c r="B240" s="99" t="s">
        <v>21</v>
      </c>
      <c r="C240" s="541" t="s">
        <v>1059</v>
      </c>
      <c r="D240" s="605" t="s">
        <v>621</v>
      </c>
      <c r="E240" s="605" t="s">
        <v>1551</v>
      </c>
      <c r="F240" s="605"/>
      <c r="G240" s="519" t="s">
        <v>1552</v>
      </c>
      <c r="H240" s="632"/>
    </row>
    <row r="241" spans="1:9" ht="36" customHeight="1" x14ac:dyDescent="0.3">
      <c r="A241" s="5"/>
      <c r="B241" s="6"/>
      <c r="C241" s="544"/>
      <c r="D241" s="537" t="s">
        <v>1553</v>
      </c>
      <c r="E241" s="537" t="s">
        <v>883</v>
      </c>
      <c r="F241" s="537"/>
      <c r="G241" s="521"/>
      <c r="H241" s="632"/>
    </row>
    <row r="242" spans="1:9" ht="36" customHeight="1" x14ac:dyDescent="0.3">
      <c r="A242" s="5"/>
      <c r="B242" s="6"/>
      <c r="C242" s="544"/>
      <c r="D242" s="537" t="s">
        <v>1554</v>
      </c>
      <c r="E242" s="537" t="s">
        <v>724</v>
      </c>
      <c r="F242" s="537"/>
      <c r="G242" s="523"/>
      <c r="H242" s="632"/>
    </row>
    <row r="243" spans="1:9" ht="36" customHeight="1" x14ac:dyDescent="0.3">
      <c r="A243" s="5"/>
      <c r="B243" s="6"/>
      <c r="C243" s="508" t="s">
        <v>909</v>
      </c>
      <c r="D243" s="537" t="s">
        <v>1201</v>
      </c>
      <c r="E243" s="537" t="s">
        <v>1067</v>
      </c>
      <c r="F243" s="537"/>
      <c r="G243" s="507" t="s">
        <v>750</v>
      </c>
      <c r="H243" s="632" t="s">
        <v>1555</v>
      </c>
    </row>
    <row r="244" spans="1:9" ht="36" customHeight="1" x14ac:dyDescent="0.3">
      <c r="A244" s="5"/>
      <c r="B244" s="6"/>
      <c r="C244" s="508" t="s">
        <v>1036</v>
      </c>
      <c r="D244" s="537" t="s">
        <v>1023</v>
      </c>
      <c r="E244" s="537" t="s">
        <v>799</v>
      </c>
      <c r="F244" s="537" t="s">
        <v>1556</v>
      </c>
      <c r="G244" s="507" t="s">
        <v>1073</v>
      </c>
      <c r="H244" s="632" t="s">
        <v>1557</v>
      </c>
    </row>
    <row r="245" spans="1:9" ht="36" customHeight="1" x14ac:dyDescent="0.3">
      <c r="A245" s="5"/>
      <c r="B245" s="6"/>
      <c r="C245" s="510" t="s">
        <v>1558</v>
      </c>
      <c r="D245" s="553" t="s">
        <v>1559</v>
      </c>
      <c r="E245" s="553" t="s">
        <v>883</v>
      </c>
      <c r="F245" s="553"/>
      <c r="G245" s="514" t="s">
        <v>750</v>
      </c>
      <c r="H245" s="632" t="s">
        <v>1560</v>
      </c>
    </row>
    <row r="246" spans="1:9" ht="36" customHeight="1" x14ac:dyDescent="0.3">
      <c r="A246" s="5"/>
      <c r="B246" s="6"/>
      <c r="C246" s="510" t="s">
        <v>1561</v>
      </c>
      <c r="D246" s="553" t="s">
        <v>955</v>
      </c>
      <c r="E246" s="553" t="s">
        <v>1113</v>
      </c>
      <c r="F246" s="553" t="s">
        <v>1562</v>
      </c>
      <c r="G246" s="514" t="s">
        <v>1203</v>
      </c>
      <c r="H246" s="632" t="s">
        <v>1128</v>
      </c>
    </row>
    <row r="247" spans="1:9" ht="36" customHeight="1" x14ac:dyDescent="0.3">
      <c r="A247" s="5"/>
      <c r="B247" s="6"/>
      <c r="C247" s="510" t="s">
        <v>1283</v>
      </c>
      <c r="D247" s="553" t="s">
        <v>1563</v>
      </c>
      <c r="E247" s="553" t="s">
        <v>1564</v>
      </c>
      <c r="F247" s="553" t="s">
        <v>1565</v>
      </c>
      <c r="G247" s="514" t="s">
        <v>1035</v>
      </c>
      <c r="H247" s="632" t="s">
        <v>1128</v>
      </c>
    </row>
    <row r="248" spans="1:9" ht="43.5" customHeight="1" x14ac:dyDescent="0.3">
      <c r="A248" s="5"/>
      <c r="B248" s="6"/>
      <c r="C248" s="510" t="s">
        <v>848</v>
      </c>
      <c r="D248" s="502" t="s">
        <v>1027</v>
      </c>
      <c r="E248" s="553" t="s">
        <v>1509</v>
      </c>
      <c r="F248" s="553" t="s">
        <v>1566</v>
      </c>
      <c r="G248" s="514" t="s">
        <v>1203</v>
      </c>
      <c r="H248" s="656" t="s">
        <v>1567</v>
      </c>
    </row>
    <row r="249" spans="1:9" ht="39.75" customHeight="1" x14ac:dyDescent="0.3">
      <c r="A249" s="5"/>
      <c r="B249" s="6"/>
      <c r="C249" s="510" t="s">
        <v>1015</v>
      </c>
      <c r="D249" s="511" t="s">
        <v>1408</v>
      </c>
      <c r="E249" s="553" t="s">
        <v>1318</v>
      </c>
      <c r="F249" s="553" t="s">
        <v>1568</v>
      </c>
      <c r="G249" s="514" t="s">
        <v>1203</v>
      </c>
      <c r="H249" s="656" t="s">
        <v>1569</v>
      </c>
    </row>
    <row r="250" spans="1:9" ht="49.5" customHeight="1" x14ac:dyDescent="0.3">
      <c r="A250" s="5"/>
      <c r="B250" s="6"/>
      <c r="C250" s="510" t="s">
        <v>1204</v>
      </c>
      <c r="D250" s="511" t="s">
        <v>1016</v>
      </c>
      <c r="E250" s="553" t="s">
        <v>1265</v>
      </c>
      <c r="F250" s="657" t="s">
        <v>1570</v>
      </c>
      <c r="G250" s="514" t="s">
        <v>1203</v>
      </c>
      <c r="H250" s="656" t="s">
        <v>1571</v>
      </c>
    </row>
    <row r="251" spans="1:9" ht="36" customHeight="1" thickBot="1" x14ac:dyDescent="0.35">
      <c r="A251" s="5"/>
      <c r="B251" s="6"/>
      <c r="C251" s="646"/>
      <c r="D251" s="173"/>
      <c r="E251" s="173"/>
      <c r="F251" s="173"/>
      <c r="G251" s="647"/>
      <c r="H251" s="658"/>
      <c r="I251" s="659"/>
    </row>
    <row r="252" spans="1:9" ht="36" customHeight="1" thickBot="1" x14ac:dyDescent="0.35">
      <c r="A252" s="5"/>
      <c r="B252" s="75"/>
      <c r="C252" s="27" t="s">
        <v>1306</v>
      </c>
      <c r="D252" s="28" t="s">
        <v>1056</v>
      </c>
      <c r="E252" s="365" t="s">
        <v>1572</v>
      </c>
      <c r="F252" s="365" t="s">
        <v>1308</v>
      </c>
      <c r="G252" s="486"/>
      <c r="H252" s="632"/>
    </row>
    <row r="253" spans="1:9" ht="36" customHeight="1" thickBot="1" x14ac:dyDescent="0.35">
      <c r="A253" s="25"/>
      <c r="B253" s="79"/>
      <c r="C253" s="435" t="s">
        <v>1573</v>
      </c>
      <c r="D253" s="170" t="s">
        <v>1167</v>
      </c>
      <c r="E253" s="436" t="s">
        <v>1574</v>
      </c>
      <c r="F253" s="436" t="s">
        <v>1575</v>
      </c>
      <c r="G253" s="499"/>
      <c r="H253" s="632"/>
    </row>
    <row r="254" spans="1:9" ht="36" customHeight="1" x14ac:dyDescent="0.3">
      <c r="A254" s="72">
        <v>44196</v>
      </c>
      <c r="B254" s="99" t="s">
        <v>41</v>
      </c>
      <c r="C254" s="541" t="s">
        <v>1576</v>
      </c>
      <c r="D254" s="605" t="s">
        <v>1577</v>
      </c>
      <c r="E254" s="605" t="s">
        <v>859</v>
      </c>
      <c r="F254" s="605"/>
      <c r="G254" s="519"/>
      <c r="H254" s="632" t="s">
        <v>1281</v>
      </c>
    </row>
    <row r="255" spans="1:9" ht="36" customHeight="1" x14ac:dyDescent="0.3">
      <c r="A255" s="5"/>
      <c r="B255" s="6"/>
      <c r="C255" s="544"/>
      <c r="D255" s="537" t="s">
        <v>1578</v>
      </c>
      <c r="E255" s="537" t="s">
        <v>1037</v>
      </c>
      <c r="F255" s="537"/>
      <c r="G255" s="523"/>
      <c r="H255" s="632"/>
    </row>
    <row r="256" spans="1:9" ht="36" customHeight="1" x14ac:dyDescent="0.3">
      <c r="A256" s="5"/>
      <c r="B256" s="6"/>
      <c r="C256" s="544" t="s">
        <v>1006</v>
      </c>
      <c r="D256" s="537" t="s">
        <v>1007</v>
      </c>
      <c r="E256" s="537" t="s">
        <v>765</v>
      </c>
      <c r="F256" s="537"/>
      <c r="G256" s="545" t="s">
        <v>1181</v>
      </c>
      <c r="H256" s="632" t="s">
        <v>1217</v>
      </c>
    </row>
    <row r="257" spans="1:8" ht="36" customHeight="1" x14ac:dyDescent="0.3">
      <c r="A257" s="5"/>
      <c r="B257" s="6"/>
      <c r="C257" s="544"/>
      <c r="D257" s="537" t="s">
        <v>1194</v>
      </c>
      <c r="E257" s="537" t="s">
        <v>1579</v>
      </c>
      <c r="F257" s="537"/>
      <c r="G257" s="545"/>
      <c r="H257" s="632"/>
    </row>
    <row r="258" spans="1:8" ht="36" customHeight="1" x14ac:dyDescent="0.3">
      <c r="A258" s="5"/>
      <c r="B258" s="6"/>
      <c r="C258" s="544"/>
      <c r="D258" s="537" t="s">
        <v>1197</v>
      </c>
      <c r="E258" s="537" t="s">
        <v>767</v>
      </c>
      <c r="F258" s="537"/>
      <c r="G258" s="545"/>
      <c r="H258" s="632"/>
    </row>
    <row r="259" spans="1:8" ht="36" customHeight="1" x14ac:dyDescent="0.3">
      <c r="A259" s="5"/>
      <c r="B259" s="6"/>
      <c r="C259" s="544"/>
      <c r="D259" s="537" t="s">
        <v>1242</v>
      </c>
      <c r="E259" s="537" t="s">
        <v>1092</v>
      </c>
      <c r="F259" s="537"/>
      <c r="G259" s="545"/>
      <c r="H259" s="632"/>
    </row>
    <row r="260" spans="1:8" ht="36" customHeight="1" thickBot="1" x14ac:dyDescent="0.35">
      <c r="A260" s="5"/>
      <c r="B260" s="6"/>
      <c r="C260" s="544"/>
      <c r="D260" s="537" t="s">
        <v>955</v>
      </c>
      <c r="E260" s="537" t="s">
        <v>838</v>
      </c>
      <c r="F260" s="537" t="s">
        <v>771</v>
      </c>
      <c r="G260" s="545"/>
      <c r="H260" s="632"/>
    </row>
    <row r="261" spans="1:8" ht="36" customHeight="1" x14ac:dyDescent="0.3">
      <c r="A261" s="5"/>
      <c r="B261" s="6"/>
      <c r="C261" s="604" t="s">
        <v>844</v>
      </c>
      <c r="D261" s="605" t="s">
        <v>1158</v>
      </c>
      <c r="E261" s="605" t="s">
        <v>1471</v>
      </c>
      <c r="F261" s="605"/>
      <c r="G261" s="648" t="s">
        <v>1065</v>
      </c>
      <c r="H261" s="632" t="s">
        <v>1580</v>
      </c>
    </row>
    <row r="262" spans="1:8" ht="36" customHeight="1" x14ac:dyDescent="0.3">
      <c r="A262" s="5"/>
      <c r="B262" s="6"/>
      <c r="C262" s="158"/>
      <c r="D262" s="45"/>
      <c r="E262" s="45"/>
      <c r="F262" s="45"/>
      <c r="G262" s="308"/>
      <c r="H262" s="632"/>
    </row>
    <row r="263" spans="1:8" ht="36" customHeight="1" thickBot="1" x14ac:dyDescent="0.35">
      <c r="A263" s="25"/>
      <c r="B263" s="26"/>
      <c r="C263" s="89" t="s">
        <v>1581</v>
      </c>
      <c r="D263" s="90" t="s">
        <v>1167</v>
      </c>
      <c r="E263" s="144" t="s">
        <v>1582</v>
      </c>
      <c r="F263" s="215" t="s">
        <v>1464</v>
      </c>
      <c r="G263" s="476"/>
      <c r="H263" s="632"/>
    </row>
  </sheetData>
  <autoFilter ref="A1:J263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143">
    <mergeCell ref="A254:A263"/>
    <mergeCell ref="B254:B263"/>
    <mergeCell ref="C254:C255"/>
    <mergeCell ref="G254:G255"/>
    <mergeCell ref="C256:C260"/>
    <mergeCell ref="G256:G260"/>
    <mergeCell ref="H224:H225"/>
    <mergeCell ref="C229:C230"/>
    <mergeCell ref="G229:G230"/>
    <mergeCell ref="C234:C237"/>
    <mergeCell ref="G234:G237"/>
    <mergeCell ref="A240:A253"/>
    <mergeCell ref="B240:B253"/>
    <mergeCell ref="C240:C242"/>
    <mergeCell ref="G240:G242"/>
    <mergeCell ref="A222:A239"/>
    <mergeCell ref="B222:B239"/>
    <mergeCell ref="C222:C223"/>
    <mergeCell ref="F222:F223"/>
    <mergeCell ref="G222:G223"/>
    <mergeCell ref="C224:C228"/>
    <mergeCell ref="G224:G228"/>
    <mergeCell ref="C212:C214"/>
    <mergeCell ref="G212:G214"/>
    <mergeCell ref="C216:C217"/>
    <mergeCell ref="G216:G217"/>
    <mergeCell ref="C218:C219"/>
    <mergeCell ref="G218:G219"/>
    <mergeCell ref="A198:A205"/>
    <mergeCell ref="B198:B205"/>
    <mergeCell ref="C200:C202"/>
    <mergeCell ref="G200:G202"/>
    <mergeCell ref="A206:G206"/>
    <mergeCell ref="A207:A221"/>
    <mergeCell ref="B207:B221"/>
    <mergeCell ref="C207:C208"/>
    <mergeCell ref="C209:C210"/>
    <mergeCell ref="G209:G210"/>
    <mergeCell ref="A181:A197"/>
    <mergeCell ref="B181:B197"/>
    <mergeCell ref="C181:C182"/>
    <mergeCell ref="F181:F182"/>
    <mergeCell ref="G181:G182"/>
    <mergeCell ref="C183:C186"/>
    <mergeCell ref="G183:G186"/>
    <mergeCell ref="C190:C192"/>
    <mergeCell ref="G190:G192"/>
    <mergeCell ref="G162:G163"/>
    <mergeCell ref="C164:C167"/>
    <mergeCell ref="G164:G167"/>
    <mergeCell ref="C169:C171"/>
    <mergeCell ref="G169:G171"/>
    <mergeCell ref="A174:A180"/>
    <mergeCell ref="B174:B180"/>
    <mergeCell ref="C174:C176"/>
    <mergeCell ref="A147:A156"/>
    <mergeCell ref="B147:B156"/>
    <mergeCell ref="C150:C151"/>
    <mergeCell ref="G150:G151"/>
    <mergeCell ref="A157:G157"/>
    <mergeCell ref="A158:A173"/>
    <mergeCell ref="B158:B173"/>
    <mergeCell ref="C158:C159"/>
    <mergeCell ref="C160:C161"/>
    <mergeCell ref="C162:C163"/>
    <mergeCell ref="A130:A136"/>
    <mergeCell ref="B130:B136"/>
    <mergeCell ref="C131:C133"/>
    <mergeCell ref="F131:F133"/>
    <mergeCell ref="G131:G133"/>
    <mergeCell ref="A137:A146"/>
    <mergeCell ref="B137:B146"/>
    <mergeCell ref="C142:C144"/>
    <mergeCell ref="G142:G144"/>
    <mergeCell ref="H113:H114"/>
    <mergeCell ref="A120:A129"/>
    <mergeCell ref="B120:B129"/>
    <mergeCell ref="C122:C123"/>
    <mergeCell ref="C124:C127"/>
    <mergeCell ref="G124:G127"/>
    <mergeCell ref="A97:A104"/>
    <mergeCell ref="B97:B104"/>
    <mergeCell ref="C97:C98"/>
    <mergeCell ref="C100:C101"/>
    <mergeCell ref="A105:G105"/>
    <mergeCell ref="A106:A119"/>
    <mergeCell ref="B106:B119"/>
    <mergeCell ref="G107:G108"/>
    <mergeCell ref="C109:C115"/>
    <mergeCell ref="G109:G115"/>
    <mergeCell ref="G87:G89"/>
    <mergeCell ref="C91:C92"/>
    <mergeCell ref="F91:F92"/>
    <mergeCell ref="G91:G92"/>
    <mergeCell ref="C93:C94"/>
    <mergeCell ref="G93:G94"/>
    <mergeCell ref="A73:A84"/>
    <mergeCell ref="B73:B84"/>
    <mergeCell ref="C74:C76"/>
    <mergeCell ref="C79:C80"/>
    <mergeCell ref="G79:G80"/>
    <mergeCell ref="A85:A96"/>
    <mergeCell ref="B85:B96"/>
    <mergeCell ref="C85:C86"/>
    <mergeCell ref="G85:G86"/>
    <mergeCell ref="C87:C89"/>
    <mergeCell ref="A57:A72"/>
    <mergeCell ref="B57:B72"/>
    <mergeCell ref="C61:C62"/>
    <mergeCell ref="G61:G62"/>
    <mergeCell ref="C63:C64"/>
    <mergeCell ref="G63:G64"/>
    <mergeCell ref="C66:C69"/>
    <mergeCell ref="G66:G69"/>
    <mergeCell ref="A43:A56"/>
    <mergeCell ref="B43:B56"/>
    <mergeCell ref="C44:C47"/>
    <mergeCell ref="G44:G47"/>
    <mergeCell ref="C49:C52"/>
    <mergeCell ref="G50:G51"/>
    <mergeCell ref="I29:I31"/>
    <mergeCell ref="M29:M31"/>
    <mergeCell ref="A34:A41"/>
    <mergeCell ref="B34:B41"/>
    <mergeCell ref="C34:C35"/>
    <mergeCell ref="A42:G42"/>
    <mergeCell ref="A21:A33"/>
    <mergeCell ref="B21:B33"/>
    <mergeCell ref="C21:C23"/>
    <mergeCell ref="G21:G24"/>
    <mergeCell ref="C25:C26"/>
    <mergeCell ref="G25:G26"/>
    <mergeCell ref="C28:C30"/>
    <mergeCell ref="G28:G30"/>
    <mergeCell ref="A1:G1"/>
    <mergeCell ref="A2:A10"/>
    <mergeCell ref="B2:B10"/>
    <mergeCell ref="C2:C4"/>
    <mergeCell ref="C5:C7"/>
    <mergeCell ref="A11:A20"/>
    <mergeCell ref="B11:B20"/>
    <mergeCell ref="C16:C17"/>
    <mergeCell ref="G16:G1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9</vt:i4>
      </vt:variant>
    </vt:vector>
  </HeadingPairs>
  <TitlesOfParts>
    <vt:vector size="22" baseType="lpstr">
      <vt:lpstr>201912</vt:lpstr>
      <vt:lpstr>202001</vt:lpstr>
      <vt:lpstr>202002</vt:lpstr>
      <vt:lpstr>202003</vt:lpstr>
      <vt:lpstr>202004</vt:lpstr>
      <vt:lpstr>202005</vt:lpstr>
      <vt:lpstr>202006</vt:lpstr>
      <vt:lpstr>202007</vt:lpstr>
      <vt:lpstr>202008</vt:lpstr>
      <vt:lpstr>202009</vt:lpstr>
      <vt:lpstr>202010</vt:lpstr>
      <vt:lpstr>202011</vt:lpstr>
      <vt:lpstr>202012</vt:lpstr>
      <vt:lpstr>'201912'!Print_Area</vt:lpstr>
      <vt:lpstr>'202001'!Print_Area</vt:lpstr>
      <vt:lpstr>'202002'!Print_Area</vt:lpstr>
      <vt:lpstr>'202003'!Print_Area</vt:lpstr>
      <vt:lpstr>'202004'!Print_Area</vt:lpstr>
      <vt:lpstr>'202005'!Print_Area</vt:lpstr>
      <vt:lpstr>'202006'!Print_Area</vt:lpstr>
      <vt:lpstr>'202007'!Print_Area</vt:lpstr>
      <vt:lpstr>'202008'!Print_Area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userpc</dc:creator>
  <cp:lastModifiedBy>userpc</cp:lastModifiedBy>
  <dcterms:created xsi:type="dcterms:W3CDTF">2021-04-27T07:47:55Z</dcterms:created>
  <dcterms:modified xsi:type="dcterms:W3CDTF">2021-04-27T07:49:09Z</dcterms:modified>
</cp:coreProperties>
</file>