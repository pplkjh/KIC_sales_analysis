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270" yWindow="1935" windowWidth="24225" windowHeight="10080" firstSheet="8" activeTab="12"/>
  </bookViews>
  <sheets>
    <sheet name="201801" sheetId="32" r:id="rId1"/>
    <sheet name="201802" sheetId="34" r:id="rId2"/>
    <sheet name="201803" sheetId="35" r:id="rId3"/>
    <sheet name="201804" sheetId="37" r:id="rId4"/>
    <sheet name="201805" sheetId="39" r:id="rId5"/>
    <sheet name="201806" sheetId="40" r:id="rId6"/>
    <sheet name="201807" sheetId="41" r:id="rId7"/>
    <sheet name="201808" sheetId="42" r:id="rId8"/>
    <sheet name="201809" sheetId="43" r:id="rId9"/>
    <sheet name="201810" sheetId="44" r:id="rId10"/>
    <sheet name="201811" sheetId="47" r:id="rId11"/>
    <sheet name="201812" sheetId="48" r:id="rId12"/>
    <sheet name="201901" sheetId="49" r:id="rId13"/>
    <sheet name="삼성" sheetId="33" r:id="rId14"/>
    <sheet name="발주" sheetId="45" r:id="rId15"/>
    <sheet name="금융재고" sheetId="46" r:id="rId16"/>
    <sheet name="원료반품" sheetId="38" r:id="rId17"/>
    <sheet name="Sheet2" sheetId="36" r:id="rId18"/>
  </sheets>
  <definedNames>
    <definedName name="_xlnm._FilterDatabase" localSheetId="14" hidden="1">발주!$A$2:$F$2</definedName>
    <definedName name="_xlnm.Print_Area" localSheetId="0">'201801'!$A$112:$F$137</definedName>
    <definedName name="_xlnm.Print_Area" localSheetId="1">'201802'!$A$76:$F$101</definedName>
    <definedName name="_xlnm.Print_Area" localSheetId="2">'201803'!$A$72:$F$99</definedName>
    <definedName name="_xlnm.Print_Area" localSheetId="3">'201804'!$A$80:$G$108</definedName>
    <definedName name="_xlnm.Print_Area" localSheetId="4">'201805'!$A$101:$G$127</definedName>
    <definedName name="_xlnm.Print_Area" localSheetId="5">'201806'!$A$75:$G$102</definedName>
    <definedName name="_xlnm.Print_Area" localSheetId="6">'201807'!$A$114:$G$136</definedName>
    <definedName name="_xlnm.Print_Area" localSheetId="7">'201808'!$A$79:$G$108</definedName>
    <definedName name="_xlnm.Print_Area" localSheetId="8">'201809'!$A$78:$G$96</definedName>
    <definedName name="_xlnm.Print_Area" localSheetId="9">'201810'!$A$109:$G$134</definedName>
    <definedName name="_xlnm.Print_Area" localSheetId="10">'201811'!$A$82:$G$103</definedName>
    <definedName name="_xlnm.Print_Area" localSheetId="11">'201812'!$A$84:$G$104</definedName>
    <definedName name="_xlnm.Print_Area" localSheetId="12">'201901'!$A$1:$G$26</definedName>
    <definedName name="_xlnm.Print_Area" localSheetId="14">발주!$A$1:$F$28</definedName>
  </definedNames>
  <calcPr calcId="144525"/>
</workbook>
</file>

<file path=xl/calcChain.xml><?xml version="1.0" encoding="utf-8"?>
<calcChain xmlns="http://schemas.openxmlformats.org/spreadsheetml/2006/main">
  <c r="B3" i="33" l="1"/>
  <c r="B5" i="33"/>
  <c r="B4" i="33" l="1"/>
  <c r="C4" i="33"/>
  <c r="D13" i="45"/>
  <c r="D12" i="45"/>
  <c r="B4" i="46" l="1"/>
  <c r="B3" i="46"/>
  <c r="E36" i="48" l="1"/>
  <c r="E12" i="33"/>
  <c r="B6" i="46" l="1"/>
  <c r="F12" i="33" l="1"/>
  <c r="C12" i="33" l="1"/>
  <c r="F13" i="33" s="1"/>
  <c r="F15" i="33" s="1"/>
  <c r="B12" i="33"/>
  <c r="E13" i="33" s="1"/>
  <c r="E15" i="33" s="1"/>
  <c r="B15" i="46" l="1"/>
  <c r="E93" i="43" l="1"/>
  <c r="E94" i="43"/>
  <c r="E16" i="43" l="1"/>
  <c r="E105" i="42" l="1"/>
  <c r="E106" i="42" l="1"/>
  <c r="E41" i="42" l="1"/>
  <c r="E54" i="42" l="1"/>
  <c r="E14" i="42"/>
  <c r="E8" i="42" l="1"/>
  <c r="E119" i="41" l="1"/>
  <c r="E92" i="41" l="1"/>
  <c r="E69" i="41" l="1"/>
  <c r="E56" i="41" l="1"/>
  <c r="E54" i="41" l="1"/>
  <c r="E44" i="41" l="1"/>
  <c r="E27" i="41" l="1"/>
  <c r="E28" i="41" l="1"/>
  <c r="E99" i="40" l="1"/>
  <c r="E98" i="40" l="1"/>
  <c r="E65" i="40" l="1"/>
  <c r="E61" i="40"/>
  <c r="E57" i="40"/>
  <c r="E30" i="40" l="1"/>
  <c r="E48" i="40"/>
  <c r="E15" i="40" l="1"/>
  <c r="E106" i="39" l="1"/>
  <c r="E93" i="39" l="1"/>
  <c r="E92" i="39" l="1"/>
  <c r="E77" i="39" l="1"/>
  <c r="E60" i="39" l="1"/>
  <c r="E59" i="39"/>
  <c r="E34" i="39" l="1"/>
  <c r="E19" i="39" l="1"/>
  <c r="E14" i="39" l="1"/>
  <c r="E102" i="37" l="1"/>
  <c r="E90" i="37" l="1"/>
  <c r="E74" i="37" l="1"/>
  <c r="F5" i="38" l="1"/>
  <c r="F4" i="38"/>
  <c r="F6" i="38" s="1"/>
  <c r="E65" i="37" l="1"/>
  <c r="E69" i="37"/>
  <c r="E50" i="37" l="1"/>
  <c r="E36" i="37"/>
  <c r="E7" i="37" l="1"/>
  <c r="E20" i="37"/>
  <c r="G5" i="38" l="1"/>
  <c r="G4" i="38"/>
  <c r="D9" i="38" l="1"/>
  <c r="F9" i="38" s="1"/>
  <c r="G6" i="38"/>
  <c r="D8" i="38" s="1"/>
  <c r="D10" i="38" s="1"/>
  <c r="D6" i="38"/>
  <c r="B6" i="38"/>
  <c r="E76" i="35" l="1"/>
  <c r="E57" i="35" l="1"/>
  <c r="E69" i="35"/>
  <c r="E12" i="35" l="1"/>
  <c r="E86" i="34" l="1"/>
  <c r="E56" i="34" l="1"/>
  <c r="E24" i="34" l="1"/>
  <c r="E10" i="34"/>
  <c r="E119" i="32" l="1"/>
  <c r="E117" i="32" l="1"/>
  <c r="E116" i="32"/>
  <c r="E44" i="32" l="1"/>
  <c r="E43" i="32"/>
</calcChain>
</file>

<file path=xl/sharedStrings.xml><?xml version="1.0" encoding="utf-8"?>
<sst xmlns="http://schemas.openxmlformats.org/spreadsheetml/2006/main" count="2727" uniqueCount="1791">
  <si>
    <t>납   품   일   정</t>
    <phoneticPr fontId="1" type="noConversion"/>
  </si>
  <si>
    <t>납기일자</t>
    <phoneticPr fontId="1" type="noConversion"/>
  </si>
  <si>
    <t>요일</t>
    <phoneticPr fontId="1" type="noConversion"/>
  </si>
  <si>
    <t>거래처명</t>
    <phoneticPr fontId="1" type="noConversion"/>
  </si>
  <si>
    <t>수량</t>
    <phoneticPr fontId="1" type="noConversion"/>
  </si>
  <si>
    <t>비고</t>
    <phoneticPr fontId="1" type="noConversion"/>
  </si>
  <si>
    <t xml:space="preserve">품명및 규격(M*KG) </t>
    <phoneticPr fontId="1" type="noConversion"/>
  </si>
  <si>
    <t>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</si>
  <si>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</si>
  <si>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</si>
  <si>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</si>
  <si>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금</t>
    <phoneticPr fontId="1" type="noConversion"/>
  </si>
  <si>
    <t>신정(1/1)</t>
    <phoneticPr fontId="1" type="noConversion"/>
  </si>
  <si>
    <t>신정-새해 복 많이 받으세요 (Happy New Year *^^*)</t>
    <phoneticPr fontId="1" type="noConversion"/>
  </si>
  <si>
    <t>삼성</t>
    <phoneticPr fontId="1" type="noConversion"/>
  </si>
  <si>
    <t>금산포장</t>
    <phoneticPr fontId="1" type="noConversion"/>
  </si>
  <si>
    <t>pe28*2(백)</t>
    <phoneticPr fontId="1" type="noConversion"/>
  </si>
  <si>
    <t>30박스</t>
    <phoneticPr fontId="1" type="noConversion"/>
  </si>
  <si>
    <t>pp12*12.6투30</t>
    <phoneticPr fontId="1" type="noConversion"/>
  </si>
  <si>
    <t>pp12*12.5황</t>
    <phoneticPr fontId="1" type="noConversion"/>
  </si>
  <si>
    <t>pp15*13황</t>
    <phoneticPr fontId="1" type="noConversion"/>
  </si>
  <si>
    <t>pe28*2(백)</t>
    <phoneticPr fontId="1" type="noConversion"/>
  </si>
  <si>
    <t>35박스</t>
    <phoneticPr fontId="1" type="noConversion"/>
  </si>
  <si>
    <t>합동포장</t>
    <phoneticPr fontId="1" type="noConversion"/>
  </si>
  <si>
    <t>pp12*12.5(얇은)투</t>
    <phoneticPr fontId="1" type="noConversion"/>
  </si>
  <si>
    <t>18*21</t>
    <phoneticPr fontId="1" type="noConversion"/>
  </si>
  <si>
    <t>18*15</t>
    <phoneticPr fontId="1" type="noConversion"/>
  </si>
  <si>
    <t>12*3000(청)외</t>
    <phoneticPr fontId="1" type="noConversion"/>
  </si>
  <si>
    <t>18.7톤</t>
    <phoneticPr fontId="1" type="noConversion"/>
  </si>
  <si>
    <t>40"HQ(오후5시)</t>
    <phoneticPr fontId="1" type="noConversion"/>
  </si>
  <si>
    <t>RLB</t>
    <phoneticPr fontId="1" type="noConversion"/>
  </si>
  <si>
    <t>수입랩 40HQ</t>
    <phoneticPr fontId="1" type="noConversion"/>
  </si>
  <si>
    <t>오전 10시</t>
    <phoneticPr fontId="1" type="noConversion"/>
  </si>
  <si>
    <t>광림파워팩</t>
    <phoneticPr fontId="1" type="noConversion"/>
  </si>
  <si>
    <t>15*10(투)</t>
    <phoneticPr fontId="1" type="noConversion"/>
  </si>
  <si>
    <t>pp12*12.5(황)</t>
    <phoneticPr fontId="1" type="noConversion"/>
  </si>
  <si>
    <t>대진화학</t>
    <phoneticPr fontId="1" type="noConversion"/>
  </si>
  <si>
    <t>pp7*10(백)</t>
    <phoneticPr fontId="1" type="noConversion"/>
  </si>
  <si>
    <t>jh글로벌</t>
    <phoneticPr fontId="1" type="noConversion"/>
  </si>
  <si>
    <t>pp12*12.5(황)</t>
    <phoneticPr fontId="1" type="noConversion"/>
  </si>
  <si>
    <t>pp18*12(황)</t>
    <phoneticPr fontId="1" type="noConversion"/>
  </si>
  <si>
    <t>일</t>
    <phoneticPr fontId="1" type="noConversion"/>
  </si>
  <si>
    <t>pp6*10(백)</t>
    <phoneticPr fontId="1" type="noConversion"/>
  </si>
  <si>
    <t>pp12*10(황)</t>
    <phoneticPr fontId="1" type="noConversion"/>
  </si>
  <si>
    <t>pp9*10(0.75)황</t>
    <phoneticPr fontId="1" type="noConversion"/>
  </si>
  <si>
    <t>제이앤에스캠</t>
    <phoneticPr fontId="1" type="noConversion"/>
  </si>
  <si>
    <t>pp18*10(투)</t>
    <phoneticPr fontId="1" type="noConversion"/>
  </si>
  <si>
    <t>언제갈지 전화하기</t>
    <phoneticPr fontId="1" type="noConversion"/>
  </si>
  <si>
    <t>한서포장</t>
    <phoneticPr fontId="1" type="noConversion"/>
  </si>
  <si>
    <t>pp12*9.5(황)</t>
    <phoneticPr fontId="1" type="noConversion"/>
  </si>
  <si>
    <t>10박스</t>
    <phoneticPr fontId="1" type="noConversion"/>
  </si>
  <si>
    <t>삼성</t>
    <phoneticPr fontId="1" type="noConversion"/>
  </si>
  <si>
    <t>18*21</t>
    <phoneticPr fontId="1" type="noConversion"/>
  </si>
  <si>
    <t>진송팩</t>
    <phoneticPr fontId="1" type="noConversion"/>
  </si>
  <si>
    <t>삼성포장</t>
    <phoneticPr fontId="1" type="noConversion"/>
  </si>
  <si>
    <t>20박스</t>
    <phoneticPr fontId="1" type="noConversion"/>
  </si>
  <si>
    <t>삼화인쇄</t>
    <phoneticPr fontId="1" type="noConversion"/>
  </si>
  <si>
    <t>pp15*10황</t>
    <phoneticPr fontId="1" type="noConversion"/>
  </si>
  <si>
    <t>한솔포장</t>
    <phoneticPr fontId="1" type="noConversion"/>
  </si>
  <si>
    <t>50박스</t>
    <phoneticPr fontId="1" type="noConversion"/>
  </si>
  <si>
    <t>pp9*10(0.75) 투</t>
    <phoneticPr fontId="1" type="noConversion"/>
  </si>
  <si>
    <t>나무파렛트</t>
    <phoneticPr fontId="1" type="noConversion"/>
  </si>
  <si>
    <t>pp12*12.5 투</t>
    <phoneticPr fontId="1" type="noConversion"/>
  </si>
  <si>
    <t>한솔포장</t>
    <phoneticPr fontId="1" type="noConversion"/>
  </si>
  <si>
    <t>pe28*6(백)</t>
    <phoneticPr fontId="1" type="noConversion"/>
  </si>
  <si>
    <t>무상1박스</t>
    <phoneticPr fontId="1" type="noConversion"/>
  </si>
  <si>
    <t>제이케이(순성)</t>
    <phoneticPr fontId="1" type="noConversion"/>
  </si>
  <si>
    <t>랩15-4박스 찾아오기</t>
    <phoneticPr fontId="1" type="noConversion"/>
  </si>
  <si>
    <t>랩25*500*1400</t>
    <phoneticPr fontId="1" type="noConversion"/>
  </si>
  <si>
    <t>48박스</t>
    <phoneticPr fontId="1" type="noConversion"/>
  </si>
  <si>
    <t>PP18*10(황)</t>
    <phoneticPr fontId="1" type="noConversion"/>
  </si>
  <si>
    <t>pe28*2(백)24K</t>
    <phoneticPr fontId="1" type="noConversion"/>
  </si>
  <si>
    <t>30박스</t>
    <phoneticPr fontId="1" type="noConversion"/>
  </si>
  <si>
    <t>18박스</t>
    <phoneticPr fontId="1" type="noConversion"/>
  </si>
  <si>
    <t>PE28*2(청)24K</t>
    <phoneticPr fontId="1" type="noConversion"/>
  </si>
  <si>
    <t>2박스</t>
    <phoneticPr fontId="1" type="noConversion"/>
  </si>
  <si>
    <t>12*10(투)얇은</t>
    <phoneticPr fontId="1" type="noConversion"/>
  </si>
  <si>
    <t>두께는12.5KG동일</t>
    <phoneticPr fontId="1" type="noConversion"/>
  </si>
  <si>
    <t>pp12*12.5(녹)</t>
    <phoneticPr fontId="1" type="noConversion"/>
  </si>
  <si>
    <t>삼성</t>
    <phoneticPr fontId="1" type="noConversion"/>
  </si>
  <si>
    <t>pp12*10(황)</t>
    <phoneticPr fontId="1" type="noConversion"/>
  </si>
  <si>
    <t>대흥 인쇄밴드</t>
    <phoneticPr fontId="1" type="noConversion"/>
  </si>
  <si>
    <t>삼원산업</t>
    <phoneticPr fontId="1" type="noConversion"/>
  </si>
  <si>
    <t>삼성</t>
    <phoneticPr fontId="1" type="noConversion"/>
  </si>
  <si>
    <t>12*12(황)</t>
    <phoneticPr fontId="1" type="noConversion"/>
  </si>
  <si>
    <t>18*21</t>
    <phoneticPr fontId="1" type="noConversion"/>
  </si>
  <si>
    <t>고메리</t>
    <phoneticPr fontId="1" type="noConversion"/>
  </si>
  <si>
    <t>15*100청외</t>
    <phoneticPr fontId="1" type="noConversion"/>
  </si>
  <si>
    <t>6.3톤</t>
    <phoneticPr fontId="1" type="noConversion"/>
  </si>
  <si>
    <t>20"(오후5시)</t>
    <phoneticPr fontId="1" type="noConversion"/>
  </si>
  <si>
    <t>수</t>
    <phoneticPr fontId="1" type="noConversion"/>
  </si>
  <si>
    <t>pp10.5*10(청)</t>
    <phoneticPr fontId="1" type="noConversion"/>
  </si>
  <si>
    <t>pp10.5*10(투)</t>
    <phoneticPr fontId="1" type="noConversion"/>
  </si>
  <si>
    <t>pp12*10(청)</t>
    <phoneticPr fontId="1" type="noConversion"/>
  </si>
  <si>
    <t>제책4층</t>
    <phoneticPr fontId="1" type="noConversion"/>
  </si>
  <si>
    <t>제책3층</t>
    <phoneticPr fontId="1" type="noConversion"/>
  </si>
  <si>
    <t>태양지대</t>
    <phoneticPr fontId="1" type="noConversion"/>
  </si>
  <si>
    <t>25*500*1400</t>
    <phoneticPr fontId="1" type="noConversion"/>
  </si>
  <si>
    <t>64박스</t>
    <phoneticPr fontId="1" type="noConversion"/>
  </si>
  <si>
    <t>2파렛트포장</t>
    <phoneticPr fontId="1" type="noConversion"/>
  </si>
  <si>
    <t>대영포장(발안)</t>
    <phoneticPr fontId="1" type="noConversion"/>
  </si>
  <si>
    <t>7*10(백)</t>
    <phoneticPr fontId="1" type="noConversion"/>
  </si>
  <si>
    <t>pe28*2(백)20kg</t>
    <phoneticPr fontId="1" type="noConversion"/>
  </si>
  <si>
    <t>50박스</t>
    <phoneticPr fontId="1" type="noConversion"/>
  </si>
  <si>
    <t>신한포장기계</t>
    <phoneticPr fontId="1" type="noConversion"/>
  </si>
  <si>
    <t>삼성</t>
    <phoneticPr fontId="1" type="noConversion"/>
  </si>
  <si>
    <t>호성수출포장</t>
    <phoneticPr fontId="1" type="noConversion"/>
  </si>
  <si>
    <t>pe28*2(백)</t>
    <phoneticPr fontId="1" type="noConversion"/>
  </si>
  <si>
    <t>20박스</t>
    <phoneticPr fontId="1" type="noConversion"/>
  </si>
  <si>
    <t>랩20*500*350</t>
    <phoneticPr fontId="1" type="noConversion"/>
  </si>
  <si>
    <t>10박스</t>
    <phoneticPr fontId="1" type="noConversion"/>
  </si>
  <si>
    <t>동방포장</t>
    <phoneticPr fontId="1" type="noConversion"/>
  </si>
  <si>
    <t>pp12*12(황)</t>
    <phoneticPr fontId="1" type="noConversion"/>
  </si>
  <si>
    <t>2파렛트포장(50롤,30롤)</t>
    <phoneticPr fontId="1" type="noConversion"/>
  </si>
  <si>
    <t>60롤</t>
    <phoneticPr fontId="1" type="noConversion"/>
  </si>
  <si>
    <t>pp15*10황</t>
    <phoneticPr fontId="1" type="noConversion"/>
  </si>
  <si>
    <t>150롤</t>
    <phoneticPr fontId="1" type="noConversion"/>
  </si>
  <si>
    <t>2파렛트포장(75롤,75롤)</t>
    <phoneticPr fontId="1" type="noConversion"/>
  </si>
  <si>
    <t>pp12*10(황)</t>
    <phoneticPr fontId="1" type="noConversion"/>
  </si>
  <si>
    <t>pp9*9.5(황)</t>
    <phoneticPr fontId="1" type="noConversion"/>
  </si>
  <si>
    <t>pp9*9.5(0.65)황</t>
    <phoneticPr fontId="1" type="noConversion"/>
  </si>
  <si>
    <t>18*21</t>
    <phoneticPr fontId="1" type="noConversion"/>
  </si>
  <si>
    <t>(주)삼신</t>
    <phoneticPr fontId="1" type="noConversion"/>
  </si>
  <si>
    <t>pe28*2(백)</t>
    <phoneticPr fontId="1" type="noConversion"/>
  </si>
  <si>
    <t>100박스</t>
    <phoneticPr fontId="1" type="noConversion"/>
  </si>
  <si>
    <t>찾으러옴</t>
    <phoneticPr fontId="1" type="noConversion"/>
  </si>
  <si>
    <t>포리끈</t>
    <phoneticPr fontId="1" type="noConversion"/>
  </si>
  <si>
    <t>20박스</t>
    <phoneticPr fontId="1" type="noConversion"/>
  </si>
  <si>
    <t>수</t>
    <phoneticPr fontId="1" type="noConversion"/>
  </si>
  <si>
    <t>서울포장</t>
    <phoneticPr fontId="1" type="noConversion"/>
  </si>
  <si>
    <t>pp12*10</t>
    <phoneticPr fontId="1" type="noConversion"/>
  </si>
  <si>
    <t>사이클론</t>
    <phoneticPr fontId="1" type="noConversion"/>
  </si>
  <si>
    <t>5*7000(투)외</t>
    <phoneticPr fontId="1" type="noConversion"/>
  </si>
  <si>
    <t>17.5톤</t>
    <phoneticPr fontId="1" type="noConversion"/>
  </si>
  <si>
    <t>40HQ(오후5시)</t>
    <phoneticPr fontId="1" type="noConversion"/>
  </si>
  <si>
    <t>18*21</t>
    <phoneticPr fontId="1" type="noConversion"/>
  </si>
  <si>
    <t>평판지하B판</t>
    <phoneticPr fontId="1" type="noConversion"/>
  </si>
  <si>
    <t>pp10.5*10(투)</t>
    <phoneticPr fontId="1" type="noConversion"/>
  </si>
  <si>
    <t>pp12*10(백)</t>
    <phoneticPr fontId="1" type="noConversion"/>
  </si>
  <si>
    <t>평판지하A판</t>
    <phoneticPr fontId="1" type="noConversion"/>
  </si>
  <si>
    <t>진로포장 택배보내기</t>
    <phoneticPr fontId="1" type="noConversion"/>
  </si>
  <si>
    <t>삼성</t>
    <phoneticPr fontId="1" type="noConversion"/>
  </si>
  <si>
    <t>18*15</t>
    <phoneticPr fontId="1" type="noConversion"/>
  </si>
  <si>
    <t>한서포장</t>
    <phoneticPr fontId="1" type="noConversion"/>
  </si>
  <si>
    <t>12*9.5(황)</t>
    <phoneticPr fontId="1" type="noConversion"/>
  </si>
  <si>
    <t>15*10(황)</t>
    <phoneticPr fontId="1" type="noConversion"/>
  </si>
  <si>
    <t>pe28*2(백)</t>
    <phoneticPr fontId="1" type="noConversion"/>
  </si>
  <si>
    <t>15박스</t>
    <phoneticPr fontId="1" type="noConversion"/>
  </si>
  <si>
    <t>40박스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</si>
  <si>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</si>
  <si>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</si>
  <si>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</si>
  <si>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18*21</t>
    <phoneticPr fontId="1" type="noConversion"/>
  </si>
  <si>
    <t>12*12.5(황)</t>
    <phoneticPr fontId="1" type="noConversion"/>
  </si>
  <si>
    <t>9*9.5(황)0.65</t>
    <phoneticPr fontId="1" type="noConversion"/>
  </si>
  <si>
    <t>12*10(황)</t>
    <phoneticPr fontId="1" type="noConversion"/>
  </si>
  <si>
    <t>한제피앤에스</t>
    <phoneticPr fontId="1" type="noConversion"/>
  </si>
  <si>
    <t>12*12.5(청)</t>
    <phoneticPr fontId="1" type="noConversion"/>
  </si>
  <si>
    <t>14*12(청)</t>
    <phoneticPr fontId="1" type="noConversion"/>
  </si>
  <si>
    <t>파주(성전)</t>
    <phoneticPr fontId="1" type="noConversion"/>
  </si>
  <si>
    <t>동진박스찾아오기(이대리전달)</t>
    <phoneticPr fontId="1" type="noConversion"/>
  </si>
  <si>
    <t>25박스</t>
    <phoneticPr fontId="1" type="noConversion"/>
  </si>
  <si>
    <t>전주삼신 화물 보내기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</si>
  <si>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</si>
  <si>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</si>
  <si>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</si>
  <si>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파워팩</t>
    <phoneticPr fontId="1" type="noConversion"/>
  </si>
  <si>
    <t>12*4000(청)외</t>
    <phoneticPr fontId="1" type="noConversion"/>
  </si>
  <si>
    <t>6.8톤</t>
    <phoneticPr fontId="1" type="noConversion"/>
  </si>
  <si>
    <t>20"(오후5시)</t>
    <phoneticPr fontId="1" type="noConversion"/>
  </si>
  <si>
    <t>알엠에이</t>
    <phoneticPr fontId="1" type="noConversion"/>
  </si>
  <si>
    <t>9*4000(투)외</t>
    <phoneticPr fontId="1" type="noConversion"/>
  </si>
  <si>
    <t>8.2톤</t>
    <phoneticPr fontId="1" type="noConversion"/>
  </si>
  <si>
    <t>pp12*12.5(황)</t>
    <phoneticPr fontId="1" type="noConversion"/>
  </si>
  <si>
    <t>pp15*13황</t>
    <phoneticPr fontId="1" type="noConversion"/>
  </si>
  <si>
    <t>수</t>
  </si>
  <si>
    <t>화</t>
  </si>
  <si>
    <t>pp7*10(백)</t>
    <phoneticPr fontId="1" type="noConversion"/>
  </si>
  <si>
    <t>이월</t>
    <phoneticPr fontId="1" type="noConversion"/>
  </si>
  <si>
    <t>pe28*6(백)</t>
    <phoneticPr fontId="1" type="noConversion"/>
  </si>
  <si>
    <t>25박스</t>
    <phoneticPr fontId="1" type="noConversion"/>
  </si>
  <si>
    <t>광신화학</t>
    <phoneticPr fontId="1" type="noConversion"/>
  </si>
  <si>
    <t>pe28*2(백)</t>
    <phoneticPr fontId="1" type="noConversion"/>
  </si>
  <si>
    <t>100롤-화 용차로</t>
    <phoneticPr fontId="1" type="noConversion"/>
  </si>
  <si>
    <t>5박스-용차로</t>
    <phoneticPr fontId="1" type="noConversion"/>
  </si>
  <si>
    <t>제일포장(김해)</t>
    <phoneticPr fontId="1" type="noConversion"/>
  </si>
  <si>
    <t>pe28*2( 백)</t>
    <phoneticPr fontId="1" type="noConversion"/>
  </si>
  <si>
    <t>pe28*2(황)20K</t>
    <phoneticPr fontId="1" type="noConversion"/>
  </si>
  <si>
    <t>1톤트럭 불러서 납</t>
    <phoneticPr fontId="1" type="noConversion"/>
  </si>
  <si>
    <t>18*15</t>
    <phoneticPr fontId="1" type="noConversion"/>
  </si>
  <si>
    <t>18*21</t>
    <phoneticPr fontId="1" type="noConversion"/>
  </si>
  <si>
    <t>20키로(35박)</t>
    <phoneticPr fontId="1" type="noConversion"/>
  </si>
  <si>
    <t>목</t>
    <phoneticPr fontId="1" type="noConversion"/>
  </si>
  <si>
    <t>pp얇은12*10(투)</t>
    <phoneticPr fontId="1" type="noConversion"/>
  </si>
  <si>
    <t>pp얇은15*10(투)</t>
    <phoneticPr fontId="1" type="noConversion"/>
  </si>
  <si>
    <t>동원팩</t>
    <phoneticPr fontId="1" type="noConversion"/>
  </si>
  <si>
    <t>pe28*2(백)</t>
    <phoneticPr fontId="1" type="noConversion"/>
  </si>
  <si>
    <t>25박스</t>
    <phoneticPr fontId="1" type="noConversion"/>
  </si>
  <si>
    <t>pe28*2(황)</t>
    <phoneticPr fontId="1" type="noConversion"/>
  </si>
  <si>
    <t>14박스</t>
    <phoneticPr fontId="1" type="noConversion"/>
  </si>
  <si>
    <t>무상1박스(14박스선출고)</t>
    <phoneticPr fontId="1" type="noConversion"/>
  </si>
  <si>
    <t>낙원으로 납품</t>
    <phoneticPr fontId="1" type="noConversion"/>
  </si>
  <si>
    <t>pe28</t>
    <phoneticPr fontId="1" type="noConversion"/>
  </si>
  <si>
    <t>파라마운트</t>
    <phoneticPr fontId="1" type="noConversion"/>
  </si>
  <si>
    <t>12*3000(청)외</t>
    <phoneticPr fontId="1" type="noConversion"/>
  </si>
  <si>
    <t>6.5톤</t>
    <phoneticPr fontId="1" type="noConversion"/>
  </si>
  <si>
    <t>20"(오후5시)</t>
    <phoneticPr fontId="1" type="noConversion"/>
  </si>
  <si>
    <t>알엘비</t>
    <phoneticPr fontId="1" type="noConversion"/>
  </si>
  <si>
    <t>19*1000(검)외</t>
    <phoneticPr fontId="1" type="noConversion"/>
  </si>
  <si>
    <t>8.2톤</t>
    <phoneticPr fontId="1" type="noConversion"/>
  </si>
  <si>
    <t>20"(오후5시)</t>
    <phoneticPr fontId="1" type="noConversion"/>
  </si>
  <si>
    <t>서울포장</t>
    <phoneticPr fontId="1" type="noConversion"/>
  </si>
  <si>
    <t>pp15*10황</t>
    <phoneticPr fontId="1" type="noConversion"/>
  </si>
  <si>
    <t>pp12*10(황)</t>
    <phoneticPr fontId="1" type="noConversion"/>
  </si>
  <si>
    <t>삼화인쇄</t>
    <phoneticPr fontId="1" type="noConversion"/>
  </si>
  <si>
    <t>pp12*10(백)</t>
    <phoneticPr fontId="1" type="noConversion"/>
  </si>
  <si>
    <t xml:space="preserve"> 쇼핑백제1층</t>
    <phoneticPr fontId="1" type="noConversion"/>
  </si>
  <si>
    <t>pe28*6</t>
    <phoneticPr fontId="1" type="noConversion"/>
  </si>
  <si>
    <t>15박스</t>
    <phoneticPr fontId="1" type="noConversion"/>
  </si>
  <si>
    <t>삼성</t>
    <phoneticPr fontId="1" type="noConversion"/>
  </si>
  <si>
    <t>목</t>
    <phoneticPr fontId="1" type="noConversion"/>
  </si>
  <si>
    <t>금</t>
    <phoneticPr fontId="1" type="noConversion"/>
  </si>
  <si>
    <t>구정연휴( 새해 복 많이 받으세요)^^*</t>
    <phoneticPr fontId="1" type="noConversion"/>
  </si>
  <si>
    <t>18*15</t>
    <phoneticPr fontId="1" type="noConversion"/>
  </si>
  <si>
    <t>18*21</t>
    <phoneticPr fontId="1" type="noConversion"/>
  </si>
  <si>
    <t>18*21</t>
    <phoneticPr fontId="1" type="noConversion"/>
  </si>
  <si>
    <t>pp9*10(황)0.75</t>
    <phoneticPr fontId="1" type="noConversion"/>
  </si>
  <si>
    <t>한서포장</t>
    <phoneticPr fontId="1" type="noConversion"/>
  </si>
  <si>
    <t>pp12*9.5 황</t>
    <phoneticPr fontId="1" type="noConversion"/>
  </si>
  <si>
    <t>11박스</t>
    <phoneticPr fontId="1" type="noConversion"/>
  </si>
  <si>
    <t>pe28*2(20kg)</t>
    <phoneticPr fontId="1" type="noConversion"/>
  </si>
  <si>
    <t>15박스</t>
    <phoneticPr fontId="1" type="noConversion"/>
  </si>
  <si>
    <t>동오정밀15*10-50롤</t>
    <phoneticPr fontId="1" type="noConversion"/>
  </si>
  <si>
    <t>제이케이(순성)</t>
    <phoneticPr fontId="1" type="noConversion"/>
  </si>
  <si>
    <t>랩25*500*1400</t>
    <phoneticPr fontId="1" type="noConversion"/>
  </si>
  <si>
    <t>48박스</t>
    <phoneticPr fontId="1" type="noConversion"/>
  </si>
  <si>
    <t>pp18*10(황)</t>
    <phoneticPr fontId="1" type="noConversion"/>
  </si>
  <si>
    <t>pp12*10(황)</t>
    <phoneticPr fontId="1" type="noConversion"/>
  </si>
  <si>
    <t>랩10시 이후배송</t>
    <phoneticPr fontId="1" type="noConversion"/>
  </si>
  <si>
    <t>pp12*10(황)</t>
    <phoneticPr fontId="1" type="noConversion"/>
  </si>
  <si>
    <t>라바인터내셔널</t>
    <phoneticPr fontId="1" type="noConversion"/>
  </si>
  <si>
    <t>pp12*12.5(황)</t>
    <phoneticPr fontId="1" type="noConversion"/>
  </si>
  <si>
    <t>18*21(무엠보)</t>
    <phoneticPr fontId="1" type="noConversion"/>
  </si>
  <si>
    <t>순성에서 32박스 찾아오기</t>
    <phoneticPr fontId="1" type="noConversion"/>
  </si>
  <si>
    <t>15*100황외</t>
    <phoneticPr fontId="1" type="noConversion"/>
  </si>
  <si>
    <t>6톤</t>
    <phoneticPr fontId="1" type="noConversion"/>
  </si>
  <si>
    <t>월</t>
    <phoneticPr fontId="1" type="noConversion"/>
  </si>
  <si>
    <t>목</t>
  </si>
  <si>
    <t>금</t>
  </si>
  <si>
    <t>삼성</t>
    <phoneticPr fontId="1" type="noConversion"/>
  </si>
  <si>
    <t>18*21</t>
    <phoneticPr fontId="1" type="noConversion"/>
  </si>
  <si>
    <t>18*21</t>
    <phoneticPr fontId="1" type="noConversion"/>
  </si>
  <si>
    <t>30박스</t>
    <phoneticPr fontId="1" type="noConversion"/>
  </si>
  <si>
    <t>24kg(30박스)</t>
    <phoneticPr fontId="1" type="noConversion"/>
  </si>
  <si>
    <t>전주삼신</t>
    <phoneticPr fontId="1" type="noConversion"/>
  </si>
  <si>
    <t>원양어선</t>
    <phoneticPr fontId="1" type="noConversion"/>
  </si>
  <si>
    <t>15*2500청</t>
    <phoneticPr fontId="1" type="noConversion"/>
  </si>
  <si>
    <t>7.6톤</t>
    <phoneticPr fontId="1" type="noConversion"/>
  </si>
  <si>
    <t>싸이클럽</t>
    <phoneticPr fontId="1" type="noConversion"/>
  </si>
  <si>
    <t>12*3000청외</t>
    <phoneticPr fontId="1" type="noConversion"/>
  </si>
  <si>
    <t>16톤</t>
    <phoneticPr fontId="1" type="noConversion"/>
  </si>
  <si>
    <t>40HQ(오후5시)</t>
    <phoneticPr fontId="1" type="noConversion"/>
  </si>
  <si>
    <t>pp9*9.5황</t>
    <phoneticPr fontId="1" type="noConversion"/>
  </si>
  <si>
    <t>pp12*10황</t>
    <phoneticPr fontId="1" type="noConversion"/>
  </si>
  <si>
    <t>pp12*12.5황</t>
    <phoneticPr fontId="1" type="noConversion"/>
  </si>
  <si>
    <t>pp15*10황</t>
    <phoneticPr fontId="1" type="noConversion"/>
  </si>
  <si>
    <t>pp15*13황</t>
    <phoneticPr fontId="1" type="noConversion"/>
  </si>
  <si>
    <t>수입랩 입고-오전9시(40hQ)</t>
    <phoneticPr fontId="1" type="noConversion"/>
  </si>
  <si>
    <t>대영포장(발안)</t>
    <phoneticPr fontId="1" type="noConversion"/>
  </si>
  <si>
    <t>pp7*10백</t>
    <phoneticPr fontId="1" type="noConversion"/>
  </si>
  <si>
    <t>월</t>
    <phoneticPr fontId="1" type="noConversion"/>
  </si>
  <si>
    <t>대한독립만세  3. 1 절</t>
    <phoneticPr fontId="1" type="noConversion"/>
  </si>
  <si>
    <t>0.95~1T</t>
    <phoneticPr fontId="1" type="noConversion"/>
  </si>
  <si>
    <t>삼성</t>
    <phoneticPr fontId="1" type="noConversion"/>
  </si>
  <si>
    <t>한솔포장</t>
    <phoneticPr fontId="1" type="noConversion"/>
  </si>
  <si>
    <t>무상2박스</t>
    <phoneticPr fontId="1" type="noConversion"/>
  </si>
  <si>
    <t>pe28*2백(20k)</t>
    <phoneticPr fontId="1" type="noConversion"/>
  </si>
  <si>
    <t>pp12*10(황)</t>
    <phoneticPr fontId="1" type="noConversion"/>
  </si>
  <si>
    <t>0.65T</t>
    <phoneticPr fontId="1" type="noConversion"/>
  </si>
  <si>
    <t>pp9*9.5황</t>
    <phoneticPr fontId="1" type="noConversion"/>
  </si>
  <si>
    <t>0.65t</t>
    <phoneticPr fontId="1" type="noConversion"/>
  </si>
  <si>
    <t>제이앤에스캠</t>
    <phoneticPr fontId="1" type="noConversion"/>
  </si>
  <si>
    <t>pp18*10(투)</t>
    <phoneticPr fontId="1" type="noConversion"/>
  </si>
  <si>
    <t>pp12*12.5(황)</t>
    <phoneticPr fontId="1" type="noConversion"/>
  </si>
  <si>
    <t>pp9*10(황)</t>
    <phoneticPr fontId="1" type="noConversion"/>
  </si>
  <si>
    <t>0.75t</t>
    <phoneticPr fontId="1" type="noConversion"/>
  </si>
  <si>
    <t>한서포장</t>
    <phoneticPr fontId="1" type="noConversion"/>
  </si>
  <si>
    <t>10박스</t>
    <phoneticPr fontId="1" type="noConversion"/>
  </si>
  <si>
    <t>입금표준비</t>
    <phoneticPr fontId="1" type="noConversion"/>
  </si>
  <si>
    <t>18*21</t>
    <phoneticPr fontId="1" type="noConversion"/>
  </si>
  <si>
    <t>18*8황50롤 동신에서납</t>
    <phoneticPr fontId="1" type="noConversion"/>
  </si>
  <si>
    <t>펀치볼</t>
    <phoneticPr fontId="1" type="noConversion"/>
  </si>
  <si>
    <t>19*1000검정외</t>
    <phoneticPr fontId="1" type="noConversion"/>
  </si>
  <si>
    <t>10.5톤</t>
    <phoneticPr fontId="1" type="noConversion"/>
  </si>
  <si>
    <t>20"(오후5시)</t>
    <phoneticPr fontId="1" type="noConversion"/>
  </si>
  <si>
    <t>하이게이트</t>
    <phoneticPr fontId="1" type="noConversion"/>
  </si>
  <si>
    <t>12*3000청외</t>
    <phoneticPr fontId="1" type="noConversion"/>
  </si>
  <si>
    <t>9.2톤</t>
    <phoneticPr fontId="1" type="noConversion"/>
  </si>
  <si>
    <t>합동</t>
    <phoneticPr fontId="1" type="noConversion"/>
  </si>
  <si>
    <t>발주예정</t>
    <phoneticPr fontId="1" type="noConversion"/>
  </si>
  <si>
    <t>18*21(무엠보)</t>
    <phoneticPr fontId="1" type="noConversion"/>
  </si>
  <si>
    <t>18*15</t>
    <phoneticPr fontId="1" type="noConversion"/>
  </si>
  <si>
    <t>신일피앤에스 화물발송</t>
    <phoneticPr fontId="1" type="noConversion"/>
  </si>
  <si>
    <t>pp12*12.5(황)</t>
    <phoneticPr fontId="1" type="noConversion"/>
  </si>
  <si>
    <t>pp12*12.5(투)</t>
    <phoneticPr fontId="1" type="noConversion"/>
  </si>
  <si>
    <t>결속기끈</t>
    <phoneticPr fontId="1" type="noConversion"/>
  </si>
  <si>
    <t>25바스</t>
    <phoneticPr fontId="1" type="noConversion"/>
  </si>
  <si>
    <t>삼성</t>
    <phoneticPr fontId="1" type="noConversion"/>
  </si>
  <si>
    <t>0.8T</t>
    <phoneticPr fontId="1" type="noConversion"/>
  </si>
  <si>
    <t>0.75T</t>
    <phoneticPr fontId="1" type="noConversion"/>
  </si>
  <si>
    <t>18*21</t>
    <phoneticPr fontId="1" type="noConversion"/>
  </si>
  <si>
    <t>신한포장</t>
    <phoneticPr fontId="1" type="noConversion"/>
  </si>
  <si>
    <t xml:space="preserve"> pe28*2백</t>
    <phoneticPr fontId="1" type="noConversion"/>
  </si>
  <si>
    <t>50 박스</t>
    <phoneticPr fontId="1" type="noConversion"/>
  </si>
  <si>
    <t>pp15*13-패드20장</t>
    <phoneticPr fontId="1" type="noConversion"/>
  </si>
  <si>
    <t>금산포장</t>
    <phoneticPr fontId="1" type="noConversion"/>
  </si>
  <si>
    <t>덕성수출 택배pe3박스</t>
    <phoneticPr fontId="1" type="noConversion"/>
  </si>
  <si>
    <t>18*21</t>
    <phoneticPr fontId="1" type="noConversion"/>
  </si>
  <si>
    <t>산유</t>
    <phoneticPr fontId="1" type="noConversion"/>
  </si>
  <si>
    <t>15.5*2500황외</t>
    <phoneticPr fontId="1" type="noConversion"/>
  </si>
  <si>
    <t>7.5톤</t>
    <phoneticPr fontId="1" type="noConversion"/>
  </si>
  <si>
    <t>20"(오후5시)</t>
    <phoneticPr fontId="1" type="noConversion"/>
  </si>
  <si>
    <t>20"(오전8시)</t>
    <phoneticPr fontId="1" type="noConversion"/>
  </si>
  <si>
    <t>하비스</t>
    <phoneticPr fontId="1" type="noConversion"/>
  </si>
  <si>
    <t>12*3000청외</t>
    <phoneticPr fontId="1" type="noConversion"/>
  </si>
  <si>
    <t>8톤</t>
    <phoneticPr fontId="1" type="noConversion"/>
  </si>
  <si>
    <t>앤더슨</t>
    <phoneticPr fontId="1" type="noConversion"/>
  </si>
  <si>
    <t>12*3000투외</t>
    <phoneticPr fontId="1" type="noConversion"/>
  </si>
  <si>
    <t>8.8톤</t>
    <phoneticPr fontId="1" type="noConversion"/>
  </si>
  <si>
    <t>월</t>
    <phoneticPr fontId="1" type="noConversion"/>
  </si>
  <si>
    <t>신일피앤에스 대신발송(삼성15K-48롤)</t>
    <phoneticPr fontId="1" type="noConversion"/>
  </si>
  <si>
    <t>18*21</t>
    <phoneticPr fontId="1" type="noConversion"/>
  </si>
  <si>
    <t>태양지대</t>
    <phoneticPr fontId="1" type="noConversion"/>
  </si>
  <si>
    <t>64박스</t>
    <phoneticPr fontId="1" type="noConversion"/>
  </si>
  <si>
    <t>9*10투</t>
    <phoneticPr fontId="1" type="noConversion"/>
  </si>
  <si>
    <t>0.75T</t>
    <phoneticPr fontId="1" type="noConversion"/>
  </si>
  <si>
    <t>0.75T</t>
    <phoneticPr fontId="1" type="noConversion"/>
  </si>
  <si>
    <t>pp12*12.5청</t>
    <phoneticPr fontId="1" type="noConversion"/>
  </si>
  <si>
    <t>9*9.5황</t>
    <phoneticPr fontId="1" type="noConversion"/>
  </si>
  <si>
    <t>9.*10황</t>
    <phoneticPr fontId="1" type="noConversion"/>
  </si>
  <si>
    <t>0.75T</t>
    <phoneticPr fontId="1" type="noConversion"/>
  </si>
  <si>
    <t>12*12.5황</t>
    <phoneticPr fontId="1" type="noConversion"/>
  </si>
  <si>
    <t>pe28*2백(24k)</t>
    <phoneticPr fontId="1" type="noConversion"/>
  </si>
  <si>
    <t>20박스</t>
    <phoneticPr fontId="1" type="noConversion"/>
  </si>
  <si>
    <t>파주(sjc성전으로납)</t>
    <phoneticPr fontId="1" type="noConversion"/>
  </si>
  <si>
    <t>랩25*500*1700</t>
    <phoneticPr fontId="1" type="noConversion"/>
  </si>
  <si>
    <t>JH글로벌</t>
    <phoneticPr fontId="1" type="noConversion"/>
  </si>
  <si>
    <t>pp18*12황</t>
    <phoneticPr fontId="1" type="noConversion"/>
  </si>
  <si>
    <t>jh글로벌-대신화물 선불 12*12.5 황-30롤</t>
    <phoneticPr fontId="1" type="noConversion"/>
  </si>
  <si>
    <t>삼화인쇄</t>
    <phoneticPr fontId="1" type="noConversion"/>
  </si>
  <si>
    <t>pp11*10백</t>
    <phoneticPr fontId="1" type="noConversion"/>
  </si>
  <si>
    <t>pp12*10백</t>
    <phoneticPr fontId="1" type="noConversion"/>
  </si>
  <si>
    <t>제책3층</t>
    <phoneticPr fontId="1" type="noConversion"/>
  </si>
  <si>
    <t>쇼핑백1층</t>
    <phoneticPr fontId="1" type="noConversion"/>
  </si>
  <si>
    <t>0.65T 추가50롤</t>
    <phoneticPr fontId="1" type="noConversion"/>
  </si>
  <si>
    <t>추가50롤</t>
    <phoneticPr fontId="1" type="noConversion"/>
  </si>
  <si>
    <t>삼성</t>
    <phoneticPr fontId="1" type="noConversion"/>
  </si>
  <si>
    <t>강남자금센터</t>
    <phoneticPr fontId="1" type="noConversion"/>
  </si>
  <si>
    <t>국민인쇄</t>
    <phoneticPr fontId="1" type="noConversion"/>
  </si>
  <si>
    <t>제이케이(순성)</t>
    <phoneticPr fontId="1" type="noConversion"/>
  </si>
  <si>
    <t>랩25*500*1700</t>
    <phoneticPr fontId="1" type="noConversion"/>
  </si>
  <si>
    <t>48박스</t>
    <phoneticPr fontId="1" type="noConversion"/>
  </si>
  <si>
    <t>pp18*10황</t>
    <phoneticPr fontId="1" type="noConversion"/>
  </si>
  <si>
    <t>원료 실어오세요.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</si>
  <si>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</si>
  <si>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</si>
  <si>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</si>
  <si>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pp12*12.5녹</t>
    <phoneticPr fontId="1" type="noConversion"/>
  </si>
  <si>
    <t>금산포장</t>
    <phoneticPr fontId="1" type="noConversion"/>
  </si>
  <si>
    <t>pe28*2백</t>
    <phoneticPr fontId="1" type="noConversion"/>
  </si>
  <si>
    <t>50박스</t>
    <phoneticPr fontId="1" type="noConversion"/>
  </si>
  <si>
    <t>12*12.5투</t>
    <phoneticPr fontId="1" type="noConversion"/>
  </si>
  <si>
    <t>한솔</t>
    <phoneticPr fontId="1" type="noConversion"/>
  </si>
  <si>
    <t>pe28*2(백)</t>
    <phoneticPr fontId="1" type="noConversion"/>
  </si>
  <si>
    <t>19박스(24kg)</t>
    <phoneticPr fontId="1" type="noConversion"/>
  </si>
  <si>
    <t xml:space="preserve"> 고메리</t>
    <phoneticPr fontId="1" type="noConversion"/>
  </si>
  <si>
    <t>15.5*2500(황)외</t>
    <phoneticPr fontId="1" type="noConversion"/>
  </si>
  <si>
    <t>6.1톤</t>
    <phoneticPr fontId="1" type="noConversion"/>
  </si>
  <si>
    <t>20"(오후5시)</t>
    <phoneticPr fontId="1" type="noConversion"/>
  </si>
  <si>
    <t>1건입니다.</t>
    <phoneticPr fontId="1" type="noConversion"/>
  </si>
  <si>
    <t>월</t>
    <phoneticPr fontId="1" type="noConversion"/>
  </si>
  <si>
    <t>삼성</t>
    <phoneticPr fontId="1" type="noConversion"/>
  </si>
  <si>
    <t>별도건</t>
    <phoneticPr fontId="1" type="noConversion"/>
  </si>
  <si>
    <t>솔표식품인쇄밴드</t>
    <phoneticPr fontId="1" type="noConversion"/>
  </si>
  <si>
    <t>15*13황</t>
    <phoneticPr fontId="1" type="noConversion"/>
  </si>
  <si>
    <t>12*12.5황</t>
    <phoneticPr fontId="1" type="noConversion"/>
  </si>
  <si>
    <t>12*10황</t>
    <phoneticPr fontId="1" type="noConversion"/>
  </si>
  <si>
    <t>pe28*2(적)</t>
    <phoneticPr fontId="1" type="noConversion"/>
  </si>
  <si>
    <t>pe28*2(청)</t>
    <phoneticPr fontId="1" type="noConversion"/>
  </si>
  <si>
    <t>6박스</t>
    <phoneticPr fontId="1" type="noConversion"/>
  </si>
  <si>
    <t>15*10황</t>
    <phoneticPr fontId="1" type="noConversion"/>
  </si>
  <si>
    <t>10.5*10투</t>
    <phoneticPr fontId="1" type="noConversion"/>
  </si>
  <si>
    <t>한서포장</t>
    <phoneticPr fontId="1" type="noConversion"/>
  </si>
  <si>
    <t>28*2(백)</t>
    <phoneticPr fontId="1" type="noConversion"/>
  </si>
  <si>
    <t>15박스</t>
    <phoneticPr fontId="1" type="noConversion"/>
  </si>
  <si>
    <t>12*9.5황</t>
    <phoneticPr fontId="1" type="noConversion"/>
  </si>
  <si>
    <t>전주삼신-화물(pp12*30롤,15*10롤,랩10)</t>
    <phoneticPr fontId="1" type="noConversion"/>
  </si>
  <si>
    <t>전주삼신-pe20박스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</si>
  <si>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</si>
  <si>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</si>
  <si>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</si>
  <si>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12*3000(청)외</t>
    <phoneticPr fontId="1" type="noConversion"/>
  </si>
  <si>
    <t>7.8톤</t>
    <phoneticPr fontId="1" type="noConversion"/>
  </si>
  <si>
    <t>20"(오후5시)</t>
    <phoneticPr fontId="1" type="noConversion"/>
  </si>
  <si>
    <t>수출0.65T</t>
    <phoneticPr fontId="1" type="noConversion"/>
  </si>
  <si>
    <t>pp10.5*10투</t>
    <phoneticPr fontId="1" type="noConversion"/>
  </si>
  <si>
    <t>pp15*10황</t>
    <phoneticPr fontId="1" type="noConversion"/>
  </si>
  <si>
    <t>pp12*12.5적</t>
    <phoneticPr fontId="1" type="noConversion"/>
  </si>
  <si>
    <t>대진화학</t>
    <phoneticPr fontId="1" type="noConversion"/>
  </si>
  <si>
    <t>7*10(백)</t>
    <phoneticPr fontId="1" type="noConversion"/>
  </si>
  <si>
    <t>대영포장(대구)-7*200롤(합화차)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</si>
  <si>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</si>
  <si>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</si>
  <si>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</si>
  <si>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김해제일포장-100박스(오후4시합화차)</t>
    <phoneticPr fontId="1" type="noConversion"/>
  </si>
  <si>
    <t>오전</t>
    <phoneticPr fontId="1" type="noConversion"/>
  </si>
  <si>
    <t>낙원납</t>
    <phoneticPr fontId="1" type="noConversion"/>
  </si>
  <si>
    <t>태양지대</t>
    <phoneticPr fontId="1" type="noConversion"/>
  </si>
  <si>
    <t>pe28*6백</t>
    <phoneticPr fontId="1" type="noConversion"/>
  </si>
  <si>
    <t>20박스</t>
    <phoneticPr fontId="1" type="noConversion"/>
  </si>
  <si>
    <t>납품예정</t>
    <phoneticPr fontId="1" type="noConversion"/>
  </si>
  <si>
    <t>pe28*6k백</t>
    <phoneticPr fontId="1" type="noConversion"/>
  </si>
  <si>
    <t>12*10투</t>
    <phoneticPr fontId="1" type="noConversion"/>
  </si>
  <si>
    <t>랩15*2400</t>
    <phoneticPr fontId="1" type="noConversion"/>
  </si>
  <si>
    <t>대영포장(발안)</t>
    <phoneticPr fontId="1" type="noConversion"/>
  </si>
  <si>
    <t>pp7*10백</t>
    <phoneticPr fontId="1" type="noConversion"/>
  </si>
  <si>
    <t>10.5*10투</t>
    <phoneticPr fontId="1" type="noConversion"/>
  </si>
  <si>
    <t>평판지하B</t>
    <phoneticPr fontId="1" type="noConversion"/>
  </si>
  <si>
    <t>50롤</t>
    <phoneticPr fontId="1" type="noConversion"/>
  </si>
  <si>
    <t>제책4층</t>
    <phoneticPr fontId="1" type="noConversion"/>
  </si>
  <si>
    <t>12*10청</t>
    <phoneticPr fontId="1" type="noConversion"/>
  </si>
  <si>
    <t>제책3층</t>
    <phoneticPr fontId="1" type="noConversion"/>
  </si>
  <si>
    <t>12*10황</t>
    <phoneticPr fontId="1" type="noConversion"/>
  </si>
  <si>
    <t>12*10백</t>
    <phoneticPr fontId="1" type="noConversion"/>
  </si>
  <si>
    <t>제책4층(종전)</t>
    <phoneticPr fontId="1" type="noConversion"/>
  </si>
  <si>
    <t>한서포장</t>
    <phoneticPr fontId="1" type="noConversion"/>
  </si>
  <si>
    <t xml:space="preserve"> pp12*9.5황</t>
    <phoneticPr fontId="1" type="noConversion"/>
  </si>
  <si>
    <t>pp12*12.5황</t>
    <phoneticPr fontId="1" type="noConversion"/>
  </si>
  <si>
    <t>pp9*10(투)</t>
    <phoneticPr fontId="1" type="noConversion"/>
  </si>
  <si>
    <t>pp12*12.5(투)</t>
    <phoneticPr fontId="1" type="noConversion"/>
  </si>
  <si>
    <t>신한포장</t>
    <phoneticPr fontId="1" type="noConversion"/>
  </si>
  <si>
    <t>50박스</t>
    <phoneticPr fontId="1" type="noConversion"/>
  </si>
  <si>
    <t>p28*2백</t>
    <phoneticPr fontId="1" type="noConversion"/>
  </si>
  <si>
    <t>삼신</t>
    <phoneticPr fontId="1" type="noConversion"/>
  </si>
  <si>
    <t>pe28*2백</t>
    <phoneticPr fontId="1" type="noConversion"/>
  </si>
  <si>
    <t>200박스</t>
    <phoneticPr fontId="1" type="noConversion"/>
  </si>
  <si>
    <t>dsi로 납품</t>
    <phoneticPr fontId="1" type="noConversion"/>
  </si>
  <si>
    <t>동원피앤아이</t>
    <phoneticPr fontId="1" type="noConversion"/>
  </si>
  <si>
    <t>60박스</t>
    <phoneticPr fontId="1" type="noConversion"/>
  </si>
  <si>
    <t xml:space="preserve"> pe28*2백</t>
    <phoneticPr fontId="1" type="noConversion"/>
  </si>
  <si>
    <t>5박스</t>
    <phoneticPr fontId="1" type="noConversion"/>
  </si>
  <si>
    <t>무상 1박스</t>
    <phoneticPr fontId="1" type="noConversion"/>
  </si>
  <si>
    <t>하비스</t>
    <phoneticPr fontId="1" type="noConversion"/>
  </si>
  <si>
    <t>12*3000(청)외</t>
    <phoneticPr fontId="1" type="noConversion"/>
  </si>
  <si>
    <t>7.3톤</t>
    <phoneticPr fontId="1" type="noConversion"/>
  </si>
  <si>
    <t>20"(오후5시)</t>
    <phoneticPr fontId="1" type="noConversion"/>
  </si>
  <si>
    <t>한솔포장</t>
    <phoneticPr fontId="1" type="noConversion"/>
  </si>
  <si>
    <t>25박스</t>
    <phoneticPr fontId="1" type="noConversion"/>
  </si>
  <si>
    <t>전주삼신-대신화물</t>
    <phoneticPr fontId="1" type="noConversion"/>
  </si>
  <si>
    <t>대영포장(발안)</t>
    <phoneticPr fontId="1" type="noConversion"/>
  </si>
  <si>
    <t>12*12.5황</t>
    <phoneticPr fontId="1" type="noConversion"/>
  </si>
  <si>
    <t>12*12.5청</t>
    <phoneticPr fontId="1" type="noConversion"/>
  </si>
  <si>
    <t>랩15*500*350(기능성)</t>
    <phoneticPr fontId="1" type="noConversion"/>
  </si>
  <si>
    <t>신일피앤에스 합화차발송(12*12.5투-40롤)</t>
    <phoneticPr fontId="1" type="noConversion"/>
  </si>
  <si>
    <t>원료반품 내용정리</t>
    <phoneticPr fontId="1" type="noConversion"/>
  </si>
  <si>
    <t>보낸곳</t>
    <phoneticPr fontId="1" type="noConversion"/>
  </si>
  <si>
    <t>부원(영광)</t>
    <phoneticPr fontId="1" type="noConversion"/>
  </si>
  <si>
    <t>날짜</t>
    <phoneticPr fontId="1" type="noConversion"/>
  </si>
  <si>
    <t>운임</t>
    <phoneticPr fontId="1" type="noConversion"/>
  </si>
  <si>
    <t>수량(KG)</t>
    <phoneticPr fontId="1" type="noConversion"/>
  </si>
  <si>
    <t>부원(영광)</t>
    <phoneticPr fontId="1" type="noConversion"/>
  </si>
  <si>
    <t>수신: 그린엔텍</t>
    <phoneticPr fontId="1" type="noConversion"/>
  </si>
  <si>
    <t>발신: ㈜ 케이아이씨</t>
    <phoneticPr fontId="1" type="noConversion"/>
  </si>
  <si>
    <t>금액</t>
    <phoneticPr fontId="1" type="noConversion"/>
  </si>
  <si>
    <t>단가</t>
    <phoneticPr fontId="1" type="noConversion"/>
  </si>
  <si>
    <t>원료(29톤)</t>
    <phoneticPr fontId="1" type="noConversion"/>
  </si>
  <si>
    <t>운임(2건)</t>
    <phoneticPr fontId="1" type="noConversion"/>
  </si>
  <si>
    <t>총금액</t>
    <phoneticPr fontId="1" type="noConversion"/>
  </si>
  <si>
    <t>합동포장</t>
    <phoneticPr fontId="1" type="noConversion"/>
  </si>
  <si>
    <t>pp12*2.5황</t>
    <phoneticPr fontId="1" type="noConversion"/>
  </si>
  <si>
    <t>pp15*13황</t>
    <phoneticPr fontId="1" type="noConversion"/>
  </si>
  <si>
    <t>pe28*2백</t>
    <phoneticPr fontId="1" type="noConversion"/>
  </si>
  <si>
    <t>30박스</t>
    <phoneticPr fontId="1" type="noConversion"/>
  </si>
  <si>
    <t>pp12*10황</t>
    <phoneticPr fontId="1" type="noConversion"/>
  </si>
  <si>
    <t>pp9*10황</t>
    <phoneticPr fontId="1" type="noConversion"/>
  </si>
  <si>
    <t>전주삼신-pp,pe</t>
    <phoneticPr fontId="1" type="noConversion"/>
  </si>
  <si>
    <t>63박스</t>
    <phoneticPr fontId="1" type="noConversion"/>
  </si>
  <si>
    <t>방문수령</t>
    <phoneticPr fontId="1" type="noConversion"/>
  </si>
  <si>
    <t>vat 포함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</si>
  <si>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</si>
  <si>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</si>
  <si>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</si>
  <si>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강원농협</t>
    <phoneticPr fontId="1" type="noConversion"/>
  </si>
  <si>
    <t>PP12*12.5KG (황)</t>
    <phoneticPr fontId="1" type="noConversion"/>
  </si>
  <si>
    <t>pe28*6백</t>
    <phoneticPr fontId="1" type="noConversion"/>
  </si>
  <si>
    <t>광림파워팩</t>
    <phoneticPr fontId="1" type="noConversion"/>
  </si>
  <si>
    <t>pe28*2(24k)</t>
    <phoneticPr fontId="1" type="noConversion"/>
  </si>
  <si>
    <t>한솔</t>
    <phoneticPr fontId="1" type="noConversion"/>
  </si>
  <si>
    <t>한솔포장</t>
    <phoneticPr fontId="1" type="noConversion"/>
  </si>
  <si>
    <t>pe28*2백(24k)</t>
    <phoneticPr fontId="1" type="noConversion"/>
  </si>
  <si>
    <t>15박스</t>
    <phoneticPr fontId="1" type="noConversion"/>
  </si>
  <si>
    <t>pe28*2청(24k)</t>
    <phoneticPr fontId="1" type="noConversion"/>
  </si>
  <si>
    <t>5박스</t>
    <phoneticPr fontId="1" type="noConversion"/>
  </si>
  <si>
    <t>광성유통(라보발송)</t>
    <phoneticPr fontId="1" type="noConversion"/>
  </si>
  <si>
    <t>꼭</t>
    <phoneticPr fontId="1" type="noConversion"/>
  </si>
  <si>
    <t>꼭</t>
    <phoneticPr fontId="1" type="noConversion"/>
  </si>
  <si>
    <t>앤더슨</t>
    <phoneticPr fontId="1" type="noConversion"/>
  </si>
  <si>
    <t>12*3000청외</t>
    <phoneticPr fontId="1" type="noConversion"/>
  </si>
  <si>
    <t>18톤</t>
    <phoneticPr fontId="1" type="noConversion"/>
  </si>
  <si>
    <t>40h(오후5시)</t>
    <phoneticPr fontId="1" type="noConversion"/>
  </si>
  <si>
    <t>월</t>
    <phoneticPr fontId="1" type="noConversion"/>
  </si>
  <si>
    <t>18*21</t>
    <phoneticPr fontId="1" type="noConversion"/>
  </si>
  <si>
    <t>7파</t>
    <phoneticPr fontId="1" type="noConversion"/>
  </si>
  <si>
    <t>18*15</t>
    <phoneticPr fontId="1" type="noConversion"/>
  </si>
  <si>
    <t>pe28*2</t>
    <phoneticPr fontId="1" type="noConversion"/>
  </si>
  <si>
    <t>자강(신평)</t>
    <phoneticPr fontId="1" type="noConversion"/>
  </si>
  <si>
    <t>랩15*500*400</t>
    <phoneticPr fontId="1" type="noConversion"/>
  </si>
  <si>
    <t>64박</t>
    <phoneticPr fontId="1" type="noConversion"/>
  </si>
  <si>
    <t>12*12.5황</t>
    <phoneticPr fontId="1" type="noConversion"/>
  </si>
  <si>
    <t>12*10황</t>
    <phoneticPr fontId="1" type="noConversion"/>
  </si>
  <si>
    <t>15*13황</t>
    <phoneticPr fontId="1" type="noConversion"/>
  </si>
  <si>
    <t>2파 로포장</t>
    <phoneticPr fontId="1" type="noConversion"/>
  </si>
  <si>
    <t>jh글로벌</t>
    <phoneticPr fontId="1" type="noConversion"/>
  </si>
  <si>
    <t>18*12황</t>
    <phoneticPr fontId="1" type="noConversion"/>
  </si>
  <si>
    <t>12*12황</t>
    <phoneticPr fontId="1" type="noConversion"/>
  </si>
  <si>
    <t>월</t>
    <phoneticPr fontId="1" type="noConversion"/>
  </si>
  <si>
    <t>삼성</t>
    <phoneticPr fontId="1" type="noConversion"/>
  </si>
  <si>
    <t>18*15</t>
    <phoneticPr fontId="1" type="noConversion"/>
  </si>
  <si>
    <t>박스-동진</t>
    <phoneticPr fontId="1" type="noConversion"/>
  </si>
  <si>
    <t>18*21</t>
    <phoneticPr fontId="1" type="noConversion"/>
  </si>
  <si>
    <t xml:space="preserve">dsi로 납품 </t>
    <phoneticPr fontId="1" type="noConversion"/>
  </si>
  <si>
    <t>목</t>
    <phoneticPr fontId="1" type="noConversion"/>
  </si>
  <si>
    <t>강서자금센타</t>
    <phoneticPr fontId="1" type="noConversion"/>
  </si>
  <si>
    <t>하나-10, 국민-10</t>
    <phoneticPr fontId="1" type="noConversion"/>
  </si>
  <si>
    <t>라바인터내셔널</t>
    <phoneticPr fontId="1" type="noConversion"/>
  </si>
  <si>
    <t>납:서울팩키지</t>
    <phoneticPr fontId="1" type="noConversion"/>
  </si>
  <si>
    <t>2박스</t>
    <phoneticPr fontId="1" type="noConversion"/>
  </si>
  <si>
    <t>12*10백</t>
    <phoneticPr fontId="1" type="noConversion"/>
  </si>
  <si>
    <t>12*12.5황</t>
    <phoneticPr fontId="1" type="noConversion"/>
  </si>
  <si>
    <t>pe28</t>
    <phoneticPr fontId="1" type="noConversion"/>
  </si>
  <si>
    <t>호성수출</t>
    <phoneticPr fontId="1" type="noConversion"/>
  </si>
  <si>
    <t>랩20*500*350</t>
    <phoneticPr fontId="1" type="noConversion"/>
  </si>
  <si>
    <t>한서포장(오전)용차</t>
    <phoneticPr fontId="1" type="noConversion"/>
  </si>
  <si>
    <t>신우교역</t>
    <phoneticPr fontId="1" type="noConversion"/>
  </si>
  <si>
    <t>한국마이다스납</t>
    <phoneticPr fontId="1" type="noConversion"/>
  </si>
  <si>
    <t>경신전선(오후)용차</t>
    <phoneticPr fontId="1" type="noConversion"/>
  </si>
  <si>
    <t>대영포장(발안)</t>
    <phoneticPr fontId="1" type="noConversion"/>
  </si>
  <si>
    <t>pp7*10</t>
    <phoneticPr fontId="1" type="noConversion"/>
  </si>
  <si>
    <t>jh글로벌-용차</t>
    <phoneticPr fontId="1" type="noConversion"/>
  </si>
  <si>
    <t>노스쇼아</t>
    <phoneticPr fontId="1" type="noConversion"/>
  </si>
  <si>
    <t>12*2743백외</t>
    <phoneticPr fontId="1" type="noConversion"/>
  </si>
  <si>
    <t>15.5톤</t>
    <phoneticPr fontId="1" type="noConversion"/>
  </si>
  <si>
    <t>6.2톤</t>
    <phoneticPr fontId="1" type="noConversion"/>
  </si>
  <si>
    <t>12*3000청외</t>
    <phoneticPr fontId="1" type="noConversion"/>
  </si>
  <si>
    <t>18.5톤</t>
    <phoneticPr fontId="1" type="noConversion"/>
  </si>
  <si>
    <t>18*15</t>
    <phoneticPr fontId="1" type="noConversion"/>
  </si>
  <si>
    <t>18*21</t>
    <phoneticPr fontId="1" type="noConversion"/>
  </si>
  <si>
    <t>월</t>
    <phoneticPr fontId="1" type="noConversion"/>
  </si>
  <si>
    <t>서울포장</t>
    <phoneticPr fontId="1" type="noConversion"/>
  </si>
  <si>
    <t>pp12*10백</t>
    <phoneticPr fontId="1" type="noConversion"/>
  </si>
  <si>
    <t>대구대영7-200r(합화차)</t>
    <phoneticPr fontId="1" type="noConversion"/>
  </si>
  <si>
    <t>경은종합-pe1박스 -로젠</t>
    <phoneticPr fontId="1" type="noConversion"/>
  </si>
  <si>
    <t>전주삼신-화물(pp,pe)</t>
    <phoneticPr fontId="1" type="noConversion"/>
  </si>
  <si>
    <t>대원포장-대구 대신화물</t>
    <phoneticPr fontId="1" type="noConversion"/>
  </si>
  <si>
    <t>공급가액</t>
    <phoneticPr fontId="1" type="noConversion"/>
  </si>
  <si>
    <t>삼성</t>
    <phoneticPr fontId="1" type="noConversion"/>
  </si>
  <si>
    <t>광림파워팩</t>
    <phoneticPr fontId="1" type="noConversion"/>
  </si>
  <si>
    <t>0.65t</t>
    <phoneticPr fontId="1" type="noConversion"/>
  </si>
  <si>
    <t>18*21</t>
    <phoneticPr fontId="1" type="noConversion"/>
  </si>
  <si>
    <t>18*15</t>
    <phoneticPr fontId="1" type="noConversion"/>
  </si>
  <si>
    <t>pe28*2백(24k)</t>
    <phoneticPr fontId="1" type="noConversion"/>
  </si>
  <si>
    <t>30박스</t>
    <phoneticPr fontId="1" type="noConversion"/>
  </si>
  <si>
    <t>28*2백</t>
    <phoneticPr fontId="1" type="noConversion"/>
  </si>
  <si>
    <t>24k(15박스)</t>
    <phoneticPr fontId="1" type="noConversion"/>
  </si>
  <si>
    <t>28*6백</t>
    <phoneticPr fontId="1" type="noConversion"/>
  </si>
  <si>
    <t>24k(10박스)</t>
    <phoneticPr fontId="1" type="noConversion"/>
  </si>
  <si>
    <t>pp15*13황</t>
    <phoneticPr fontId="1" type="noConversion"/>
  </si>
  <si>
    <t>jk(순성)</t>
    <phoneticPr fontId="1" type="noConversion"/>
  </si>
  <si>
    <t>18*10(황)</t>
    <phoneticPr fontId="1" type="noConversion"/>
  </si>
  <si>
    <t>랩25*500*1400</t>
    <phoneticPr fontId="1" type="noConversion"/>
  </si>
  <si>
    <t>48박스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</si>
  <si>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</si>
  <si>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</si>
  <si>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</si>
  <si>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18*15</t>
    <phoneticPr fontId="1" type="noConversion"/>
  </si>
  <si>
    <t>pp15*13(황)</t>
    <phoneticPr fontId="1" type="noConversion"/>
  </si>
  <si>
    <t>pp15*10(황)</t>
    <phoneticPr fontId="1" type="noConversion"/>
  </si>
  <si>
    <t>12*3000청외</t>
    <phoneticPr fontId="1" type="noConversion"/>
  </si>
  <si>
    <t>9.2톤</t>
    <phoneticPr fontId="1" type="noConversion"/>
  </si>
  <si>
    <t>20"(오후5시)</t>
    <phoneticPr fontId="1" type="noConversion"/>
  </si>
  <si>
    <t>삼성</t>
    <phoneticPr fontId="1" type="noConversion"/>
  </si>
  <si>
    <t>한서포장</t>
    <phoneticPr fontId="1" type="noConversion"/>
  </si>
  <si>
    <t>pp12*9.5황</t>
    <phoneticPr fontId="1" type="noConversion"/>
  </si>
  <si>
    <t>pp15*10황</t>
    <phoneticPr fontId="1" type="noConversion"/>
  </si>
  <si>
    <t>pe28*2백(20k)</t>
    <phoneticPr fontId="1" type="noConversion"/>
  </si>
  <si>
    <t>10박스</t>
    <phoneticPr fontId="1" type="noConversion"/>
  </si>
  <si>
    <t>가지러오기로함</t>
    <phoneticPr fontId="1" type="noConversion"/>
  </si>
  <si>
    <t>동방포장</t>
    <phoneticPr fontId="1" type="noConversion"/>
  </si>
  <si>
    <t>pp12*10황</t>
    <phoneticPr fontId="1" type="noConversion"/>
  </si>
  <si>
    <t>50롤</t>
    <phoneticPr fontId="1" type="noConversion"/>
  </si>
  <si>
    <t>0.65t수출용</t>
    <phoneticPr fontId="1" type="noConversion"/>
  </si>
  <si>
    <t>각5박스</t>
    <phoneticPr fontId="1" type="noConversion"/>
  </si>
  <si>
    <t>pe28*2황,청,적</t>
    <phoneticPr fontId="1" type="noConversion"/>
  </si>
  <si>
    <t>24kg</t>
    <phoneticPr fontId="1" type="noConversion"/>
  </si>
  <si>
    <t>pp6*10백</t>
    <phoneticPr fontId="1" type="noConversion"/>
  </si>
  <si>
    <t>pp15*10황</t>
    <phoneticPr fontId="1" type="noConversion"/>
  </si>
  <si>
    <t>0.8t(농협)</t>
    <phoneticPr fontId="1" type="noConversion"/>
  </si>
  <si>
    <t>pp12*10황</t>
    <phoneticPr fontId="1" type="noConversion"/>
  </si>
  <si>
    <t>60롤</t>
    <phoneticPr fontId="1" type="noConversion"/>
  </si>
  <si>
    <t>0.7t(농협)</t>
    <phoneticPr fontId="1" type="noConversion"/>
  </si>
  <si>
    <t>근로자의 날</t>
    <phoneticPr fontId="1" type="noConversion"/>
  </si>
  <si>
    <t>pp12*12.5황</t>
    <phoneticPr fontId="1" type="noConversion"/>
  </si>
  <si>
    <t>태양지대</t>
    <phoneticPr fontId="1" type="noConversion"/>
  </si>
  <si>
    <t>25*500*1400</t>
    <phoneticPr fontId="1" type="noConversion"/>
  </si>
  <si>
    <t>64박스</t>
    <phoneticPr fontId="1" type="noConversion"/>
  </si>
  <si>
    <t>18*15</t>
    <phoneticPr fontId="1" type="noConversion"/>
  </si>
  <si>
    <t>18*21</t>
    <phoneticPr fontId="1" type="noConversion"/>
  </si>
  <si>
    <t>광림파워팩</t>
    <phoneticPr fontId="1" type="noConversion"/>
  </si>
  <si>
    <t>12*10황</t>
    <phoneticPr fontId="1" type="noConversion"/>
  </si>
  <si>
    <t>RLB</t>
    <phoneticPr fontId="1" type="noConversion"/>
  </si>
  <si>
    <t>19*300청외</t>
    <phoneticPr fontId="1" type="noConversion"/>
  </si>
  <si>
    <t>19톤</t>
    <phoneticPr fontId="1" type="noConversion"/>
  </si>
  <si>
    <t>40HQ(오후5시)</t>
    <phoneticPr fontId="1" type="noConversion"/>
  </si>
  <si>
    <t>월</t>
    <phoneticPr fontId="1" type="noConversion"/>
  </si>
  <si>
    <t>화</t>
    <phoneticPr fontId="1" type="noConversion"/>
  </si>
  <si>
    <t>공휴일</t>
    <phoneticPr fontId="1" type="noConversion"/>
  </si>
  <si>
    <t>pe28*2청</t>
    <phoneticPr fontId="1" type="noConversion"/>
  </si>
  <si>
    <t>삼원산업</t>
    <phoneticPr fontId="1" type="noConversion"/>
  </si>
  <si>
    <t>동일접착</t>
    <phoneticPr fontId="1" type="noConversion"/>
  </si>
  <si>
    <t>납품해야함</t>
    <phoneticPr fontId="1" type="noConversion"/>
  </si>
  <si>
    <t>한국전자금융</t>
    <phoneticPr fontId="1" type="noConversion"/>
  </si>
  <si>
    <t>국민인쇄</t>
    <phoneticPr fontId="1" type="noConversion"/>
  </si>
  <si>
    <t>대진화학</t>
    <phoneticPr fontId="1" type="noConversion"/>
  </si>
  <si>
    <t>10*10백</t>
    <phoneticPr fontId="1" type="noConversion"/>
  </si>
  <si>
    <t>18*21</t>
    <phoneticPr fontId="1" type="noConversion"/>
  </si>
  <si>
    <t>전주삼신-랩,pp대신화물</t>
    <phoneticPr fontId="1" type="noConversion"/>
  </si>
  <si>
    <t>jh글로벌</t>
    <phoneticPr fontId="1" type="noConversion"/>
  </si>
  <si>
    <t>pp15*13황</t>
    <phoneticPr fontId="1" type="noConversion"/>
  </si>
  <si>
    <t>금산포장</t>
    <phoneticPr fontId="1" type="noConversion"/>
  </si>
  <si>
    <t>얇은밴드12*12.5녹</t>
    <phoneticPr fontId="1" type="noConversion"/>
  </si>
  <si>
    <t>얇은밴드12*12.5투</t>
    <phoneticPr fontId="1" type="noConversion"/>
  </si>
  <si>
    <t>대유위니아</t>
    <phoneticPr fontId="1" type="noConversion"/>
  </si>
  <si>
    <t>15k</t>
    <phoneticPr fontId="1" type="noConversion"/>
  </si>
  <si>
    <t>12*12.5</t>
    <phoneticPr fontId="1" type="noConversion"/>
  </si>
  <si>
    <t>ABL</t>
    <phoneticPr fontId="1" type="noConversion"/>
  </si>
  <si>
    <t>12*3000청외</t>
    <phoneticPr fontId="1" type="noConversion"/>
  </si>
  <si>
    <t>3톤</t>
    <phoneticPr fontId="1" type="noConversion"/>
  </si>
  <si>
    <t>20"(오후5시)</t>
    <phoneticPr fontId="1" type="noConversion"/>
  </si>
  <si>
    <t>강남자금센타</t>
    <phoneticPr fontId="1" type="noConversion"/>
  </si>
  <si>
    <t>수</t>
    <phoneticPr fontId="1" type="noConversion"/>
  </si>
  <si>
    <t>천안탕정 납품(5파)</t>
    <phoneticPr fontId="1" type="noConversion"/>
  </si>
  <si>
    <t>월</t>
    <phoneticPr fontId="1" type="noConversion"/>
  </si>
  <si>
    <t>삼성</t>
    <phoneticPr fontId="1" type="noConversion"/>
  </si>
  <si>
    <t>동오정밀</t>
    <phoneticPr fontId="1" type="noConversion"/>
  </si>
  <si>
    <t>15*10백</t>
    <phoneticPr fontId="1" type="noConversion"/>
  </si>
  <si>
    <t>0.65T</t>
    <phoneticPr fontId="1" type="noConversion"/>
  </si>
  <si>
    <t>급함</t>
    <phoneticPr fontId="1" type="noConversion"/>
  </si>
  <si>
    <t>14*12청</t>
    <phoneticPr fontId="1" type="noConversion"/>
  </si>
  <si>
    <t>파주납품(sjc성전)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</si>
  <si>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</si>
  <si>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</si>
  <si>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</si>
  <si>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pp12*12.5투</t>
    <phoneticPr fontId="1" type="noConversion"/>
  </si>
  <si>
    <t>보우팩</t>
    <phoneticPr fontId="1" type="noConversion"/>
  </si>
  <si>
    <t>pp6*10백</t>
    <phoneticPr fontId="1" type="noConversion"/>
  </si>
  <si>
    <t>pp15*10황</t>
    <phoneticPr fontId="1" type="noConversion"/>
  </si>
  <si>
    <t>pp15*13황</t>
    <phoneticPr fontId="1" type="noConversion"/>
  </si>
  <si>
    <t>pp12*10황</t>
    <phoneticPr fontId="1" type="noConversion"/>
  </si>
  <si>
    <t>pp12*12.5황</t>
    <phoneticPr fontId="1" type="noConversion"/>
  </si>
  <si>
    <t>15*10적</t>
    <phoneticPr fontId="1" type="noConversion"/>
  </si>
  <si>
    <t>대영포장(발안)</t>
    <phoneticPr fontId="1" type="noConversion"/>
  </si>
  <si>
    <t>pp7*10백</t>
    <phoneticPr fontId="1" type="noConversion"/>
  </si>
  <si>
    <t>CWC</t>
    <phoneticPr fontId="1" type="noConversion"/>
  </si>
  <si>
    <t>PE</t>
    <phoneticPr fontId="1" type="noConversion"/>
  </si>
  <si>
    <t>19.1톤</t>
    <phoneticPr fontId="1" type="noConversion"/>
  </si>
  <si>
    <t>40(오후5시)</t>
    <phoneticPr fontId="1" type="noConversion"/>
  </si>
  <si>
    <t>월</t>
    <phoneticPr fontId="1" type="noConversion"/>
  </si>
  <si>
    <t>부천님 오신날</t>
    <phoneticPr fontId="1" type="noConversion"/>
  </si>
  <si>
    <t>삼성</t>
    <phoneticPr fontId="1" type="noConversion"/>
  </si>
  <si>
    <t>12*12황</t>
    <phoneticPr fontId="1" type="noConversion"/>
  </si>
  <si>
    <t>12*12.5</t>
    <phoneticPr fontId="1" type="noConversion"/>
  </si>
  <si>
    <t>12*10</t>
    <phoneticPr fontId="1" type="noConversion"/>
  </si>
  <si>
    <t>15*10</t>
    <phoneticPr fontId="1" type="noConversion"/>
  </si>
  <si>
    <t>15*13</t>
    <phoneticPr fontId="1" type="noConversion"/>
  </si>
  <si>
    <t>9*9.5</t>
    <phoneticPr fontId="1" type="noConversion"/>
  </si>
  <si>
    <t>9*10</t>
    <phoneticPr fontId="1" type="noConversion"/>
  </si>
  <si>
    <t>동방포장</t>
    <phoneticPr fontId="1" type="noConversion"/>
  </si>
  <si>
    <t>pp9*10황</t>
    <phoneticPr fontId="1" type="noConversion"/>
  </si>
  <si>
    <t>0.63t</t>
    <phoneticPr fontId="1" type="noConversion"/>
  </si>
  <si>
    <t>강원농협</t>
    <phoneticPr fontId="1" type="noConversion"/>
  </si>
  <si>
    <t>전주삼신-pe30박스</t>
    <phoneticPr fontId="1" type="noConversion"/>
  </si>
  <si>
    <t>대영(대구)-200롤</t>
    <phoneticPr fontId="1" type="noConversion"/>
  </si>
  <si>
    <t>12*12.5황</t>
    <phoneticPr fontId="1" type="noConversion"/>
  </si>
  <si>
    <t>랩15*500*2400</t>
    <phoneticPr fontId="1" type="noConversion"/>
  </si>
  <si>
    <t>10박스</t>
    <phoneticPr fontId="1" type="noConversion"/>
  </si>
  <si>
    <t>화남포장</t>
    <phoneticPr fontId="1" type="noConversion"/>
  </si>
  <si>
    <t>20박스 납</t>
    <phoneticPr fontId="1" type="noConversion"/>
  </si>
  <si>
    <t>12*12.5황</t>
    <phoneticPr fontId="1" type="noConversion"/>
  </si>
  <si>
    <t>김해제일포장-pe100</t>
    <phoneticPr fontId="1" type="noConversion"/>
  </si>
  <si>
    <t>0.65t(DHF인쇄)방문</t>
    <phoneticPr fontId="1" type="noConversion"/>
  </si>
  <si>
    <t>대신-대원포장pe20</t>
    <phoneticPr fontId="1" type="noConversion"/>
  </si>
  <si>
    <t>19*1000청외</t>
    <phoneticPr fontId="1" type="noConversion"/>
  </si>
  <si>
    <t>8.5톤</t>
    <phoneticPr fontId="1" type="noConversion"/>
  </si>
  <si>
    <t>20"(오후5시)</t>
    <phoneticPr fontId="1" type="noConversion"/>
  </si>
  <si>
    <t>18*15</t>
    <phoneticPr fontId="1" type="noConversion"/>
  </si>
  <si>
    <t>내수 포함</t>
    <phoneticPr fontId="1" type="noConversion"/>
  </si>
  <si>
    <t>18*21</t>
    <phoneticPr fontId="1" type="noConversion"/>
  </si>
  <si>
    <t>월</t>
    <phoneticPr fontId="1" type="noConversion"/>
  </si>
  <si>
    <t>방문수령</t>
    <phoneticPr fontId="1" type="noConversion"/>
  </si>
  <si>
    <t>도루코리빙</t>
    <phoneticPr fontId="1" type="noConversion"/>
  </si>
  <si>
    <t>pe28*2백</t>
    <phoneticPr fontId="1" type="noConversion"/>
  </si>
  <si>
    <t>30박스</t>
    <phoneticPr fontId="1" type="noConversion"/>
  </si>
  <si>
    <t>대영포장(발안)</t>
    <phoneticPr fontId="1" type="noConversion"/>
  </si>
  <si>
    <t>pp7*10백</t>
    <phoneticPr fontId="1" type="noConversion"/>
  </si>
  <si>
    <t>한솔포장</t>
    <phoneticPr fontId="1" type="noConversion"/>
  </si>
  <si>
    <t>28*6백</t>
    <phoneticPr fontId="1" type="noConversion"/>
  </si>
  <si>
    <t>25박스</t>
    <phoneticPr fontId="1" type="noConversion"/>
  </si>
  <si>
    <t>삼신-100박스 방문</t>
    <phoneticPr fontId="1" type="noConversion"/>
  </si>
  <si>
    <t>산유</t>
    <phoneticPr fontId="1" type="noConversion"/>
  </si>
  <si>
    <t>15.5*2500황외</t>
    <phoneticPr fontId="1" type="noConversion"/>
  </si>
  <si>
    <t>7.2톤</t>
    <phoneticPr fontId="1" type="noConversion"/>
  </si>
  <si>
    <t>20"(오후5시)</t>
    <phoneticPr fontId="1" type="noConversion"/>
  </si>
  <si>
    <t>앤더슨</t>
    <phoneticPr fontId="1" type="noConversion"/>
  </si>
  <si>
    <t>12*3000투외</t>
    <phoneticPr fontId="1" type="noConversion"/>
  </si>
  <si>
    <t>8.9톤</t>
    <phoneticPr fontId="1" type="noConversion"/>
  </si>
  <si>
    <t>WCP</t>
    <phoneticPr fontId="1" type="noConversion"/>
  </si>
  <si>
    <t>12*3000백외</t>
    <phoneticPr fontId="1" type="noConversion"/>
  </si>
  <si>
    <t>17.5톤</t>
    <phoneticPr fontId="1" type="noConversion"/>
  </si>
  <si>
    <t>40HQ(오후5시)</t>
    <phoneticPr fontId="1" type="noConversion"/>
  </si>
  <si>
    <t>경신전선</t>
    <phoneticPr fontId="1" type="noConversion"/>
  </si>
  <si>
    <t>pp15*10청</t>
    <phoneticPr fontId="1" type="noConversion"/>
  </si>
  <si>
    <t>46박스</t>
    <phoneticPr fontId="1" type="noConversion"/>
  </si>
  <si>
    <t>삼성</t>
    <phoneticPr fontId="1" type="noConversion"/>
  </si>
  <si>
    <t>18*21</t>
    <phoneticPr fontId="1" type="noConversion"/>
  </si>
  <si>
    <t>자체거래명세서</t>
    <phoneticPr fontId="1" type="noConversion"/>
  </si>
  <si>
    <t>스티커부착</t>
    <phoneticPr fontId="1" type="noConversion"/>
  </si>
  <si>
    <t>18*15</t>
    <phoneticPr fontId="1" type="noConversion"/>
  </si>
  <si>
    <t>18*21</t>
    <phoneticPr fontId="1" type="noConversion"/>
  </si>
  <si>
    <t>대영포장(발안)</t>
    <phoneticPr fontId="1" type="noConversion"/>
  </si>
  <si>
    <t>수</t>
    <phoneticPr fontId="1" type="noConversion"/>
  </si>
  <si>
    <t>무인쇄</t>
    <phoneticPr fontId="1" type="noConversion"/>
  </si>
  <si>
    <t>국민인쇄</t>
    <phoneticPr fontId="1" type="noConversion"/>
  </si>
  <si>
    <t>하나인쇄</t>
    <phoneticPr fontId="1" type="noConversion"/>
  </si>
  <si>
    <t>강서자금센타</t>
    <phoneticPr fontId="1" type="noConversion"/>
  </si>
  <si>
    <t>한국전자금융 택배</t>
    <phoneticPr fontId="1" type="noConversion"/>
  </si>
  <si>
    <t xml:space="preserve">광림파워팩 </t>
    <phoneticPr fontId="1" type="noConversion"/>
  </si>
  <si>
    <t>12*12.5검정</t>
    <phoneticPr fontId="1" type="noConversion"/>
  </si>
  <si>
    <t>12*12.5황</t>
    <phoneticPr fontId="1" type="noConversion"/>
  </si>
  <si>
    <t>삼성</t>
    <phoneticPr fontId="1" type="noConversion"/>
  </si>
  <si>
    <t>18*21</t>
    <phoneticPr fontId="1" type="noConversion"/>
  </si>
  <si>
    <t>서울포장</t>
    <phoneticPr fontId="1" type="noConversion"/>
  </si>
  <si>
    <t>15*10황</t>
    <phoneticPr fontId="1" type="noConversion"/>
  </si>
  <si>
    <t>15*10백</t>
    <phoneticPr fontId="1" type="noConversion"/>
  </si>
  <si>
    <t>pe28*2백</t>
    <phoneticPr fontId="1" type="noConversion"/>
  </si>
  <si>
    <t>50박스</t>
    <phoneticPr fontId="1" type="noConversion"/>
  </si>
  <si>
    <t>파워팩</t>
    <phoneticPr fontId="1" type="noConversion"/>
  </si>
  <si>
    <t>12*1000회색외</t>
    <phoneticPr fontId="1" type="noConversion"/>
  </si>
  <si>
    <t>8.6톤</t>
    <phoneticPr fontId="1" type="noConversion"/>
  </si>
  <si>
    <t>탐스텍</t>
    <phoneticPr fontId="1" type="noConversion"/>
  </si>
  <si>
    <t>3.5톤</t>
    <phoneticPr fontId="1" type="noConversion"/>
  </si>
  <si>
    <t>오전 -이과장 없음</t>
    <phoneticPr fontId="1" type="noConversion"/>
  </si>
  <si>
    <t>경신전선</t>
    <phoneticPr fontId="1" type="noConversion"/>
  </si>
  <si>
    <t>경신거.명 사용</t>
    <phoneticPr fontId="1" type="noConversion"/>
  </si>
  <si>
    <t>대한록크-10박스(방문)</t>
    <phoneticPr fontId="1" type="noConversion"/>
  </si>
  <si>
    <t>동원p&amp;i-30박스(방문)</t>
    <phoneticPr fontId="1" type="noConversion"/>
  </si>
  <si>
    <t>현    충   일</t>
    <phoneticPr fontId="1" type="noConversion"/>
  </si>
  <si>
    <t>월</t>
    <phoneticPr fontId="1" type="noConversion"/>
  </si>
  <si>
    <t>pp15*10황</t>
    <phoneticPr fontId="1" type="noConversion"/>
  </si>
  <si>
    <t>jh글로벌</t>
    <phoneticPr fontId="1" type="noConversion"/>
  </si>
  <si>
    <t>15*13황</t>
    <phoneticPr fontId="1" type="noConversion"/>
  </si>
  <si>
    <t>12*10황</t>
    <phoneticPr fontId="1" type="noConversion"/>
  </si>
  <si>
    <t>15*13황</t>
    <phoneticPr fontId="1" type="noConversion"/>
  </si>
  <si>
    <t>9*10황</t>
    <phoneticPr fontId="1" type="noConversion"/>
  </si>
  <si>
    <t>삼성</t>
    <phoneticPr fontId="1" type="noConversion"/>
  </si>
  <si>
    <t>12*12.5황</t>
    <phoneticPr fontId="1" type="noConversion"/>
  </si>
  <si>
    <t>pp15*10적색</t>
    <phoneticPr fontId="1" type="noConversion"/>
  </si>
  <si>
    <t>스티커작업</t>
    <phoneticPr fontId="1" type="noConversion"/>
  </si>
  <si>
    <t>라바-오포직송</t>
    <phoneticPr fontId="1" type="noConversion"/>
  </si>
  <si>
    <t>오전 -이과장 없음</t>
    <phoneticPr fontId="1" type="noConversion"/>
  </si>
  <si>
    <t>pp18*10황</t>
    <phoneticPr fontId="1" type="noConversion"/>
  </si>
  <si>
    <t>0.95~1t</t>
    <phoneticPr fontId="1" type="noConversion"/>
  </si>
  <si>
    <t>선  거  일</t>
    <phoneticPr fontId="1" type="noConversion"/>
  </si>
  <si>
    <t>싸이클랍</t>
    <phoneticPr fontId="1" type="noConversion"/>
  </si>
  <si>
    <t>12*3000투 외</t>
    <phoneticPr fontId="1" type="noConversion"/>
  </si>
  <si>
    <t>17톤</t>
    <phoneticPr fontId="1" type="noConversion"/>
  </si>
  <si>
    <t>40HQ(오후5시)</t>
    <phoneticPr fontId="1" type="noConversion"/>
  </si>
  <si>
    <t>20"(오후4시)</t>
    <phoneticPr fontId="1" type="noConversion"/>
  </si>
  <si>
    <t>18*15</t>
    <phoneticPr fontId="1" type="noConversion"/>
  </si>
  <si>
    <t>18*21</t>
    <phoneticPr fontId="1" type="noConversion"/>
  </si>
  <si>
    <t>20"(오후5시)</t>
  </si>
  <si>
    <t>삼성</t>
    <phoneticPr fontId="1" type="noConversion"/>
  </si>
  <si>
    <t>18*21</t>
    <phoneticPr fontId="1" type="noConversion"/>
  </si>
  <si>
    <t>대영포장(발안)</t>
    <phoneticPr fontId="1" type="noConversion"/>
  </si>
  <si>
    <t>pp7*10백</t>
    <phoneticPr fontId="1" type="noConversion"/>
  </si>
  <si>
    <t>럭키</t>
    <phoneticPr fontId="1" type="noConversion"/>
  </si>
  <si>
    <t>랩15*500*2400</t>
    <phoneticPr fontId="1" type="noConversion"/>
  </si>
  <si>
    <t>64박스</t>
    <phoneticPr fontId="1" type="noConversion"/>
  </si>
  <si>
    <t>pe28*2백</t>
    <phoneticPr fontId="1" type="noConversion"/>
  </si>
  <si>
    <t>2박스</t>
    <phoneticPr fontId="1" type="noConversion"/>
  </si>
  <si>
    <t>18*15</t>
    <phoneticPr fontId="1" type="noConversion"/>
  </si>
  <si>
    <t xml:space="preserve"> 강원농협</t>
    <phoneticPr fontId="1" type="noConversion"/>
  </si>
  <si>
    <t>랩15*500*2400</t>
    <phoneticPr fontId="1" type="noConversion"/>
  </si>
  <si>
    <t>20박스</t>
    <phoneticPr fontId="1" type="noConversion"/>
  </si>
  <si>
    <t>전주삼신-대신화물</t>
    <phoneticPr fontId="1" type="noConversion"/>
  </si>
  <si>
    <t>하이텍</t>
    <phoneticPr fontId="1" type="noConversion"/>
  </si>
  <si>
    <t>TGP</t>
    <phoneticPr fontId="1" type="noConversion"/>
  </si>
  <si>
    <t>20"(오후5시)</t>
    <phoneticPr fontId="1" type="noConversion"/>
  </si>
  <si>
    <t>케미칼라-대신화물</t>
    <phoneticPr fontId="1" type="noConversion"/>
  </si>
  <si>
    <t>삼성</t>
    <phoneticPr fontId="1" type="noConversion"/>
  </si>
  <si>
    <t>18*21</t>
    <phoneticPr fontId="1" type="noConversion"/>
  </si>
  <si>
    <t>월</t>
    <phoneticPr fontId="1" type="noConversion"/>
  </si>
  <si>
    <t>18*21</t>
    <phoneticPr fontId="1" type="noConversion"/>
  </si>
  <si>
    <t>8파</t>
    <phoneticPr fontId="1" type="noConversion"/>
  </si>
  <si>
    <t>얇은밴드12*10 투</t>
    <phoneticPr fontId="1" type="noConversion"/>
  </si>
  <si>
    <t>한서포장</t>
    <phoneticPr fontId="1" type="noConversion"/>
  </si>
  <si>
    <t>pp12*9.5황</t>
    <phoneticPr fontId="1" type="noConversion"/>
  </si>
  <si>
    <t>pp15*10황</t>
    <phoneticPr fontId="1" type="noConversion"/>
  </si>
  <si>
    <t>pe28*2백</t>
    <phoneticPr fontId="1" type="noConversion"/>
  </si>
  <si>
    <t>10박스</t>
    <phoneticPr fontId="1" type="noConversion"/>
  </si>
  <si>
    <t>2kg*6롤 불량교환</t>
    <phoneticPr fontId="1" type="noConversion"/>
  </si>
  <si>
    <t>한솔포장</t>
    <phoneticPr fontId="1" type="noConversion"/>
  </si>
  <si>
    <t>pe28*2</t>
    <phoneticPr fontId="1" type="noConversion"/>
  </si>
  <si>
    <t>7월로 이월</t>
    <phoneticPr fontId="1" type="noConversion"/>
  </si>
  <si>
    <t>42박스</t>
    <phoneticPr fontId="1" type="noConversion"/>
  </si>
  <si>
    <t>전주삼신-대신화물</t>
    <phoneticPr fontId="1" type="noConversion"/>
  </si>
  <si>
    <t>pp12*12.5황</t>
    <phoneticPr fontId="1" type="noConversion"/>
  </si>
  <si>
    <t>18*15</t>
    <phoneticPr fontId="1" type="noConversion"/>
  </si>
  <si>
    <t>신대한판지</t>
    <phoneticPr fontId="1" type="noConversion"/>
  </si>
  <si>
    <t>7*10백</t>
    <phoneticPr fontId="1" type="noConversion"/>
  </si>
  <si>
    <t>수입랩    입고</t>
    <phoneticPr fontId="1" type="noConversion"/>
  </si>
  <si>
    <t>금산방문</t>
    <phoneticPr fontId="1" type="noConversion"/>
  </si>
  <si>
    <t>7월 이월</t>
    <phoneticPr fontId="1" type="noConversion"/>
  </si>
  <si>
    <t>타이거팩</t>
    <phoneticPr fontId="1" type="noConversion"/>
  </si>
  <si>
    <t>12*3000청외</t>
    <phoneticPr fontId="1" type="noConversion"/>
  </si>
  <si>
    <t>9.6톤</t>
    <phoneticPr fontId="1" type="noConversion"/>
  </si>
  <si>
    <t>17톤</t>
    <phoneticPr fontId="1" type="noConversion"/>
  </si>
  <si>
    <t>40HQ(오후5시)</t>
    <phoneticPr fontId="1" type="noConversion"/>
  </si>
  <si>
    <t>20"(오후 5시)</t>
    <phoneticPr fontId="1" type="noConversion"/>
  </si>
  <si>
    <t>40HQ(오전 9시)</t>
    <phoneticPr fontId="1" type="noConversion"/>
  </si>
  <si>
    <t>유경 /pe30박스 방문</t>
    <phoneticPr fontId="1" type="noConversion"/>
  </si>
  <si>
    <t>오전-이과장없음</t>
    <phoneticPr fontId="1" type="noConversion"/>
  </si>
  <si>
    <t>9*9.5황</t>
    <phoneticPr fontId="1" type="noConversion"/>
  </si>
  <si>
    <t>12*10황</t>
    <phoneticPr fontId="1" type="noConversion"/>
  </si>
  <si>
    <t>월</t>
    <phoneticPr fontId="1" type="noConversion"/>
  </si>
  <si>
    <t>삼성종합포장</t>
    <phoneticPr fontId="1" type="noConversion"/>
  </si>
  <si>
    <t>pe28*2</t>
    <phoneticPr fontId="1" type="noConversion"/>
  </si>
  <si>
    <t>20박스</t>
    <phoneticPr fontId="1" type="noConversion"/>
  </si>
  <si>
    <t>용인(광주갈때)납품</t>
    <phoneticPr fontId="1" type="noConversion"/>
  </si>
  <si>
    <t>국민</t>
    <phoneticPr fontId="1" type="noConversion"/>
  </si>
  <si>
    <t>하나</t>
    <phoneticPr fontId="1" type="noConversion"/>
  </si>
  <si>
    <t>범영(익산)-pe10박스 택배</t>
    <phoneticPr fontId="1" type="noConversion"/>
  </si>
  <si>
    <t>강서자금센터</t>
    <phoneticPr fontId="1" type="noConversion"/>
  </si>
  <si>
    <t>18*15</t>
    <phoneticPr fontId="1" type="noConversion"/>
  </si>
  <si>
    <t>18*21</t>
    <phoneticPr fontId="1" type="noConversion"/>
  </si>
  <si>
    <t>삼성</t>
    <phoneticPr fontId="1" type="noConversion"/>
  </si>
  <si>
    <t>8파</t>
    <phoneticPr fontId="1" type="noConversion"/>
  </si>
  <si>
    <t>30롤-광림빌림</t>
    <phoneticPr fontId="1" type="noConversion"/>
  </si>
  <si>
    <t>발주오면 빌린거챙기기</t>
    <phoneticPr fontId="1" type="noConversion"/>
  </si>
  <si>
    <t>30롤빌림</t>
    <phoneticPr fontId="1" type="noConversion"/>
  </si>
  <si>
    <t>신대한판지</t>
    <phoneticPr fontId="1" type="noConversion"/>
  </si>
  <si>
    <t>M ,롤당단가표기</t>
    <phoneticPr fontId="1" type="noConversion"/>
  </si>
  <si>
    <t>pp12*9황 0.9T</t>
    <phoneticPr fontId="1" type="noConversion"/>
  </si>
  <si>
    <t>pp12*9녹 0.9T</t>
    <phoneticPr fontId="1" type="noConversion"/>
  </si>
  <si>
    <t>pp12*9적 0.9T</t>
    <phoneticPr fontId="1" type="noConversion"/>
  </si>
  <si>
    <t>pp12*9검정 0.9T</t>
    <phoneticPr fontId="1" type="noConversion"/>
  </si>
  <si>
    <t>동방포장</t>
    <phoneticPr fontId="1" type="noConversion"/>
  </si>
  <si>
    <t>pp12*10황</t>
    <phoneticPr fontId="1" type="noConversion"/>
  </si>
  <si>
    <t>pp15*10황</t>
    <phoneticPr fontId="1" type="noConversion"/>
  </si>
  <si>
    <t>0.7t</t>
    <phoneticPr fontId="1" type="noConversion"/>
  </si>
  <si>
    <t>0.8t</t>
    <phoneticPr fontId="1" type="noConversion"/>
  </si>
  <si>
    <t>pp9*10투</t>
    <phoneticPr fontId="1" type="noConversion"/>
  </si>
  <si>
    <t>pp15*10황</t>
    <phoneticPr fontId="1" type="noConversion"/>
  </si>
  <si>
    <t>pp12*10황</t>
    <phoneticPr fontId="1" type="noConversion"/>
  </si>
  <si>
    <t>0.75t(급함)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</si>
  <si>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</si>
  <si>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</si>
  <si>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</si>
  <si>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12*3000투외</t>
    <phoneticPr fontId="1" type="noConversion"/>
  </si>
  <si>
    <t>7.2톤</t>
    <phoneticPr fontId="1" type="noConversion"/>
  </si>
  <si>
    <t>20"(오후5시)</t>
    <phoneticPr fontId="1" type="noConversion"/>
  </si>
  <si>
    <t>한제피앤에스</t>
    <phoneticPr fontId="1" type="noConversion"/>
  </si>
  <si>
    <t>12*3000청외</t>
    <phoneticPr fontId="1" type="noConversion"/>
  </si>
  <si>
    <t>600롤</t>
    <phoneticPr fontId="1" type="noConversion"/>
  </si>
  <si>
    <t>화물차(오후3시)</t>
    <phoneticPr fontId="1" type="noConversion"/>
  </si>
  <si>
    <t>합동포장기계</t>
    <phoneticPr fontId="1" type="noConversion"/>
  </si>
  <si>
    <t>pp12*12.5황</t>
    <phoneticPr fontId="1" type="noConversion"/>
  </si>
  <si>
    <t>결속기끈</t>
    <phoneticPr fontId="1" type="noConversion"/>
  </si>
  <si>
    <t>15박스</t>
    <phoneticPr fontId="1" type="noConversion"/>
  </si>
  <si>
    <t>pp12*12.5투</t>
    <phoneticPr fontId="1" type="noConversion"/>
  </si>
  <si>
    <t>pp15*13황</t>
    <phoneticPr fontId="1" type="noConversion"/>
  </si>
  <si>
    <t>제이케이(순성)</t>
    <phoneticPr fontId="1" type="noConversion"/>
  </si>
  <si>
    <t>랩25*500*1400</t>
    <phoneticPr fontId="1" type="noConversion"/>
  </si>
  <si>
    <t>48박스</t>
    <phoneticPr fontId="1" type="noConversion"/>
  </si>
  <si>
    <t>pp18*10황</t>
    <phoneticPr fontId="1" type="noConversion"/>
  </si>
  <si>
    <t>월</t>
    <phoneticPr fontId="1" type="noConversion"/>
  </si>
  <si>
    <t>수</t>
    <phoneticPr fontId="1" type="noConversion"/>
  </si>
  <si>
    <t>삼성</t>
    <phoneticPr fontId="1" type="noConversion"/>
  </si>
  <si>
    <t>대영(발안)</t>
    <phoneticPr fontId="1" type="noConversion"/>
  </si>
  <si>
    <t>pp7*10백</t>
    <phoneticPr fontId="1" type="noConversion"/>
  </si>
  <si>
    <t>두께, 길이,롤단가표기</t>
    <phoneticPr fontId="1" type="noConversion"/>
  </si>
  <si>
    <t>pp12*12.5적</t>
    <phoneticPr fontId="1" type="noConversion"/>
  </si>
  <si>
    <t>pp12.12.5녹</t>
    <phoneticPr fontId="1" type="noConversion"/>
  </si>
  <si>
    <t>pp12.12.5검정</t>
    <phoneticPr fontId="1" type="noConversion"/>
  </si>
  <si>
    <t>pp12*12.5황</t>
    <phoneticPr fontId="1" type="noConversion"/>
  </si>
  <si>
    <t>9*10황</t>
    <phoneticPr fontId="1" type="noConversion"/>
  </si>
  <si>
    <t>pe28*2</t>
    <phoneticPr fontId="1" type="noConversion"/>
  </si>
  <si>
    <t>24kg)10박스</t>
    <phoneticPr fontId="1" type="noConversion"/>
  </si>
  <si>
    <t>18*21</t>
    <phoneticPr fontId="1" type="noConversion"/>
  </si>
  <si>
    <t>18*15</t>
    <phoneticPr fontId="1" type="noConversion"/>
  </si>
  <si>
    <t>18*21</t>
    <phoneticPr fontId="1" type="noConversion"/>
  </si>
  <si>
    <t>6파</t>
    <phoneticPr fontId="1" type="noConversion"/>
  </si>
  <si>
    <t>동원피앤아이</t>
    <phoneticPr fontId="1" type="noConversion"/>
  </si>
  <si>
    <t>pe28*2</t>
    <phoneticPr fontId="1" type="noConversion"/>
  </si>
  <si>
    <t>365박스</t>
    <phoneticPr fontId="1" type="noConversion"/>
  </si>
  <si>
    <t>엠피아이-택배10박스</t>
    <phoneticPr fontId="1" type="noConversion"/>
  </si>
  <si>
    <t>pp12*9.5황</t>
  </si>
  <si>
    <t>동원피앤아이</t>
    <phoneticPr fontId="1" type="noConversion"/>
  </si>
  <si>
    <t>나머지</t>
    <phoneticPr fontId="1" type="noConversion"/>
  </si>
  <si>
    <t>산유</t>
    <phoneticPr fontId="1" type="noConversion"/>
  </si>
  <si>
    <t>15*100(황)외</t>
    <phoneticPr fontId="1" type="noConversion"/>
  </si>
  <si>
    <t>7.2톤</t>
    <phoneticPr fontId="1" type="noConversion"/>
  </si>
  <si>
    <t>20"(오전8시)</t>
    <phoneticPr fontId="1" type="noConversion"/>
  </si>
  <si>
    <t>17.3톤</t>
    <phoneticPr fontId="1" type="noConversion"/>
  </si>
  <si>
    <t>40HQ(오후5시)</t>
    <phoneticPr fontId="1" type="noConversion"/>
  </si>
  <si>
    <t>폴리팩</t>
    <phoneticPr fontId="1" type="noConversion"/>
  </si>
  <si>
    <t>7.2톤</t>
    <phoneticPr fontId="1" type="noConversion"/>
  </si>
  <si>
    <t>20"(오후5시)</t>
    <phoneticPr fontId="1" type="noConversion"/>
  </si>
  <si>
    <t>15*13황</t>
    <phoneticPr fontId="1" type="noConversion"/>
  </si>
  <si>
    <t>금산포장</t>
    <phoneticPr fontId="1" type="noConversion"/>
  </si>
  <si>
    <t>12*10투</t>
    <phoneticPr fontId="1" type="noConversion"/>
  </si>
  <si>
    <t>랩25*2400</t>
    <phoneticPr fontId="1" type="noConversion"/>
  </si>
  <si>
    <t>10박스</t>
    <phoneticPr fontId="1" type="noConversion"/>
  </si>
  <si>
    <t>19*1000m백</t>
    <phoneticPr fontId="1" type="noConversion"/>
  </si>
  <si>
    <t>한국전자금융 택배</t>
    <phoneticPr fontId="1" type="noConversion"/>
  </si>
  <si>
    <t>전주삼신-대신화물</t>
    <phoneticPr fontId="1" type="noConversion"/>
  </si>
  <si>
    <t>월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</si>
  <si>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</si>
  <si>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</si>
  <si>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</si>
  <si>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18*21</t>
    <phoneticPr fontId="1" type="noConversion"/>
  </si>
  <si>
    <t>한솔</t>
    <phoneticPr fontId="1" type="noConversion"/>
  </si>
  <si>
    <t>pe28*6</t>
    <phoneticPr fontId="1" type="noConversion"/>
  </si>
  <si>
    <t>25박스</t>
    <phoneticPr fontId="1" type="noConversion"/>
  </si>
  <si>
    <t>pp12*12황</t>
    <phoneticPr fontId="1" type="noConversion"/>
  </si>
  <si>
    <t>pp12*10황</t>
    <phoneticPr fontId="1" type="noConversion"/>
  </si>
  <si>
    <t>5파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</si>
  <si>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</si>
  <si>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</si>
  <si>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</si>
  <si>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오전용차-4파</t>
    <phoneticPr fontId="1" type="noConversion"/>
  </si>
  <si>
    <t>pp15*10(적)</t>
    <phoneticPr fontId="1" type="noConversion"/>
  </si>
  <si>
    <t>0.95T(밝은빨강)</t>
    <phoneticPr fontId="1" type="noConversion"/>
  </si>
  <si>
    <t>pe28*2청</t>
    <phoneticPr fontId="1" type="noConversion"/>
  </si>
  <si>
    <t>pe28*2적</t>
    <phoneticPr fontId="1" type="noConversion"/>
  </si>
  <si>
    <t>pe28*2황</t>
    <phoneticPr fontId="1" type="noConversion"/>
  </si>
  <si>
    <t>24k9박스</t>
    <phoneticPr fontId="1" type="noConversion"/>
  </si>
  <si>
    <t>24k3박스</t>
    <phoneticPr fontId="1" type="noConversion"/>
  </si>
  <si>
    <t>24k2박스</t>
    <phoneticPr fontId="1" type="noConversion"/>
  </si>
  <si>
    <t>`</t>
    <phoneticPr fontId="1" type="noConversion"/>
  </si>
  <si>
    <t>호성수출포장</t>
    <phoneticPr fontId="1" type="noConversion"/>
  </si>
  <si>
    <t>pe28*2백</t>
    <phoneticPr fontId="1" type="noConversion"/>
  </si>
  <si>
    <t>20박스</t>
    <phoneticPr fontId="1" type="noConversion"/>
  </si>
  <si>
    <t>오전</t>
    <phoneticPr fontId="1" type="noConversion"/>
  </si>
  <si>
    <t>pp 솔표인쇄밴드황</t>
    <phoneticPr fontId="1" type="noConversion"/>
  </si>
  <si>
    <t>삼화인쇄</t>
    <phoneticPr fontId="1" type="noConversion"/>
  </si>
  <si>
    <t>10.5*10투</t>
    <phoneticPr fontId="1" type="noConversion"/>
  </si>
  <si>
    <t>pp9*9.5</t>
    <phoneticPr fontId="1" type="noConversion"/>
  </si>
  <si>
    <t>0.8t( 우선화학찾아서)</t>
    <phoneticPr fontId="1" type="noConversion"/>
  </si>
  <si>
    <t>제일산업</t>
    <phoneticPr fontId="1" type="noConversion"/>
  </si>
  <si>
    <t>pe50*5kg백</t>
    <phoneticPr fontId="1" type="noConversion"/>
  </si>
  <si>
    <t>수량확인</t>
    <phoneticPr fontId="1" type="noConversion"/>
  </si>
  <si>
    <t>오전에확인후출고</t>
    <phoneticPr fontId="1" type="noConversion"/>
  </si>
  <si>
    <t>한서포장</t>
    <phoneticPr fontId="1" type="noConversion"/>
  </si>
  <si>
    <t>pp12*9.5황</t>
    <phoneticPr fontId="1" type="noConversion"/>
  </si>
  <si>
    <t>pe28*2백</t>
    <phoneticPr fontId="1" type="noConversion"/>
  </si>
  <si>
    <t>15박스</t>
    <phoneticPr fontId="1" type="noConversion"/>
  </si>
  <si>
    <t>월</t>
    <phoneticPr fontId="1" type="noConversion"/>
  </si>
  <si>
    <t>여름휴가*^^*</t>
    <phoneticPr fontId="1" type="noConversion"/>
  </si>
  <si>
    <t>삼성</t>
    <phoneticPr fontId="1" type="noConversion"/>
  </si>
  <si>
    <t>18*21</t>
    <phoneticPr fontId="1" type="noConversion"/>
  </si>
  <si>
    <t>pp12*12.5황</t>
    <phoneticPr fontId="1" type="noConversion"/>
  </si>
  <si>
    <t>pp15*13황</t>
    <phoneticPr fontId="1" type="noConversion"/>
  </si>
  <si>
    <t>12*12.5투</t>
    <phoneticPr fontId="1" type="noConversion"/>
  </si>
  <si>
    <t>pp15*10황</t>
    <phoneticPr fontId="1" type="noConversion"/>
  </si>
  <si>
    <t>17.4톤</t>
    <phoneticPr fontId="1" type="noConversion"/>
  </si>
  <si>
    <t>옵티마</t>
    <phoneticPr fontId="1" type="noConversion"/>
  </si>
  <si>
    <t>PE</t>
    <phoneticPr fontId="1" type="noConversion"/>
  </si>
  <si>
    <t>32박스</t>
    <phoneticPr fontId="1" type="noConversion"/>
  </si>
  <si>
    <t>LCL(오후1시)</t>
    <phoneticPr fontId="1" type="noConversion"/>
  </si>
  <si>
    <t>20h(오후5시)</t>
    <phoneticPr fontId="1" type="noConversion"/>
  </si>
  <si>
    <t>광진산업</t>
    <phoneticPr fontId="1" type="noConversion"/>
  </si>
  <si>
    <t>pp15*10회색</t>
    <phoneticPr fontId="1" type="noConversion"/>
  </si>
  <si>
    <t>삼성</t>
    <phoneticPr fontId="1" type="noConversion"/>
  </si>
  <si>
    <t>18*21</t>
    <phoneticPr fontId="1" type="noConversion"/>
  </si>
  <si>
    <t>12파</t>
    <phoneticPr fontId="1" type="noConversion"/>
  </si>
  <si>
    <t>삼성</t>
    <phoneticPr fontId="1" type="noConversion"/>
  </si>
  <si>
    <t>대영(발안)</t>
    <phoneticPr fontId="1" type="noConversion"/>
  </si>
  <si>
    <t>pp7*10백</t>
    <phoneticPr fontId="1" type="noConversion"/>
  </si>
  <si>
    <t xml:space="preserve"> 동신밴드</t>
    <phoneticPr fontId="1" type="noConversion"/>
  </si>
  <si>
    <t>삼성제품 가지러</t>
    <phoneticPr fontId="1" type="noConversion"/>
  </si>
  <si>
    <t>jh글로벌</t>
    <phoneticPr fontId="1" type="noConversion"/>
  </si>
  <si>
    <t>결속기AS</t>
    <phoneticPr fontId="1" type="noConversion"/>
  </si>
  <si>
    <t>1대</t>
    <phoneticPr fontId="1" type="noConversion"/>
  </si>
  <si>
    <t>12*12.5황</t>
    <phoneticPr fontId="1" type="noConversion"/>
  </si>
  <si>
    <t>12*10황0.65T</t>
    <phoneticPr fontId="1" type="noConversion"/>
  </si>
  <si>
    <t>한국스미다스 5시납</t>
    <phoneticPr fontId="1" type="noConversion"/>
  </si>
  <si>
    <t>pp15*10황</t>
    <phoneticPr fontId="1" type="noConversion"/>
  </si>
  <si>
    <t>강원연합포장</t>
    <phoneticPr fontId="1" type="noConversion"/>
  </si>
  <si>
    <t>12*12.5황</t>
    <phoneticPr fontId="1" type="noConversion"/>
  </si>
  <si>
    <t>합동포장기계</t>
    <phoneticPr fontId="1" type="noConversion"/>
  </si>
  <si>
    <t>18*15</t>
    <phoneticPr fontId="1" type="noConversion"/>
  </si>
  <si>
    <t>이월</t>
    <phoneticPr fontId="1" type="noConversion"/>
  </si>
  <si>
    <t>동방포장</t>
    <phoneticPr fontId="1" type="noConversion"/>
  </si>
  <si>
    <t>pp12*10황</t>
    <phoneticPr fontId="1" type="noConversion"/>
  </si>
  <si>
    <t>18*21</t>
    <phoneticPr fontId="1" type="noConversion"/>
  </si>
  <si>
    <t>18*15</t>
    <phoneticPr fontId="1" type="noConversion"/>
  </si>
  <si>
    <t>8.15 광복절</t>
    <phoneticPr fontId="1" type="noConversion"/>
  </si>
  <si>
    <t>삼성</t>
    <phoneticPr fontId="1" type="noConversion"/>
  </si>
  <si>
    <t>18*15</t>
    <phoneticPr fontId="1" type="noConversion"/>
  </si>
  <si>
    <t>삼성발주현황</t>
    <phoneticPr fontId="1" type="noConversion"/>
  </si>
  <si>
    <t>계</t>
    <phoneticPr fontId="1" type="noConversion"/>
  </si>
  <si>
    <t>타이거팩</t>
    <phoneticPr fontId="1" type="noConversion"/>
  </si>
  <si>
    <t>12*3000청</t>
    <phoneticPr fontId="1" type="noConversion"/>
  </si>
  <si>
    <t>7톤</t>
    <phoneticPr fontId="1" type="noConversion"/>
  </si>
  <si>
    <t>고메리</t>
    <phoneticPr fontId="1" type="noConversion"/>
  </si>
  <si>
    <t>20"(오전8시)</t>
    <phoneticPr fontId="1" type="noConversion"/>
  </si>
  <si>
    <t>0.63T</t>
    <phoneticPr fontId="1" type="noConversion"/>
  </si>
  <si>
    <t>부족수량</t>
    <phoneticPr fontId="1" type="noConversion"/>
  </si>
  <si>
    <t>전발주</t>
    <phoneticPr fontId="1" type="noConversion"/>
  </si>
  <si>
    <t>pp9*10황</t>
    <phoneticPr fontId="1" type="noConversion"/>
  </si>
  <si>
    <t>pe28*2백</t>
    <phoneticPr fontId="1" type="noConversion"/>
  </si>
  <si>
    <t>24kg(14박스)</t>
    <phoneticPr fontId="1" type="noConversion"/>
  </si>
  <si>
    <t>강서자금센타</t>
    <phoneticPr fontId="1" type="noConversion"/>
  </si>
  <si>
    <t>무인쇄</t>
    <phoneticPr fontId="1" type="noConversion"/>
  </si>
  <si>
    <t>국민</t>
    <phoneticPr fontId="1" type="noConversion"/>
  </si>
  <si>
    <t>pp15*13황</t>
    <phoneticPr fontId="1" type="noConversion"/>
  </si>
  <si>
    <t>12*3000투 인쇄외</t>
    <phoneticPr fontId="1" type="noConversion"/>
  </si>
  <si>
    <t>파라마운트</t>
    <phoneticPr fontId="1" type="noConversion"/>
  </si>
  <si>
    <t>12*3000청외</t>
    <phoneticPr fontId="1" type="noConversion"/>
  </si>
  <si>
    <t>6.9톤</t>
    <phoneticPr fontId="1" type="noConversion"/>
  </si>
  <si>
    <t>8/1발송:20롤 대신</t>
    <phoneticPr fontId="1" type="noConversion"/>
  </si>
  <si>
    <t>pe50*5</t>
    <phoneticPr fontId="1" type="noConversion"/>
  </si>
  <si>
    <t>11파</t>
    <phoneticPr fontId="1" type="noConversion"/>
  </si>
  <si>
    <t>신한포장</t>
    <phoneticPr fontId="1" type="noConversion"/>
  </si>
  <si>
    <t>서울포장</t>
    <phoneticPr fontId="1" type="noConversion"/>
  </si>
  <si>
    <t>진로특수</t>
    <phoneticPr fontId="1" type="noConversion"/>
  </si>
  <si>
    <t>pe50*2</t>
    <phoneticPr fontId="1" type="noConversion"/>
  </si>
  <si>
    <t>5박스</t>
    <phoneticPr fontId="1" type="noConversion"/>
  </si>
  <si>
    <t>pp12*10</t>
    <phoneticPr fontId="1" type="noConversion"/>
  </si>
  <si>
    <t xml:space="preserve">pp12*9.5 </t>
    <phoneticPr fontId="1" type="noConversion"/>
  </si>
  <si>
    <t>200롤</t>
    <phoneticPr fontId="1" type="noConversion"/>
  </si>
  <si>
    <t>태양지대</t>
    <phoneticPr fontId="1" type="noConversion"/>
  </si>
  <si>
    <t>64박스</t>
    <phoneticPr fontId="1" type="noConversion"/>
  </si>
  <si>
    <t>18*15</t>
    <phoneticPr fontId="1" type="noConversion"/>
  </si>
  <si>
    <t>산업포장-대신화물</t>
    <phoneticPr fontId="1" type="noConversion"/>
  </si>
  <si>
    <t>25*500*1400</t>
    <phoneticPr fontId="1" type="noConversion"/>
  </si>
  <si>
    <t>삼화인쇄</t>
    <phoneticPr fontId="1" type="noConversion"/>
  </si>
  <si>
    <t>pp11*10백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</si>
  <si>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</si>
  <si>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</si>
  <si>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</si>
  <si>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8/8추가분</t>
    <phoneticPr fontId="1" type="noConversion"/>
  </si>
  <si>
    <t>pp18*10황(0.95-1)</t>
    <phoneticPr fontId="1" type="noConversion"/>
  </si>
  <si>
    <t>8/7-50추가</t>
    <phoneticPr fontId="1" type="noConversion"/>
  </si>
  <si>
    <t>pp12*12청*3250M</t>
    <phoneticPr fontId="1" type="noConversion"/>
  </si>
  <si>
    <t>0.63t 8/8추가분</t>
    <phoneticPr fontId="1" type="noConversion"/>
  </si>
  <si>
    <t>대영포장(안산)</t>
    <phoneticPr fontId="1" type="noConversion"/>
  </si>
  <si>
    <t>pp18*21</t>
    <phoneticPr fontId="1" type="noConversion"/>
  </si>
  <si>
    <t>전주삼신-pe20/pp-20</t>
    <phoneticPr fontId="1" type="noConversion"/>
  </si>
  <si>
    <t>대영포장(발안)</t>
    <phoneticPr fontId="1" type="noConversion"/>
  </si>
  <si>
    <t>pp7*10백</t>
    <phoneticPr fontId="1" type="noConversion"/>
  </si>
  <si>
    <t>김해-100롤(합화)</t>
    <phoneticPr fontId="1" type="noConversion"/>
  </si>
  <si>
    <t xml:space="preserve">0.8t(농협) </t>
    <phoneticPr fontId="1" type="noConversion"/>
  </si>
  <si>
    <t>제책3층  수량확인후출고</t>
    <phoneticPr fontId="1" type="noConversion"/>
  </si>
  <si>
    <t>pp15*10황</t>
    <phoneticPr fontId="1" type="noConversion"/>
  </si>
  <si>
    <t>pp12*12.5백</t>
    <phoneticPr fontId="1" type="noConversion"/>
  </si>
  <si>
    <t>0.8t(농협)-1톤용달발송</t>
    <phoneticPr fontId="1" type="noConversion"/>
  </si>
  <si>
    <t>필요한재고량</t>
    <phoneticPr fontId="1" type="noConversion"/>
  </si>
  <si>
    <t>pp18*21</t>
    <phoneticPr fontId="1" type="noConversion"/>
  </si>
  <si>
    <t>라보발송</t>
    <phoneticPr fontId="1" type="noConversion"/>
  </si>
  <si>
    <t>18*10황(0.95~1T)</t>
    <phoneticPr fontId="1" type="noConversion"/>
  </si>
  <si>
    <t>9*10황(0.75)</t>
    <phoneticPr fontId="1" type="noConversion"/>
  </si>
  <si>
    <t>9*10투(0.75)</t>
    <phoneticPr fontId="1" type="noConversion"/>
  </si>
  <si>
    <t>9*9.5황(0.65)</t>
    <phoneticPr fontId="1" type="noConversion"/>
  </si>
  <si>
    <t>신대한판지</t>
    <phoneticPr fontId="1" type="noConversion"/>
  </si>
  <si>
    <t>7*10백</t>
    <phoneticPr fontId="1" type="noConversion"/>
  </si>
  <si>
    <t>8M로 표기 거.명 발행</t>
    <phoneticPr fontId="1" type="noConversion"/>
  </si>
  <si>
    <t>대진화학</t>
    <phoneticPr fontId="1" type="noConversion"/>
  </si>
  <si>
    <t>pp7*10백0.55T</t>
    <phoneticPr fontId="1" type="noConversion"/>
  </si>
  <si>
    <t>납품장소-주소 확인요망</t>
    <phoneticPr fontId="1" type="noConversion"/>
  </si>
  <si>
    <t>라바인터내셔널</t>
    <phoneticPr fontId="1" type="noConversion"/>
  </si>
  <si>
    <t>pp12*10백</t>
    <phoneticPr fontId="1" type="noConversion"/>
  </si>
  <si>
    <t>pp12*12.5황</t>
    <phoneticPr fontId="1" type="noConversion"/>
  </si>
  <si>
    <t>월</t>
    <phoneticPr fontId="1" type="noConversion"/>
  </si>
  <si>
    <t>대흥인쇄밴드</t>
    <phoneticPr fontId="1" type="noConversion"/>
  </si>
  <si>
    <t>파코팩외주가공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</si>
  <si>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</si>
  <si>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</si>
  <si>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</si>
  <si>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다온-pp6-200롤(대구)예정</t>
    <phoneticPr fontId="1" type="noConversion"/>
  </si>
  <si>
    <t>서울패키지납(광주오포)</t>
    <phoneticPr fontId="1" type="noConversion"/>
  </si>
  <si>
    <t>거래명세서없이 납품</t>
    <phoneticPr fontId="1" type="noConversion"/>
  </si>
  <si>
    <t>21톤</t>
    <phoneticPr fontId="1" type="noConversion"/>
  </si>
  <si>
    <t>대영포장(안산)</t>
    <phoneticPr fontId="1" type="noConversion"/>
  </si>
  <si>
    <t>목</t>
    <phoneticPr fontId="1" type="noConversion"/>
  </si>
  <si>
    <t>8/20발주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</si>
  <si>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</si>
  <si>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</si>
  <si>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</si>
  <si>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</si>
  <si>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</si>
  <si>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</si>
  <si>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동신입고예정16파(640)</t>
    <phoneticPr fontId="1" type="noConversion"/>
  </si>
  <si>
    <t>8/10발주</t>
    <phoneticPr fontId="1" type="noConversion"/>
  </si>
  <si>
    <t>8/8발주</t>
    <phoneticPr fontId="1" type="noConversion"/>
  </si>
  <si>
    <t>대영포장(발안)</t>
    <phoneticPr fontId="1" type="noConversion"/>
  </si>
  <si>
    <t>12*12.5황</t>
    <phoneticPr fontId="1" type="noConversion"/>
  </si>
  <si>
    <t>지관회수</t>
    <phoneticPr fontId="1" type="noConversion"/>
  </si>
  <si>
    <t>7*10백(표기8M)</t>
    <phoneticPr fontId="1" type="noConversion"/>
  </si>
  <si>
    <t>2대</t>
    <phoneticPr fontId="1" type="noConversion"/>
  </si>
  <si>
    <t>기계 직납</t>
    <phoneticPr fontId="1" type="noConversion"/>
  </si>
  <si>
    <t>거래명세서 가져가시요</t>
    <phoneticPr fontId="1" type="noConversion"/>
  </si>
  <si>
    <t>8/23발주</t>
    <phoneticPr fontId="1" type="noConversion"/>
  </si>
  <si>
    <t>12*10황(0.65)</t>
    <phoneticPr fontId="1" type="noConversion"/>
  </si>
  <si>
    <t>오전도착예정</t>
    <phoneticPr fontId="1" type="noConversion"/>
  </si>
  <si>
    <t>수</t>
    <phoneticPr fontId="1" type="noConversion"/>
  </si>
  <si>
    <t xml:space="preserve"> 다온-6M-100롤 합화</t>
    <phoneticPr fontId="1" type="noConversion"/>
  </si>
  <si>
    <t>알엠에이</t>
    <phoneticPr fontId="1" type="noConversion"/>
  </si>
  <si>
    <t>9.5톤</t>
    <phoneticPr fontId="1" type="noConversion"/>
  </si>
  <si>
    <t>대유위니아</t>
    <phoneticPr fontId="1" type="noConversion"/>
  </si>
  <si>
    <t>한서포장</t>
    <phoneticPr fontId="1" type="noConversion"/>
  </si>
  <si>
    <t>합동포장</t>
    <phoneticPr fontId="1" type="noConversion"/>
  </si>
  <si>
    <t>12*12.5황</t>
    <phoneticPr fontId="1" type="noConversion"/>
  </si>
  <si>
    <t xml:space="preserve">12*12.5투 </t>
    <phoneticPr fontId="1" type="noConversion"/>
  </si>
  <si>
    <t>pe28*2백</t>
    <phoneticPr fontId="1" type="noConversion"/>
  </si>
  <si>
    <t>10박스</t>
    <phoneticPr fontId="1" type="noConversion"/>
  </si>
  <si>
    <t>재고140</t>
    <phoneticPr fontId="1" type="noConversion"/>
  </si>
  <si>
    <t>럭키</t>
    <phoneticPr fontId="1" type="noConversion"/>
  </si>
  <si>
    <t>pe28*2백</t>
    <phoneticPr fontId="1" type="noConversion"/>
  </si>
  <si>
    <t>하나-30/국민-20</t>
    <phoneticPr fontId="1" type="noConversion"/>
  </si>
  <si>
    <t>강서자금센타</t>
    <phoneticPr fontId="1" type="noConversion"/>
  </si>
  <si>
    <t>광림파워팩</t>
    <phoneticPr fontId="1" type="noConversion"/>
  </si>
  <si>
    <t>12*10황</t>
    <phoneticPr fontId="1" type="noConversion"/>
  </si>
  <si>
    <t>인쇄다시 납-50</t>
    <phoneticPr fontId="1" type="noConversion"/>
  </si>
  <si>
    <t>대영포장(발안)</t>
    <phoneticPr fontId="1" type="noConversion"/>
  </si>
  <si>
    <t>7*10</t>
    <phoneticPr fontId="1" type="noConversion"/>
  </si>
  <si>
    <t>6*10백</t>
    <phoneticPr fontId="1" type="noConversion"/>
  </si>
  <si>
    <t>전주삼신-보내기</t>
    <phoneticPr fontId="1" type="noConversion"/>
  </si>
  <si>
    <t>이월</t>
    <phoneticPr fontId="1" type="noConversion"/>
  </si>
  <si>
    <t>태양지대</t>
    <phoneticPr fontId="1" type="noConversion"/>
  </si>
  <si>
    <t>28*6백</t>
    <phoneticPr fontId="1" type="noConversion"/>
  </si>
  <si>
    <t>28*2백</t>
    <phoneticPr fontId="1" type="noConversion"/>
  </si>
  <si>
    <t>50박스</t>
    <phoneticPr fontId="1" type="noConversion"/>
  </si>
  <si>
    <t>박스찾아오기(동진500박스)</t>
    <phoneticPr fontId="1" type="noConversion"/>
  </si>
  <si>
    <t>이월-용차</t>
    <phoneticPr fontId="1" type="noConversion"/>
  </si>
  <si>
    <t>JH글로벌</t>
    <phoneticPr fontId="1" type="noConversion"/>
  </si>
  <si>
    <t>15*13황</t>
    <phoneticPr fontId="1" type="noConversion"/>
  </si>
  <si>
    <t>삼성</t>
    <phoneticPr fontId="1" type="noConversion"/>
  </si>
  <si>
    <t>pe28*2백</t>
    <phoneticPr fontId="1" type="noConversion"/>
  </si>
  <si>
    <t>20"(오전8시)</t>
    <phoneticPr fontId="1" type="noConversion"/>
  </si>
  <si>
    <t>테이프구매해오기</t>
    <phoneticPr fontId="1" type="noConversion"/>
  </si>
  <si>
    <t>8.3톤</t>
    <phoneticPr fontId="1" type="noConversion"/>
  </si>
  <si>
    <t>pp12*12 황</t>
    <phoneticPr fontId="1" type="noConversion"/>
  </si>
  <si>
    <t>개 천 절</t>
    <phoneticPr fontId="1" type="noConversion"/>
  </si>
  <si>
    <t>한글날</t>
    <phoneticPr fontId="1" type="noConversion"/>
  </si>
  <si>
    <t>남양주로 가기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</si>
  <si>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</si>
  <si>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</si>
  <si>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</si>
  <si>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</si>
  <si>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pp18*10투</t>
    <phoneticPr fontId="1" type="noConversion"/>
  </si>
  <si>
    <t>pp18*8황</t>
    <phoneticPr fontId="1" type="noConversion"/>
  </si>
  <si>
    <t>삼성</t>
    <phoneticPr fontId="1" type="noConversion"/>
  </si>
  <si>
    <t>18*21</t>
    <phoneticPr fontId="1" type="noConversion"/>
  </si>
  <si>
    <t>용차</t>
    <phoneticPr fontId="1" type="noConversion"/>
  </si>
  <si>
    <t>31박스</t>
    <phoneticPr fontId="1" type="noConversion"/>
  </si>
  <si>
    <t>신대한판지</t>
    <phoneticPr fontId="1" type="noConversion"/>
  </si>
  <si>
    <t xml:space="preserve">7*10백 </t>
    <phoneticPr fontId="1" type="noConversion"/>
  </si>
  <si>
    <t>표기8M로거.명끊음</t>
    <phoneticPr fontId="1" type="noConversion"/>
  </si>
  <si>
    <t>금</t>
    <phoneticPr fontId="1" type="noConversion"/>
  </si>
  <si>
    <t>광림파워팩</t>
    <phoneticPr fontId="1" type="noConversion"/>
  </si>
  <si>
    <t>6*10백</t>
    <phoneticPr fontId="1" type="noConversion"/>
  </si>
  <si>
    <t>9/7발주분</t>
    <phoneticPr fontId="1" type="noConversion"/>
  </si>
  <si>
    <t>대영(발안)</t>
    <phoneticPr fontId="1" type="noConversion"/>
  </si>
  <si>
    <t xml:space="preserve">7*10백 </t>
    <phoneticPr fontId="1" type="noConversion"/>
  </si>
  <si>
    <t>용차</t>
    <phoneticPr fontId="1" type="noConversion"/>
  </si>
  <si>
    <t>광림파워팩</t>
    <phoneticPr fontId="1" type="noConversion"/>
  </si>
  <si>
    <t>pp9*10</t>
    <phoneticPr fontId="1" type="noConversion"/>
  </si>
  <si>
    <t>pp12*10</t>
    <phoneticPr fontId="1" type="noConversion"/>
  </si>
  <si>
    <t>9/7발주</t>
    <phoneticPr fontId="1" type="noConversion"/>
  </si>
  <si>
    <t>16파</t>
    <phoneticPr fontId="1" type="noConversion"/>
  </si>
  <si>
    <t>한제피앤에스</t>
    <phoneticPr fontId="1" type="noConversion"/>
  </si>
  <si>
    <t>19*1000검정</t>
    <phoneticPr fontId="1" type="noConversion"/>
  </si>
  <si>
    <t>9.6톤</t>
    <phoneticPr fontId="1" type="noConversion"/>
  </si>
  <si>
    <t>20"(오후5시)</t>
    <phoneticPr fontId="1" type="noConversion"/>
  </si>
  <si>
    <t>대신-전주삼신pe30박스</t>
    <phoneticPr fontId="1" type="noConversion"/>
  </si>
  <si>
    <t>대신-대원포장-20박스</t>
    <phoneticPr fontId="1" type="noConversion"/>
  </si>
  <si>
    <t>동진박스 찾아오기</t>
    <phoneticPr fontId="1" type="noConversion"/>
  </si>
  <si>
    <t>6*10백</t>
    <phoneticPr fontId="1" type="noConversion"/>
  </si>
  <si>
    <t>18*15</t>
    <phoneticPr fontId="1" type="noConversion"/>
  </si>
  <si>
    <t>pe28*2(24kg)</t>
    <phoneticPr fontId="1" type="noConversion"/>
  </si>
  <si>
    <t>14박스</t>
    <phoneticPr fontId="1" type="noConversion"/>
  </si>
  <si>
    <t>월</t>
    <phoneticPr fontId="1" type="noConversion"/>
  </si>
  <si>
    <t>9/10발주</t>
    <phoneticPr fontId="1" type="noConversion"/>
  </si>
  <si>
    <t>12*12.5황</t>
    <phoneticPr fontId="1" type="noConversion"/>
  </si>
  <si>
    <t>9/10발주</t>
    <phoneticPr fontId="1" type="noConversion"/>
  </si>
  <si>
    <t>12*9.5</t>
    <phoneticPr fontId="1" type="noConversion"/>
  </si>
  <si>
    <t>15*10</t>
    <phoneticPr fontId="1" type="noConversion"/>
  </si>
  <si>
    <t>pe28*2백</t>
    <phoneticPr fontId="1" type="noConversion"/>
  </si>
  <si>
    <t>10박스</t>
    <phoneticPr fontId="1" type="noConversion"/>
  </si>
  <si>
    <t>0.75-9/7발주</t>
    <phoneticPr fontId="1" type="noConversion"/>
  </si>
  <si>
    <t>삼성</t>
    <phoneticPr fontId="1" type="noConversion"/>
  </si>
  <si>
    <t>18*21</t>
    <phoneticPr fontId="1" type="noConversion"/>
  </si>
  <si>
    <t>pe28*2백(24kg)</t>
    <phoneticPr fontId="1" type="noConversion"/>
  </si>
  <si>
    <t>21박스</t>
    <phoneticPr fontId="1" type="noConversion"/>
  </si>
  <si>
    <t>라바인터내셔널</t>
    <phoneticPr fontId="1" type="noConversion"/>
  </si>
  <si>
    <t>pp12*10황</t>
    <phoneticPr fontId="1" type="noConversion"/>
  </si>
  <si>
    <t>pp12*12.5황</t>
    <phoneticPr fontId="1" type="noConversion"/>
  </si>
  <si>
    <t>pe28*2백</t>
    <phoneticPr fontId="1" type="noConversion"/>
  </si>
  <si>
    <t>2박스</t>
    <phoneticPr fontId="1" type="noConversion"/>
  </si>
  <si>
    <t>신한포장</t>
    <phoneticPr fontId="1" type="noConversion"/>
  </si>
  <si>
    <t>pe28*2</t>
    <phoneticPr fontId="1" type="noConversion"/>
  </si>
  <si>
    <t>50박스</t>
    <phoneticPr fontId="1" type="noConversion"/>
  </si>
  <si>
    <t>엠피아이-pe10박스</t>
    <phoneticPr fontId="1" type="noConversion"/>
  </si>
  <si>
    <t>호프만</t>
    <phoneticPr fontId="1" type="noConversion"/>
  </si>
  <si>
    <t>12*3000백외</t>
    <phoneticPr fontId="1" type="noConversion"/>
  </si>
  <si>
    <t>17톤</t>
    <phoneticPr fontId="1" type="noConversion"/>
  </si>
  <si>
    <t>40hq(오후5시)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</si>
  <si>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</si>
  <si>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</si>
  <si>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</si>
  <si>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</si>
  <si>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추석 "풍성한 한기위 되세요"</t>
    <phoneticPr fontId="1" type="noConversion"/>
  </si>
  <si>
    <t>"풍성한 한기위 되세요"</t>
    <phoneticPr fontId="1" type="noConversion"/>
  </si>
  <si>
    <t>제일산업</t>
    <phoneticPr fontId="1" type="noConversion"/>
  </si>
  <si>
    <t>pe28*5</t>
    <phoneticPr fontId="1" type="noConversion"/>
  </si>
  <si>
    <t>50박스</t>
    <phoneticPr fontId="1" type="noConversion"/>
  </si>
  <si>
    <t>18*21</t>
    <phoneticPr fontId="1" type="noConversion"/>
  </si>
  <si>
    <t>삼성</t>
    <phoneticPr fontId="1" type="noConversion"/>
  </si>
  <si>
    <t>18*21</t>
    <phoneticPr fontId="1" type="noConversion"/>
  </si>
  <si>
    <t>9/12발주</t>
    <phoneticPr fontId="1" type="noConversion"/>
  </si>
  <si>
    <t>9/17발주</t>
    <phoneticPr fontId="1" type="noConversion"/>
  </si>
  <si>
    <t>목</t>
    <phoneticPr fontId="1" type="noConversion"/>
  </si>
  <si>
    <t>대영(발안)</t>
    <phoneticPr fontId="1" type="noConversion"/>
  </si>
  <si>
    <t xml:space="preserve">7*10백 </t>
    <phoneticPr fontId="1" type="noConversion"/>
  </si>
  <si>
    <t>18*15</t>
    <phoneticPr fontId="1" type="noConversion"/>
  </si>
  <si>
    <t xml:space="preserve">대영(대구)-200롤/합화차 </t>
    <phoneticPr fontId="1" type="noConversion"/>
  </si>
  <si>
    <t>하이게이트</t>
    <phoneticPr fontId="1" type="noConversion"/>
  </si>
  <si>
    <t>12*3000청외</t>
    <phoneticPr fontId="1" type="noConversion"/>
  </si>
  <si>
    <t>9.8톤</t>
    <phoneticPr fontId="1" type="noConversion"/>
  </si>
  <si>
    <t>20"(오후5시)</t>
    <phoneticPr fontId="1" type="noConversion"/>
  </si>
  <si>
    <t>산유</t>
    <phoneticPr fontId="1" type="noConversion"/>
  </si>
  <si>
    <t>CWC</t>
    <phoneticPr fontId="1" type="noConversion"/>
  </si>
  <si>
    <t>PE</t>
    <phoneticPr fontId="1" type="noConversion"/>
  </si>
  <si>
    <t>20톤</t>
    <phoneticPr fontId="1" type="noConversion"/>
  </si>
  <si>
    <t>40"(오후5시)</t>
    <phoneticPr fontId="1" type="noConversion"/>
  </si>
  <si>
    <t xml:space="preserve"> "풍성한 한기위 되세요"</t>
    <phoneticPr fontId="1" type="noConversion"/>
  </si>
  <si>
    <t>18*10황</t>
    <phoneticPr fontId="1" type="noConversion"/>
  </si>
  <si>
    <t>16파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</si>
  <si>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</si>
  <si>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</si>
  <si>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</si>
  <si>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한서포장</t>
    <phoneticPr fontId="1" type="noConversion"/>
  </si>
  <si>
    <t>15*13황</t>
    <phoneticPr fontId="1" type="noConversion"/>
  </si>
  <si>
    <t>15*10황</t>
    <phoneticPr fontId="1" type="noConversion"/>
  </si>
  <si>
    <t>12*10황</t>
    <phoneticPr fontId="1" type="noConversion"/>
  </si>
  <si>
    <t>9*9.5황(0.65)</t>
    <phoneticPr fontId="1" type="noConversion"/>
  </si>
  <si>
    <t>9/27발주</t>
    <phoneticPr fontId="1" type="noConversion"/>
  </si>
  <si>
    <t>9/27발주</t>
    <phoneticPr fontId="1" type="noConversion"/>
  </si>
  <si>
    <t>품명</t>
    <phoneticPr fontId="1" type="noConversion"/>
  </si>
  <si>
    <t>거래처명</t>
    <phoneticPr fontId="1" type="noConversion"/>
  </si>
  <si>
    <t>발주일</t>
    <phoneticPr fontId="1" type="noConversion"/>
  </si>
  <si>
    <t>보우팩</t>
    <phoneticPr fontId="1" type="noConversion"/>
  </si>
  <si>
    <t>12*12.5황</t>
    <phoneticPr fontId="1" type="noConversion"/>
  </si>
  <si>
    <t>안산직납</t>
    <phoneticPr fontId="1" type="noConversion"/>
  </si>
  <si>
    <t>결속기</t>
    <phoneticPr fontId="1" type="noConversion"/>
  </si>
  <si>
    <t>삼성</t>
    <phoneticPr fontId="1" type="noConversion"/>
  </si>
  <si>
    <t>18*21</t>
    <phoneticPr fontId="1" type="noConversion"/>
  </si>
  <si>
    <t>pp9*10황(0.75)</t>
    <phoneticPr fontId="1" type="noConversion"/>
  </si>
  <si>
    <t>pp15*10황</t>
    <phoneticPr fontId="1" type="noConversion"/>
  </si>
  <si>
    <t>pp16*10백</t>
    <phoneticPr fontId="1" type="noConversion"/>
  </si>
  <si>
    <t>파워엠팩</t>
    <phoneticPr fontId="1" type="noConversion"/>
  </si>
  <si>
    <t>pp6*10백</t>
    <phoneticPr fontId="1" type="noConversion"/>
  </si>
  <si>
    <t>3파 납품희망</t>
    <phoneticPr fontId="1" type="noConversion"/>
  </si>
  <si>
    <t>대영(발안)</t>
    <phoneticPr fontId="1" type="noConversion"/>
  </si>
  <si>
    <t>7*10백</t>
    <phoneticPr fontId="1" type="noConversion"/>
  </si>
  <si>
    <t>삼원산업</t>
    <phoneticPr fontId="1" type="noConversion"/>
  </si>
  <si>
    <t>pp12*12황</t>
    <phoneticPr fontId="1" type="noConversion"/>
  </si>
  <si>
    <t>pp12*10황</t>
    <phoneticPr fontId="1" type="noConversion"/>
  </si>
  <si>
    <t>강서자금센터</t>
    <phoneticPr fontId="1" type="noConversion"/>
  </si>
  <si>
    <t>국민</t>
    <phoneticPr fontId="1" type="noConversion"/>
  </si>
  <si>
    <t>하나</t>
    <phoneticPr fontId="1" type="noConversion"/>
  </si>
  <si>
    <t>무인쇄</t>
    <phoneticPr fontId="1" type="noConversion"/>
  </si>
  <si>
    <t>한국전자금융 재고</t>
    <phoneticPr fontId="1" type="noConversion"/>
  </si>
  <si>
    <t>하나</t>
    <phoneticPr fontId="1" type="noConversion"/>
  </si>
  <si>
    <t>무인쇄</t>
    <phoneticPr fontId="1" type="noConversion"/>
  </si>
  <si>
    <t>랩15*1700</t>
    <phoneticPr fontId="1" type="noConversion"/>
  </si>
  <si>
    <t>신한</t>
    <phoneticPr fontId="1" type="noConversion"/>
  </si>
  <si>
    <t>강남센타</t>
    <phoneticPr fontId="1" type="noConversion"/>
  </si>
  <si>
    <t>pp15*10황</t>
    <phoneticPr fontId="1" type="noConversion"/>
  </si>
  <si>
    <t>pe28*2백</t>
    <phoneticPr fontId="1" type="noConversion"/>
  </si>
  <si>
    <t>7박스</t>
    <phoneticPr fontId="1" type="noConversion"/>
  </si>
  <si>
    <t>동방포장</t>
    <phoneticPr fontId="1" type="noConversion"/>
  </si>
  <si>
    <t>12*10황(0.68T)</t>
    <phoneticPr fontId="1" type="noConversion"/>
  </si>
  <si>
    <t>동방포장</t>
    <phoneticPr fontId="1" type="noConversion"/>
  </si>
  <si>
    <t>12*10황(0.63T)</t>
    <phoneticPr fontId="1" type="noConversion"/>
  </si>
  <si>
    <t>파워팩</t>
    <phoneticPr fontId="1" type="noConversion"/>
  </si>
  <si>
    <t>12*3000청외</t>
    <phoneticPr fontId="1" type="noConversion"/>
  </si>
  <si>
    <t>9톤</t>
    <phoneticPr fontId="1" type="noConversion"/>
  </si>
  <si>
    <t>20"(오후5시)</t>
    <phoneticPr fontId="1" type="noConversion"/>
  </si>
  <si>
    <t>삼화인쇄</t>
    <phoneticPr fontId="1" type="noConversion"/>
  </si>
  <si>
    <t>12*10백</t>
    <phoneticPr fontId="1" type="noConversion"/>
  </si>
  <si>
    <t>쇼핑백1층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</si>
  <si>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</si>
  <si>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</si>
  <si>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</si>
  <si>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10.5*10청</t>
    <phoneticPr fontId="1" type="noConversion"/>
  </si>
  <si>
    <t>제책4층</t>
    <phoneticPr fontId="1" type="noConversion"/>
  </si>
  <si>
    <t>10.5*10투</t>
    <phoneticPr fontId="1" type="noConversion"/>
  </si>
  <si>
    <t>제책4층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</si>
  <si>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</si>
  <si>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</si>
  <si>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</si>
  <si>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pp12*10황</t>
    <phoneticPr fontId="1" type="noConversion"/>
  </si>
  <si>
    <t>한솔</t>
    <phoneticPr fontId="1" type="noConversion"/>
  </si>
  <si>
    <t>pe28*6백</t>
    <phoneticPr fontId="1" type="noConversion"/>
  </si>
  <si>
    <t>10박스</t>
    <phoneticPr fontId="1" type="noConversion"/>
  </si>
  <si>
    <t>pe28*2청</t>
    <phoneticPr fontId="1" type="noConversion"/>
  </si>
  <si>
    <t>20박스</t>
    <phoneticPr fontId="1" type="noConversion"/>
  </si>
  <si>
    <t>12*12.5황</t>
    <phoneticPr fontId="1" type="noConversion"/>
  </si>
  <si>
    <t>10/8-90롤 선납</t>
    <phoneticPr fontId="1" type="noConversion"/>
  </si>
  <si>
    <t>신대한판지</t>
    <phoneticPr fontId="1" type="noConversion"/>
  </si>
  <si>
    <t>7*10백</t>
    <phoneticPr fontId="1" type="noConversion"/>
  </si>
  <si>
    <t>표기8M</t>
    <phoneticPr fontId="1" type="noConversion"/>
  </si>
  <si>
    <t>9*9.5청</t>
    <phoneticPr fontId="1" type="noConversion"/>
  </si>
  <si>
    <t>신대한판지</t>
    <phoneticPr fontId="1" type="noConversion"/>
  </si>
  <si>
    <t>우선산업찾아서</t>
    <phoneticPr fontId="1" type="noConversion"/>
  </si>
  <si>
    <t>대진화학</t>
    <phoneticPr fontId="1" type="noConversion"/>
  </si>
  <si>
    <t>7*10백</t>
    <phoneticPr fontId="1" type="noConversion"/>
  </si>
  <si>
    <t>10/12발주</t>
  </si>
  <si>
    <t>10/12발주</t>
    <phoneticPr fontId="1" type="noConversion"/>
  </si>
  <si>
    <t>8박스</t>
    <phoneticPr fontId="1" type="noConversion"/>
  </si>
  <si>
    <t>pe28*2청(24kg)</t>
    <phoneticPr fontId="1" type="noConversion"/>
  </si>
  <si>
    <t>pe28*2황(24kg)</t>
    <phoneticPr fontId="1" type="noConversion"/>
  </si>
  <si>
    <t>4박스</t>
    <phoneticPr fontId="1" type="noConversion"/>
  </si>
  <si>
    <t>한서포장</t>
    <phoneticPr fontId="1" type="noConversion"/>
  </si>
  <si>
    <t>pp12*9.5황</t>
    <phoneticPr fontId="1" type="noConversion"/>
  </si>
  <si>
    <t>pp15*10황</t>
    <phoneticPr fontId="1" type="noConversion"/>
  </si>
  <si>
    <t>인쇄밴드</t>
    <phoneticPr fontId="1" type="noConversion"/>
  </si>
  <si>
    <t>파코팩입고확인</t>
    <phoneticPr fontId="1" type="noConversion"/>
  </si>
  <si>
    <t>16파</t>
    <phoneticPr fontId="1" type="noConversion"/>
  </si>
  <si>
    <t>신광포장</t>
    <phoneticPr fontId="1" type="noConversion"/>
  </si>
  <si>
    <t>15*10황</t>
    <phoneticPr fontId="1" type="noConversion"/>
  </si>
  <si>
    <t>12*10황</t>
    <phoneticPr fontId="1" type="noConversion"/>
  </si>
  <si>
    <t>진송팩</t>
    <phoneticPr fontId="1" type="noConversion"/>
  </si>
  <si>
    <t>pe28*2백</t>
    <phoneticPr fontId="1" type="noConversion"/>
  </si>
  <si>
    <t>50박스</t>
    <phoneticPr fontId="1" type="noConversion"/>
  </si>
  <si>
    <t>하비스</t>
    <phoneticPr fontId="1" type="noConversion"/>
  </si>
  <si>
    <t>12*3000투외</t>
    <phoneticPr fontId="1" type="noConversion"/>
  </si>
  <si>
    <t>8.5톤</t>
    <phoneticPr fontId="1" type="noConversion"/>
  </si>
  <si>
    <t>20"(오후5시)</t>
    <phoneticPr fontId="1" type="noConversion"/>
  </si>
  <si>
    <t>컨테이너작업-PM2시도착</t>
    <phoneticPr fontId="1" type="noConversion"/>
  </si>
  <si>
    <t>RLB</t>
    <phoneticPr fontId="1" type="noConversion"/>
  </si>
  <si>
    <t>8.8톤</t>
    <phoneticPr fontId="1" type="noConversion"/>
  </si>
  <si>
    <t>김해제일포장-100박스</t>
    <phoneticPr fontId="1" type="noConversion"/>
  </si>
  <si>
    <t>월</t>
    <phoneticPr fontId="1" type="noConversion"/>
  </si>
  <si>
    <t>테이팩스(양감)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</si>
  <si>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</si>
  <si>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</si>
  <si>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</si>
  <si>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금</t>
    <phoneticPr fontId="1" type="noConversion"/>
  </si>
  <si>
    <t>오익플라스틱</t>
    <phoneticPr fontId="1" type="noConversion"/>
  </si>
  <si>
    <t>12*10황(0.8T)</t>
    <phoneticPr fontId="1" type="noConversion"/>
  </si>
  <si>
    <t>전주삼신</t>
    <phoneticPr fontId="1" type="noConversion"/>
  </si>
  <si>
    <t>제이앤에스캠</t>
    <phoneticPr fontId="1" type="noConversion"/>
  </si>
  <si>
    <t>18*10투</t>
    <phoneticPr fontId="1" type="noConversion"/>
  </si>
  <si>
    <t>18*15</t>
    <phoneticPr fontId="1" type="noConversion"/>
  </si>
  <si>
    <t>신광포장</t>
    <phoneticPr fontId="1" type="noConversion"/>
  </si>
  <si>
    <t>15*10황</t>
    <phoneticPr fontId="1" type="noConversion"/>
  </si>
  <si>
    <t>낙원포장으로 직납</t>
    <phoneticPr fontId="1" type="noConversion"/>
  </si>
  <si>
    <t>10/12발주</t>
    <phoneticPr fontId="1" type="noConversion"/>
  </si>
  <si>
    <t>pe28*2적(25kg)</t>
    <phoneticPr fontId="1" type="noConversion"/>
  </si>
  <si>
    <t>5박스</t>
    <phoneticPr fontId="1" type="noConversion"/>
  </si>
  <si>
    <t>25박스</t>
    <phoneticPr fontId="1" type="noConversion"/>
  </si>
  <si>
    <t>pe28*적</t>
    <phoneticPr fontId="1" type="noConversion"/>
  </si>
  <si>
    <t>5박스</t>
    <phoneticPr fontId="1" type="noConversion"/>
  </si>
  <si>
    <t>한솔포장</t>
    <phoneticPr fontId="1" type="noConversion"/>
  </si>
  <si>
    <t>9*10황</t>
    <phoneticPr fontId="1" type="noConversion"/>
  </si>
  <si>
    <t>0.63T수출용</t>
    <phoneticPr fontId="1" type="noConversion"/>
  </si>
  <si>
    <t>생산발주현황</t>
    <phoneticPr fontId="1" type="noConversion"/>
  </si>
  <si>
    <t>월</t>
    <phoneticPr fontId="1" type="noConversion"/>
  </si>
  <si>
    <t>대영(발안)</t>
    <phoneticPr fontId="1" type="noConversion"/>
  </si>
  <si>
    <t>7*10</t>
    <phoneticPr fontId="1" type="noConversion"/>
  </si>
  <si>
    <t>삼성</t>
    <phoneticPr fontId="1" type="noConversion"/>
  </si>
  <si>
    <t>18*21</t>
    <phoneticPr fontId="1" type="noConversion"/>
  </si>
  <si>
    <t>18/15</t>
    <phoneticPr fontId="1" type="noConversion"/>
  </si>
  <si>
    <t>대영(발안)</t>
    <phoneticPr fontId="1" type="noConversion"/>
  </si>
  <si>
    <t>7*10백</t>
    <phoneticPr fontId="1" type="noConversion"/>
  </si>
  <si>
    <t>남동공단</t>
    <phoneticPr fontId="1" type="noConversion"/>
  </si>
  <si>
    <t>부천</t>
    <phoneticPr fontId="1" type="noConversion"/>
  </si>
  <si>
    <t>화성</t>
    <phoneticPr fontId="1" type="noConversion"/>
  </si>
  <si>
    <r>
      <t>대복식품직납(신우연락하고 납품하기)</t>
    </r>
    <r>
      <rPr>
        <sz val="14"/>
        <color theme="9" tint="-0.249977111117893"/>
        <rFont val="맑은 고딕"/>
        <family val="3"/>
        <charset val="129"/>
        <scheme val="minor"/>
      </rPr>
      <t>당진</t>
    </r>
    <phoneticPr fontId="1" type="noConversion"/>
  </si>
  <si>
    <r>
      <t xml:space="preserve">1T </t>
    </r>
    <r>
      <rPr>
        <sz val="14"/>
        <color theme="9" tint="-0.249977111117893"/>
        <rFont val="맑은 고딕"/>
        <family val="3"/>
        <charset val="129"/>
        <scheme val="minor"/>
      </rPr>
      <t>화성</t>
    </r>
    <phoneticPr fontId="1" type="noConversion"/>
  </si>
  <si>
    <t>12*12.5황</t>
    <phoneticPr fontId="1" type="noConversion"/>
  </si>
  <si>
    <t>96박스</t>
    <phoneticPr fontId="1" type="noConversion"/>
  </si>
  <si>
    <t>목</t>
    <phoneticPr fontId="1" type="noConversion"/>
  </si>
  <si>
    <t>12*12.5적</t>
    <phoneticPr fontId="1" type="noConversion"/>
  </si>
  <si>
    <t>12*12.5녹</t>
    <phoneticPr fontId="1" type="noConversion"/>
  </si>
  <si>
    <t>타이거팩</t>
    <phoneticPr fontId="1" type="noConversion"/>
  </si>
  <si>
    <t>12*3000청외</t>
    <phoneticPr fontId="1" type="noConversion"/>
  </si>
  <si>
    <t>20톤</t>
    <phoneticPr fontId="1" type="noConversion"/>
  </si>
  <si>
    <t>40HQ(오후5시)</t>
    <phoneticPr fontId="1" type="noConversion"/>
  </si>
  <si>
    <t>보우팩</t>
    <phoneticPr fontId="1" type="noConversion"/>
  </si>
  <si>
    <t>pp9*10투</t>
    <phoneticPr fontId="1" type="noConversion"/>
  </si>
  <si>
    <t>동신밴드입고</t>
    <phoneticPr fontId="1" type="noConversion"/>
  </si>
  <si>
    <t>18*21</t>
    <phoneticPr fontId="1" type="noConversion"/>
  </si>
  <si>
    <t>18*15</t>
    <phoneticPr fontId="1" type="noConversion"/>
  </si>
  <si>
    <t>삼성</t>
    <phoneticPr fontId="1" type="noConversion"/>
  </si>
  <si>
    <t>삼성종합포장</t>
    <phoneticPr fontId="1" type="noConversion"/>
  </si>
  <si>
    <t>pe28*2백</t>
    <phoneticPr fontId="1" type="noConversion"/>
  </si>
  <si>
    <t>20박스</t>
    <phoneticPr fontId="1" type="noConversion"/>
  </si>
  <si>
    <t>삼신-pe100박스 방문</t>
    <phoneticPr fontId="1" type="noConversion"/>
  </si>
  <si>
    <t>단가2500</t>
    <phoneticPr fontId="1" type="noConversion"/>
  </si>
  <si>
    <t>jh글로벌</t>
    <phoneticPr fontId="1" type="noConversion"/>
  </si>
  <si>
    <t>15*13황</t>
    <phoneticPr fontId="1" type="noConversion"/>
  </si>
  <si>
    <t>12*12.5황</t>
    <phoneticPr fontId="1" type="noConversion"/>
  </si>
  <si>
    <t>pe28*2백</t>
    <phoneticPr fontId="1" type="noConversion"/>
  </si>
  <si>
    <t>14박스</t>
    <phoneticPr fontId="1" type="noConversion"/>
  </si>
  <si>
    <t>10/30발주분</t>
    <phoneticPr fontId="1" type="noConversion"/>
  </si>
  <si>
    <t>12*10황</t>
    <phoneticPr fontId="1" type="noConversion"/>
  </si>
  <si>
    <t>9*9.5황(0.65)</t>
    <phoneticPr fontId="1" type="noConversion"/>
  </si>
  <si>
    <t>광림파워팩</t>
    <phoneticPr fontId="1" type="noConversion"/>
  </si>
  <si>
    <t>한솔</t>
    <phoneticPr fontId="1" type="noConversion"/>
  </si>
  <si>
    <t>pe28*2청</t>
    <phoneticPr fontId="1" type="noConversion"/>
  </si>
  <si>
    <t>20박스</t>
    <phoneticPr fontId="1" type="noConversion"/>
  </si>
  <si>
    <t>pe28*6백</t>
    <phoneticPr fontId="1" type="noConversion"/>
  </si>
  <si>
    <t>25박스</t>
    <phoneticPr fontId="1" type="noConversion"/>
  </si>
  <si>
    <t>12*10투</t>
    <phoneticPr fontId="1" type="noConversion"/>
  </si>
  <si>
    <t>12*12.5투</t>
    <phoneticPr fontId="1" type="noConversion"/>
  </si>
  <si>
    <t>한서포장</t>
    <phoneticPr fontId="1" type="noConversion"/>
  </si>
  <si>
    <t>15박스</t>
    <phoneticPr fontId="1" type="noConversion"/>
  </si>
  <si>
    <t>단가2700</t>
    <phoneticPr fontId="1" type="noConversion"/>
  </si>
  <si>
    <t>랩25*1400</t>
    <phoneticPr fontId="1" type="noConversion"/>
  </si>
  <si>
    <t>48박스</t>
    <phoneticPr fontId="1" type="noConversion"/>
  </si>
  <si>
    <t>급함</t>
    <phoneticPr fontId="1" type="noConversion"/>
  </si>
  <si>
    <t>pp18*10황</t>
    <phoneticPr fontId="1" type="noConversion"/>
  </si>
  <si>
    <t>18*21</t>
    <phoneticPr fontId="1" type="noConversion"/>
  </si>
  <si>
    <t>18*15</t>
    <phoneticPr fontId="1" type="noConversion"/>
  </si>
  <si>
    <t>12*.9.5황</t>
    <phoneticPr fontId="1" type="noConversion"/>
  </si>
  <si>
    <t>pe28</t>
    <phoneticPr fontId="1" type="noConversion"/>
  </si>
  <si>
    <t>단가확인</t>
    <phoneticPr fontId="1" type="noConversion"/>
  </si>
  <si>
    <t xml:space="preserve">신대한 </t>
    <phoneticPr fontId="1" type="noConversion"/>
  </si>
  <si>
    <t>8M  표기</t>
    <phoneticPr fontId="1" type="noConversion"/>
  </si>
  <si>
    <t>삼성</t>
    <phoneticPr fontId="1" type="noConversion"/>
  </si>
  <si>
    <t>18*21</t>
    <phoneticPr fontId="1" type="noConversion"/>
  </si>
  <si>
    <t>제이케이(순성)</t>
    <phoneticPr fontId="1" type="noConversion"/>
  </si>
  <si>
    <t>노스슈아</t>
    <phoneticPr fontId="1" type="noConversion"/>
  </si>
  <si>
    <t>14.5톤</t>
    <phoneticPr fontId="1" type="noConversion"/>
  </si>
  <si>
    <t>12*3000백외</t>
    <phoneticPr fontId="1" type="noConversion"/>
  </si>
  <si>
    <t>40HQ(오후5시)</t>
    <phoneticPr fontId="1" type="noConversion"/>
  </si>
  <si>
    <t>총16파</t>
    <phoneticPr fontId="1" type="noConversion"/>
  </si>
  <si>
    <t>11/5발주</t>
    <phoneticPr fontId="1" type="noConversion"/>
  </si>
  <si>
    <t>9*10황0.75</t>
    <phoneticPr fontId="1" type="noConversion"/>
  </si>
  <si>
    <t>15*10황</t>
    <phoneticPr fontId="1" type="noConversion"/>
  </si>
  <si>
    <t>11/5발주</t>
    <phoneticPr fontId="1" type="noConversion"/>
  </si>
  <si>
    <t>삼신</t>
    <phoneticPr fontId="1" type="noConversion"/>
  </si>
  <si>
    <t>pe28</t>
    <phoneticPr fontId="1" type="noConversion"/>
  </si>
  <si>
    <t>100박스</t>
    <phoneticPr fontId="1" type="noConversion"/>
  </si>
  <si>
    <t>대영(발안)</t>
    <phoneticPr fontId="1" type="noConversion"/>
  </si>
  <si>
    <t>7*10백</t>
    <phoneticPr fontId="1" type="noConversion"/>
  </si>
  <si>
    <t>10/31발주+추가11/5-50</t>
    <phoneticPr fontId="1" type="noConversion"/>
  </si>
  <si>
    <t>서울포장</t>
    <phoneticPr fontId="1" type="noConversion"/>
  </si>
  <si>
    <t>12*10백</t>
    <phoneticPr fontId="1" type="noConversion"/>
  </si>
  <si>
    <t>월</t>
    <phoneticPr fontId="1" type="noConversion"/>
  </si>
  <si>
    <t>제일산업(안성)</t>
    <phoneticPr fontId="1" type="noConversion"/>
  </si>
  <si>
    <t>pe50</t>
    <phoneticPr fontId="1" type="noConversion"/>
  </si>
  <si>
    <t>신광포장</t>
    <phoneticPr fontId="1" type="noConversion"/>
  </si>
  <si>
    <t>70박스</t>
    <phoneticPr fontId="1" type="noConversion"/>
  </si>
  <si>
    <t>12*9.5황</t>
    <phoneticPr fontId="1" type="noConversion"/>
  </si>
  <si>
    <t>15*10황</t>
    <phoneticPr fontId="1" type="noConversion"/>
  </si>
  <si>
    <t>앤더슨</t>
    <phoneticPr fontId="1" type="noConversion"/>
  </si>
  <si>
    <t>12*3000청외</t>
    <phoneticPr fontId="1" type="noConversion"/>
  </si>
  <si>
    <t>20톤</t>
    <phoneticPr fontId="1" type="noConversion"/>
  </si>
  <si>
    <t>오후5시(40HQ)</t>
    <phoneticPr fontId="1" type="noConversion"/>
  </si>
  <si>
    <t>17.5톤</t>
    <phoneticPr fontId="1" type="noConversion"/>
  </si>
  <si>
    <t>싸이클럽</t>
    <phoneticPr fontId="1" type="noConversion"/>
  </si>
  <si>
    <t>동원팩</t>
    <phoneticPr fontId="1" type="noConversion"/>
  </si>
  <si>
    <t>pe28</t>
    <phoneticPr fontId="1" type="noConversion"/>
  </si>
  <si>
    <t>25박스</t>
    <phoneticPr fontId="1" type="noConversion"/>
  </si>
  <si>
    <t>pp12*10황</t>
    <phoneticPr fontId="1" type="noConversion"/>
  </si>
  <si>
    <t>15*10황</t>
    <phoneticPr fontId="1" type="noConversion"/>
  </si>
  <si>
    <t>화</t>
    <phoneticPr fontId="1" type="noConversion"/>
  </si>
  <si>
    <t>삼화인쇄</t>
    <phoneticPr fontId="1" type="noConversion"/>
  </si>
  <si>
    <t>10.5*10투</t>
    <phoneticPr fontId="1" type="noConversion"/>
  </si>
  <si>
    <t>9*10투</t>
    <phoneticPr fontId="1" type="noConversion"/>
  </si>
  <si>
    <t>12*12.5황</t>
    <phoneticPr fontId="1" type="noConversion"/>
  </si>
  <si>
    <t>기존납품건을 0.7T로교환요망</t>
    <phoneticPr fontId="1" type="noConversion"/>
  </si>
  <si>
    <t>월</t>
    <phoneticPr fontId="1" type="noConversion"/>
  </si>
  <si>
    <t>삼성</t>
    <phoneticPr fontId="1" type="noConversion"/>
  </si>
  <si>
    <t>18*21</t>
    <phoneticPr fontId="1" type="noConversion"/>
  </si>
  <si>
    <t>12*12황</t>
    <phoneticPr fontId="1" type="noConversion"/>
  </si>
  <si>
    <t>15*10적</t>
    <phoneticPr fontId="1" type="noConversion"/>
  </si>
  <si>
    <t>18*15</t>
    <phoneticPr fontId="1" type="noConversion"/>
  </si>
  <si>
    <t>서울포장</t>
    <phoneticPr fontId="1" type="noConversion"/>
  </si>
  <si>
    <t>15*10황</t>
    <phoneticPr fontId="1" type="noConversion"/>
  </si>
  <si>
    <t>12*10백</t>
    <phoneticPr fontId="1" type="noConversion"/>
  </si>
  <si>
    <t>삼보팩</t>
    <phoneticPr fontId="1" type="noConversion"/>
  </si>
  <si>
    <t>12*10황</t>
    <phoneticPr fontId="1" type="noConversion"/>
  </si>
  <si>
    <t>강서센타</t>
    <phoneticPr fontId="1" type="noConversion"/>
  </si>
  <si>
    <t>국민</t>
    <phoneticPr fontId="1" type="noConversion"/>
  </si>
  <si>
    <t>하나</t>
    <phoneticPr fontId="1" type="noConversion"/>
  </si>
  <si>
    <t>무인쇄</t>
    <phoneticPr fontId="1" type="noConversion"/>
  </si>
  <si>
    <t>신광포장</t>
    <phoneticPr fontId="1" type="noConversion"/>
  </si>
  <si>
    <t>출고후 재고확인요망</t>
    <phoneticPr fontId="1" type="noConversion"/>
  </si>
  <si>
    <t>한솔포장</t>
    <phoneticPr fontId="1" type="noConversion"/>
  </si>
  <si>
    <t>pe28*6</t>
    <phoneticPr fontId="1" type="noConversion"/>
  </si>
  <si>
    <t>25박스</t>
    <phoneticPr fontId="1" type="noConversion"/>
  </si>
  <si>
    <t>내일도 가능</t>
    <phoneticPr fontId="1" type="noConversion"/>
  </si>
  <si>
    <t>라바인터내셔널</t>
    <phoneticPr fontId="1" type="noConversion"/>
  </si>
  <si>
    <t>서울패키지 직납</t>
    <phoneticPr fontId="1" type="noConversion"/>
  </si>
  <si>
    <t>pp12*10황</t>
    <phoneticPr fontId="1" type="noConversion"/>
  </si>
  <si>
    <t>12*10백</t>
    <phoneticPr fontId="1" type="noConversion"/>
  </si>
  <si>
    <t>12*12.5황</t>
    <phoneticPr fontId="1" type="noConversion"/>
  </si>
  <si>
    <t>솔표인쇄밴드</t>
    <phoneticPr fontId="1" type="noConversion"/>
  </si>
  <si>
    <t>동방포장</t>
    <phoneticPr fontId="1" type="noConversion"/>
  </si>
  <si>
    <t>무지패드확인요망</t>
    <phoneticPr fontId="1" type="noConversion"/>
  </si>
  <si>
    <t>15*10황(농협0.8T)</t>
    <phoneticPr fontId="1" type="noConversion"/>
  </si>
  <si>
    <t>12*12.5황</t>
    <phoneticPr fontId="1" type="noConversion"/>
  </si>
  <si>
    <t>12*10황</t>
    <phoneticPr fontId="1" type="noConversion"/>
  </si>
  <si>
    <t>한제피앤에스</t>
    <phoneticPr fontId="1" type="noConversion"/>
  </si>
  <si>
    <t>12*12.5청</t>
    <phoneticPr fontId="1" type="noConversion"/>
  </si>
  <si>
    <t>목요일오전까지 납품요청</t>
    <phoneticPr fontId="1" type="noConversion"/>
  </si>
  <si>
    <t>위니아</t>
    <phoneticPr fontId="1" type="noConversion"/>
  </si>
  <si>
    <t>동신밴드</t>
    <phoneticPr fontId="1" type="noConversion"/>
  </si>
  <si>
    <t>원료찾아오기</t>
    <phoneticPr fontId="1" type="noConversion"/>
  </si>
  <si>
    <t>직납-SJC성전직납(파주)</t>
    <phoneticPr fontId="1" type="noConversion"/>
  </si>
  <si>
    <t>납품예정일자</t>
    <phoneticPr fontId="1" type="noConversion"/>
  </si>
  <si>
    <t>18*15투</t>
    <phoneticPr fontId="1" type="noConversion"/>
  </si>
  <si>
    <t>월</t>
    <phoneticPr fontId="1" type="noConversion"/>
  </si>
  <si>
    <t>12*10황(0.68T)</t>
    <phoneticPr fontId="1" type="noConversion"/>
  </si>
  <si>
    <t>이월 (무지패드확인)</t>
    <phoneticPr fontId="1" type="noConversion"/>
  </si>
  <si>
    <t>광현페이퍼</t>
    <phoneticPr fontId="1" type="noConversion"/>
  </si>
  <si>
    <t>pe28*2적</t>
    <phoneticPr fontId="1" type="noConversion"/>
  </si>
  <si>
    <t>40박스</t>
    <phoneticPr fontId="1" type="noConversion"/>
  </si>
  <si>
    <t>박타원 2,800처리</t>
    <phoneticPr fontId="1" type="noConversion"/>
  </si>
  <si>
    <t>24톤</t>
    <phoneticPr fontId="1" type="noConversion"/>
  </si>
  <si>
    <t>오전9시</t>
    <phoneticPr fontId="1" type="noConversion"/>
  </si>
  <si>
    <t>25박스</t>
    <phoneticPr fontId="1" type="noConversion"/>
  </si>
  <si>
    <t>삼성</t>
    <phoneticPr fontId="1" type="noConversion"/>
  </si>
  <si>
    <t>강원농협</t>
    <phoneticPr fontId="1" type="noConversion"/>
  </si>
  <si>
    <t>12*12.5황</t>
    <phoneticPr fontId="1" type="noConversion"/>
  </si>
  <si>
    <t>9*9.5황(0.65)</t>
    <phoneticPr fontId="1" type="noConversion"/>
  </si>
  <si>
    <t>랩15*500*1700</t>
    <phoneticPr fontId="1" type="noConversion"/>
  </si>
  <si>
    <t>15박스</t>
    <phoneticPr fontId="1" type="noConversion"/>
  </si>
  <si>
    <t>납   품   일   정</t>
    <phoneticPr fontId="1" type="noConversion"/>
  </si>
  <si>
    <t xml:space="preserve">      대림원료입고</t>
    <phoneticPr fontId="1" type="noConversion"/>
  </si>
  <si>
    <t>28*6백</t>
    <phoneticPr fontId="1" type="noConversion"/>
  </si>
  <si>
    <t>18*21</t>
    <phoneticPr fontId="1" type="noConversion"/>
  </si>
  <si>
    <t>18*15</t>
    <phoneticPr fontId="1" type="noConversion"/>
  </si>
  <si>
    <t>jh글로벌</t>
    <phoneticPr fontId="1" type="noConversion"/>
  </si>
  <si>
    <t>12톤</t>
    <phoneticPr fontId="1" type="noConversion"/>
  </si>
  <si>
    <t>40HQ(오후5시)</t>
    <phoneticPr fontId="1" type="noConversion"/>
  </si>
  <si>
    <t>탐스텍</t>
    <phoneticPr fontId="1" type="noConversion"/>
  </si>
  <si>
    <t>9*4000청외</t>
    <phoneticPr fontId="1" type="noConversion"/>
  </si>
  <si>
    <t>3톤</t>
    <phoneticPr fontId="1" type="noConversion"/>
  </si>
  <si>
    <t>직납</t>
    <phoneticPr fontId="1" type="noConversion"/>
  </si>
  <si>
    <t>15*12황</t>
    <phoneticPr fontId="1" type="noConversion"/>
  </si>
  <si>
    <t>오전납품</t>
    <phoneticPr fontId="1" type="noConversion"/>
  </si>
  <si>
    <t>방문우선 안되면 용차</t>
    <phoneticPr fontId="1" type="noConversion"/>
  </si>
  <si>
    <t>월</t>
    <phoneticPr fontId="1" type="noConversion"/>
  </si>
  <si>
    <t>태양지대</t>
    <phoneticPr fontId="1" type="noConversion"/>
  </si>
  <si>
    <t>랩25*500*1400</t>
    <phoneticPr fontId="1" type="noConversion"/>
  </si>
  <si>
    <t>64박스</t>
    <phoneticPr fontId="1" type="noConversion"/>
  </si>
  <si>
    <t>32박스로 2파렛포장납품</t>
    <phoneticPr fontId="1" type="noConversion"/>
  </si>
  <si>
    <t>광림-용차1톤</t>
    <phoneticPr fontId="1" type="noConversion"/>
  </si>
  <si>
    <t>11/23-50롤추가</t>
    <phoneticPr fontId="1" type="noConversion"/>
  </si>
  <si>
    <t>12*12청(0.63T)</t>
    <phoneticPr fontId="1" type="noConversion"/>
  </si>
  <si>
    <t>입고예정</t>
    <phoneticPr fontId="1" type="noConversion"/>
  </si>
  <si>
    <t>다음주연기(연락옴)</t>
    <phoneticPr fontId="1" type="noConversion"/>
  </si>
  <si>
    <t>대진화학</t>
    <phoneticPr fontId="1" type="noConversion"/>
  </si>
  <si>
    <t>7*10백</t>
    <phoneticPr fontId="1" type="noConversion"/>
  </si>
  <si>
    <t>한서포장</t>
    <phoneticPr fontId="1" type="noConversion"/>
  </si>
  <si>
    <t>12*9.5황</t>
    <phoneticPr fontId="1" type="noConversion"/>
  </si>
  <si>
    <t>15*10황</t>
    <phoneticPr fontId="1" type="noConversion"/>
  </si>
  <si>
    <t>SK</t>
    <phoneticPr fontId="1" type="noConversion"/>
  </si>
  <si>
    <t>pe28*2</t>
    <phoneticPr fontId="1" type="noConversion"/>
  </si>
  <si>
    <t>10박스</t>
    <phoneticPr fontId="1" type="noConversion"/>
  </si>
  <si>
    <t>삼성</t>
    <phoneticPr fontId="1" type="noConversion"/>
  </si>
  <si>
    <t>납품외</t>
    <phoneticPr fontId="1" type="noConversion"/>
  </si>
  <si>
    <t>12*12.5황</t>
    <phoneticPr fontId="1" type="noConversion"/>
  </si>
  <si>
    <t>9*4000청외</t>
    <phoneticPr fontId="1" type="noConversion"/>
  </si>
  <si>
    <t>3톤(4파)</t>
    <phoneticPr fontId="1" type="noConversion"/>
  </si>
  <si>
    <t>직납(오후2시30분 도착)</t>
    <phoneticPr fontId="1" type="noConversion"/>
  </si>
  <si>
    <t>대영(발안)</t>
    <phoneticPr fontId="1" type="noConversion"/>
  </si>
  <si>
    <t>용차예정</t>
    <phoneticPr fontId="1" type="noConversion"/>
  </si>
  <si>
    <t>발 주 리 스 트</t>
    <phoneticPr fontId="1" type="noConversion"/>
  </si>
  <si>
    <t>18*21</t>
    <phoneticPr fontId="1" type="noConversion"/>
  </si>
  <si>
    <t>파워엠팩</t>
    <phoneticPr fontId="1" type="noConversion"/>
  </si>
  <si>
    <t>6*10백</t>
    <phoneticPr fontId="1" type="noConversion"/>
  </si>
  <si>
    <t>납품요망</t>
    <phoneticPr fontId="1" type="noConversion"/>
  </si>
  <si>
    <t>한제피앤에스</t>
    <phoneticPr fontId="1" type="noConversion"/>
  </si>
  <si>
    <t>12*3000청</t>
    <phoneticPr fontId="1" type="noConversion"/>
  </si>
  <si>
    <t>9.5톤</t>
    <phoneticPr fontId="1" type="noConversion"/>
  </si>
  <si>
    <t>20"(오후5시)</t>
    <phoneticPr fontId="1" type="noConversion"/>
  </si>
  <si>
    <t>15*13황</t>
    <phoneticPr fontId="1" type="noConversion"/>
  </si>
  <si>
    <t>결속끈(24kg)</t>
    <phoneticPr fontId="1" type="noConversion"/>
  </si>
  <si>
    <t>28박스</t>
    <phoneticPr fontId="1" type="noConversion"/>
  </si>
  <si>
    <t>합동포장기계</t>
    <phoneticPr fontId="1" type="noConversion"/>
  </si>
  <si>
    <t>12*12.5황</t>
    <phoneticPr fontId="1" type="noConversion"/>
  </si>
  <si>
    <t>결속끈</t>
    <phoneticPr fontId="1" type="noConversion"/>
  </si>
  <si>
    <t>30박스</t>
    <phoneticPr fontId="1" type="noConversion"/>
  </si>
  <si>
    <t>동신-대신화물</t>
    <phoneticPr fontId="1" type="noConversion"/>
  </si>
  <si>
    <t>출발전 광림통화</t>
    <phoneticPr fontId="1" type="noConversion"/>
  </si>
  <si>
    <t>"노란색표지 급함"</t>
    <phoneticPr fontId="1" type="noConversion"/>
  </si>
  <si>
    <t>모두 광림으로 납품</t>
    <phoneticPr fontId="1" type="noConversion"/>
  </si>
  <si>
    <t>12/3발주분</t>
    <phoneticPr fontId="1" type="noConversion"/>
  </si>
  <si>
    <t>12/3발주분</t>
    <phoneticPr fontId="1" type="noConversion"/>
  </si>
  <si>
    <t>삼성</t>
    <phoneticPr fontId="1" type="noConversion"/>
  </si>
  <si>
    <t>18*21</t>
    <phoneticPr fontId="1" type="noConversion"/>
  </si>
  <si>
    <t>18*15</t>
    <phoneticPr fontId="1" type="noConversion"/>
  </si>
  <si>
    <t>어음결재-입금표챙기기</t>
    <phoneticPr fontId="1" type="noConversion"/>
  </si>
  <si>
    <t>한솔</t>
    <phoneticPr fontId="1" type="noConversion"/>
  </si>
  <si>
    <t>25박스</t>
    <phoneticPr fontId="1" type="noConversion"/>
  </si>
  <si>
    <t>pe28*6</t>
    <phoneticPr fontId="1" type="noConversion"/>
  </si>
  <si>
    <t>9*9.5황(0.65)</t>
    <phoneticPr fontId="1" type="noConversion"/>
  </si>
  <si>
    <t>12/4발주분</t>
    <phoneticPr fontId="1" type="noConversion"/>
  </si>
  <si>
    <t>보우팩-용달로발송</t>
    <phoneticPr fontId="1" type="noConversion"/>
  </si>
  <si>
    <t>오전 삼화인쇄-용차</t>
    <phoneticPr fontId="1" type="noConversion"/>
  </si>
  <si>
    <t>오후-김해제일-100박스</t>
    <phoneticPr fontId="1" type="noConversion"/>
  </si>
  <si>
    <t>pe28*2</t>
    <phoneticPr fontId="1" type="noConversion"/>
  </si>
  <si>
    <t>50박스</t>
    <phoneticPr fontId="1" type="noConversion"/>
  </si>
  <si>
    <t>진송팩</t>
    <phoneticPr fontId="1" type="noConversion"/>
  </si>
  <si>
    <t>pe28*2</t>
    <phoneticPr fontId="1" type="noConversion"/>
  </si>
  <si>
    <t>11/26발주분</t>
    <phoneticPr fontId="1" type="noConversion"/>
  </si>
  <si>
    <t>48박스</t>
    <phoneticPr fontId="1" type="noConversion"/>
  </si>
  <si>
    <t>제이케이(순성)</t>
    <phoneticPr fontId="1" type="noConversion"/>
  </si>
  <si>
    <t>pp18*10황</t>
    <phoneticPr fontId="1" type="noConversion"/>
  </si>
  <si>
    <t>랩15*500*350</t>
    <phoneticPr fontId="1" type="noConversion"/>
  </si>
  <si>
    <t>10박스</t>
    <phoneticPr fontId="1" type="noConversion"/>
  </si>
  <si>
    <t>파렛트3개</t>
    <phoneticPr fontId="1" type="noConversion"/>
  </si>
  <si>
    <t>pp6*10백</t>
    <phoneticPr fontId="1" type="noConversion"/>
  </si>
  <si>
    <t>경인팩(대구한국)</t>
    <phoneticPr fontId="1" type="noConversion"/>
  </si>
  <si>
    <t>pe28*2백(24KG)</t>
    <phoneticPr fontId="1" type="noConversion"/>
  </si>
  <si>
    <t>100박스</t>
    <phoneticPr fontId="1" type="noConversion"/>
  </si>
  <si>
    <t>팔레트3개</t>
    <phoneticPr fontId="1" type="noConversion"/>
  </si>
  <si>
    <t>오전-전주삼신-대신화물</t>
    <phoneticPr fontId="1" type="noConversion"/>
  </si>
  <si>
    <t>16.5톤</t>
    <phoneticPr fontId="1" type="noConversion"/>
  </si>
  <si>
    <t>사우디</t>
    <phoneticPr fontId="1" type="noConversion"/>
  </si>
  <si>
    <t>8톤</t>
    <phoneticPr fontId="1" type="noConversion"/>
  </si>
  <si>
    <t>12*2500검정외</t>
    <phoneticPr fontId="1" type="noConversion"/>
  </si>
  <si>
    <t>20"(오후5시)</t>
    <phoneticPr fontId="1" type="noConversion"/>
  </si>
  <si>
    <t>40HQ(오후5시)</t>
    <phoneticPr fontId="1" type="noConversion"/>
  </si>
  <si>
    <t>오전-대영발안-용차</t>
    <phoneticPr fontId="1" type="noConversion"/>
  </si>
  <si>
    <t>18*21</t>
    <phoneticPr fontId="1" type="noConversion"/>
  </si>
  <si>
    <t>보우팩</t>
    <phoneticPr fontId="1" type="noConversion"/>
  </si>
  <si>
    <t>6*10백</t>
    <phoneticPr fontId="1" type="noConversion"/>
  </si>
  <si>
    <t>신대한판지</t>
    <phoneticPr fontId="1" type="noConversion"/>
  </si>
  <si>
    <t>9*9.5청</t>
    <phoneticPr fontId="1" type="noConversion"/>
  </si>
  <si>
    <t>금산포장</t>
    <phoneticPr fontId="1" type="noConversion"/>
  </si>
  <si>
    <t>동신-오후2시~3시-삼성560롤(14파) 입고예정</t>
    <phoneticPr fontId="1" type="noConversion"/>
  </si>
  <si>
    <t>월</t>
    <phoneticPr fontId="1" type="noConversion"/>
  </si>
  <si>
    <t>낙원포장</t>
    <phoneticPr fontId="1" type="noConversion"/>
  </si>
  <si>
    <t>10.5*10투</t>
    <phoneticPr fontId="1" type="noConversion"/>
  </si>
  <si>
    <t>kg/2000원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</si>
  <si>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</si>
  <si>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</si>
  <si>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</si>
  <si>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12*10황(0.65T)</t>
    <phoneticPr fontId="1" type="noConversion"/>
  </si>
  <si>
    <t>12*10황0.65</t>
    <phoneticPr fontId="1" type="noConversion"/>
  </si>
  <si>
    <t>삼성18*21</t>
    <phoneticPr fontId="1" type="noConversion"/>
  </si>
  <si>
    <t>오후 2시경</t>
    <phoneticPr fontId="1" type="noConversion"/>
  </si>
  <si>
    <t>우선화학입고확인</t>
    <phoneticPr fontId="1" type="noConversion"/>
  </si>
  <si>
    <t>호성수출포장</t>
    <phoneticPr fontId="1" type="noConversion"/>
  </si>
  <si>
    <t>동신밴드입고</t>
    <phoneticPr fontId="1" type="noConversion"/>
  </si>
  <si>
    <t>9*9.5백</t>
    <phoneticPr fontId="1" type="noConversion"/>
  </si>
  <si>
    <t>18*15</t>
    <phoneticPr fontId="1" type="noConversion"/>
  </si>
  <si>
    <t>한서포장</t>
    <phoneticPr fontId="1" type="noConversion"/>
  </si>
  <si>
    <t>12*9.5황</t>
    <phoneticPr fontId="1" type="noConversion"/>
  </si>
  <si>
    <t>15*10황</t>
    <phoneticPr fontId="1" type="noConversion"/>
  </si>
  <si>
    <t>신이사님 납</t>
    <phoneticPr fontId="1" type="noConversion"/>
  </si>
  <si>
    <t>한국스미더스 직납</t>
    <phoneticPr fontId="1" type="noConversion"/>
  </si>
  <si>
    <t>전자금융-택배확인</t>
    <phoneticPr fontId="1" type="noConversion"/>
  </si>
  <si>
    <t>수량(18.12.17</t>
    <phoneticPr fontId="1" type="noConversion"/>
  </si>
  <si>
    <t>만들어야함</t>
    <phoneticPr fontId="1" type="noConversion"/>
  </si>
  <si>
    <t>11*10백</t>
    <phoneticPr fontId="1" type="noConversion"/>
  </si>
  <si>
    <t>9*11은회색</t>
    <phoneticPr fontId="1" type="noConversion"/>
  </si>
  <si>
    <t>다오</t>
    <phoneticPr fontId="1" type="noConversion"/>
  </si>
  <si>
    <t>삼성</t>
    <phoneticPr fontId="1" type="noConversion"/>
  </si>
  <si>
    <t>18*15</t>
    <phoneticPr fontId="1" type="noConversion"/>
  </si>
  <si>
    <t>18*21</t>
    <phoneticPr fontId="1" type="noConversion"/>
  </si>
  <si>
    <t>15*10황0.65</t>
    <phoneticPr fontId="1" type="noConversion"/>
  </si>
  <si>
    <t>12월말(재고있음가져감)</t>
    <phoneticPr fontId="1" type="noConversion"/>
  </si>
  <si>
    <t>항상 출발전 통화요망</t>
    <phoneticPr fontId="1" type="noConversion"/>
  </si>
  <si>
    <t>전주삼신,대원포장 화물</t>
    <phoneticPr fontId="1" type="noConversion"/>
  </si>
  <si>
    <t>26박스</t>
    <phoneticPr fontId="1" type="noConversion"/>
  </si>
  <si>
    <t>월</t>
    <phoneticPr fontId="1" type="noConversion"/>
  </si>
  <si>
    <t>삼성</t>
    <phoneticPr fontId="1" type="noConversion"/>
  </si>
  <si>
    <t>15톤</t>
    <phoneticPr fontId="1" type="noConversion"/>
  </si>
  <si>
    <t>40HQ(오후5시)</t>
    <phoneticPr fontId="1" type="noConversion"/>
  </si>
  <si>
    <t>스마트쉴드</t>
    <phoneticPr fontId="1" type="noConversion"/>
  </si>
  <si>
    <t>9*4000(백)외</t>
    <phoneticPr fontId="1" type="noConversion"/>
  </si>
  <si>
    <t>14톤</t>
    <phoneticPr fontId="1" type="noConversion"/>
  </si>
  <si>
    <t>삼성</t>
    <phoneticPr fontId="1" type="noConversion"/>
  </si>
  <si>
    <t>10.5*10투</t>
    <phoneticPr fontId="1" type="noConversion"/>
  </si>
  <si>
    <t>평판지하B판</t>
    <phoneticPr fontId="1" type="noConversion"/>
  </si>
  <si>
    <t>18*15</t>
    <phoneticPr fontId="1" type="noConversion"/>
  </si>
  <si>
    <t>파워엠팩</t>
    <phoneticPr fontId="1" type="noConversion"/>
  </si>
  <si>
    <t>13*11은회색</t>
    <phoneticPr fontId="1" type="noConversion"/>
  </si>
  <si>
    <t>은회색</t>
    <phoneticPr fontId="1" type="noConversion"/>
  </si>
  <si>
    <t>대영발안</t>
    <phoneticPr fontId="1" type="noConversion"/>
  </si>
  <si>
    <t>10.5*10투</t>
    <phoneticPr fontId="1" type="noConversion"/>
  </si>
  <si>
    <t>용달출고</t>
    <phoneticPr fontId="1" type="noConversion"/>
  </si>
  <si>
    <t>동방포장</t>
    <phoneticPr fontId="1" type="noConversion"/>
  </si>
  <si>
    <t>12*10황 0.68T</t>
    <phoneticPr fontId="1" type="noConversion"/>
  </si>
  <si>
    <t>12*10황 0.68T</t>
    <phoneticPr fontId="1" type="noConversion"/>
  </si>
  <si>
    <t>15*10황0.8T</t>
    <phoneticPr fontId="1" type="noConversion"/>
  </si>
  <si>
    <t>동방포장</t>
    <phoneticPr fontId="1" type="noConversion"/>
  </si>
  <si>
    <t>이월</t>
    <phoneticPr fontId="1" type="noConversion"/>
  </si>
  <si>
    <t>12*10황 0.68T농협</t>
    <phoneticPr fontId="1" type="noConversion"/>
  </si>
  <si>
    <t>18*21</t>
    <phoneticPr fontId="1" type="noConversion"/>
  </si>
  <si>
    <t>18*15</t>
    <phoneticPr fontId="1" type="noConversion"/>
  </si>
  <si>
    <t>15*10황0.8T농협</t>
    <phoneticPr fontId="1" type="noConversion"/>
  </si>
  <si>
    <t>jh글로벌</t>
    <phoneticPr fontId="1" type="noConversion"/>
  </si>
  <si>
    <t>월</t>
    <phoneticPr fontId="1" type="noConversion"/>
  </si>
  <si>
    <t>탐스텍</t>
    <phoneticPr fontId="1" type="noConversion"/>
  </si>
  <si>
    <t>9*4000황외</t>
    <phoneticPr fontId="1" type="noConversion"/>
  </si>
  <si>
    <t>남양주 직납 4파-오후2시30반도착</t>
    <phoneticPr fontId="1" type="noConversion"/>
  </si>
  <si>
    <t>얇은밴드12*12.5투</t>
    <phoneticPr fontId="1" type="noConversion"/>
  </si>
  <si>
    <t>pe28*2백</t>
    <phoneticPr fontId="1" type="noConversion"/>
  </si>
  <si>
    <t>30박스</t>
    <phoneticPr fontId="1" type="noConversion"/>
  </si>
  <si>
    <t>이월</t>
    <phoneticPr fontId="1" type="noConversion"/>
  </si>
  <si>
    <t>삼성</t>
    <phoneticPr fontId="1" type="noConversion"/>
  </si>
  <si>
    <t>18*21</t>
    <phoneticPr fontId="1" type="noConversion"/>
  </si>
  <si>
    <t>18*21</t>
    <phoneticPr fontId="1" type="noConversion"/>
  </si>
  <si>
    <t>김대리출근못함</t>
    <phoneticPr fontId="1" type="noConversion"/>
  </si>
  <si>
    <t>삼성밴드</t>
    <phoneticPr fontId="1" type="noConversion"/>
  </si>
  <si>
    <t xml:space="preserve">*  Merry Christmas * </t>
    <phoneticPr fontId="1" type="noConversion"/>
  </si>
  <si>
    <t>삼화인쇄</t>
    <phoneticPr fontId="1" type="noConversion"/>
  </si>
  <si>
    <t>한서포장</t>
    <phoneticPr fontId="1" type="noConversion"/>
  </si>
  <si>
    <t>12*9.5황</t>
    <phoneticPr fontId="1" type="noConversion"/>
  </si>
  <si>
    <t>pe28*2백</t>
    <phoneticPr fontId="1" type="noConversion"/>
  </si>
  <si>
    <t>10박스</t>
    <phoneticPr fontId="1" type="noConversion"/>
  </si>
  <si>
    <t>15*10황</t>
    <phoneticPr fontId="1" type="noConversion"/>
  </si>
  <si>
    <t>15*10황</t>
    <phoneticPr fontId="1" type="noConversion"/>
  </si>
  <si>
    <t>대신화물-동신밴드외주</t>
    <phoneticPr fontId="1" type="noConversion"/>
  </si>
  <si>
    <t>제책4층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</si>
  <si>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</si>
  <si>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</si>
  <si>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</si>
  <si>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거명12/31일자로 발행함</t>
    <phoneticPr fontId="1" type="noConversion"/>
  </si>
  <si>
    <t>경인팩</t>
    <phoneticPr fontId="1" type="noConversion"/>
  </si>
  <si>
    <t>pp6*10백</t>
    <phoneticPr fontId="1" type="noConversion"/>
  </si>
  <si>
    <t>한솔포장</t>
    <phoneticPr fontId="1" type="noConversion"/>
  </si>
  <si>
    <t>pe28*6백</t>
    <phoneticPr fontId="1" type="noConversion"/>
  </si>
  <si>
    <t>25박스</t>
    <phoneticPr fontId="1" type="noConversion"/>
  </si>
  <si>
    <t>거명은12/31</t>
    <phoneticPr fontId="1" type="noConversion"/>
  </si>
  <si>
    <t>kic 창고 12/21</t>
    <phoneticPr fontId="1" type="noConversion"/>
  </si>
  <si>
    <t>동신입고예정</t>
    <phoneticPr fontId="1" type="noConversion"/>
  </si>
  <si>
    <t>18파-오후 2시경</t>
    <phoneticPr fontId="1" type="noConversion"/>
  </si>
  <si>
    <t>삼성</t>
    <phoneticPr fontId="1" type="noConversion"/>
  </si>
  <si>
    <t>18*21</t>
    <phoneticPr fontId="1" type="noConversion"/>
  </si>
  <si>
    <t>광림파워팩</t>
    <phoneticPr fontId="1" type="noConversion"/>
  </si>
  <si>
    <t>15*10황</t>
    <phoneticPr fontId="1" type="noConversion"/>
  </si>
  <si>
    <t>광림파워팩</t>
    <phoneticPr fontId="1" type="noConversion"/>
  </si>
  <si>
    <t>12*10황</t>
    <phoneticPr fontId="1" type="noConversion"/>
  </si>
  <si>
    <t>12*10황0.65</t>
    <phoneticPr fontId="1" type="noConversion"/>
  </si>
  <si>
    <t>빨강끈</t>
    <phoneticPr fontId="1" type="noConversion"/>
  </si>
  <si>
    <t>pe끈(24kg)</t>
    <phoneticPr fontId="1" type="noConversion"/>
  </si>
  <si>
    <t>빨간색끈</t>
    <phoneticPr fontId="1" type="noConversion"/>
  </si>
  <si>
    <t>제일산업</t>
    <phoneticPr fontId="1" type="noConversion"/>
  </si>
  <si>
    <t>50박스</t>
    <phoneticPr fontId="1" type="noConversion"/>
  </si>
  <si>
    <t>pe50*2</t>
    <phoneticPr fontId="1" type="noConversion"/>
  </si>
  <si>
    <t xml:space="preserve">*설날* Happy New Year! </t>
    <phoneticPr fontId="1" type="noConversion"/>
  </si>
  <si>
    <t>합동포장</t>
    <phoneticPr fontId="1" type="noConversion"/>
  </si>
  <si>
    <t>12*12.5황</t>
    <phoneticPr fontId="1" type="noConversion"/>
  </si>
  <si>
    <t>합동포장</t>
    <phoneticPr fontId="1" type="noConversion"/>
  </si>
  <si>
    <t>12*12.5황</t>
    <phoneticPr fontId="1" type="noConversion"/>
  </si>
  <si>
    <t>12*12.5투</t>
    <phoneticPr fontId="1" type="noConversion"/>
  </si>
  <si>
    <t>15*13황</t>
    <phoneticPr fontId="1" type="noConversion"/>
  </si>
  <si>
    <t>pe끈(20kg)</t>
    <phoneticPr fontId="1" type="noConversion"/>
  </si>
  <si>
    <t>입금확인후 출고</t>
    <phoneticPr fontId="1" type="noConversion"/>
  </si>
  <si>
    <t>12*12.5투</t>
    <phoneticPr fontId="1" type="noConversion"/>
  </si>
  <si>
    <t>15*13황</t>
    <phoneticPr fontId="1" type="noConversion"/>
  </si>
  <si>
    <t>합동포장</t>
    <phoneticPr fontId="1" type="noConversion"/>
  </si>
  <si>
    <t>pe결속끈</t>
    <phoneticPr fontId="1" type="noConversion"/>
  </si>
  <si>
    <t>10박스</t>
    <phoneticPr fontId="1" type="noConversion"/>
  </si>
  <si>
    <t>신대한판지</t>
    <phoneticPr fontId="1" type="noConversion"/>
  </si>
  <si>
    <t>7*10백</t>
    <phoneticPr fontId="1" type="noConversion"/>
  </si>
  <si>
    <t>호성수출</t>
    <phoneticPr fontId="1" type="noConversion"/>
  </si>
  <si>
    <t>pe28*2백</t>
    <phoneticPr fontId="1" type="noConversion"/>
  </si>
  <si>
    <t>20박스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</si>
</sst>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m&quot;월&quot;\ d&quot;일&quot;;@"/>
    <numFmt numFmtId="177" formatCode="#&quot;롤&quot;"/>
    <numFmt numFmtId="178" formatCode="m&quot;/&quot;d;@"/>
    <numFmt numFmtId="179" formatCode="_-* #,##0.0_-;\-* #,##0.0_-;_-* &quot;-&quot;?_-;_-@_-"/>
    <numFmt numFmtId="180" formatCode="mm&quot;월&quot;\ dd&quot;일&quot;"/>
  </numFmts>
  <fonts count="3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3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22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  <font>
      <sz val="26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48"/>
      <color theme="1"/>
      <name val="HY수평선M"/>
      <family val="1"/>
      <charset val="129"/>
    </font>
    <font>
      <sz val="11"/>
      <color rgb="FFFF0000"/>
      <name val="맑은 고딕"/>
      <family val="2"/>
      <charset val="129"/>
      <scheme val="minor"/>
    </font>
    <font>
      <sz val="14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28"/>
      <color theme="1"/>
      <name val="맑은 고딕"/>
      <family val="3"/>
      <charset val="129"/>
      <scheme val="minor"/>
    </font>
    <font>
      <sz val="14"/>
      <color theme="9" tint="-0.249977111117893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36"/>
      <color theme="1"/>
      <name val="HY크리스탈M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7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</cellStyleXfs>
  <cellXfs count="987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7" fontId="7" fillId="3" borderId="3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7" fontId="7" fillId="3" borderId="1" xfId="0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77" fontId="7" fillId="3" borderId="19" xfId="0" applyNumberFormat="1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vertical="center"/>
    </xf>
    <xf numFmtId="0" fontId="8" fillId="3" borderId="20" xfId="0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177" fontId="7" fillId="0" borderId="19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177" fontId="6" fillId="2" borderId="12" xfId="0" applyNumberFormat="1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 wrapText="1"/>
    </xf>
    <xf numFmtId="177" fontId="7" fillId="0" borderId="3" xfId="0" applyNumberFormat="1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177" fontId="7" fillId="0" borderId="1" xfId="0" applyNumberFormat="1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vertical="center"/>
    </xf>
    <xf numFmtId="176" fontId="6" fillId="4" borderId="6" xfId="0" applyNumberFormat="1" applyFont="1" applyFill="1" applyBorder="1" applyAlignment="1">
      <alignment horizontal="center" vertical="center"/>
    </xf>
    <xf numFmtId="176" fontId="6" fillId="4" borderId="8" xfId="0" applyNumberFormat="1" applyFont="1" applyFill="1" applyBorder="1" applyAlignment="1">
      <alignment horizontal="center" vertical="center" shrinkToFit="1"/>
    </xf>
    <xf numFmtId="0" fontId="8" fillId="4" borderId="13" xfId="0" applyFont="1" applyFill="1" applyBorder="1" applyAlignment="1">
      <alignment vertical="center"/>
    </xf>
    <xf numFmtId="176" fontId="6" fillId="4" borderId="5" xfId="0" applyNumberFormat="1" applyFont="1" applyFill="1" applyBorder="1" applyAlignment="1">
      <alignment horizontal="center" vertical="center"/>
    </xf>
    <xf numFmtId="176" fontId="6" fillId="4" borderId="22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center"/>
    </xf>
    <xf numFmtId="0" fontId="10" fillId="0" borderId="1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176" fontId="7" fillId="4" borderId="5" xfId="0" applyNumberFormat="1" applyFont="1" applyFill="1" applyBorder="1" applyAlignment="1">
      <alignment horizontal="center" vertical="center"/>
    </xf>
    <xf numFmtId="176" fontId="6" fillId="4" borderId="21" xfId="0" applyNumberFormat="1" applyFont="1" applyFill="1" applyBorder="1" applyAlignment="1">
      <alignment horizontal="center" vertical="center"/>
    </xf>
    <xf numFmtId="176" fontId="6" fillId="4" borderId="22" xfId="0" applyNumberFormat="1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8" fillId="3" borderId="28" xfId="0" applyFont="1" applyFill="1" applyBorder="1" applyAlignment="1">
      <alignment horizontal="center" vertical="center" wrapText="1"/>
    </xf>
    <xf numFmtId="177" fontId="7" fillId="3" borderId="28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/>
    </xf>
    <xf numFmtId="176" fontId="6" fillId="4" borderId="32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176" fontId="6" fillId="4" borderId="8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 wrapText="1"/>
    </xf>
    <xf numFmtId="177" fontId="7" fillId="0" borderId="5" xfId="0" applyNumberFormat="1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vertical="center"/>
    </xf>
    <xf numFmtId="176" fontId="6" fillId="4" borderId="10" xfId="0" applyNumberFormat="1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 shrinkToFit="1"/>
    </xf>
    <xf numFmtId="0" fontId="8" fillId="3" borderId="2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77" fontId="7" fillId="3" borderId="4" xfId="0" applyNumberFormat="1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177" fontId="7" fillId="3" borderId="10" xfId="0" applyNumberFormat="1" applyFont="1" applyFill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4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177" fontId="7" fillId="3" borderId="6" xfId="0" applyNumberFormat="1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/>
    </xf>
    <xf numFmtId="176" fontId="7" fillId="4" borderId="6" xfId="0" applyNumberFormat="1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177" fontId="7" fillId="3" borderId="12" xfId="0" applyNumberFormat="1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vertical="center"/>
    </xf>
    <xf numFmtId="0" fontId="10" fillId="0" borderId="24" xfId="0" applyFont="1" applyFill="1" applyBorder="1" applyAlignment="1">
      <alignment horizontal="center" vertical="center" wrapText="1"/>
    </xf>
    <xf numFmtId="0" fontId="10" fillId="0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6" fontId="6" fillId="4" borderId="17" xfId="0" applyNumberFormat="1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176" fontId="6" fillId="4" borderId="2" xfId="0" applyNumberFormat="1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vertical="center"/>
    </xf>
    <xf numFmtId="177" fontId="7" fillId="0" borderId="12" xfId="0" applyNumberFormat="1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/>
    </xf>
    <xf numFmtId="0" fontId="13" fillId="3" borderId="20" xfId="0" applyFont="1" applyFill="1" applyBorder="1" applyAlignment="1">
      <alignment vertical="center"/>
    </xf>
    <xf numFmtId="0" fontId="9" fillId="4" borderId="9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25" xfId="0" applyFont="1" applyFill="1" applyBorder="1" applyAlignment="1">
      <alignment vertical="center"/>
    </xf>
    <xf numFmtId="0" fontId="8" fillId="3" borderId="11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vertical="center" wrapText="1"/>
    </xf>
    <xf numFmtId="176" fontId="6" fillId="4" borderId="26" xfId="0" applyNumberFormat="1" applyFont="1" applyFill="1" applyBorder="1" applyAlignment="1">
      <alignment horizontal="center" vertical="center" shrinkToFit="1"/>
    </xf>
    <xf numFmtId="0" fontId="13" fillId="3" borderId="25" xfId="0" applyFont="1" applyFill="1" applyBorder="1" applyAlignment="1">
      <alignment vertical="center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10" fillId="0" borderId="24" xfId="0" applyFont="1" applyFill="1" applyBorder="1" applyAlignment="1">
      <alignment horizontal="center" vertical="center" wrapText="1"/>
    </xf>
    <xf numFmtId="177" fontId="7" fillId="0" borderId="28" xfId="0" applyNumberFormat="1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13" fillId="3" borderId="14" xfId="0" applyFont="1" applyFill="1" applyBorder="1" applyAlignment="1">
      <alignment vertical="center"/>
    </xf>
    <xf numFmtId="177" fontId="7" fillId="0" borderId="15" xfId="0" applyNumberFormat="1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20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177" fontId="7" fillId="0" borderId="6" xfId="0" applyNumberFormat="1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vertical="center"/>
    </xf>
    <xf numFmtId="176" fontId="6" fillId="4" borderId="29" xfId="0" applyNumberFormat="1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176" fontId="6" fillId="4" borderId="12" xfId="0" applyNumberFormat="1" applyFont="1" applyFill="1" applyBorder="1" applyAlignment="1">
      <alignment horizontal="center" vertical="center"/>
    </xf>
    <xf numFmtId="176" fontId="6" fillId="4" borderId="31" xfId="0" applyNumberFormat="1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41" fontId="0" fillId="0" borderId="0" xfId="1" applyFont="1">
      <alignment vertical="center"/>
    </xf>
    <xf numFmtId="41" fontId="0" fillId="0" borderId="1" xfId="1" applyFont="1" applyBorder="1">
      <alignment vertical="center"/>
    </xf>
    <xf numFmtId="0" fontId="13" fillId="3" borderId="1" xfId="0" applyFont="1" applyFill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/>
    </xf>
    <xf numFmtId="41" fontId="13" fillId="0" borderId="1" xfId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41" fontId="8" fillId="3" borderId="1" xfId="1" applyFont="1" applyFill="1" applyBorder="1" applyAlignment="1">
      <alignment horizontal="left" vertical="center" wrapText="1"/>
    </xf>
    <xf numFmtId="178" fontId="0" fillId="0" borderId="0" xfId="0" applyNumberFormat="1" applyBorder="1">
      <alignment vertical="center"/>
    </xf>
    <xf numFmtId="41" fontId="0" fillId="0" borderId="0" xfId="1" applyFont="1" applyBorder="1">
      <alignment vertical="center"/>
    </xf>
    <xf numFmtId="0" fontId="8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41" fontId="8" fillId="3" borderId="1" xfId="0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left" vertical="center" wrapText="1"/>
    </xf>
    <xf numFmtId="0" fontId="22" fillId="3" borderId="0" xfId="2" applyFill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41" fontId="0" fillId="0" borderId="1" xfId="0" applyNumberFormat="1" applyBorder="1">
      <alignment vertical="center"/>
    </xf>
    <xf numFmtId="3" fontId="8" fillId="3" borderId="0" xfId="0" applyNumberFormat="1" applyFont="1" applyFill="1" applyBorder="1" applyAlignment="1">
      <alignment horizontal="left" vertical="center" wrapText="1"/>
    </xf>
    <xf numFmtId="41" fontId="0" fillId="0" borderId="0" xfId="0" applyNumberFormat="1" applyBorder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3" borderId="4" xfId="0" applyFont="1" applyFill="1" applyBorder="1" applyAlignment="1">
      <alignment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vertical="center" wrapText="1"/>
    </xf>
    <xf numFmtId="0" fontId="8" fillId="3" borderId="50" xfId="0" applyFont="1" applyFill="1" applyBorder="1" applyAlignment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23" fillId="3" borderId="20" xfId="0" applyFont="1" applyFill="1" applyBorder="1" applyAlignment="1">
      <alignment vertical="center"/>
    </xf>
    <xf numFmtId="0" fontId="23" fillId="3" borderId="16" xfId="0" applyFont="1" applyFill="1" applyBorder="1" applyAlignment="1">
      <alignment vertical="center"/>
    </xf>
    <xf numFmtId="0" fontId="23" fillId="3" borderId="15" xfId="0" applyFont="1" applyFill="1" applyBorder="1" applyAlignment="1">
      <alignment vertical="center"/>
    </xf>
    <xf numFmtId="176" fontId="24" fillId="4" borderId="22" xfId="0" applyNumberFormat="1" applyFont="1" applyFill="1" applyBorder="1" applyAlignment="1">
      <alignment horizontal="center" vertical="center"/>
    </xf>
    <xf numFmtId="176" fontId="24" fillId="4" borderId="8" xfId="0" applyNumberFormat="1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vertical="center"/>
    </xf>
    <xf numFmtId="0" fontId="23" fillId="3" borderId="25" xfId="0" applyFont="1" applyFill="1" applyBorder="1" applyAlignment="1">
      <alignment vertical="center"/>
    </xf>
    <xf numFmtId="176" fontId="24" fillId="4" borderId="2" xfId="0" applyNumberFormat="1" applyFont="1" applyFill="1" applyBorder="1" applyAlignment="1">
      <alignment horizontal="center" vertical="center"/>
    </xf>
    <xf numFmtId="176" fontId="24" fillId="4" borderId="31" xfId="0" applyNumberFormat="1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vertical="center" wrapText="1"/>
    </xf>
    <xf numFmtId="0" fontId="23" fillId="3" borderId="44" xfId="0" applyFont="1" applyFill="1" applyBorder="1" applyAlignment="1">
      <alignment vertical="center"/>
    </xf>
    <xf numFmtId="0" fontId="23" fillId="3" borderId="16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177" fontId="6" fillId="4" borderId="6" xfId="0" applyNumberFormat="1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8" fillId="0" borderId="0" xfId="0" applyNumberFormat="1" applyFont="1" applyBorder="1" applyAlignment="1">
      <alignment horizontal="left" vertical="center"/>
    </xf>
    <xf numFmtId="0" fontId="8" fillId="3" borderId="28" xfId="0" applyFont="1" applyFill="1" applyBorder="1" applyAlignment="1">
      <alignment vertical="center"/>
    </xf>
    <xf numFmtId="0" fontId="23" fillId="3" borderId="51" xfId="0" applyFont="1" applyFill="1" applyBorder="1" applyAlignment="1">
      <alignment vertical="center"/>
    </xf>
    <xf numFmtId="0" fontId="23" fillId="3" borderId="22" xfId="0" applyFont="1" applyFill="1" applyBorder="1" applyAlignment="1">
      <alignment vertical="center"/>
    </xf>
    <xf numFmtId="0" fontId="23" fillId="3" borderId="52" xfId="0" applyFont="1" applyFill="1" applyBorder="1" applyAlignment="1">
      <alignment vertical="center"/>
    </xf>
    <xf numFmtId="176" fontId="6" fillId="4" borderId="33" xfId="0" applyNumberFormat="1" applyFont="1" applyFill="1" applyBorder="1" applyAlignment="1">
      <alignment horizontal="center" vertical="center"/>
    </xf>
    <xf numFmtId="176" fontId="24" fillId="4" borderId="43" xfId="0" applyNumberFormat="1" applyFont="1" applyFill="1" applyBorder="1" applyAlignment="1">
      <alignment horizontal="center" vertical="center"/>
    </xf>
    <xf numFmtId="176" fontId="6" fillId="4" borderId="0" xfId="0" applyNumberFormat="1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6" fillId="4" borderId="30" xfId="0" applyNumberFormat="1" applyFont="1" applyFill="1" applyBorder="1" applyAlignment="1">
      <alignment horizontal="center" vertical="center"/>
    </xf>
    <xf numFmtId="176" fontId="24" fillId="4" borderId="14" xfId="0" applyNumberFormat="1" applyFont="1" applyFill="1" applyBorder="1" applyAlignment="1">
      <alignment horizontal="center" vertical="center"/>
    </xf>
    <xf numFmtId="176" fontId="24" fillId="4" borderId="26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41" fontId="8" fillId="3" borderId="1" xfId="0" applyNumberFormat="1" applyFont="1" applyFill="1" applyBorder="1" applyAlignment="1">
      <alignment vertical="center"/>
    </xf>
    <xf numFmtId="9" fontId="8" fillId="3" borderId="0" xfId="0" applyNumberFormat="1" applyFont="1" applyFill="1" applyBorder="1" applyAlignment="1">
      <alignment vertical="center"/>
    </xf>
    <xf numFmtId="41" fontId="8" fillId="3" borderId="0" xfId="0" applyNumberFormat="1" applyFont="1" applyFill="1" applyBorder="1" applyAlignment="1">
      <alignment vertical="center"/>
    </xf>
    <xf numFmtId="179" fontId="0" fillId="0" borderId="0" xfId="0" applyNumberFormat="1" applyBorder="1">
      <alignment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vertical="center" wrapText="1"/>
    </xf>
    <xf numFmtId="0" fontId="23" fillId="3" borderId="44" xfId="0" applyFont="1" applyFill="1" applyBorder="1" applyAlignment="1">
      <alignment vertical="center" wrapText="1"/>
    </xf>
    <xf numFmtId="176" fontId="6" fillId="4" borderId="18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23" fillId="3" borderId="25" xfId="0" applyFont="1" applyFill="1" applyBorder="1" applyAlignment="1">
      <alignment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6" fillId="4" borderId="9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6" fillId="4" borderId="11" xfId="0" applyNumberFormat="1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77" fontId="7" fillId="7" borderId="1" xfId="0" applyNumberFormat="1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177" fontId="7" fillId="7" borderId="4" xfId="0" applyNumberFormat="1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6" fillId="3" borderId="20" xfId="0" applyFont="1" applyFill="1" applyBorder="1" applyAlignment="1">
      <alignment vertical="center" wrapText="1"/>
    </xf>
    <xf numFmtId="0" fontId="26" fillId="3" borderId="16" xfId="0" applyFont="1" applyFill="1" applyBorder="1" applyAlignment="1">
      <alignment vertical="center" wrapText="1"/>
    </xf>
    <xf numFmtId="0" fontId="26" fillId="3" borderId="16" xfId="0" applyFont="1" applyFill="1" applyBorder="1" applyAlignment="1">
      <alignment vertical="center"/>
    </xf>
    <xf numFmtId="0" fontId="26" fillId="3" borderId="15" xfId="0" applyFont="1" applyFill="1" applyBorder="1" applyAlignment="1">
      <alignment vertical="center"/>
    </xf>
    <xf numFmtId="176" fontId="27" fillId="4" borderId="8" xfId="0" applyNumberFormat="1" applyFont="1" applyFill="1" applyBorder="1" applyAlignment="1">
      <alignment horizontal="center" vertical="center"/>
    </xf>
    <xf numFmtId="176" fontId="27" fillId="4" borderId="22" xfId="0" applyNumberFormat="1" applyFont="1" applyFill="1" applyBorder="1" applyAlignment="1">
      <alignment horizontal="center" vertical="center"/>
    </xf>
    <xf numFmtId="0" fontId="26" fillId="3" borderId="25" xfId="0" applyFont="1" applyFill="1" applyBorder="1" applyAlignment="1">
      <alignment vertical="center" wrapText="1"/>
    </xf>
    <xf numFmtId="176" fontId="27" fillId="4" borderId="31" xfId="0" applyNumberFormat="1" applyFont="1" applyFill="1" applyBorder="1" applyAlignment="1">
      <alignment horizontal="center" vertical="center"/>
    </xf>
    <xf numFmtId="0" fontId="26" fillId="3" borderId="22" xfId="0" applyFont="1" applyFill="1" applyBorder="1" applyAlignment="1">
      <alignment vertical="center"/>
    </xf>
    <xf numFmtId="0" fontId="26" fillId="3" borderId="20" xfId="0" applyFont="1" applyFill="1" applyBorder="1" applyAlignment="1">
      <alignment vertical="center"/>
    </xf>
    <xf numFmtId="0" fontId="26" fillId="3" borderId="25" xfId="0" applyFont="1" applyFill="1" applyBorder="1" applyAlignment="1">
      <alignment vertical="center"/>
    </xf>
    <xf numFmtId="176" fontId="27" fillId="4" borderId="14" xfId="0" applyNumberFormat="1" applyFont="1" applyFill="1" applyBorder="1" applyAlignment="1">
      <alignment horizontal="center" vertical="center"/>
    </xf>
    <xf numFmtId="176" fontId="27" fillId="4" borderId="43" xfId="0" applyNumberFormat="1" applyFont="1" applyFill="1" applyBorder="1" applyAlignment="1">
      <alignment horizontal="center" vertical="center"/>
    </xf>
    <xf numFmtId="0" fontId="26" fillId="3" borderId="44" xfId="0" applyFont="1" applyFill="1" applyBorder="1" applyAlignment="1">
      <alignment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vertical="center"/>
    </xf>
    <xf numFmtId="0" fontId="26" fillId="3" borderId="27" xfId="0" applyFont="1" applyFill="1" applyBorder="1" applyAlignment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27" fillId="4" borderId="26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27" fillId="4" borderId="27" xfId="0" applyNumberFormat="1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vertical="center" shrinkToFit="1"/>
    </xf>
    <xf numFmtId="0" fontId="26" fillId="3" borderId="16" xfId="0" applyFont="1" applyFill="1" applyBorder="1" applyAlignment="1">
      <alignment vertical="center" shrinkToFit="1"/>
    </xf>
    <xf numFmtId="176" fontId="27" fillId="4" borderId="43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7" fillId="0" borderId="11" xfId="0" applyNumberFormat="1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vertical="center" shrinkToFi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27" fillId="4" borderId="27" xfId="0" applyNumberFormat="1" applyFont="1" applyFill="1" applyBorder="1" applyAlignment="1">
      <alignment horizontal="center" vertical="center" shrinkToFi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176" fontId="27" fillId="4" borderId="14" xfId="0" applyNumberFormat="1" applyFont="1" applyFill="1" applyBorder="1" applyAlignment="1">
      <alignment horizontal="center" vertical="center" shrinkToFi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27" fillId="4" borderId="26" xfId="0" applyNumberFormat="1" applyFont="1" applyFill="1" applyBorder="1" applyAlignment="1">
      <alignment horizontal="center" vertical="center" shrinkToFit="1"/>
    </xf>
    <xf numFmtId="0" fontId="8" fillId="3" borderId="42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left"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6" fillId="3" borderId="19" xfId="0" applyFont="1" applyFill="1" applyBorder="1" applyAlignment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6" fillId="3" borderId="4" xfId="0" applyFont="1" applyFill="1" applyBorder="1" applyAlignment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right" vertical="center"/>
    </xf>
    <xf numFmtId="178" fontId="0" fillId="0" borderId="37" xfId="0" applyNumberFormat="1" applyBorder="1" applyAlignment="1">
      <alignment horizontal="right" vertical="center"/>
    </xf>
    <xf numFmtId="0" fontId="8" fillId="3" borderId="16" xfId="0" applyFont="1" applyFill="1" applyBorder="1" applyAlignment="1">
      <alignment horizontal="right" vertical="center" wrapText="1"/>
    </xf>
    <xf numFmtId="178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178" fontId="0" fillId="0" borderId="7" xfId="0" applyNumberFormat="1" applyBorder="1" applyAlignment="1">
      <alignment horizontal="center" vertical="center"/>
    </xf>
    <xf numFmtId="0" fontId="8" fillId="3" borderId="6" xfId="0" applyFont="1" applyFill="1" applyBorder="1" applyAlignment="1">
      <alignment horizontal="right" vertical="center" wrapText="1"/>
    </xf>
    <xf numFmtId="0" fontId="8" fillId="3" borderId="26" xfId="0" applyFont="1" applyFill="1" applyBorder="1" applyAlignment="1">
      <alignment horizontal="right" vertical="center" wrapText="1"/>
    </xf>
    <xf numFmtId="178" fontId="0" fillId="0" borderId="55" xfId="0" applyNumberFormat="1" applyBorder="1" applyAlignment="1">
      <alignment horizontal="right" vertical="center"/>
    </xf>
    <xf numFmtId="0" fontId="8" fillId="3" borderId="57" xfId="0" applyFont="1" applyFill="1" applyBorder="1" applyAlignment="1">
      <alignment horizontal="right" vertical="center" wrapText="1"/>
    </xf>
    <xf numFmtId="0" fontId="0" fillId="0" borderId="56" xfId="0" applyBorder="1">
      <alignment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80" fontId="8" fillId="3" borderId="1" xfId="0" applyNumberFormat="1" applyFont="1" applyFill="1" applyBorder="1" applyAlignment="1">
      <alignment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right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180" fontId="0" fillId="0" borderId="0" xfId="0" applyNumberFormat="1" applyAlignment="1">
      <alignment horizontal="right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34" fillId="3" borderId="56" xfId="0" applyFont="1" applyFill="1" applyBorder="1" applyAlignment="1">
      <alignment horizontal="right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6" fontId="6" fillId="4" borderId="13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1" fillId="0" borderId="30" xfId="0" applyFont="1" applyBorder="1" applyAlignment="1">
      <alignment vertical="center"/>
    </xf>
    <xf numFmtId="0" fontId="34" fillId="0" borderId="30" xfId="0" applyFont="1" applyBorder="1" applyAlignment="1">
      <alignment horizontal="right" vertical="center"/>
    </xf>
    <xf numFmtId="176" fontId="7" fillId="0" borderId="11" xfId="0" applyNumberFormat="1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3" borderId="3" xfId="0" applyFont="1" applyFill="1" applyBorder="1" applyAlignment="1">
      <alignment vertical="center"/>
    </xf>
    <xf numFmtId="0" fontId="8" fillId="3" borderId="19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8" fillId="3" borderId="54" xfId="0" applyFont="1" applyFill="1" applyBorder="1" applyAlignment="1">
      <alignment horizontal="right" vertical="center" wrapText="1"/>
    </xf>
    <xf numFmtId="0" fontId="33" fillId="3" borderId="54" xfId="0" applyFont="1" applyFill="1" applyBorder="1" applyAlignment="1">
      <alignment horizontal="right" vertical="center" wrapText="1"/>
    </xf>
    <xf numFmtId="0" fontId="33" fillId="3" borderId="43" xfId="0" applyFont="1" applyFill="1" applyBorder="1" applyAlignment="1">
      <alignment horizontal="right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6" fillId="3" borderId="4" xfId="0" applyFont="1" applyFill="1" applyBorder="1" applyAlignment="1">
      <alignment vertical="center"/>
    </xf>
    <xf numFmtId="0" fontId="36" fillId="3" borderId="1" xfId="0" applyFont="1" applyFill="1" applyBorder="1" applyAlignment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13" fillId="3" borderId="1" xfId="0" applyFont="1" applyFill="1" applyBorder="1" applyAlignment="1">
      <alignment horizontal="left" vertical="center" wrapText="1"/>
    </xf>
    <xf numFmtId="178" fontId="13" fillId="0" borderId="0" xfId="0" applyNumberFormat="1" applyFont="1" applyAlignment="1">
      <alignment horizontal="center" vertical="center"/>
    </xf>
    <xf numFmtId="178" fontId="13" fillId="0" borderId="0" xfId="0" applyNumberFormat="1" applyFont="1" applyAlignment="1">
      <alignment horizontal="left" vertical="center"/>
    </xf>
    <xf numFmtId="180" fontId="13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178" fontId="13" fillId="0" borderId="1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horizontal="right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178" fontId="13" fillId="0" borderId="1" xfId="0" applyNumberFormat="1" applyFont="1" applyBorder="1" applyAlignment="1">
      <alignment vertical="center"/>
    </xf>
    <xf numFmtId="178" fontId="13" fillId="0" borderId="0" xfId="0" applyNumberFormat="1" applyFont="1" applyAlignment="1">
      <alignment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13" fillId="3" borderId="1" xfId="0" applyNumberFormat="1" applyFont="1" applyFill="1" applyBorder="1" applyAlignment="1">
      <alignment horizontal="right" vertical="center"/>
    </xf>
    <xf numFmtId="178" fontId="13" fillId="3" borderId="1" xfId="0" applyNumberFormat="1" applyFont="1" applyFill="1" applyBorder="1" applyAlignment="1">
      <alignment vertical="center"/>
    </xf>
    <xf numFmtId="177" fontId="2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>
      <alignment vertical="center"/>
    </xf>
    <xf numFmtId="0" fontId="13" fillId="3" borderId="0" xfId="0" applyFont="1" applyFill="1">
      <alignment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0" fillId="7" borderId="37" xfId="0" applyNumberFormat="1" applyFill="1" applyBorder="1" applyAlignment="1">
      <alignment horizontal="right" vertical="center"/>
    </xf>
    <xf numFmtId="0" fontId="8" fillId="7" borderId="16" xfId="0" applyFont="1" applyFill="1" applyBorder="1" applyAlignment="1">
      <alignment horizontal="right" vertical="center" wrapText="1"/>
    </xf>
    <xf numFmtId="180" fontId="0" fillId="7" borderId="0" xfId="0" applyNumberFormat="1" applyFill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8" fillId="3" borderId="1" xfId="0" applyNumberFormat="1" applyFont="1" applyFill="1" applyBorder="1" applyAlignment="1">
      <alignment horizontal="left" vertical="center"/>
    </xf>
    <xf numFmtId="0" fontId="8" fillId="3" borderId="5" xfId="0" applyNumberFormat="1" applyFont="1" applyFill="1" applyBorder="1" applyAlignment="1">
      <alignment horizontal="right" vertical="center"/>
    </xf>
    <xf numFmtId="0" fontId="2" fillId="0" borderId="28" xfId="0" applyNumberFormat="1" applyFont="1" applyBorder="1" applyAlignment="1">
      <alignment horizontal="center" vertical="center"/>
    </xf>
    <xf numFmtId="0" fontId="8" fillId="3" borderId="4" xfId="0" applyNumberFormat="1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>
      <alignment vertical="center"/>
    </xf>
    <xf numFmtId="178" fontId="8" fillId="3" borderId="4" xfId="0" applyNumberFormat="1" applyFont="1" applyFill="1" applyBorder="1" applyAlignment="1">
      <alignment horizontal="left" vertical="center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vertical="center"/>
    </xf>
    <xf numFmtId="0" fontId="8" fillId="3" borderId="24" xfId="0" applyFont="1" applyFill="1" applyBorder="1" applyAlignment="1">
      <alignment horizontal="left" vertical="center" wrapText="1"/>
    </xf>
    <xf numFmtId="0" fontId="8" fillId="3" borderId="37" xfId="0" applyFont="1" applyFill="1" applyBorder="1" applyAlignment="1">
      <alignment horizontal="left" vertical="center" wrapText="1"/>
    </xf>
    <xf numFmtId="176" fontId="6" fillId="4" borderId="7" xfId="0" applyNumberFormat="1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78" fontId="8" fillId="3" borderId="42" xfId="0" applyNumberFormat="1" applyFont="1" applyFill="1" applyBorder="1" applyAlignment="1">
      <alignment horizontal="center" vertical="center"/>
    </xf>
    <xf numFmtId="0" fontId="8" fillId="3" borderId="38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37" fillId="3" borderId="16" xfId="0" applyFont="1" applyFill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6" fontId="7" fillId="0" borderId="11" xfId="0" applyNumberFormat="1" applyFont="1" applyFill="1" applyBorder="1" applyAlignment="1">
      <alignment horizontal="center" vertical="center"/>
    </xf>
    <xf numFmtId="176" fontId="7" fillId="0" borderId="13" xfId="0" applyNumberFormat="1" applyFont="1" applyFill="1" applyBorder="1" applyAlignment="1">
      <alignment horizontal="center" vertical="center"/>
    </xf>
    <xf numFmtId="176" fontId="7" fillId="0" borderId="7" xfId="0" applyNumberFormat="1" applyFont="1" applyFill="1" applyBorder="1" applyAlignment="1">
      <alignment horizontal="center" vertical="center"/>
    </xf>
    <xf numFmtId="0" fontId="8" fillId="0" borderId="35" xfId="0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0" fontId="8" fillId="0" borderId="26" xfId="0" applyFont="1" applyFill="1" applyBorder="1" applyAlignment="1">
      <alignment horizontal="center" vertical="center"/>
    </xf>
    <xf numFmtId="0" fontId="10" fillId="0" borderId="37" xfId="0" applyFont="1" applyFill="1" applyBorder="1" applyAlignment="1">
      <alignment horizontal="center" vertical="center" wrapText="1"/>
    </xf>
    <xf numFmtId="0" fontId="10" fillId="0" borderId="38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3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left" vertical="center"/>
    </xf>
    <xf numFmtId="0" fontId="10" fillId="0" borderId="24" xfId="0" applyFont="1" applyFill="1" applyBorder="1" applyAlignment="1">
      <alignment horizontal="center" vertical="center" wrapText="1"/>
    </xf>
    <xf numFmtId="176" fontId="7" fillId="3" borderId="11" xfId="0" applyNumberFormat="1" applyFont="1" applyFill="1" applyBorder="1" applyAlignment="1">
      <alignment horizontal="center" vertical="center"/>
    </xf>
    <xf numFmtId="176" fontId="7" fillId="3" borderId="13" xfId="0" applyNumberFormat="1" applyFont="1" applyFill="1" applyBorder="1" applyAlignment="1">
      <alignment horizontal="center" vertical="center"/>
    </xf>
    <xf numFmtId="176" fontId="7" fillId="3" borderId="7" xfId="0" applyNumberFormat="1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24" xfId="0" applyFont="1" applyFill="1" applyBorder="1" applyAlignment="1">
      <alignment horizontal="center" vertical="center" wrapText="1"/>
    </xf>
    <xf numFmtId="0" fontId="8" fillId="3" borderId="3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4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13" xfId="0" applyFont="1" applyFill="1" applyBorder="1" applyAlignment="1">
      <alignment horizontal="center" vertical="center" wrapText="1"/>
    </xf>
    <xf numFmtId="0" fontId="8" fillId="0" borderId="37" xfId="0" applyFont="1" applyFill="1" applyBorder="1" applyAlignment="1">
      <alignment horizontal="center" vertical="center" wrapText="1"/>
    </xf>
    <xf numFmtId="0" fontId="8" fillId="0" borderId="38" xfId="0" applyFont="1" applyFill="1" applyBorder="1" applyAlignment="1">
      <alignment horizontal="center" vertical="center" wrapText="1"/>
    </xf>
    <xf numFmtId="176" fontId="7" fillId="5" borderId="11" xfId="0" applyNumberFormat="1" applyFont="1" applyFill="1" applyBorder="1" applyAlignment="1">
      <alignment horizontal="center" vertical="center"/>
    </xf>
    <xf numFmtId="176" fontId="7" fillId="5" borderId="13" xfId="0" applyNumberFormat="1" applyFont="1" applyFill="1" applyBorder="1" applyAlignment="1">
      <alignment horizontal="center" vertical="center"/>
    </xf>
    <xf numFmtId="176" fontId="7" fillId="5" borderId="7" xfId="0" applyNumberFormat="1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0" borderId="14" xfId="0" applyFont="1" applyFill="1" applyBorder="1" applyAlignment="1">
      <alignment horizontal="center" vertical="center"/>
    </xf>
    <xf numFmtId="0" fontId="11" fillId="5" borderId="29" xfId="0" applyFont="1" applyFill="1" applyBorder="1" applyAlignment="1">
      <alignment horizontal="center" vertical="center" wrapText="1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11" fillId="5" borderId="21" xfId="0" applyFont="1" applyFill="1" applyBorder="1" applyAlignment="1">
      <alignment horizontal="center" vertical="center" wrapText="1"/>
    </xf>
    <xf numFmtId="0" fontId="11" fillId="5" borderId="0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horizontal="center" vertical="center" wrapText="1"/>
    </xf>
    <xf numFmtId="0" fontId="11" fillId="5" borderId="32" xfId="0" applyFont="1" applyFill="1" applyBorder="1" applyAlignment="1">
      <alignment horizontal="center" vertical="center" wrapText="1"/>
    </xf>
    <xf numFmtId="0" fontId="11" fillId="5" borderId="33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2" fillId="0" borderId="39" xfId="0" applyFont="1" applyFill="1" applyBorder="1" applyAlignment="1">
      <alignment horizontal="center" vertical="center" wrapText="1"/>
    </xf>
    <xf numFmtId="0" fontId="12" fillId="0" borderId="40" xfId="0" applyFont="1" applyFill="1" applyBorder="1" applyAlignment="1">
      <alignment horizontal="center" vertical="center" wrapText="1"/>
    </xf>
    <xf numFmtId="0" fontId="12" fillId="0" borderId="41" xfId="0" applyFont="1" applyFill="1" applyBorder="1" applyAlignment="1">
      <alignment horizontal="center" vertical="center" wrapText="1"/>
    </xf>
    <xf numFmtId="0" fontId="8" fillId="0" borderId="27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5" fillId="3" borderId="46" xfId="0" applyFont="1" applyFill="1" applyBorder="1" applyAlignment="1">
      <alignment horizontal="center" vertical="center" wrapText="1"/>
    </xf>
    <xf numFmtId="0" fontId="15" fillId="3" borderId="47" xfId="0" applyFont="1" applyFill="1" applyBorder="1" applyAlignment="1">
      <alignment horizontal="center" vertical="center" wrapText="1"/>
    </xf>
    <xf numFmtId="0" fontId="15" fillId="3" borderId="48" xfId="0" applyFont="1" applyFill="1" applyBorder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32" xfId="0" applyFont="1" applyFill="1" applyBorder="1" applyAlignment="1">
      <alignment horizontal="center" vertical="center" wrapText="1"/>
    </xf>
    <xf numFmtId="0" fontId="14" fillId="6" borderId="33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/>
    </xf>
    <xf numFmtId="0" fontId="16" fillId="5" borderId="29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6" fillId="5" borderId="31" xfId="0" applyFont="1" applyFill="1" applyBorder="1" applyAlignment="1">
      <alignment horizontal="center" vertical="center" wrapText="1"/>
    </xf>
    <xf numFmtId="0" fontId="16" fillId="5" borderId="21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22" xfId="0" applyFont="1" applyFill="1" applyBorder="1" applyAlignment="1">
      <alignment horizontal="center" vertical="center" wrapText="1"/>
    </xf>
    <xf numFmtId="0" fontId="7" fillId="5" borderId="35" xfId="0" applyFont="1" applyFill="1" applyBorder="1" applyAlignment="1">
      <alignment horizontal="center" vertical="center"/>
    </xf>
    <xf numFmtId="0" fontId="7" fillId="5" borderId="45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23" fillId="3" borderId="25" xfId="0" applyFont="1" applyFill="1" applyBorder="1" applyAlignment="1">
      <alignment horizontal="center" vertical="center"/>
    </xf>
    <xf numFmtId="0" fontId="23" fillId="3" borderId="27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 vertical="center" wrapText="1"/>
    </xf>
    <xf numFmtId="0" fontId="21" fillId="3" borderId="30" xfId="0" applyFont="1" applyFill="1" applyBorder="1" applyAlignment="1">
      <alignment horizontal="center" vertical="center" wrapText="1"/>
    </xf>
    <xf numFmtId="0" fontId="21" fillId="3" borderId="31" xfId="0" applyFont="1" applyFill="1" applyBorder="1" applyAlignment="1">
      <alignment horizontal="center" vertical="center" wrapText="1"/>
    </xf>
    <xf numFmtId="0" fontId="21" fillId="3" borderId="32" xfId="0" applyFont="1" applyFill="1" applyBorder="1" applyAlignment="1">
      <alignment horizontal="center" vertical="center" wrapText="1"/>
    </xf>
    <xf numFmtId="0" fontId="21" fillId="3" borderId="33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0" fontId="8" fillId="3" borderId="29" xfId="0" applyFont="1" applyFill="1" applyBorder="1" applyAlignment="1">
      <alignment horizontal="center" vertical="center" wrapText="1"/>
    </xf>
    <xf numFmtId="0" fontId="8" fillId="3" borderId="30" xfId="0" applyFont="1" applyFill="1" applyBorder="1" applyAlignment="1">
      <alignment horizontal="center" vertical="center" wrapText="1"/>
    </xf>
    <xf numFmtId="0" fontId="8" fillId="3" borderId="31" xfId="0" applyFont="1" applyFill="1" applyBorder="1" applyAlignment="1">
      <alignment horizontal="center" vertical="center" wrapText="1"/>
    </xf>
    <xf numFmtId="0" fontId="8" fillId="3" borderId="32" xfId="0" applyFont="1" applyFill="1" applyBorder="1" applyAlignment="1">
      <alignment horizontal="center" vertical="center" wrapText="1"/>
    </xf>
    <xf numFmtId="0" fontId="8" fillId="3" borderId="33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29" fillId="3" borderId="29" xfId="0" applyFont="1" applyFill="1" applyBorder="1" applyAlignment="1">
      <alignment horizontal="center" vertical="center" wrapText="1"/>
    </xf>
    <xf numFmtId="0" fontId="29" fillId="3" borderId="30" xfId="0" applyFont="1" applyFill="1" applyBorder="1" applyAlignment="1">
      <alignment horizontal="center" vertical="center" wrapText="1"/>
    </xf>
    <xf numFmtId="0" fontId="29" fillId="3" borderId="31" xfId="0" applyFont="1" applyFill="1" applyBorder="1" applyAlignment="1">
      <alignment horizontal="center" vertical="center" wrapText="1"/>
    </xf>
    <xf numFmtId="0" fontId="29" fillId="3" borderId="21" xfId="0" applyFont="1" applyFill="1" applyBorder="1" applyAlignment="1">
      <alignment horizontal="center" vertical="center" wrapText="1"/>
    </xf>
    <xf numFmtId="0" fontId="29" fillId="3" borderId="0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8" fillId="3" borderId="29" xfId="0" applyFont="1" applyFill="1" applyBorder="1" applyAlignment="1">
      <alignment horizontal="center" vertical="center" wrapText="1"/>
    </xf>
    <xf numFmtId="0" fontId="28" fillId="3" borderId="30" xfId="0" applyFont="1" applyFill="1" applyBorder="1" applyAlignment="1">
      <alignment horizontal="center" vertical="center" wrapText="1"/>
    </xf>
    <xf numFmtId="0" fontId="28" fillId="3" borderId="31" xfId="0" applyFont="1" applyFill="1" applyBorder="1" applyAlignment="1">
      <alignment horizontal="center" vertical="center" wrapText="1"/>
    </xf>
    <xf numFmtId="176" fontId="30" fillId="4" borderId="17" xfId="0" applyNumberFormat="1" applyFont="1" applyFill="1" applyBorder="1" applyAlignment="1">
      <alignment horizontal="center" vertical="center"/>
    </xf>
    <xf numFmtId="176" fontId="30" fillId="4" borderId="53" xfId="0" applyNumberFormat="1" applyFont="1" applyFill="1" applyBorder="1" applyAlignment="1">
      <alignment horizontal="center" vertical="center"/>
    </xf>
    <xf numFmtId="176" fontId="6" fillId="4" borderId="54" xfId="0" applyNumberFormat="1" applyFont="1" applyFill="1" applyBorder="1" applyAlignment="1">
      <alignment horizontal="center" vertical="center"/>
    </xf>
    <xf numFmtId="176" fontId="6" fillId="4" borderId="53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28" xfId="0" applyFont="1" applyFill="1" applyBorder="1" applyAlignment="1">
      <alignment horizontal="left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31" fillId="3" borderId="29" xfId="0" applyFont="1" applyFill="1" applyBorder="1" applyAlignment="1">
      <alignment horizontal="center" vertical="center" wrapText="1"/>
    </xf>
    <xf numFmtId="0" fontId="31" fillId="3" borderId="30" xfId="0" applyFont="1" applyFill="1" applyBorder="1" applyAlignment="1">
      <alignment horizontal="center" vertical="center" wrapText="1"/>
    </xf>
    <xf numFmtId="0" fontId="31" fillId="3" borderId="31" xfId="0" applyFont="1" applyFill="1" applyBorder="1" applyAlignment="1">
      <alignment horizontal="center" vertical="center" wrapText="1"/>
    </xf>
    <xf numFmtId="0" fontId="31" fillId="3" borderId="21" xfId="0" applyFont="1" applyFill="1" applyBorder="1" applyAlignment="1">
      <alignment horizontal="center" vertical="center" wrapText="1"/>
    </xf>
    <xf numFmtId="0" fontId="31" fillId="3" borderId="0" xfId="0" applyFont="1" applyFill="1" applyBorder="1" applyAlignment="1">
      <alignment horizontal="center" vertical="center" wrapText="1"/>
    </xf>
    <xf numFmtId="0" fontId="31" fillId="3" borderId="22" xfId="0" applyFont="1" applyFill="1" applyBorder="1" applyAlignment="1">
      <alignment horizontal="center" vertical="center" wrapText="1"/>
    </xf>
    <xf numFmtId="0" fontId="31" fillId="3" borderId="32" xfId="0" applyFont="1" applyFill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 wrapText="1"/>
    </xf>
    <xf numFmtId="0" fontId="31" fillId="3" borderId="8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/>
    </xf>
    <xf numFmtId="0" fontId="8" fillId="3" borderId="2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1" fillId="3" borderId="2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0" fontId="11" fillId="3" borderId="31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29" fillId="3" borderId="32" xfId="0" applyFont="1" applyFill="1" applyBorder="1" applyAlignment="1">
      <alignment horizontal="center" vertical="center" wrapText="1"/>
    </xf>
    <xf numFmtId="0" fontId="29" fillId="3" borderId="33" xfId="0" applyFont="1" applyFill="1" applyBorder="1" applyAlignment="1">
      <alignment horizontal="center" vertical="center" wrapText="1"/>
    </xf>
    <xf numFmtId="0" fontId="29" fillId="3" borderId="8" xfId="0" applyFont="1" applyFill="1" applyBorder="1" applyAlignment="1">
      <alignment horizontal="center" vertical="center" wrapText="1"/>
    </xf>
    <xf numFmtId="0" fontId="35" fillId="3" borderId="29" xfId="0" applyFont="1" applyFill="1" applyBorder="1" applyAlignment="1">
      <alignment horizontal="center" vertical="center" wrapText="1"/>
    </xf>
    <xf numFmtId="0" fontId="35" fillId="3" borderId="30" xfId="0" applyFont="1" applyFill="1" applyBorder="1" applyAlignment="1">
      <alignment horizontal="center" vertical="center" wrapText="1"/>
    </xf>
    <xf numFmtId="0" fontId="35" fillId="3" borderId="31" xfId="0" applyFont="1" applyFill="1" applyBorder="1" applyAlignment="1">
      <alignment horizontal="center" vertical="center" wrapText="1"/>
    </xf>
    <xf numFmtId="0" fontId="35" fillId="3" borderId="21" xfId="0" applyFont="1" applyFill="1" applyBorder="1" applyAlignment="1">
      <alignment horizontal="center" vertical="center" wrapText="1"/>
    </xf>
    <xf numFmtId="0" fontId="35" fillId="3" borderId="0" xfId="0" applyFont="1" applyFill="1" applyBorder="1" applyAlignment="1">
      <alignment horizontal="center" vertical="center" wrapText="1"/>
    </xf>
    <xf numFmtId="0" fontId="35" fillId="3" borderId="2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 vertical="center"/>
    </xf>
    <xf numFmtId="0" fontId="8" fillId="3" borderId="46" xfId="0" applyFont="1" applyFill="1" applyBorder="1" applyAlignment="1">
      <alignment horizontal="left" vertical="center" wrapText="1"/>
    </xf>
    <xf numFmtId="0" fontId="8" fillId="3" borderId="58" xfId="0" applyFont="1" applyFill="1" applyBorder="1" applyAlignment="1">
      <alignment horizontal="left" vertical="center" wrapText="1"/>
    </xf>
    <xf numFmtId="0" fontId="38" fillId="3" borderId="29" xfId="0" applyFont="1" applyFill="1" applyBorder="1" applyAlignment="1">
      <alignment horizontal="center" vertical="center" wrapText="1"/>
    </xf>
    <xf numFmtId="0" fontId="38" fillId="3" borderId="30" xfId="0" applyFont="1" applyFill="1" applyBorder="1" applyAlignment="1">
      <alignment horizontal="center" vertical="center" wrapText="1"/>
    </xf>
    <xf numFmtId="0" fontId="38" fillId="3" borderId="31" xfId="0" applyFont="1" applyFill="1" applyBorder="1" applyAlignment="1">
      <alignment horizontal="center" vertical="center" wrapText="1"/>
    </xf>
    <xf numFmtId="0" fontId="38" fillId="3" borderId="21" xfId="0" applyFont="1" applyFill="1" applyBorder="1" applyAlignment="1">
      <alignment horizontal="center" vertical="center" wrapText="1"/>
    </xf>
    <xf numFmtId="0" fontId="38" fillId="3" borderId="0" xfId="0" applyFont="1" applyFill="1" applyBorder="1" applyAlignment="1">
      <alignment horizontal="center" vertical="center" wrapText="1"/>
    </xf>
    <xf numFmtId="0" fontId="38" fillId="3" borderId="22" xfId="0" applyFont="1" applyFill="1" applyBorder="1" applyAlignment="1">
      <alignment horizontal="center" vertical="center" wrapText="1"/>
    </xf>
    <xf numFmtId="178" fontId="8" fillId="3" borderId="11" xfId="0" applyNumberFormat="1" applyFont="1" applyFill="1" applyBorder="1" applyAlignment="1">
      <alignment horizontal="center" vertical="center"/>
    </xf>
    <xf numFmtId="178" fontId="8" fillId="3" borderId="13" xfId="0" applyNumberFormat="1" applyFont="1" applyFill="1" applyBorder="1" applyAlignment="1">
      <alignment horizontal="center" vertical="center"/>
    </xf>
    <xf numFmtId="178" fontId="8" fillId="3" borderId="34" xfId="0" applyNumberFormat="1" applyFont="1" applyFill="1" applyBorder="1" applyAlignment="1">
      <alignment horizontal="center" vertical="center"/>
    </xf>
    <xf numFmtId="178" fontId="8" fillId="3" borderId="37" xfId="0" applyNumberFormat="1" applyFont="1" applyFill="1" applyBorder="1" applyAlignment="1">
      <alignment horizontal="center" vertical="center"/>
    </xf>
    <xf numFmtId="0" fontId="38" fillId="3" borderId="32" xfId="0" applyFont="1" applyFill="1" applyBorder="1" applyAlignment="1">
      <alignment horizontal="center" vertical="center" wrapText="1"/>
    </xf>
    <xf numFmtId="0" fontId="38" fillId="3" borderId="33" xfId="0" applyFont="1" applyFill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1" fillId="0" borderId="49" xfId="0" applyFont="1" applyBorder="1" applyAlignment="1">
      <alignment horizontal="center" vertical="center"/>
    </xf>
    <xf numFmtId="178" fontId="19" fillId="0" borderId="0" xfId="0" applyNumberFormat="1" applyFont="1" applyBorder="1" applyAlignment="1">
      <alignment horizontal="left" vertical="center"/>
    </xf>
    <xf numFmtId="178" fontId="8" fillId="0" borderId="0" xfId="0" applyNumberFormat="1" applyFont="1" applyBorder="1" applyAlignment="1">
      <alignment horizontal="left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7"/>
  <sheetViews>
    <sheetView view="pageBreakPreview" topLeftCell="A112" zoomScale="80" zoomScaleNormal="87" zoomScaleSheetLayoutView="80" workbookViewId="0">
      <selection activeCell="E120" sqref="E120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6.375" style="4" customWidth="1"/>
    <col min="7" max="7" width="20.125" style="4" customWidth="1"/>
    <col min="8" max="16384" width="9" style="19"/>
  </cols>
  <sheetData>
    <row r="1" spans="1:7" ht="82.5" customHeight="1" thickBot="1">
      <c r="A1" s="798" t="s">
        <v>0</v>
      </c>
      <c r="B1" s="799"/>
      <c r="C1" s="799"/>
      <c r="D1" s="799"/>
      <c r="E1" s="799"/>
      <c r="F1" s="800"/>
    </row>
    <row r="2" spans="1:7" ht="36" customHeight="1" thickBot="1">
      <c r="A2" s="9" t="s">
        <v>1</v>
      </c>
      <c r="B2" s="10" t="s">
        <v>2</v>
      </c>
      <c r="C2" s="20" t="s">
        <v>3</v>
      </c>
      <c r="D2" s="13" t="s">
        <v>6</v>
      </c>
      <c r="E2" s="21" t="s">
        <v>4</v>
      </c>
      <c r="F2" s="22" t="s">
        <v>5</v>
      </c>
    </row>
    <row r="3" spans="1:7" ht="36" customHeight="1">
      <c r="A3" s="838" t="s">
        <v>12</v>
      </c>
      <c r="B3" s="841" t="s">
        <v>7</v>
      </c>
      <c r="C3" s="845" t="s">
        <v>13</v>
      </c>
      <c r="D3" s="846"/>
      <c r="E3" s="846"/>
      <c r="F3" s="847"/>
    </row>
    <row r="4" spans="1:7" ht="36" customHeight="1">
      <c r="A4" s="839"/>
      <c r="B4" s="842"/>
      <c r="C4" s="848"/>
      <c r="D4" s="849"/>
      <c r="E4" s="849"/>
      <c r="F4" s="850"/>
    </row>
    <row r="5" spans="1:7" ht="36" customHeight="1" thickBot="1">
      <c r="A5" s="840"/>
      <c r="B5" s="843"/>
      <c r="C5" s="851"/>
      <c r="D5" s="852"/>
      <c r="E5" s="852"/>
      <c r="F5" s="853"/>
    </row>
    <row r="6" spans="1:7" ht="36" customHeight="1">
      <c r="A6" s="801">
        <v>42737</v>
      </c>
      <c r="B6" s="844" t="s">
        <v>8</v>
      </c>
      <c r="C6" s="854" t="s">
        <v>31</v>
      </c>
      <c r="D6" s="855"/>
      <c r="E6" s="856"/>
      <c r="F6" s="55" t="s">
        <v>32</v>
      </c>
    </row>
    <row r="7" spans="1:7" ht="36" customHeight="1" thickBot="1">
      <c r="A7" s="803"/>
      <c r="B7" s="806"/>
      <c r="C7" s="42" t="s">
        <v>30</v>
      </c>
      <c r="D7" s="40" t="s">
        <v>27</v>
      </c>
      <c r="E7" s="36" t="s">
        <v>28</v>
      </c>
      <c r="F7" s="43" t="s">
        <v>29</v>
      </c>
    </row>
    <row r="8" spans="1:7" ht="36" customHeight="1">
      <c r="A8" s="814">
        <v>42738</v>
      </c>
      <c r="B8" s="817" t="s">
        <v>9</v>
      </c>
      <c r="C8" s="831" t="s">
        <v>23</v>
      </c>
      <c r="D8" s="12" t="s">
        <v>19</v>
      </c>
      <c r="E8" s="11">
        <v>200</v>
      </c>
      <c r="F8" s="26"/>
    </row>
    <row r="9" spans="1:7" ht="36" customHeight="1">
      <c r="A9" s="815"/>
      <c r="B9" s="818"/>
      <c r="C9" s="832"/>
      <c r="D9" s="6" t="s">
        <v>18</v>
      </c>
      <c r="E9" s="7">
        <v>30</v>
      </c>
      <c r="F9" s="28"/>
      <c r="G9" s="4" t="s">
        <v>41</v>
      </c>
    </row>
    <row r="10" spans="1:7" ht="36" customHeight="1">
      <c r="A10" s="815"/>
      <c r="B10" s="818"/>
      <c r="C10" s="832"/>
      <c r="D10" s="6" t="s">
        <v>20</v>
      </c>
      <c r="E10" s="7">
        <v>10</v>
      </c>
      <c r="F10" s="28"/>
    </row>
    <row r="11" spans="1:7" ht="36" customHeight="1">
      <c r="A11" s="815"/>
      <c r="B11" s="818"/>
      <c r="C11" s="832"/>
      <c r="D11" s="39" t="s">
        <v>21</v>
      </c>
      <c r="E11" s="27" t="s">
        <v>22</v>
      </c>
      <c r="F11" s="28"/>
    </row>
    <row r="12" spans="1:7" ht="36" customHeight="1" thickBot="1">
      <c r="A12" s="815"/>
      <c r="B12" s="818"/>
      <c r="C12" s="60" t="s">
        <v>36</v>
      </c>
      <c r="D12" s="56" t="s">
        <v>37</v>
      </c>
      <c r="E12" s="57">
        <v>100</v>
      </c>
      <c r="F12" s="58"/>
    </row>
    <row r="13" spans="1:7" ht="36" customHeight="1" thickBot="1">
      <c r="A13" s="816"/>
      <c r="B13" s="819"/>
      <c r="C13" s="62"/>
      <c r="D13" s="63"/>
      <c r="E13" s="63"/>
      <c r="F13" s="64"/>
    </row>
    <row r="14" spans="1:7" ht="36" customHeight="1">
      <c r="A14" s="814">
        <v>42739</v>
      </c>
      <c r="B14" s="829" t="s">
        <v>10</v>
      </c>
      <c r="C14" s="834" t="s">
        <v>14</v>
      </c>
      <c r="D14" s="23" t="s">
        <v>25</v>
      </c>
      <c r="E14" s="18">
        <v>173</v>
      </c>
      <c r="F14" s="26"/>
      <c r="G14" s="38"/>
    </row>
    <row r="15" spans="1:7" ht="36" customHeight="1" thickBot="1">
      <c r="A15" s="815"/>
      <c r="B15" s="830"/>
      <c r="C15" s="835"/>
      <c r="D15" s="44" t="s">
        <v>26</v>
      </c>
      <c r="E15" s="29">
        <v>13</v>
      </c>
      <c r="F15" s="31"/>
    </row>
    <row r="16" spans="1:7" ht="36" customHeight="1">
      <c r="A16" s="815"/>
      <c r="B16" s="830"/>
      <c r="C16" s="833" t="s">
        <v>33</v>
      </c>
      <c r="D16" s="12" t="s">
        <v>42</v>
      </c>
      <c r="E16" s="11">
        <v>50</v>
      </c>
      <c r="F16" s="15"/>
    </row>
    <row r="17" spans="1:6" ht="36" customHeight="1">
      <c r="A17" s="815"/>
      <c r="B17" s="830"/>
      <c r="C17" s="822"/>
      <c r="D17" s="6" t="s">
        <v>35</v>
      </c>
      <c r="E17" s="27">
        <v>100</v>
      </c>
      <c r="F17" s="28"/>
    </row>
    <row r="18" spans="1:6" ht="36" customHeight="1">
      <c r="A18" s="815"/>
      <c r="B18" s="830"/>
      <c r="C18" s="822"/>
      <c r="D18" s="6" t="s">
        <v>43</v>
      </c>
      <c r="E18" s="7">
        <v>50</v>
      </c>
      <c r="F18" s="28"/>
    </row>
    <row r="19" spans="1:6" ht="36" customHeight="1">
      <c r="A19" s="815"/>
      <c r="B19" s="830"/>
      <c r="C19" s="822"/>
      <c r="D19" s="6" t="s">
        <v>44</v>
      </c>
      <c r="E19" s="7">
        <v>50</v>
      </c>
      <c r="F19" s="28"/>
    </row>
    <row r="20" spans="1:6" ht="36" customHeight="1" thickBot="1">
      <c r="A20" s="815"/>
      <c r="B20" s="830"/>
      <c r="C20" s="823"/>
      <c r="D20" s="45" t="s">
        <v>34</v>
      </c>
      <c r="E20" s="24">
        <v>20</v>
      </c>
      <c r="F20" s="25"/>
    </row>
    <row r="21" spans="1:6" ht="36" customHeight="1" thickBot="1">
      <c r="A21" s="816"/>
      <c r="B21" s="819"/>
      <c r="C21" s="52"/>
      <c r="D21" s="53"/>
      <c r="E21" s="33"/>
      <c r="F21" s="54"/>
    </row>
    <row r="22" spans="1:6" ht="36" customHeight="1">
      <c r="A22" s="814">
        <v>42740</v>
      </c>
      <c r="B22" s="829" t="s">
        <v>11</v>
      </c>
      <c r="C22" s="833" t="s">
        <v>15</v>
      </c>
      <c r="D22" s="12" t="s">
        <v>16</v>
      </c>
      <c r="E22" s="11" t="s">
        <v>17</v>
      </c>
      <c r="F22" s="16"/>
    </row>
    <row r="23" spans="1:6" ht="36" customHeight="1">
      <c r="A23" s="815"/>
      <c r="B23" s="830"/>
      <c r="C23" s="825"/>
      <c r="D23" s="49" t="s">
        <v>24</v>
      </c>
      <c r="E23" s="50">
        <v>50</v>
      </c>
      <c r="F23" s="51"/>
    </row>
    <row r="24" spans="1:6" ht="36" customHeight="1">
      <c r="A24" s="815"/>
      <c r="B24" s="830"/>
      <c r="C24" s="836" t="s">
        <v>38</v>
      </c>
      <c r="D24" s="59" t="s">
        <v>39</v>
      </c>
      <c r="E24" s="27">
        <v>20</v>
      </c>
      <c r="F24" s="47"/>
    </row>
    <row r="25" spans="1:6" ht="36" customHeight="1" thickBot="1">
      <c r="A25" s="815"/>
      <c r="B25" s="830"/>
      <c r="C25" s="837"/>
      <c r="D25" s="17" t="s">
        <v>40</v>
      </c>
      <c r="E25" s="24">
        <v>50</v>
      </c>
      <c r="F25" s="48"/>
    </row>
    <row r="26" spans="1:6" ht="36" customHeight="1" thickBot="1">
      <c r="A26" s="816"/>
      <c r="B26" s="819"/>
      <c r="C26" s="32"/>
      <c r="D26" s="33"/>
      <c r="E26" s="33"/>
      <c r="F26" s="34"/>
    </row>
    <row r="27" spans="1:6" ht="102" customHeight="1" thickBot="1">
      <c r="A27" s="798" t="s">
        <v>0</v>
      </c>
      <c r="B27" s="799"/>
      <c r="C27" s="799"/>
      <c r="D27" s="799"/>
      <c r="E27" s="799"/>
      <c r="F27" s="800"/>
    </row>
    <row r="28" spans="1:6" ht="36" customHeight="1" thickBot="1">
      <c r="A28" s="9" t="s">
        <v>1</v>
      </c>
      <c r="B28" s="10" t="s">
        <v>2</v>
      </c>
      <c r="C28" s="20" t="s">
        <v>3</v>
      </c>
      <c r="D28" s="13" t="s">
        <v>6</v>
      </c>
      <c r="E28" s="21" t="s">
        <v>4</v>
      </c>
      <c r="F28" s="22" t="s">
        <v>5</v>
      </c>
    </row>
    <row r="29" spans="1:6" ht="36" customHeight="1">
      <c r="A29" s="801">
        <v>42743</v>
      </c>
      <c r="B29" s="844" t="s">
        <v>7</v>
      </c>
      <c r="C29" s="61" t="s">
        <v>53</v>
      </c>
      <c r="D29" s="12"/>
      <c r="E29" s="11"/>
      <c r="F29" s="15"/>
    </row>
    <row r="30" spans="1:6" ht="36" customHeight="1">
      <c r="A30" s="802"/>
      <c r="B30" s="857"/>
      <c r="C30" s="6" t="s">
        <v>54</v>
      </c>
      <c r="D30" s="6" t="s">
        <v>16</v>
      </c>
      <c r="E30" s="27" t="s">
        <v>55</v>
      </c>
      <c r="F30" s="28"/>
    </row>
    <row r="31" spans="1:6" ht="36" customHeight="1">
      <c r="A31" s="802"/>
      <c r="B31" s="857"/>
      <c r="C31" s="6"/>
      <c r="D31" s="6"/>
      <c r="E31" s="7"/>
      <c r="F31" s="28"/>
    </row>
    <row r="32" spans="1:6" ht="36" customHeight="1" thickBot="1">
      <c r="A32" s="802"/>
      <c r="B32" s="857"/>
      <c r="C32" s="8"/>
      <c r="D32" s="8"/>
      <c r="E32" s="5"/>
      <c r="F32" s="25"/>
    </row>
    <row r="33" spans="1:6" ht="36" customHeight="1" thickBot="1">
      <c r="A33" s="803"/>
      <c r="B33" s="806"/>
      <c r="C33" s="42"/>
      <c r="D33" s="40"/>
      <c r="E33" s="36"/>
      <c r="F33" s="43"/>
    </row>
    <row r="34" spans="1:6" ht="36" customHeight="1">
      <c r="A34" s="801">
        <v>42744</v>
      </c>
      <c r="B34" s="804" t="s">
        <v>8</v>
      </c>
      <c r="C34" s="65" t="s">
        <v>45</v>
      </c>
      <c r="D34" s="12" t="s">
        <v>46</v>
      </c>
      <c r="E34" s="11">
        <v>100</v>
      </c>
      <c r="F34" s="30" t="s">
        <v>47</v>
      </c>
    </row>
    <row r="35" spans="1:6" ht="36" customHeight="1">
      <c r="A35" s="802"/>
      <c r="B35" s="805"/>
      <c r="C35" s="66"/>
      <c r="D35" s="6"/>
      <c r="E35" s="7"/>
      <c r="F35" s="67"/>
    </row>
    <row r="36" spans="1:6" ht="36" customHeight="1">
      <c r="A36" s="802"/>
      <c r="B36" s="805"/>
      <c r="C36" s="68"/>
      <c r="D36" s="6"/>
      <c r="E36" s="7"/>
      <c r="F36" s="28"/>
    </row>
    <row r="37" spans="1:6" ht="36" customHeight="1" thickBot="1">
      <c r="A37" s="802"/>
      <c r="B37" s="805"/>
      <c r="C37" s="69"/>
      <c r="D37" s="8"/>
      <c r="E37" s="24"/>
      <c r="F37" s="14"/>
    </row>
    <row r="38" spans="1:6" ht="36" customHeight="1" thickBot="1">
      <c r="A38" s="803"/>
      <c r="B38" s="806"/>
      <c r="C38" s="35"/>
      <c r="D38" s="41"/>
      <c r="E38" s="36"/>
      <c r="F38" s="37"/>
    </row>
    <row r="39" spans="1:6" ht="36" customHeight="1">
      <c r="A39" s="814">
        <v>42745</v>
      </c>
      <c r="B39" s="829" t="s">
        <v>9</v>
      </c>
      <c r="C39" s="826" t="s">
        <v>48</v>
      </c>
      <c r="D39" s="12" t="s">
        <v>49</v>
      </c>
      <c r="E39" s="11">
        <v>100</v>
      </c>
      <c r="F39" s="26"/>
    </row>
    <row r="40" spans="1:6" ht="36" customHeight="1">
      <c r="A40" s="815"/>
      <c r="B40" s="830"/>
      <c r="C40" s="858"/>
      <c r="D40" s="39" t="s">
        <v>16</v>
      </c>
      <c r="E40" s="27" t="s">
        <v>50</v>
      </c>
      <c r="F40" s="28"/>
    </row>
    <row r="41" spans="1:6" ht="36" customHeight="1" thickBot="1">
      <c r="A41" s="815"/>
      <c r="B41" s="830"/>
      <c r="C41" s="17" t="s">
        <v>58</v>
      </c>
      <c r="D41" s="17" t="s">
        <v>16</v>
      </c>
      <c r="E41" s="24" t="s">
        <v>59</v>
      </c>
      <c r="F41" s="14"/>
    </row>
    <row r="42" spans="1:6" ht="36" customHeight="1" thickBot="1">
      <c r="A42" s="816"/>
      <c r="B42" s="819"/>
      <c r="C42" s="32"/>
      <c r="D42" s="33"/>
      <c r="E42" s="33"/>
      <c r="F42" s="34"/>
    </row>
    <row r="43" spans="1:6" ht="36" customHeight="1">
      <c r="A43" s="814">
        <v>42746</v>
      </c>
      <c r="B43" s="829" t="s">
        <v>10</v>
      </c>
      <c r="C43" s="833" t="s">
        <v>14</v>
      </c>
      <c r="D43" s="12" t="s">
        <v>25</v>
      </c>
      <c r="E43" s="11">
        <f>24+3+38+67</f>
        <v>132</v>
      </c>
      <c r="F43" s="26"/>
    </row>
    <row r="44" spans="1:6" ht="36" customHeight="1">
      <c r="A44" s="815"/>
      <c r="B44" s="830"/>
      <c r="C44" s="825"/>
      <c r="D44" s="49" t="s">
        <v>26</v>
      </c>
      <c r="E44" s="50">
        <f>55+41</f>
        <v>96</v>
      </c>
      <c r="F44" s="31"/>
    </row>
    <row r="45" spans="1:6" ht="36" customHeight="1">
      <c r="A45" s="815"/>
      <c r="B45" s="830"/>
      <c r="C45" s="859" t="s">
        <v>63</v>
      </c>
      <c r="D45" s="39" t="s">
        <v>64</v>
      </c>
      <c r="E45" s="27" t="s">
        <v>72</v>
      </c>
      <c r="F45" s="28" t="s">
        <v>65</v>
      </c>
    </row>
    <row r="46" spans="1:6" ht="36" customHeight="1">
      <c r="A46" s="815"/>
      <c r="B46" s="830"/>
      <c r="C46" s="821"/>
      <c r="D46" s="44" t="s">
        <v>71</v>
      </c>
      <c r="E46" s="29" t="s">
        <v>73</v>
      </c>
      <c r="F46" s="31" t="s">
        <v>65</v>
      </c>
    </row>
    <row r="47" spans="1:6" ht="36" customHeight="1" thickBot="1">
      <c r="A47" s="815"/>
      <c r="B47" s="830"/>
      <c r="C47" s="860"/>
      <c r="D47" s="45" t="s">
        <v>74</v>
      </c>
      <c r="E47" s="24" t="s">
        <v>75</v>
      </c>
      <c r="F47" s="25"/>
    </row>
    <row r="48" spans="1:6" ht="36" customHeight="1" thickBot="1">
      <c r="A48" s="816"/>
      <c r="B48" s="819"/>
      <c r="C48" s="46"/>
      <c r="D48" s="40"/>
      <c r="E48" s="36"/>
      <c r="F48" s="37"/>
    </row>
    <row r="49" spans="1:6" ht="36" customHeight="1">
      <c r="A49" s="814">
        <v>42747</v>
      </c>
      <c r="B49" s="829" t="s">
        <v>11</v>
      </c>
      <c r="C49" s="70" t="s">
        <v>51</v>
      </c>
      <c r="D49" s="12" t="s">
        <v>52</v>
      </c>
      <c r="E49" s="11">
        <v>53</v>
      </c>
      <c r="F49" s="16"/>
    </row>
    <row r="50" spans="1:6" ht="36" customHeight="1">
      <c r="A50" s="815"/>
      <c r="B50" s="830"/>
      <c r="C50" s="6" t="s">
        <v>56</v>
      </c>
      <c r="D50" s="6" t="s">
        <v>57</v>
      </c>
      <c r="E50" s="7">
        <v>10</v>
      </c>
      <c r="F50" s="7"/>
    </row>
    <row r="51" spans="1:6" ht="36" customHeight="1" thickBot="1">
      <c r="A51" s="815"/>
      <c r="B51" s="830"/>
      <c r="C51" s="45"/>
      <c r="D51" s="45"/>
      <c r="E51" s="24"/>
      <c r="F51" s="24"/>
    </row>
    <row r="52" spans="1:6" ht="36" customHeight="1" thickBot="1">
      <c r="A52" s="816"/>
      <c r="B52" s="819"/>
      <c r="C52" s="32"/>
      <c r="D52" s="33"/>
      <c r="E52" s="33"/>
      <c r="F52" s="34"/>
    </row>
    <row r="53" spans="1:6" ht="89.25" customHeight="1" thickBot="1">
      <c r="A53" s="798" t="s">
        <v>0</v>
      </c>
      <c r="B53" s="799"/>
      <c r="C53" s="799"/>
      <c r="D53" s="799"/>
      <c r="E53" s="799"/>
      <c r="F53" s="800"/>
    </row>
    <row r="54" spans="1:6" ht="36" customHeight="1" thickBot="1">
      <c r="A54" s="9" t="s">
        <v>1</v>
      </c>
      <c r="B54" s="10" t="s">
        <v>2</v>
      </c>
      <c r="C54" s="20" t="s">
        <v>3</v>
      </c>
      <c r="D54" s="13" t="s">
        <v>6</v>
      </c>
      <c r="E54" s="21" t="s">
        <v>4</v>
      </c>
      <c r="F54" s="22" t="s">
        <v>5</v>
      </c>
    </row>
    <row r="55" spans="1:6" ht="36" customHeight="1">
      <c r="A55" s="801">
        <v>43115</v>
      </c>
      <c r="B55" s="804" t="s">
        <v>7</v>
      </c>
      <c r="C55" s="71" t="s">
        <v>79</v>
      </c>
      <c r="D55" s="12" t="s">
        <v>85</v>
      </c>
      <c r="E55" s="11">
        <v>162</v>
      </c>
      <c r="F55" s="15"/>
    </row>
    <row r="56" spans="1:6" ht="36" customHeight="1" thickBot="1">
      <c r="A56" s="802"/>
      <c r="B56" s="805"/>
      <c r="C56" s="69" t="s">
        <v>100</v>
      </c>
      <c r="D56" s="8" t="s">
        <v>101</v>
      </c>
      <c r="E56" s="5">
        <v>200</v>
      </c>
      <c r="F56" s="25"/>
    </row>
    <row r="57" spans="1:6" ht="36" customHeight="1" thickBot="1">
      <c r="A57" s="803"/>
      <c r="B57" s="806"/>
      <c r="C57" s="42" t="s">
        <v>86</v>
      </c>
      <c r="D57" s="40" t="s">
        <v>87</v>
      </c>
      <c r="E57" s="36" t="s">
        <v>88</v>
      </c>
      <c r="F57" s="43" t="s">
        <v>89</v>
      </c>
    </row>
    <row r="58" spans="1:6" ht="36" customHeight="1">
      <c r="A58" s="801">
        <v>43116</v>
      </c>
      <c r="B58" s="804" t="s">
        <v>8</v>
      </c>
      <c r="C58" s="826" t="s">
        <v>66</v>
      </c>
      <c r="D58" s="12" t="s">
        <v>68</v>
      </c>
      <c r="E58" s="11" t="s">
        <v>69</v>
      </c>
      <c r="F58" s="30" t="s">
        <v>67</v>
      </c>
    </row>
    <row r="59" spans="1:6" ht="36" customHeight="1">
      <c r="A59" s="802"/>
      <c r="B59" s="805"/>
      <c r="C59" s="858"/>
      <c r="D59" s="6" t="s">
        <v>70</v>
      </c>
      <c r="E59" s="7">
        <v>100</v>
      </c>
      <c r="F59" s="67"/>
    </row>
    <row r="60" spans="1:6" ht="36" customHeight="1" thickBot="1">
      <c r="A60" s="802"/>
      <c r="B60" s="805"/>
      <c r="C60" s="69"/>
      <c r="D60" s="8"/>
      <c r="E60" s="24"/>
      <c r="F60" s="14"/>
    </row>
    <row r="61" spans="1:6" ht="36" customHeight="1" thickBot="1">
      <c r="A61" s="803"/>
      <c r="B61" s="806"/>
      <c r="C61" s="35"/>
      <c r="D61" s="41"/>
      <c r="E61" s="36"/>
      <c r="F61" s="37"/>
    </row>
    <row r="62" spans="1:6" ht="36" customHeight="1">
      <c r="A62" s="815">
        <v>43117</v>
      </c>
      <c r="B62" s="818" t="s">
        <v>90</v>
      </c>
      <c r="C62" s="72" t="s">
        <v>82</v>
      </c>
      <c r="D62" s="73" t="s">
        <v>84</v>
      </c>
      <c r="E62" s="18">
        <v>200</v>
      </c>
      <c r="F62" s="26"/>
    </row>
    <row r="63" spans="1:6" ht="36" customHeight="1" thickBot="1">
      <c r="A63" s="815"/>
      <c r="B63" s="818"/>
      <c r="C63" s="74" t="s">
        <v>96</v>
      </c>
      <c r="D63" s="45" t="s">
        <v>97</v>
      </c>
      <c r="E63" s="24" t="s">
        <v>98</v>
      </c>
      <c r="F63" s="25" t="s">
        <v>99</v>
      </c>
    </row>
    <row r="64" spans="1:6" ht="36" customHeight="1" thickBot="1">
      <c r="A64" s="816"/>
      <c r="B64" s="819"/>
      <c r="C64" s="35"/>
      <c r="D64" s="36"/>
      <c r="E64" s="36"/>
      <c r="F64" s="37"/>
    </row>
    <row r="65" spans="1:6" ht="36" customHeight="1">
      <c r="A65" s="814">
        <v>43118</v>
      </c>
      <c r="B65" s="817" t="s">
        <v>10</v>
      </c>
      <c r="C65" s="824" t="s">
        <v>33</v>
      </c>
      <c r="D65" s="12" t="s">
        <v>60</v>
      </c>
      <c r="E65" s="11">
        <v>100</v>
      </c>
      <c r="F65" s="15" t="s">
        <v>61</v>
      </c>
    </row>
    <row r="66" spans="1:6" ht="36" customHeight="1">
      <c r="A66" s="815"/>
      <c r="B66" s="818"/>
      <c r="C66" s="825"/>
      <c r="D66" s="49" t="s">
        <v>118</v>
      </c>
      <c r="E66" s="50">
        <v>50</v>
      </c>
      <c r="F66" s="84"/>
    </row>
    <row r="67" spans="1:6" ht="36" customHeight="1">
      <c r="A67" s="815"/>
      <c r="B67" s="818"/>
      <c r="C67" s="809"/>
      <c r="D67" s="6" t="s">
        <v>62</v>
      </c>
      <c r="E67" s="27">
        <v>30</v>
      </c>
      <c r="F67" s="28"/>
    </row>
    <row r="68" spans="1:6" ht="36" customHeight="1">
      <c r="A68" s="815"/>
      <c r="B68" s="818"/>
      <c r="C68" s="809"/>
      <c r="D68" s="6" t="s">
        <v>20</v>
      </c>
      <c r="E68" s="27">
        <v>50</v>
      </c>
      <c r="F68" s="28"/>
    </row>
    <row r="69" spans="1:6" ht="36" customHeight="1">
      <c r="A69" s="815"/>
      <c r="B69" s="818"/>
      <c r="C69" s="809"/>
      <c r="D69" s="6" t="s">
        <v>44</v>
      </c>
      <c r="E69" s="7">
        <v>50</v>
      </c>
      <c r="F69" s="28"/>
    </row>
    <row r="70" spans="1:6" ht="36" customHeight="1">
      <c r="A70" s="815"/>
      <c r="B70" s="818"/>
      <c r="C70" s="809"/>
      <c r="D70" s="6" t="s">
        <v>80</v>
      </c>
      <c r="E70" s="7">
        <v>50</v>
      </c>
      <c r="F70" s="28" t="s">
        <v>81</v>
      </c>
    </row>
    <row r="71" spans="1:6" ht="36" customHeight="1">
      <c r="A71" s="815"/>
      <c r="B71" s="818"/>
      <c r="C71" s="809"/>
      <c r="D71" s="6" t="s">
        <v>119</v>
      </c>
      <c r="E71" s="7">
        <v>50</v>
      </c>
      <c r="F71" s="28"/>
    </row>
    <row r="72" spans="1:6" ht="36" customHeight="1">
      <c r="A72" s="815"/>
      <c r="B72" s="818"/>
      <c r="C72" s="809" t="s">
        <v>15</v>
      </c>
      <c r="D72" s="6" t="s">
        <v>76</v>
      </c>
      <c r="E72" s="7">
        <v>50</v>
      </c>
      <c r="F72" s="28" t="s">
        <v>77</v>
      </c>
    </row>
    <row r="73" spans="1:6" ht="36" customHeight="1" thickBot="1">
      <c r="A73" s="815"/>
      <c r="B73" s="818"/>
      <c r="C73" s="810"/>
      <c r="D73" s="45" t="s">
        <v>78</v>
      </c>
      <c r="E73" s="24">
        <v>50</v>
      </c>
      <c r="F73" s="25"/>
    </row>
    <row r="74" spans="1:6" ht="36" customHeight="1" thickBot="1">
      <c r="A74" s="816"/>
      <c r="B74" s="819"/>
      <c r="C74" s="46"/>
      <c r="D74" s="40"/>
      <c r="E74" s="36"/>
      <c r="F74" s="37"/>
    </row>
    <row r="75" spans="1:6" ht="36" customHeight="1" thickBot="1">
      <c r="A75" s="814">
        <v>43119</v>
      </c>
      <c r="B75" s="817" t="s">
        <v>11</v>
      </c>
      <c r="C75" s="83" t="s">
        <v>83</v>
      </c>
      <c r="D75" s="82" t="s">
        <v>121</v>
      </c>
      <c r="E75" s="77">
        <v>185</v>
      </c>
      <c r="F75" s="16"/>
    </row>
    <row r="76" spans="1:6" ht="36" customHeight="1" thickBot="1">
      <c r="A76" s="815"/>
      <c r="B76" s="818"/>
      <c r="C76" s="78" t="s">
        <v>104</v>
      </c>
      <c r="D76" s="79" t="s">
        <v>102</v>
      </c>
      <c r="E76" s="80" t="s">
        <v>103</v>
      </c>
      <c r="F76" s="81"/>
    </row>
    <row r="77" spans="1:6" ht="36" customHeight="1" thickBot="1">
      <c r="A77" s="816"/>
      <c r="B77" s="819"/>
      <c r="C77" s="32"/>
      <c r="D77" s="33"/>
      <c r="E77" s="33"/>
      <c r="F77" s="34"/>
    </row>
    <row r="78" spans="1:6" ht="65.25" customHeight="1" thickBot="1">
      <c r="A78" s="798" t="s">
        <v>0</v>
      </c>
      <c r="B78" s="799"/>
      <c r="C78" s="799"/>
      <c r="D78" s="799"/>
      <c r="E78" s="799"/>
      <c r="F78" s="800"/>
    </row>
    <row r="79" spans="1:6" ht="36" customHeight="1" thickBot="1">
      <c r="A79" s="9" t="s">
        <v>1</v>
      </c>
      <c r="B79" s="10" t="s">
        <v>2</v>
      </c>
      <c r="C79" s="20" t="s">
        <v>3</v>
      </c>
      <c r="D79" s="13" t="s">
        <v>6</v>
      </c>
      <c r="E79" s="21" t="s">
        <v>4</v>
      </c>
      <c r="F79" s="22" t="s">
        <v>5</v>
      </c>
    </row>
    <row r="80" spans="1:6" ht="36" customHeight="1">
      <c r="A80" s="801">
        <v>43122</v>
      </c>
      <c r="B80" s="804" t="s">
        <v>7</v>
      </c>
      <c r="C80" s="824" t="s">
        <v>33</v>
      </c>
      <c r="D80" s="12" t="s">
        <v>120</v>
      </c>
      <c r="E80" s="11">
        <v>50</v>
      </c>
      <c r="F80" s="16"/>
    </row>
    <row r="81" spans="1:6" ht="36" customHeight="1">
      <c r="A81" s="802"/>
      <c r="B81" s="805"/>
      <c r="C81" s="809"/>
      <c r="D81" s="6" t="s">
        <v>44</v>
      </c>
      <c r="E81" s="27">
        <v>50</v>
      </c>
      <c r="F81" s="75"/>
    </row>
    <row r="82" spans="1:6" ht="36" customHeight="1">
      <c r="A82" s="802"/>
      <c r="B82" s="805"/>
      <c r="C82" s="809"/>
      <c r="D82" s="6" t="s">
        <v>19</v>
      </c>
      <c r="E82" s="27">
        <v>100</v>
      </c>
      <c r="F82" s="75"/>
    </row>
    <row r="83" spans="1:6" ht="36" customHeight="1">
      <c r="A83" s="802"/>
      <c r="B83" s="805"/>
      <c r="C83" s="809"/>
      <c r="D83" s="6" t="s">
        <v>57</v>
      </c>
      <c r="E83" s="27">
        <v>50</v>
      </c>
      <c r="F83" s="75"/>
    </row>
    <row r="84" spans="1:6" ht="36" customHeight="1">
      <c r="A84" s="802"/>
      <c r="B84" s="805"/>
      <c r="C84" s="809"/>
      <c r="D84" s="6" t="s">
        <v>20</v>
      </c>
      <c r="E84" s="27">
        <v>50</v>
      </c>
      <c r="F84" s="75"/>
    </row>
    <row r="85" spans="1:6" ht="36" customHeight="1" thickBot="1">
      <c r="A85" s="802"/>
      <c r="B85" s="805"/>
      <c r="C85" s="810"/>
      <c r="D85" s="8" t="s">
        <v>126</v>
      </c>
      <c r="E85" s="24" t="s">
        <v>127</v>
      </c>
      <c r="F85" s="76"/>
    </row>
    <row r="86" spans="1:6" ht="36" customHeight="1">
      <c r="A86" s="802"/>
      <c r="B86" s="805"/>
      <c r="C86" s="822" t="s">
        <v>106</v>
      </c>
      <c r="D86" s="49" t="s">
        <v>107</v>
      </c>
      <c r="E86" s="50" t="s">
        <v>108</v>
      </c>
      <c r="F86" s="91"/>
    </row>
    <row r="87" spans="1:6" ht="36" customHeight="1" thickBot="1">
      <c r="A87" s="802"/>
      <c r="B87" s="805"/>
      <c r="C87" s="823"/>
      <c r="D87" s="8" t="s">
        <v>109</v>
      </c>
      <c r="E87" s="5" t="s">
        <v>110</v>
      </c>
      <c r="F87" s="25"/>
    </row>
    <row r="88" spans="1:6" ht="36" customHeight="1" thickBot="1">
      <c r="A88" s="802"/>
      <c r="B88" s="805"/>
      <c r="C88" s="87" t="s">
        <v>129</v>
      </c>
      <c r="D88" s="86" t="s">
        <v>130</v>
      </c>
      <c r="E88" s="88">
        <v>100</v>
      </c>
      <c r="F88" s="89"/>
    </row>
    <row r="89" spans="1:6" ht="36" customHeight="1" thickBot="1">
      <c r="A89" s="803"/>
      <c r="B89" s="806"/>
      <c r="C89" s="42"/>
      <c r="D89" s="40"/>
      <c r="E89" s="36"/>
      <c r="F89" s="43"/>
    </row>
    <row r="90" spans="1:6" ht="36" customHeight="1">
      <c r="A90" s="801">
        <v>43123</v>
      </c>
      <c r="B90" s="804" t="s">
        <v>8</v>
      </c>
      <c r="C90" s="826" t="s">
        <v>105</v>
      </c>
      <c r="D90" s="12" t="s">
        <v>135</v>
      </c>
      <c r="E90" s="11">
        <v>192</v>
      </c>
      <c r="F90" s="30"/>
    </row>
    <row r="91" spans="1:6" ht="36" customHeight="1" thickBot="1">
      <c r="A91" s="802"/>
      <c r="B91" s="805"/>
      <c r="C91" s="827"/>
      <c r="D91" s="8" t="s">
        <v>142</v>
      </c>
      <c r="E91" s="5">
        <v>2</v>
      </c>
      <c r="F91" s="92"/>
    </row>
    <row r="92" spans="1:6" ht="36" customHeight="1">
      <c r="A92" s="802"/>
      <c r="B92" s="805"/>
      <c r="C92" s="822" t="s">
        <v>111</v>
      </c>
      <c r="D92" s="49" t="s">
        <v>112</v>
      </c>
      <c r="E92" s="50">
        <v>80</v>
      </c>
      <c r="F92" s="91" t="s">
        <v>113</v>
      </c>
    </row>
    <row r="93" spans="1:6" ht="36" customHeight="1">
      <c r="A93" s="802"/>
      <c r="B93" s="805"/>
      <c r="C93" s="822"/>
      <c r="D93" s="85" t="s">
        <v>43</v>
      </c>
      <c r="E93" s="77" t="s">
        <v>114</v>
      </c>
      <c r="F93" s="31"/>
    </row>
    <row r="94" spans="1:6" ht="36" customHeight="1" thickBot="1">
      <c r="A94" s="802"/>
      <c r="B94" s="805"/>
      <c r="C94" s="823"/>
      <c r="D94" s="8" t="s">
        <v>115</v>
      </c>
      <c r="E94" s="24" t="s">
        <v>116</v>
      </c>
      <c r="F94" s="14" t="s">
        <v>117</v>
      </c>
    </row>
    <row r="95" spans="1:6" ht="36" customHeight="1" thickBot="1">
      <c r="A95" s="803"/>
      <c r="B95" s="828"/>
      <c r="C95" s="32"/>
      <c r="D95" s="90"/>
      <c r="E95" s="33"/>
      <c r="F95" s="34"/>
    </row>
    <row r="96" spans="1:6" ht="36" customHeight="1">
      <c r="A96" s="815">
        <v>43124</v>
      </c>
      <c r="B96" s="818" t="s">
        <v>128</v>
      </c>
      <c r="C96" s="820" t="s">
        <v>56</v>
      </c>
      <c r="D96" s="12" t="s">
        <v>91</v>
      </c>
      <c r="E96" s="11">
        <v>30</v>
      </c>
      <c r="F96" s="16" t="s">
        <v>94</v>
      </c>
    </row>
    <row r="97" spans="1:7" ht="36" customHeight="1">
      <c r="A97" s="815"/>
      <c r="B97" s="818"/>
      <c r="C97" s="821"/>
      <c r="D97" s="6" t="s">
        <v>92</v>
      </c>
      <c r="E97" s="7">
        <v>50</v>
      </c>
      <c r="F97" s="75" t="s">
        <v>94</v>
      </c>
    </row>
    <row r="98" spans="1:7" ht="36" customHeight="1">
      <c r="A98" s="815"/>
      <c r="B98" s="818"/>
      <c r="C98" s="821"/>
      <c r="D98" s="39" t="s">
        <v>93</v>
      </c>
      <c r="E98" s="27">
        <v>30</v>
      </c>
      <c r="F98" s="75" t="s">
        <v>95</v>
      </c>
    </row>
    <row r="99" spans="1:7" ht="36" customHeight="1">
      <c r="A99" s="815"/>
      <c r="B99" s="818"/>
      <c r="C99" s="821"/>
      <c r="D99" s="39" t="s">
        <v>137</v>
      </c>
      <c r="E99" s="27">
        <v>100</v>
      </c>
      <c r="F99" s="75" t="s">
        <v>136</v>
      </c>
    </row>
    <row r="100" spans="1:7" ht="36" customHeight="1" thickBot="1">
      <c r="A100" s="815"/>
      <c r="B100" s="818"/>
      <c r="C100" s="821"/>
      <c r="D100" s="44" t="s">
        <v>138</v>
      </c>
      <c r="E100" s="29">
        <v>50</v>
      </c>
      <c r="F100" s="93" t="s">
        <v>139</v>
      </c>
    </row>
    <row r="101" spans="1:7" ht="36" customHeight="1">
      <c r="A101" s="815"/>
      <c r="B101" s="818"/>
      <c r="C101" s="813" t="s">
        <v>143</v>
      </c>
      <c r="D101" s="73" t="s">
        <v>144</v>
      </c>
      <c r="E101" s="18">
        <v>100</v>
      </c>
      <c r="F101" s="16"/>
    </row>
    <row r="102" spans="1:7" ht="36" customHeight="1">
      <c r="A102" s="815"/>
      <c r="B102" s="818"/>
      <c r="C102" s="807"/>
      <c r="D102" s="39" t="s">
        <v>145</v>
      </c>
      <c r="E102" s="27">
        <v>10</v>
      </c>
      <c r="F102" s="75"/>
    </row>
    <row r="103" spans="1:7" ht="36" customHeight="1" thickBot="1">
      <c r="A103" s="815"/>
      <c r="B103" s="818"/>
      <c r="C103" s="808"/>
      <c r="D103" s="45" t="s">
        <v>146</v>
      </c>
      <c r="E103" s="24" t="s">
        <v>147</v>
      </c>
      <c r="F103" s="76"/>
    </row>
    <row r="104" spans="1:7" ht="36" customHeight="1" thickBot="1">
      <c r="A104" s="816"/>
      <c r="B104" s="819"/>
      <c r="C104" s="35"/>
      <c r="D104" s="36"/>
      <c r="E104" s="36"/>
      <c r="F104" s="37"/>
    </row>
    <row r="105" spans="1:7" ht="36" customHeight="1" thickBot="1">
      <c r="A105" s="814">
        <v>43125</v>
      </c>
      <c r="B105" s="817" t="s">
        <v>10</v>
      </c>
      <c r="C105" s="95" t="s">
        <v>122</v>
      </c>
      <c r="D105" s="96" t="s">
        <v>123</v>
      </c>
      <c r="E105" s="97" t="s">
        <v>124</v>
      </c>
      <c r="F105" s="98" t="s">
        <v>125</v>
      </c>
      <c r="G105" s="38" t="s">
        <v>140</v>
      </c>
    </row>
    <row r="106" spans="1:7" ht="36" customHeight="1">
      <c r="A106" s="815"/>
      <c r="B106" s="818"/>
      <c r="C106" s="813" t="s">
        <v>141</v>
      </c>
      <c r="D106" s="73" t="s">
        <v>150</v>
      </c>
      <c r="E106" s="18">
        <v>140</v>
      </c>
      <c r="F106" s="26"/>
    </row>
    <row r="107" spans="1:7" ht="36" customHeight="1" thickBot="1">
      <c r="A107" s="815"/>
      <c r="B107" s="818"/>
      <c r="C107" s="808"/>
      <c r="D107" s="45" t="s">
        <v>151</v>
      </c>
      <c r="E107" s="24">
        <v>63</v>
      </c>
      <c r="F107" s="25"/>
    </row>
    <row r="108" spans="1:7" ht="36" customHeight="1" thickBot="1">
      <c r="A108" s="816"/>
      <c r="B108" s="819"/>
      <c r="C108" s="46"/>
      <c r="D108" s="40"/>
      <c r="E108" s="36"/>
      <c r="F108" s="37"/>
    </row>
    <row r="109" spans="1:7" ht="36" customHeight="1">
      <c r="A109" s="814">
        <v>43126</v>
      </c>
      <c r="B109" s="817" t="s">
        <v>11</v>
      </c>
      <c r="C109" s="94" t="s">
        <v>149</v>
      </c>
      <c r="D109" s="12" t="s">
        <v>152</v>
      </c>
      <c r="E109" s="11">
        <v>236</v>
      </c>
      <c r="F109" s="16"/>
    </row>
    <row r="110" spans="1:7" ht="36" customHeight="1" thickBot="1">
      <c r="A110" s="815"/>
      <c r="B110" s="818"/>
      <c r="C110" s="74"/>
      <c r="D110" s="45"/>
      <c r="E110" s="24"/>
      <c r="F110" s="76"/>
    </row>
    <row r="111" spans="1:7" ht="36" customHeight="1" thickBot="1">
      <c r="A111" s="816"/>
      <c r="B111" s="819"/>
      <c r="C111" s="105" t="s">
        <v>131</v>
      </c>
      <c r="D111" s="106" t="s">
        <v>132</v>
      </c>
      <c r="E111" s="63" t="s">
        <v>133</v>
      </c>
      <c r="F111" s="107" t="s">
        <v>134</v>
      </c>
    </row>
    <row r="112" spans="1:7" ht="89.25" customHeight="1" thickBot="1">
      <c r="A112" s="798" t="s">
        <v>0</v>
      </c>
      <c r="B112" s="799"/>
      <c r="C112" s="799"/>
      <c r="D112" s="799"/>
      <c r="E112" s="799"/>
      <c r="F112" s="800"/>
    </row>
    <row r="113" spans="1:7" ht="36" customHeight="1" thickBot="1">
      <c r="A113" s="9" t="s">
        <v>1</v>
      </c>
      <c r="B113" s="10" t="s">
        <v>2</v>
      </c>
      <c r="C113" s="20" t="s">
        <v>3</v>
      </c>
      <c r="D113" s="13" t="s">
        <v>6</v>
      </c>
      <c r="E113" s="21" t="s">
        <v>4</v>
      </c>
      <c r="F113" s="22" t="s">
        <v>5</v>
      </c>
    </row>
    <row r="114" spans="1:7" ht="36" customHeight="1">
      <c r="A114" s="801">
        <v>43129</v>
      </c>
      <c r="B114" s="804" t="s">
        <v>7</v>
      </c>
      <c r="C114" s="99" t="s">
        <v>58</v>
      </c>
      <c r="D114" s="73" t="s">
        <v>64</v>
      </c>
      <c r="E114" s="18" t="s">
        <v>161</v>
      </c>
      <c r="F114" s="15"/>
      <c r="G114" s="4" t="s">
        <v>162</v>
      </c>
    </row>
    <row r="115" spans="1:7" ht="36" customHeight="1">
      <c r="A115" s="802"/>
      <c r="B115" s="805"/>
      <c r="C115" s="100" t="s">
        <v>129</v>
      </c>
      <c r="D115" s="39" t="s">
        <v>138</v>
      </c>
      <c r="E115" s="27">
        <v>100</v>
      </c>
      <c r="F115" s="108"/>
    </row>
    <row r="116" spans="1:7" ht="36" customHeight="1">
      <c r="A116" s="802"/>
      <c r="B116" s="805"/>
      <c r="C116" s="807" t="s">
        <v>163</v>
      </c>
      <c r="D116" s="39" t="s">
        <v>164</v>
      </c>
      <c r="E116" s="27">
        <f>6+16</f>
        <v>22</v>
      </c>
      <c r="F116" s="108"/>
    </row>
    <row r="117" spans="1:7" ht="36" customHeight="1" thickBot="1">
      <c r="A117" s="802"/>
      <c r="B117" s="805"/>
      <c r="C117" s="808"/>
      <c r="D117" s="45" t="s">
        <v>165</v>
      </c>
      <c r="E117" s="24">
        <f>179+22+24</f>
        <v>225</v>
      </c>
      <c r="F117" s="25"/>
    </row>
    <row r="118" spans="1:7" ht="36" customHeight="1" thickBot="1">
      <c r="A118" s="803"/>
      <c r="B118" s="806"/>
      <c r="C118" s="42" t="s">
        <v>166</v>
      </c>
      <c r="D118" s="40" t="s">
        <v>167</v>
      </c>
      <c r="E118" s="36" t="s">
        <v>168</v>
      </c>
      <c r="F118" s="43" t="s">
        <v>169</v>
      </c>
    </row>
    <row r="119" spans="1:7" ht="36" customHeight="1">
      <c r="A119" s="801">
        <v>43130</v>
      </c>
      <c r="B119" s="804" t="s">
        <v>176</v>
      </c>
      <c r="C119" s="102" t="s">
        <v>14</v>
      </c>
      <c r="D119" s="96" t="s">
        <v>25</v>
      </c>
      <c r="E119" s="109">
        <f>30+4+21+9+57+40</f>
        <v>161</v>
      </c>
      <c r="F119" s="103"/>
      <c r="G119" s="38"/>
    </row>
    <row r="120" spans="1:7" ht="36" customHeight="1">
      <c r="A120" s="802"/>
      <c r="B120" s="805"/>
      <c r="C120" s="809" t="s">
        <v>156</v>
      </c>
      <c r="D120" s="6" t="s">
        <v>157</v>
      </c>
      <c r="E120" s="27">
        <v>50</v>
      </c>
      <c r="F120" s="811" t="s">
        <v>159</v>
      </c>
    </row>
    <row r="121" spans="1:7" ht="36" customHeight="1" thickBot="1">
      <c r="A121" s="802"/>
      <c r="B121" s="805"/>
      <c r="C121" s="810"/>
      <c r="D121" s="8" t="s">
        <v>158</v>
      </c>
      <c r="E121" s="24">
        <v>50</v>
      </c>
      <c r="F121" s="812"/>
    </row>
    <row r="122" spans="1:7" ht="36" customHeight="1" thickBot="1">
      <c r="A122" s="803"/>
      <c r="B122" s="806"/>
      <c r="C122" s="104" t="s">
        <v>170</v>
      </c>
      <c r="D122" s="36" t="s">
        <v>171</v>
      </c>
      <c r="E122" s="36" t="s">
        <v>172</v>
      </c>
      <c r="F122" s="37" t="s">
        <v>169</v>
      </c>
    </row>
    <row r="123" spans="1:7" ht="36" customHeight="1">
      <c r="A123" s="801">
        <v>43131</v>
      </c>
      <c r="B123" s="804" t="s">
        <v>175</v>
      </c>
      <c r="C123" s="101" t="s">
        <v>100</v>
      </c>
      <c r="D123" s="12" t="s">
        <v>177</v>
      </c>
      <c r="E123" s="18">
        <v>200</v>
      </c>
      <c r="F123" s="26" t="s">
        <v>178</v>
      </c>
    </row>
    <row r="124" spans="1:7" ht="36" customHeight="1">
      <c r="A124" s="802"/>
      <c r="B124" s="805"/>
      <c r="C124" s="809" t="s">
        <v>33</v>
      </c>
      <c r="D124" s="6" t="s">
        <v>154</v>
      </c>
      <c r="E124" s="7">
        <v>50</v>
      </c>
      <c r="F124" s="108"/>
    </row>
    <row r="125" spans="1:7" ht="36" customHeight="1">
      <c r="A125" s="802"/>
      <c r="B125" s="805"/>
      <c r="C125" s="809"/>
      <c r="D125" s="6" t="s">
        <v>153</v>
      </c>
      <c r="E125" s="7">
        <v>50</v>
      </c>
      <c r="F125" s="108"/>
    </row>
    <row r="126" spans="1:7" ht="36" customHeight="1">
      <c r="A126" s="802"/>
      <c r="B126" s="805"/>
      <c r="C126" s="809"/>
      <c r="D126" s="6" t="s">
        <v>155</v>
      </c>
      <c r="E126" s="7">
        <v>50</v>
      </c>
      <c r="F126" s="108"/>
    </row>
    <row r="127" spans="1:7" ht="36" customHeight="1" thickBot="1">
      <c r="A127" s="802"/>
      <c r="B127" s="805"/>
      <c r="C127" s="810"/>
      <c r="D127" s="8" t="s">
        <v>145</v>
      </c>
      <c r="E127" s="5">
        <v>50</v>
      </c>
      <c r="F127" s="14"/>
    </row>
    <row r="128" spans="1:7" ht="36" customHeight="1" thickBot="1">
      <c r="A128" s="803"/>
      <c r="B128" s="806"/>
      <c r="C128" s="35"/>
      <c r="D128" s="36"/>
      <c r="E128" s="36"/>
      <c r="F128" s="37"/>
    </row>
    <row r="129" spans="1:7" ht="36" customHeight="1">
      <c r="A129" s="802">
        <v>43132</v>
      </c>
      <c r="B129" s="857" t="s">
        <v>192</v>
      </c>
      <c r="C129" s="809" t="s">
        <v>23</v>
      </c>
      <c r="D129" s="6" t="s">
        <v>173</v>
      </c>
      <c r="E129" s="27">
        <v>200</v>
      </c>
      <c r="F129" s="108" t="s">
        <v>183</v>
      </c>
      <c r="G129" s="38" t="s">
        <v>160</v>
      </c>
    </row>
    <row r="130" spans="1:7" ht="36" customHeight="1">
      <c r="A130" s="802"/>
      <c r="B130" s="857"/>
      <c r="C130" s="809"/>
      <c r="D130" s="6" t="s">
        <v>174</v>
      </c>
      <c r="E130" s="27">
        <v>20</v>
      </c>
      <c r="F130" s="108"/>
    </row>
    <row r="131" spans="1:7" ht="36" customHeight="1" thickBot="1">
      <c r="A131" s="802"/>
      <c r="B131" s="857"/>
      <c r="C131" s="810"/>
      <c r="D131" s="8" t="s">
        <v>182</v>
      </c>
      <c r="E131" s="24" t="s">
        <v>191</v>
      </c>
      <c r="F131" s="14" t="s">
        <v>184</v>
      </c>
    </row>
    <row r="132" spans="1:7" ht="36" customHeight="1" thickBot="1">
      <c r="A132" s="803"/>
      <c r="B132" s="806"/>
      <c r="C132" s="46"/>
      <c r="D132" s="40"/>
      <c r="E132" s="36"/>
      <c r="F132" s="37"/>
    </row>
    <row r="133" spans="1:7" ht="36" customHeight="1">
      <c r="A133" s="814">
        <v>43133</v>
      </c>
      <c r="B133" s="817" t="s">
        <v>11</v>
      </c>
      <c r="C133" s="824" t="s">
        <v>163</v>
      </c>
      <c r="D133" s="12" t="s">
        <v>189</v>
      </c>
      <c r="E133" s="11">
        <v>145</v>
      </c>
      <c r="F133" s="16"/>
    </row>
    <row r="134" spans="1:7" ht="36" customHeight="1">
      <c r="A134" s="815"/>
      <c r="B134" s="818"/>
      <c r="C134" s="809"/>
      <c r="D134" s="6" t="s">
        <v>190</v>
      </c>
      <c r="E134" s="7">
        <v>20</v>
      </c>
      <c r="F134" s="75"/>
    </row>
    <row r="135" spans="1:7" ht="36" customHeight="1">
      <c r="A135" s="815"/>
      <c r="B135" s="818"/>
      <c r="C135" s="861" t="s">
        <v>58</v>
      </c>
      <c r="D135" s="6" t="s">
        <v>179</v>
      </c>
      <c r="E135" s="7" t="s">
        <v>180</v>
      </c>
      <c r="F135" s="112" t="s">
        <v>65</v>
      </c>
    </row>
    <row r="136" spans="1:7" ht="36" customHeight="1" thickBot="1">
      <c r="A136" s="815"/>
      <c r="B136" s="818"/>
      <c r="C136" s="823"/>
      <c r="D136" s="8" t="s">
        <v>198</v>
      </c>
      <c r="E136" s="5" t="s">
        <v>199</v>
      </c>
      <c r="F136" s="76"/>
    </row>
    <row r="137" spans="1:7" ht="36" customHeight="1" thickBot="1">
      <c r="A137" s="816"/>
      <c r="B137" s="819"/>
      <c r="C137" s="32"/>
      <c r="D137" s="33"/>
      <c r="E137" s="33"/>
      <c r="F137" s="34"/>
    </row>
  </sheetData>
  <mergeCells count="82">
    <mergeCell ref="B129:B132"/>
    <mergeCell ref="A119:A122"/>
    <mergeCell ref="B119:B122"/>
    <mergeCell ref="C124:C127"/>
    <mergeCell ref="C133:C134"/>
    <mergeCell ref="A133:A137"/>
    <mergeCell ref="B133:B137"/>
    <mergeCell ref="A123:A128"/>
    <mergeCell ref="B123:B128"/>
    <mergeCell ref="C129:C131"/>
    <mergeCell ref="A129:A132"/>
    <mergeCell ref="C135:C136"/>
    <mergeCell ref="A49:A52"/>
    <mergeCell ref="B49:B52"/>
    <mergeCell ref="A62:A64"/>
    <mergeCell ref="B62:B64"/>
    <mergeCell ref="A65:A74"/>
    <mergeCell ref="B65:B74"/>
    <mergeCell ref="A53:F53"/>
    <mergeCell ref="A55:A57"/>
    <mergeCell ref="B55:B57"/>
    <mergeCell ref="A58:A61"/>
    <mergeCell ref="B58:B61"/>
    <mergeCell ref="C58:C59"/>
    <mergeCell ref="A39:A42"/>
    <mergeCell ref="B39:B42"/>
    <mergeCell ref="C39:C40"/>
    <mergeCell ref="C43:C44"/>
    <mergeCell ref="C45:C47"/>
    <mergeCell ref="A43:A48"/>
    <mergeCell ref="B43:B48"/>
    <mergeCell ref="A27:F27"/>
    <mergeCell ref="A29:A33"/>
    <mergeCell ref="B29:B33"/>
    <mergeCell ref="A34:A38"/>
    <mergeCell ref="B34:B38"/>
    <mergeCell ref="A1:F1"/>
    <mergeCell ref="A3:A5"/>
    <mergeCell ref="B3:B5"/>
    <mergeCell ref="A6:A7"/>
    <mergeCell ref="B6:B7"/>
    <mergeCell ref="C3:F5"/>
    <mergeCell ref="C6:E6"/>
    <mergeCell ref="A22:A26"/>
    <mergeCell ref="B22:B26"/>
    <mergeCell ref="A8:A13"/>
    <mergeCell ref="B8:B13"/>
    <mergeCell ref="C8:C11"/>
    <mergeCell ref="C22:C23"/>
    <mergeCell ref="C14:C15"/>
    <mergeCell ref="C16:C20"/>
    <mergeCell ref="C24:C25"/>
    <mergeCell ref="A14:A21"/>
    <mergeCell ref="B14:B21"/>
    <mergeCell ref="C86:C87"/>
    <mergeCell ref="C92:C94"/>
    <mergeCell ref="A80:A89"/>
    <mergeCell ref="B80:B89"/>
    <mergeCell ref="C65:C71"/>
    <mergeCell ref="C72:C73"/>
    <mergeCell ref="A78:F78"/>
    <mergeCell ref="A75:A77"/>
    <mergeCell ref="B75:B77"/>
    <mergeCell ref="C80:C85"/>
    <mergeCell ref="C90:C91"/>
    <mergeCell ref="A90:A95"/>
    <mergeCell ref="B90:B95"/>
    <mergeCell ref="C101:C103"/>
    <mergeCell ref="A109:A111"/>
    <mergeCell ref="B109:B111"/>
    <mergeCell ref="A96:A104"/>
    <mergeCell ref="B96:B104"/>
    <mergeCell ref="A105:A108"/>
    <mergeCell ref="B105:B108"/>
    <mergeCell ref="C106:C107"/>
    <mergeCell ref="C96:C100"/>
    <mergeCell ref="A112:F112"/>
    <mergeCell ref="A114:A118"/>
    <mergeCell ref="B114:B118"/>
    <mergeCell ref="C116:C117"/>
    <mergeCell ref="C120:C121"/>
    <mergeCell ref="F120:F121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80" fitToHeight="5" orientation="portrait" r:id="rId1"/>
  <rowBreaks count="1" manualBreakCount="1">
    <brk id="111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view="pageBreakPreview" topLeftCell="A64" zoomScale="80" zoomScaleNormal="87" zoomScaleSheetLayoutView="80" workbookViewId="0">
      <selection activeCell="C71" sqref="C71:F71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6.375" style="4" customWidth="1"/>
    <col min="7" max="7" width="40.625" style="4" customWidth="1"/>
    <col min="8" max="16384" width="9" style="19"/>
  </cols>
  <sheetData>
    <row r="1" spans="1:6" ht="74.25" customHeight="1" thickBot="1">
      <c r="A1" s="798" t="s">
        <v>0</v>
      </c>
      <c r="B1" s="799"/>
      <c r="C1" s="799"/>
      <c r="D1" s="799"/>
      <c r="E1" s="799"/>
      <c r="F1" s="800"/>
    </row>
    <row r="2" spans="1:6" ht="36" customHeight="1" thickBot="1">
      <c r="A2" s="9" t="s">
        <v>1</v>
      </c>
      <c r="B2" s="10" t="s">
        <v>2</v>
      </c>
      <c r="C2" s="20" t="s">
        <v>3</v>
      </c>
      <c r="D2" s="13" t="s">
        <v>6</v>
      </c>
      <c r="E2" s="21" t="s">
        <v>4</v>
      </c>
      <c r="F2" s="22" t="s">
        <v>5</v>
      </c>
    </row>
    <row r="3" spans="1:6" ht="36" customHeight="1">
      <c r="A3" s="801">
        <v>43136</v>
      </c>
      <c r="B3" s="804" t="s">
        <v>7</v>
      </c>
      <c r="C3" s="123" t="s">
        <v>181</v>
      </c>
      <c r="D3" s="73" t="s">
        <v>92</v>
      </c>
      <c r="E3" s="18">
        <v>100</v>
      </c>
      <c r="F3" s="15" t="s">
        <v>201</v>
      </c>
    </row>
    <row r="4" spans="1:6" ht="36" customHeight="1">
      <c r="A4" s="802"/>
      <c r="B4" s="805"/>
      <c r="C4" s="121" t="s">
        <v>185</v>
      </c>
      <c r="D4" s="39" t="s">
        <v>16</v>
      </c>
      <c r="E4" s="27" t="s">
        <v>124</v>
      </c>
      <c r="F4" s="108" t="s">
        <v>188</v>
      </c>
    </row>
    <row r="5" spans="1:6" ht="36" customHeight="1">
      <c r="A5" s="802"/>
      <c r="B5" s="805"/>
      <c r="C5" s="807" t="s">
        <v>82</v>
      </c>
      <c r="D5" s="39" t="s">
        <v>43</v>
      </c>
      <c r="E5" s="27">
        <v>100</v>
      </c>
      <c r="F5" s="108"/>
    </row>
    <row r="6" spans="1:6" ht="36" customHeight="1">
      <c r="A6" s="802"/>
      <c r="B6" s="805"/>
      <c r="C6" s="807"/>
      <c r="D6" s="39" t="s">
        <v>57</v>
      </c>
      <c r="E6" s="27">
        <v>100</v>
      </c>
      <c r="F6" s="108"/>
    </row>
    <row r="7" spans="1:6" ht="36" customHeight="1">
      <c r="A7" s="802"/>
      <c r="B7" s="805"/>
      <c r="C7" s="807"/>
      <c r="D7" s="39" t="s">
        <v>186</v>
      </c>
      <c r="E7" s="27" t="s">
        <v>17</v>
      </c>
      <c r="F7" s="28"/>
    </row>
    <row r="8" spans="1:6" ht="36" customHeight="1" thickBot="1">
      <c r="A8" s="803"/>
      <c r="B8" s="828"/>
      <c r="C8" s="122" t="s">
        <v>195</v>
      </c>
      <c r="D8" s="45" t="s">
        <v>196</v>
      </c>
      <c r="E8" s="24" t="s">
        <v>197</v>
      </c>
      <c r="F8" s="25"/>
    </row>
    <row r="9" spans="1:6" ht="36" customHeight="1">
      <c r="A9" s="802">
        <v>43137</v>
      </c>
      <c r="B9" s="805" t="s">
        <v>8</v>
      </c>
      <c r="C9" s="822" t="s">
        <v>14</v>
      </c>
      <c r="D9" s="49" t="s">
        <v>26</v>
      </c>
      <c r="E9" s="124">
        <v>20</v>
      </c>
      <c r="F9" s="84"/>
    </row>
    <row r="10" spans="1:6" ht="36" customHeight="1">
      <c r="A10" s="802"/>
      <c r="B10" s="805"/>
      <c r="C10" s="825"/>
      <c r="D10" s="6" t="s">
        <v>25</v>
      </c>
      <c r="E10" s="27">
        <f>2+19+19+62</f>
        <v>102</v>
      </c>
      <c r="F10" s="108"/>
    </row>
    <row r="11" spans="1:6" ht="36" customHeight="1">
      <c r="A11" s="802"/>
      <c r="B11" s="805"/>
      <c r="C11" s="861" t="s">
        <v>211</v>
      </c>
      <c r="D11" s="85" t="s">
        <v>212</v>
      </c>
      <c r="E11" s="29">
        <v>50</v>
      </c>
      <c r="F11" s="116"/>
    </row>
    <row r="12" spans="1:6" ht="36" customHeight="1" thickBot="1">
      <c r="A12" s="802"/>
      <c r="B12" s="805"/>
      <c r="C12" s="823"/>
      <c r="D12" s="8" t="s">
        <v>213</v>
      </c>
      <c r="E12" s="24">
        <v>50</v>
      </c>
      <c r="F12" s="14"/>
    </row>
    <row r="13" spans="1:6" ht="36" customHeight="1" thickBot="1">
      <c r="A13" s="803"/>
      <c r="B13" s="806"/>
      <c r="C13" s="104" t="s">
        <v>203</v>
      </c>
      <c r="D13" s="36" t="s">
        <v>204</v>
      </c>
      <c r="E13" s="36" t="s">
        <v>205</v>
      </c>
      <c r="F13" s="37" t="s">
        <v>206</v>
      </c>
    </row>
    <row r="14" spans="1:6" ht="36" customHeight="1">
      <c r="A14" s="802">
        <v>43138</v>
      </c>
      <c r="B14" s="805" t="s">
        <v>175</v>
      </c>
      <c r="C14" s="824" t="s">
        <v>15</v>
      </c>
      <c r="D14" s="12" t="s">
        <v>193</v>
      </c>
      <c r="E14" s="18">
        <v>52</v>
      </c>
      <c r="F14" s="26"/>
    </row>
    <row r="15" spans="1:6" ht="36" customHeight="1">
      <c r="A15" s="802"/>
      <c r="B15" s="805"/>
      <c r="C15" s="809"/>
      <c r="D15" s="6" t="s">
        <v>194</v>
      </c>
      <c r="E15" s="27">
        <v>60</v>
      </c>
      <c r="F15" s="28"/>
    </row>
    <row r="16" spans="1:6" ht="36" customHeight="1">
      <c r="A16" s="802"/>
      <c r="B16" s="805"/>
      <c r="C16" s="809"/>
      <c r="D16" s="6" t="s">
        <v>202</v>
      </c>
      <c r="E16" s="7" t="s">
        <v>148</v>
      </c>
      <c r="F16" s="28"/>
    </row>
    <row r="17" spans="1:7" ht="36" customHeight="1" thickBot="1">
      <c r="A17" s="802"/>
      <c r="B17" s="805"/>
      <c r="C17" s="110" t="s">
        <v>195</v>
      </c>
      <c r="D17" s="8" t="s">
        <v>217</v>
      </c>
      <c r="E17" s="24" t="s">
        <v>218</v>
      </c>
      <c r="F17" s="25"/>
    </row>
    <row r="18" spans="1:7" ht="36" customHeight="1">
      <c r="A18" s="814">
        <v>43139</v>
      </c>
      <c r="B18" s="817" t="s">
        <v>10</v>
      </c>
      <c r="C18" s="824" t="s">
        <v>227</v>
      </c>
      <c r="D18" s="12" t="s">
        <v>228</v>
      </c>
      <c r="E18" s="11">
        <v>100</v>
      </c>
      <c r="F18" s="113"/>
    </row>
    <row r="19" spans="1:7" ht="36" customHeight="1">
      <c r="A19" s="815"/>
      <c r="B19" s="818"/>
      <c r="C19" s="809"/>
      <c r="D19" s="6" t="s">
        <v>212</v>
      </c>
      <c r="E19" s="7">
        <v>10</v>
      </c>
      <c r="F19" s="108"/>
    </row>
    <row r="20" spans="1:7" ht="36" customHeight="1">
      <c r="A20" s="815"/>
      <c r="B20" s="818"/>
      <c r="C20" s="809"/>
      <c r="D20" s="6" t="s">
        <v>230</v>
      </c>
      <c r="E20" s="7" t="s">
        <v>231</v>
      </c>
      <c r="F20" s="108"/>
    </row>
    <row r="21" spans="1:7" ht="36" customHeight="1">
      <c r="A21" s="815"/>
      <c r="B21" s="818"/>
      <c r="C21" s="115" t="s">
        <v>129</v>
      </c>
      <c r="D21" s="85" t="s">
        <v>237</v>
      </c>
      <c r="E21" s="77">
        <v>100</v>
      </c>
      <c r="F21" s="116"/>
    </row>
    <row r="22" spans="1:7" ht="36" customHeight="1" thickBot="1">
      <c r="A22" s="815"/>
      <c r="B22" s="818"/>
      <c r="C22" s="111" t="s">
        <v>58</v>
      </c>
      <c r="D22" s="85" t="s">
        <v>187</v>
      </c>
      <c r="E22" s="77" t="s">
        <v>229</v>
      </c>
      <c r="F22" s="120" t="s">
        <v>200</v>
      </c>
    </row>
    <row r="23" spans="1:7" ht="36" customHeight="1">
      <c r="A23" s="814">
        <v>43140</v>
      </c>
      <c r="B23" s="817" t="s">
        <v>11</v>
      </c>
      <c r="C23" s="833" t="s">
        <v>219</v>
      </c>
      <c r="D23" s="12" t="s">
        <v>223</v>
      </c>
      <c r="E23" s="11">
        <v>9</v>
      </c>
      <c r="F23" s="16"/>
    </row>
    <row r="24" spans="1:7" ht="36" customHeight="1">
      <c r="A24" s="815"/>
      <c r="B24" s="818"/>
      <c r="C24" s="822"/>
      <c r="D24" s="6" t="s">
        <v>224</v>
      </c>
      <c r="E24" s="7">
        <f>62+97</f>
        <v>159</v>
      </c>
      <c r="F24" s="75"/>
    </row>
    <row r="25" spans="1:7" ht="36" customHeight="1">
      <c r="A25" s="815"/>
      <c r="B25" s="818"/>
      <c r="C25" s="825"/>
      <c r="D25" s="85" t="s">
        <v>242</v>
      </c>
      <c r="E25" s="77">
        <v>1</v>
      </c>
      <c r="F25" s="93"/>
    </row>
    <row r="26" spans="1:7" ht="36" customHeight="1" thickBot="1">
      <c r="A26" s="815"/>
      <c r="B26" s="818"/>
      <c r="C26" s="110" t="s">
        <v>214</v>
      </c>
      <c r="D26" s="8" t="s">
        <v>215</v>
      </c>
      <c r="E26" s="5">
        <v>50</v>
      </c>
      <c r="F26" s="14" t="s">
        <v>216</v>
      </c>
      <c r="G26" s="4" t="s">
        <v>232</v>
      </c>
    </row>
    <row r="27" spans="1:7" ht="36" customHeight="1" thickBot="1">
      <c r="A27" s="816"/>
      <c r="B27" s="819"/>
      <c r="C27" s="114" t="s">
        <v>207</v>
      </c>
      <c r="D27" s="63" t="s">
        <v>208</v>
      </c>
      <c r="E27" s="63" t="s">
        <v>209</v>
      </c>
      <c r="F27" s="64" t="s">
        <v>210</v>
      </c>
    </row>
    <row r="28" spans="1:7" ht="95.25" customHeight="1" thickBot="1">
      <c r="A28" s="798" t="s">
        <v>0</v>
      </c>
      <c r="B28" s="799"/>
      <c r="C28" s="799"/>
      <c r="D28" s="799"/>
      <c r="E28" s="799"/>
      <c r="F28" s="800"/>
    </row>
    <row r="29" spans="1:7" ht="36" customHeight="1" thickBot="1">
      <c r="A29" s="9" t="s">
        <v>1</v>
      </c>
      <c r="B29" s="10" t="s">
        <v>2</v>
      </c>
      <c r="C29" s="20" t="s">
        <v>3</v>
      </c>
      <c r="D29" s="13" t="s">
        <v>6</v>
      </c>
      <c r="E29" s="21" t="s">
        <v>4</v>
      </c>
      <c r="F29" s="22" t="s">
        <v>5</v>
      </c>
    </row>
    <row r="30" spans="1:7" ht="36" customHeight="1">
      <c r="A30" s="801">
        <v>43143</v>
      </c>
      <c r="B30" s="804" t="s">
        <v>7</v>
      </c>
      <c r="C30" s="813" t="s">
        <v>219</v>
      </c>
      <c r="D30" s="73" t="s">
        <v>223</v>
      </c>
      <c r="E30" s="18">
        <v>160</v>
      </c>
      <c r="F30" s="15"/>
    </row>
    <row r="31" spans="1:7" ht="36" customHeight="1">
      <c r="A31" s="802"/>
      <c r="B31" s="805"/>
      <c r="C31" s="807"/>
      <c r="D31" s="39" t="s">
        <v>225</v>
      </c>
      <c r="E31" s="27">
        <v>35</v>
      </c>
      <c r="F31" s="108"/>
    </row>
    <row r="32" spans="1:7" ht="36" customHeight="1">
      <c r="A32" s="802"/>
      <c r="B32" s="805"/>
      <c r="C32" s="809" t="s">
        <v>33</v>
      </c>
      <c r="D32" s="6" t="s">
        <v>226</v>
      </c>
      <c r="E32" s="27">
        <v>50</v>
      </c>
      <c r="F32" s="108"/>
    </row>
    <row r="33" spans="1:7" ht="36" customHeight="1">
      <c r="A33" s="802"/>
      <c r="B33" s="805"/>
      <c r="C33" s="809"/>
      <c r="D33" s="6" t="s">
        <v>35</v>
      </c>
      <c r="E33" s="27">
        <v>50</v>
      </c>
      <c r="F33" s="108"/>
    </row>
    <row r="34" spans="1:7" ht="36" customHeight="1">
      <c r="A34" s="802"/>
      <c r="B34" s="805"/>
      <c r="C34" s="809"/>
      <c r="D34" s="6" t="s">
        <v>57</v>
      </c>
      <c r="E34" s="27">
        <v>50</v>
      </c>
      <c r="F34" s="108"/>
    </row>
    <row r="35" spans="1:7" ht="36" customHeight="1">
      <c r="A35" s="802"/>
      <c r="B35" s="805"/>
      <c r="C35" s="809"/>
      <c r="D35" s="6" t="s">
        <v>239</v>
      </c>
      <c r="E35" s="27">
        <v>50</v>
      </c>
      <c r="F35" s="108"/>
    </row>
    <row r="36" spans="1:7" ht="36" customHeight="1">
      <c r="A36" s="802"/>
      <c r="B36" s="805"/>
      <c r="C36" s="809"/>
      <c r="D36" s="6" t="s">
        <v>126</v>
      </c>
      <c r="E36" s="27" t="s">
        <v>253</v>
      </c>
      <c r="F36" s="108"/>
    </row>
    <row r="37" spans="1:7" ht="36" customHeight="1" thickBot="1">
      <c r="A37" s="802"/>
      <c r="B37" s="805"/>
      <c r="C37" s="143" t="s">
        <v>240</v>
      </c>
      <c r="D37" s="8" t="s">
        <v>241</v>
      </c>
      <c r="E37" s="24">
        <v>50</v>
      </c>
      <c r="F37" s="14"/>
    </row>
    <row r="38" spans="1:7" ht="36" customHeight="1" thickBot="1">
      <c r="A38" s="803"/>
      <c r="B38" s="806"/>
      <c r="C38" s="42"/>
      <c r="D38" s="40"/>
      <c r="E38" s="36"/>
      <c r="F38" s="43"/>
    </row>
    <row r="39" spans="1:7" ht="36" customHeight="1">
      <c r="A39" s="802">
        <v>43144</v>
      </c>
      <c r="B39" s="805" t="s">
        <v>8</v>
      </c>
      <c r="C39" s="833" t="s">
        <v>233</v>
      </c>
      <c r="D39" s="96" t="s">
        <v>234</v>
      </c>
      <c r="E39" s="109" t="s">
        <v>235</v>
      </c>
      <c r="F39" s="129" t="s">
        <v>243</v>
      </c>
      <c r="G39" s="38" t="s">
        <v>238</v>
      </c>
    </row>
    <row r="40" spans="1:7" ht="36" customHeight="1">
      <c r="A40" s="802"/>
      <c r="B40" s="805"/>
      <c r="C40" s="822"/>
      <c r="D40" s="6" t="s">
        <v>236</v>
      </c>
      <c r="E40" s="27">
        <v>100</v>
      </c>
      <c r="F40" s="108"/>
      <c r="G40" s="38" t="s">
        <v>254</v>
      </c>
    </row>
    <row r="41" spans="1:7" ht="36" customHeight="1" thickBot="1">
      <c r="A41" s="802"/>
      <c r="B41" s="805"/>
      <c r="C41" s="118"/>
      <c r="D41" s="8"/>
      <c r="E41" s="24"/>
      <c r="F41" s="14"/>
    </row>
    <row r="42" spans="1:7" ht="36" customHeight="1" thickBot="1">
      <c r="A42" s="803"/>
      <c r="B42" s="806"/>
      <c r="C42" s="42" t="s">
        <v>86</v>
      </c>
      <c r="D42" s="40" t="s">
        <v>244</v>
      </c>
      <c r="E42" s="36" t="s">
        <v>245</v>
      </c>
      <c r="F42" s="43" t="s">
        <v>89</v>
      </c>
    </row>
    <row r="43" spans="1:7" ht="36" customHeight="1" thickBot="1">
      <c r="A43" s="802">
        <v>43145</v>
      </c>
      <c r="B43" s="805" t="s">
        <v>175</v>
      </c>
      <c r="C43" s="117"/>
      <c r="D43" s="96"/>
      <c r="E43" s="109"/>
      <c r="F43" s="128"/>
    </row>
    <row r="44" spans="1:7" ht="36" customHeight="1" thickBot="1">
      <c r="A44" s="802"/>
      <c r="B44" s="805"/>
      <c r="C44" s="117"/>
      <c r="D44" s="6"/>
      <c r="E44" s="27"/>
      <c r="F44" s="28"/>
    </row>
    <row r="45" spans="1:7" ht="36" customHeight="1">
      <c r="A45" s="802"/>
      <c r="B45" s="805"/>
      <c r="C45" s="117"/>
      <c r="D45" s="132"/>
      <c r="E45" s="7"/>
      <c r="F45" s="28"/>
    </row>
    <row r="46" spans="1:7" ht="36" customHeight="1" thickBot="1">
      <c r="A46" s="802"/>
      <c r="B46" s="805"/>
      <c r="C46" s="118"/>
      <c r="D46" s="8"/>
      <c r="E46" s="24"/>
      <c r="F46" s="25"/>
    </row>
    <row r="47" spans="1:7" ht="36" customHeight="1" thickBot="1">
      <c r="A47" s="803"/>
      <c r="B47" s="828"/>
      <c r="C47" s="32"/>
      <c r="D47" s="33"/>
      <c r="E47" s="33"/>
      <c r="F47" s="119"/>
    </row>
    <row r="48" spans="1:7" ht="36" customHeight="1">
      <c r="A48" s="815">
        <v>43146</v>
      </c>
      <c r="B48" s="818" t="s">
        <v>220</v>
      </c>
      <c r="C48" s="871" t="s">
        <v>222</v>
      </c>
      <c r="D48" s="872"/>
      <c r="E48" s="872"/>
      <c r="F48" s="873"/>
    </row>
    <row r="49" spans="1:7" ht="36" customHeight="1" thickBot="1">
      <c r="A49" s="816"/>
      <c r="B49" s="877"/>
      <c r="C49" s="871"/>
      <c r="D49" s="872"/>
      <c r="E49" s="872"/>
      <c r="F49" s="873"/>
    </row>
    <row r="50" spans="1:7" ht="36" customHeight="1">
      <c r="A50" s="815">
        <v>43147</v>
      </c>
      <c r="B50" s="818" t="s">
        <v>221</v>
      </c>
      <c r="C50" s="871"/>
      <c r="D50" s="872"/>
      <c r="E50" s="872"/>
      <c r="F50" s="873"/>
    </row>
    <row r="51" spans="1:7" ht="36" customHeight="1" thickBot="1">
      <c r="A51" s="816"/>
      <c r="B51" s="819"/>
      <c r="C51" s="874"/>
      <c r="D51" s="875"/>
      <c r="E51" s="875"/>
      <c r="F51" s="876"/>
    </row>
    <row r="52" spans="1:7" ht="95.25" customHeight="1" thickBot="1">
      <c r="A52" s="798" t="s">
        <v>0</v>
      </c>
      <c r="B52" s="799"/>
      <c r="C52" s="799"/>
      <c r="D52" s="799"/>
      <c r="E52" s="799"/>
      <c r="F52" s="800"/>
    </row>
    <row r="53" spans="1:7" ht="36" customHeight="1" thickBot="1">
      <c r="A53" s="9" t="s">
        <v>1</v>
      </c>
      <c r="B53" s="10" t="s">
        <v>2</v>
      </c>
      <c r="C53" s="20" t="s">
        <v>3</v>
      </c>
      <c r="D53" s="13" t="s">
        <v>6</v>
      </c>
      <c r="E53" s="21" t="s">
        <v>4</v>
      </c>
      <c r="F53" s="22" t="s">
        <v>5</v>
      </c>
    </row>
    <row r="54" spans="1:7" ht="36" customHeight="1">
      <c r="A54" s="801">
        <v>43150</v>
      </c>
      <c r="B54" s="804" t="s">
        <v>246</v>
      </c>
      <c r="C54" s="862" t="s">
        <v>222</v>
      </c>
      <c r="D54" s="863"/>
      <c r="E54" s="863"/>
      <c r="F54" s="864"/>
    </row>
    <row r="55" spans="1:7" ht="36" customHeight="1" thickBot="1">
      <c r="A55" s="803"/>
      <c r="B55" s="828"/>
      <c r="C55" s="865"/>
      <c r="D55" s="866"/>
      <c r="E55" s="866"/>
      <c r="F55" s="867"/>
    </row>
    <row r="56" spans="1:7" ht="36" customHeight="1">
      <c r="A56" s="801">
        <v>43151</v>
      </c>
      <c r="B56" s="804" t="s">
        <v>176</v>
      </c>
      <c r="C56" s="127" t="s">
        <v>14</v>
      </c>
      <c r="D56" s="12" t="s">
        <v>250</v>
      </c>
      <c r="E56" s="18">
        <f>129+16+16+35</f>
        <v>196</v>
      </c>
      <c r="F56" s="128"/>
    </row>
    <row r="57" spans="1:7" ht="36" customHeight="1">
      <c r="A57" s="802"/>
      <c r="B57" s="805"/>
      <c r="C57" s="868" t="s">
        <v>267</v>
      </c>
      <c r="D57" s="869"/>
      <c r="E57" s="869"/>
      <c r="F57" s="870"/>
    </row>
    <row r="58" spans="1:7" ht="36" customHeight="1" thickBot="1">
      <c r="A58" s="802"/>
      <c r="B58" s="805"/>
      <c r="C58" s="126" t="s">
        <v>268</v>
      </c>
      <c r="D58" s="8" t="s">
        <v>269</v>
      </c>
      <c r="E58" s="24">
        <v>200</v>
      </c>
      <c r="F58" s="130"/>
    </row>
    <row r="59" spans="1:7" ht="36" customHeight="1" thickBot="1">
      <c r="A59" s="803"/>
      <c r="B59" s="828"/>
      <c r="C59" s="131"/>
      <c r="D59" s="33"/>
      <c r="E59" s="33"/>
      <c r="F59" s="34"/>
    </row>
    <row r="60" spans="1:7" ht="36" customHeight="1">
      <c r="A60" s="801">
        <v>43152</v>
      </c>
      <c r="B60" s="804" t="s">
        <v>175</v>
      </c>
      <c r="C60" s="833" t="s">
        <v>33</v>
      </c>
      <c r="D60" s="12" t="s">
        <v>126</v>
      </c>
      <c r="E60" s="18" t="s">
        <v>252</v>
      </c>
      <c r="F60" s="26"/>
      <c r="G60" s="38" t="s">
        <v>254</v>
      </c>
    </row>
    <row r="61" spans="1:7" ht="36" customHeight="1">
      <c r="A61" s="802"/>
      <c r="B61" s="805"/>
      <c r="C61" s="822"/>
      <c r="D61" s="49" t="s">
        <v>262</v>
      </c>
      <c r="E61" s="124">
        <v>50</v>
      </c>
      <c r="F61" s="91"/>
    </row>
    <row r="62" spans="1:7" ht="36" customHeight="1">
      <c r="A62" s="802"/>
      <c r="B62" s="805"/>
      <c r="C62" s="822"/>
      <c r="D62" s="49" t="s">
        <v>263</v>
      </c>
      <c r="E62" s="124">
        <v>100</v>
      </c>
      <c r="F62" s="91"/>
    </row>
    <row r="63" spans="1:7" ht="36" customHeight="1">
      <c r="A63" s="802"/>
      <c r="B63" s="805"/>
      <c r="C63" s="822"/>
      <c r="D63" s="49" t="s">
        <v>264</v>
      </c>
      <c r="E63" s="124">
        <v>50</v>
      </c>
      <c r="F63" s="91"/>
    </row>
    <row r="64" spans="1:7" ht="36" customHeight="1">
      <c r="A64" s="802"/>
      <c r="B64" s="805"/>
      <c r="C64" s="822"/>
      <c r="D64" s="49" t="s">
        <v>265</v>
      </c>
      <c r="E64" s="124">
        <v>50</v>
      </c>
      <c r="F64" s="91"/>
    </row>
    <row r="65" spans="1:6" ht="36" customHeight="1">
      <c r="A65" s="802"/>
      <c r="B65" s="805"/>
      <c r="C65" s="822"/>
      <c r="D65" s="49" t="s">
        <v>266</v>
      </c>
      <c r="E65" s="7">
        <v>50</v>
      </c>
      <c r="F65" s="108"/>
    </row>
    <row r="66" spans="1:6" ht="36" customHeight="1" thickBot="1">
      <c r="A66" s="802"/>
      <c r="B66" s="805"/>
      <c r="C66" s="126"/>
      <c r="D66" s="8"/>
      <c r="E66" s="5"/>
      <c r="F66" s="14"/>
    </row>
    <row r="67" spans="1:6" ht="36" customHeight="1" thickBot="1">
      <c r="A67" s="803"/>
      <c r="B67" s="828"/>
      <c r="C67" s="42" t="s">
        <v>255</v>
      </c>
      <c r="D67" s="40" t="s">
        <v>256</v>
      </c>
      <c r="E67" s="36" t="s">
        <v>257</v>
      </c>
      <c r="F67" s="43" t="s">
        <v>89</v>
      </c>
    </row>
    <row r="68" spans="1:6" ht="36" customHeight="1">
      <c r="A68" s="801">
        <v>43153</v>
      </c>
      <c r="B68" s="804" t="s">
        <v>247</v>
      </c>
      <c r="C68" s="127"/>
      <c r="D68" s="12"/>
      <c r="E68" s="18"/>
      <c r="F68" s="15"/>
    </row>
    <row r="69" spans="1:6" ht="36" customHeight="1">
      <c r="A69" s="802"/>
      <c r="B69" s="805"/>
      <c r="C69" s="125"/>
      <c r="D69" s="6"/>
      <c r="E69" s="27"/>
      <c r="F69" s="108"/>
    </row>
    <row r="70" spans="1:6" ht="36" customHeight="1" thickBot="1">
      <c r="A70" s="802"/>
      <c r="B70" s="805"/>
      <c r="C70" s="126"/>
      <c r="D70" s="8"/>
      <c r="E70" s="24"/>
      <c r="F70" s="14"/>
    </row>
    <row r="71" spans="1:6" ht="36" customHeight="1" thickBot="1">
      <c r="A71" s="803"/>
      <c r="B71" s="828"/>
      <c r="C71" s="42" t="s">
        <v>258</v>
      </c>
      <c r="D71" s="40" t="s">
        <v>259</v>
      </c>
      <c r="E71" s="36" t="s">
        <v>260</v>
      </c>
      <c r="F71" s="43" t="s">
        <v>261</v>
      </c>
    </row>
    <row r="72" spans="1:6" ht="36" customHeight="1">
      <c r="A72" s="801">
        <v>43154</v>
      </c>
      <c r="B72" s="804" t="s">
        <v>248</v>
      </c>
      <c r="C72" s="137" t="s">
        <v>249</v>
      </c>
      <c r="D72" s="12" t="s">
        <v>251</v>
      </c>
      <c r="E72" s="11">
        <v>126</v>
      </c>
      <c r="F72" s="16"/>
    </row>
    <row r="73" spans="1:6" ht="36" customHeight="1">
      <c r="A73" s="802"/>
      <c r="B73" s="805"/>
      <c r="C73" s="135"/>
      <c r="D73" s="6"/>
      <c r="E73" s="7"/>
      <c r="F73" s="75"/>
    </row>
    <row r="74" spans="1:6" ht="36" customHeight="1" thickBot="1">
      <c r="A74" s="802"/>
      <c r="B74" s="805"/>
      <c r="C74" s="136"/>
      <c r="D74" s="8"/>
      <c r="E74" s="5"/>
      <c r="F74" s="141"/>
    </row>
    <row r="75" spans="1:6" ht="36" customHeight="1" thickBot="1">
      <c r="A75" s="803"/>
      <c r="B75" s="828"/>
      <c r="C75" s="140"/>
      <c r="D75" s="53"/>
      <c r="E75" s="33"/>
      <c r="F75" s="34"/>
    </row>
    <row r="76" spans="1:6" ht="102" customHeight="1" thickBot="1">
      <c r="A76" s="798" t="s">
        <v>0</v>
      </c>
      <c r="B76" s="799"/>
      <c r="C76" s="799"/>
      <c r="D76" s="799"/>
      <c r="E76" s="799"/>
      <c r="F76" s="800"/>
    </row>
    <row r="77" spans="1:6" ht="36" customHeight="1" thickBot="1">
      <c r="A77" s="9" t="s">
        <v>1</v>
      </c>
      <c r="B77" s="10" t="s">
        <v>2</v>
      </c>
      <c r="C77" s="20" t="s">
        <v>3</v>
      </c>
      <c r="D77" s="13" t="s">
        <v>6</v>
      </c>
      <c r="E77" s="21" t="s">
        <v>4</v>
      </c>
      <c r="F77" s="22" t="s">
        <v>5</v>
      </c>
    </row>
    <row r="78" spans="1:6" ht="36" customHeight="1">
      <c r="A78" s="801">
        <v>43157</v>
      </c>
      <c r="B78" s="804" t="s">
        <v>270</v>
      </c>
      <c r="C78" s="824" t="s">
        <v>286</v>
      </c>
      <c r="D78" s="12" t="s">
        <v>228</v>
      </c>
      <c r="E78" s="18">
        <v>100</v>
      </c>
      <c r="F78" s="15" t="s">
        <v>288</v>
      </c>
    </row>
    <row r="79" spans="1:6" ht="36" customHeight="1">
      <c r="A79" s="802"/>
      <c r="B79" s="805"/>
      <c r="C79" s="809"/>
      <c r="D79" s="6" t="s">
        <v>276</v>
      </c>
      <c r="E79" s="27" t="s">
        <v>287</v>
      </c>
      <c r="F79" s="108"/>
    </row>
    <row r="80" spans="1:6" ht="36" customHeight="1">
      <c r="A80" s="802"/>
      <c r="B80" s="805"/>
      <c r="C80" s="809" t="s">
        <v>33</v>
      </c>
      <c r="D80" s="6" t="s">
        <v>236</v>
      </c>
      <c r="E80" s="27">
        <v>30</v>
      </c>
      <c r="F80" s="142" t="s">
        <v>272</v>
      </c>
    </row>
    <row r="81" spans="1:7" ht="36" customHeight="1">
      <c r="A81" s="802"/>
      <c r="B81" s="805"/>
      <c r="C81" s="809"/>
      <c r="D81" s="6" t="s">
        <v>277</v>
      </c>
      <c r="E81" s="27">
        <v>50</v>
      </c>
      <c r="F81" s="108" t="s">
        <v>278</v>
      </c>
    </row>
    <row r="82" spans="1:7" ht="36" customHeight="1">
      <c r="A82" s="802"/>
      <c r="B82" s="805"/>
      <c r="C82" s="809"/>
      <c r="D82" s="6" t="s">
        <v>283</v>
      </c>
      <c r="E82" s="27">
        <v>50</v>
      </c>
      <c r="F82" s="108"/>
    </row>
    <row r="83" spans="1:7" ht="36" customHeight="1">
      <c r="A83" s="802"/>
      <c r="B83" s="805"/>
      <c r="C83" s="809"/>
      <c r="D83" s="6" t="s">
        <v>279</v>
      </c>
      <c r="E83" s="27">
        <v>50</v>
      </c>
      <c r="F83" s="108" t="s">
        <v>280</v>
      </c>
    </row>
    <row r="84" spans="1:7" ht="36" customHeight="1" thickBot="1">
      <c r="A84" s="802"/>
      <c r="B84" s="805"/>
      <c r="C84" s="810"/>
      <c r="D84" s="8" t="s">
        <v>284</v>
      </c>
      <c r="E84" s="24">
        <v>50</v>
      </c>
      <c r="F84" s="14" t="s">
        <v>285</v>
      </c>
    </row>
    <row r="85" spans="1:7" ht="36" customHeight="1" thickBot="1">
      <c r="A85" s="803"/>
      <c r="B85" s="828"/>
      <c r="C85" s="52"/>
      <c r="D85" s="53"/>
      <c r="E85" s="33"/>
      <c r="F85" s="54"/>
    </row>
    <row r="86" spans="1:7" ht="36" customHeight="1">
      <c r="A86" s="801">
        <v>43158</v>
      </c>
      <c r="B86" s="804" t="s">
        <v>176</v>
      </c>
      <c r="C86" s="833" t="s">
        <v>273</v>
      </c>
      <c r="D86" s="12" t="s">
        <v>289</v>
      </c>
      <c r="E86" s="18">
        <f>121+28</f>
        <v>149</v>
      </c>
      <c r="F86" s="15"/>
      <c r="G86" s="4" t="s">
        <v>302</v>
      </c>
    </row>
    <row r="87" spans="1:7" ht="36" customHeight="1">
      <c r="A87" s="802"/>
      <c r="B87" s="805"/>
      <c r="C87" s="822"/>
      <c r="D87" s="49" t="s">
        <v>300</v>
      </c>
      <c r="E87" s="124">
        <v>1</v>
      </c>
      <c r="F87" s="84"/>
    </row>
    <row r="88" spans="1:7" ht="36" customHeight="1">
      <c r="A88" s="802"/>
      <c r="B88" s="805"/>
      <c r="C88" s="825"/>
      <c r="D88" s="49" t="s">
        <v>301</v>
      </c>
      <c r="E88" s="124">
        <v>1</v>
      </c>
      <c r="F88" s="84"/>
    </row>
    <row r="89" spans="1:7" ht="36" customHeight="1">
      <c r="A89" s="802"/>
      <c r="B89" s="805"/>
      <c r="C89" s="138" t="s">
        <v>281</v>
      </c>
      <c r="D89" s="6" t="s">
        <v>282</v>
      </c>
      <c r="E89" s="27">
        <v>100</v>
      </c>
      <c r="F89" s="108" t="s">
        <v>290</v>
      </c>
    </row>
    <row r="90" spans="1:7" ht="36" customHeight="1" thickBot="1">
      <c r="A90" s="802"/>
      <c r="B90" s="805"/>
      <c r="C90" s="133"/>
      <c r="D90" s="8"/>
      <c r="E90" s="24"/>
      <c r="F90" s="14"/>
    </row>
    <row r="91" spans="1:7" ht="36" customHeight="1" thickBot="1">
      <c r="A91" s="803"/>
      <c r="B91" s="828"/>
      <c r="C91" s="42" t="s">
        <v>291</v>
      </c>
      <c r="D91" s="40" t="s">
        <v>292</v>
      </c>
      <c r="E91" s="36" t="s">
        <v>293</v>
      </c>
      <c r="F91" s="43" t="s">
        <v>294</v>
      </c>
    </row>
    <row r="92" spans="1:7" ht="36" customHeight="1">
      <c r="A92" s="801">
        <v>43159</v>
      </c>
      <c r="B92" s="804" t="s">
        <v>175</v>
      </c>
      <c r="C92" s="144" t="s">
        <v>307</v>
      </c>
      <c r="D92" s="12" t="s">
        <v>310</v>
      </c>
      <c r="E92" s="18">
        <v>111</v>
      </c>
      <c r="F92" s="139"/>
    </row>
    <row r="93" spans="1:7" ht="36" customHeight="1" thickBot="1">
      <c r="A93" s="802"/>
      <c r="B93" s="805"/>
      <c r="C93" s="134"/>
      <c r="D93" s="8"/>
      <c r="E93" s="24"/>
      <c r="F93" s="14"/>
    </row>
    <row r="94" spans="1:7" ht="36" customHeight="1" thickBot="1">
      <c r="A94" s="803"/>
      <c r="B94" s="828"/>
      <c r="C94" s="105"/>
      <c r="D94" s="106"/>
      <c r="E94" s="63"/>
      <c r="F94" s="107"/>
    </row>
    <row r="95" spans="1:7" ht="36" customHeight="1">
      <c r="A95" s="838">
        <v>43160</v>
      </c>
      <c r="B95" s="884" t="s">
        <v>247</v>
      </c>
      <c r="C95" s="878" t="s">
        <v>271</v>
      </c>
      <c r="D95" s="879"/>
      <c r="E95" s="879"/>
      <c r="F95" s="880"/>
    </row>
    <row r="96" spans="1:7" ht="36" customHeight="1" thickBot="1">
      <c r="A96" s="840"/>
      <c r="B96" s="885"/>
      <c r="C96" s="881"/>
      <c r="D96" s="882"/>
      <c r="E96" s="882"/>
      <c r="F96" s="883"/>
    </row>
    <row r="97" spans="1:6" ht="36" customHeight="1">
      <c r="A97" s="801">
        <v>43161</v>
      </c>
      <c r="B97" s="804" t="s">
        <v>248</v>
      </c>
      <c r="C97" s="833" t="s">
        <v>298</v>
      </c>
      <c r="D97" s="12" t="s">
        <v>303</v>
      </c>
      <c r="E97" s="18">
        <v>200</v>
      </c>
      <c r="F97" s="15" t="s">
        <v>299</v>
      </c>
    </row>
    <row r="98" spans="1:6" ht="36" customHeight="1">
      <c r="A98" s="802"/>
      <c r="B98" s="805"/>
      <c r="C98" s="822"/>
      <c r="D98" s="49" t="s">
        <v>304</v>
      </c>
      <c r="E98" s="124">
        <v>30</v>
      </c>
      <c r="F98" s="84"/>
    </row>
    <row r="99" spans="1:6" ht="36" customHeight="1">
      <c r="A99" s="802"/>
      <c r="B99" s="805"/>
      <c r="C99" s="825"/>
      <c r="D99" s="49" t="s">
        <v>305</v>
      </c>
      <c r="E99" s="124" t="s">
        <v>306</v>
      </c>
      <c r="F99" s="84"/>
    </row>
    <row r="100" spans="1:6" ht="36" customHeight="1" thickBot="1">
      <c r="A100" s="802"/>
      <c r="B100" s="805"/>
      <c r="C100" s="145" t="s">
        <v>274</v>
      </c>
      <c r="D100" s="85" t="s">
        <v>276</v>
      </c>
      <c r="E100" s="29" t="s">
        <v>59</v>
      </c>
      <c r="F100" s="116" t="s">
        <v>275</v>
      </c>
    </row>
    <row r="101" spans="1:6" ht="36" customHeight="1" thickBot="1">
      <c r="A101" s="803"/>
      <c r="B101" s="828"/>
      <c r="C101" s="105" t="s">
        <v>295</v>
      </c>
      <c r="D101" s="106" t="s">
        <v>296</v>
      </c>
      <c r="E101" s="63" t="s">
        <v>297</v>
      </c>
      <c r="F101" s="107" t="s">
        <v>321</v>
      </c>
    </row>
  </sheetData>
  <mergeCells count="62">
    <mergeCell ref="C95:F96"/>
    <mergeCell ref="A97:A101"/>
    <mergeCell ref="B97:B101"/>
    <mergeCell ref="A86:A91"/>
    <mergeCell ref="B86:B91"/>
    <mergeCell ref="A92:A94"/>
    <mergeCell ref="B92:B94"/>
    <mergeCell ref="A95:A96"/>
    <mergeCell ref="B95:B96"/>
    <mergeCell ref="C86:C88"/>
    <mergeCell ref="C97:C99"/>
    <mergeCell ref="A1:F1"/>
    <mergeCell ref="A3:A8"/>
    <mergeCell ref="B3:B8"/>
    <mergeCell ref="C5:C7"/>
    <mergeCell ref="A23:A27"/>
    <mergeCell ref="B23:B27"/>
    <mergeCell ref="A9:A13"/>
    <mergeCell ref="B9:B13"/>
    <mergeCell ref="A14:A17"/>
    <mergeCell ref="B14:B17"/>
    <mergeCell ref="A18:A22"/>
    <mergeCell ref="B18:B22"/>
    <mergeCell ref="C9:C10"/>
    <mergeCell ref="C11:C12"/>
    <mergeCell ref="C14:C16"/>
    <mergeCell ref="C32:C36"/>
    <mergeCell ref="C23:C25"/>
    <mergeCell ref="A28:F28"/>
    <mergeCell ref="C18:C20"/>
    <mergeCell ref="A50:A51"/>
    <mergeCell ref="B50:B51"/>
    <mergeCell ref="C48:F51"/>
    <mergeCell ref="C30:C31"/>
    <mergeCell ref="C39:C40"/>
    <mergeCell ref="A43:A47"/>
    <mergeCell ref="B43:B47"/>
    <mergeCell ref="A48:A49"/>
    <mergeCell ref="B48:B49"/>
    <mergeCell ref="A30:A38"/>
    <mergeCell ref="B30:B38"/>
    <mergeCell ref="A39:A42"/>
    <mergeCell ref="B39:B42"/>
    <mergeCell ref="A52:F52"/>
    <mergeCell ref="A54:A55"/>
    <mergeCell ref="B54:B55"/>
    <mergeCell ref="A56:A59"/>
    <mergeCell ref="B56:B59"/>
    <mergeCell ref="C57:F57"/>
    <mergeCell ref="C78:C79"/>
    <mergeCell ref="C54:F55"/>
    <mergeCell ref="A72:A75"/>
    <mergeCell ref="B72:B75"/>
    <mergeCell ref="A60:A67"/>
    <mergeCell ref="B60:B67"/>
    <mergeCell ref="A68:A71"/>
    <mergeCell ref="B68:B71"/>
    <mergeCell ref="C60:C65"/>
    <mergeCell ref="A76:F76"/>
    <mergeCell ref="A78:A85"/>
    <mergeCell ref="B78:B85"/>
    <mergeCell ref="C80:C84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80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9"/>
  <sheetViews>
    <sheetView view="pageBreakPreview" topLeftCell="A41" zoomScale="80" zoomScaleNormal="87" zoomScaleSheetLayoutView="80" workbookViewId="0">
      <selection activeCell="C50" sqref="C50:F50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6.375" style="4" customWidth="1"/>
    <col min="7" max="7" width="42.5" style="38" customWidth="1"/>
    <col min="8" max="16384" width="9" style="19"/>
  </cols>
  <sheetData>
    <row r="1" spans="1:7" s="4" customFormat="1" ht="99" customHeight="1" thickBot="1">
      <c r="A1" s="798" t="s">
        <v>0</v>
      </c>
      <c r="B1" s="799"/>
      <c r="C1" s="886"/>
      <c r="D1" s="886"/>
      <c r="E1" s="886"/>
      <c r="F1" s="887"/>
      <c r="G1" s="38"/>
    </row>
    <row r="2" spans="1:7" s="4" customFormat="1" ht="36" customHeight="1">
      <c r="A2" s="801">
        <v>43164</v>
      </c>
      <c r="B2" s="804" t="s">
        <v>7</v>
      </c>
      <c r="C2" s="157" t="s">
        <v>82</v>
      </c>
      <c r="D2" s="12" t="s">
        <v>112</v>
      </c>
      <c r="E2" s="18">
        <v>200</v>
      </c>
      <c r="F2" s="15"/>
      <c r="G2" s="38"/>
    </row>
    <row r="3" spans="1:7" s="4" customFormat="1" ht="36" customHeight="1">
      <c r="A3" s="802"/>
      <c r="B3" s="805"/>
      <c r="C3" s="861" t="s">
        <v>33</v>
      </c>
      <c r="D3" s="6" t="s">
        <v>35</v>
      </c>
      <c r="E3" s="27">
        <v>100</v>
      </c>
      <c r="F3" s="108" t="s">
        <v>314</v>
      </c>
      <c r="G3" s="38"/>
    </row>
    <row r="4" spans="1:7" s="4" customFormat="1" ht="36" customHeight="1">
      <c r="A4" s="802"/>
      <c r="B4" s="805"/>
      <c r="C4" s="822"/>
      <c r="D4" s="85" t="s">
        <v>57</v>
      </c>
      <c r="E4" s="29">
        <v>50</v>
      </c>
      <c r="F4" s="116"/>
      <c r="G4" s="38"/>
    </row>
    <row r="5" spans="1:7" s="4" customFormat="1" ht="36" customHeight="1" thickBot="1">
      <c r="A5" s="802"/>
      <c r="B5" s="805"/>
      <c r="C5" s="823"/>
      <c r="D5" s="8" t="s">
        <v>284</v>
      </c>
      <c r="E5" s="24">
        <v>50</v>
      </c>
      <c r="F5" s="14" t="s">
        <v>309</v>
      </c>
      <c r="G5" s="38"/>
    </row>
    <row r="6" spans="1:7" ht="36" customHeight="1" thickBot="1">
      <c r="A6" s="803"/>
      <c r="B6" s="828"/>
      <c r="C6" s="42" t="s">
        <v>318</v>
      </c>
      <c r="D6" s="40" t="s">
        <v>319</v>
      </c>
      <c r="E6" s="36" t="s">
        <v>320</v>
      </c>
      <c r="F6" s="107" t="s">
        <v>322</v>
      </c>
    </row>
    <row r="7" spans="1:7" ht="36" customHeight="1">
      <c r="A7" s="801">
        <v>43165</v>
      </c>
      <c r="B7" s="804" t="s">
        <v>176</v>
      </c>
      <c r="C7" s="824" t="s">
        <v>111</v>
      </c>
      <c r="D7" s="12" t="s">
        <v>57</v>
      </c>
      <c r="E7" s="18">
        <v>150</v>
      </c>
      <c r="F7" s="15" t="s">
        <v>308</v>
      </c>
      <c r="G7" s="38" t="s">
        <v>316</v>
      </c>
    </row>
    <row r="8" spans="1:7" ht="36" customHeight="1">
      <c r="A8" s="802"/>
      <c r="B8" s="805"/>
      <c r="C8" s="809"/>
      <c r="D8" s="6" t="s">
        <v>263</v>
      </c>
      <c r="E8" s="27">
        <v>60</v>
      </c>
      <c r="F8" s="108" t="s">
        <v>335</v>
      </c>
      <c r="G8" s="38" t="s">
        <v>330</v>
      </c>
    </row>
    <row r="9" spans="1:7" ht="36" customHeight="1">
      <c r="A9" s="802"/>
      <c r="B9" s="805"/>
      <c r="C9" s="155" t="s">
        <v>311</v>
      </c>
      <c r="D9" s="6" t="s">
        <v>312</v>
      </c>
      <c r="E9" s="27" t="s">
        <v>313</v>
      </c>
      <c r="F9" s="108"/>
    </row>
    <row r="10" spans="1:7" ht="36" customHeight="1" thickBot="1">
      <c r="A10" s="802"/>
      <c r="B10" s="805"/>
      <c r="C10" s="87"/>
      <c r="D10" s="86"/>
      <c r="E10" s="147"/>
      <c r="F10" s="148"/>
    </row>
    <row r="11" spans="1:7" ht="36" customHeight="1" thickBot="1">
      <c r="A11" s="803"/>
      <c r="B11" s="828"/>
      <c r="C11" s="42" t="s">
        <v>323</v>
      </c>
      <c r="D11" s="40" t="s">
        <v>324</v>
      </c>
      <c r="E11" s="36" t="s">
        <v>325</v>
      </c>
      <c r="F11" s="43" t="s">
        <v>321</v>
      </c>
    </row>
    <row r="12" spans="1:7" ht="36" customHeight="1">
      <c r="A12" s="801">
        <v>43166</v>
      </c>
      <c r="B12" s="804" t="s">
        <v>175</v>
      </c>
      <c r="C12" s="824" t="s">
        <v>14</v>
      </c>
      <c r="D12" s="12" t="s">
        <v>25</v>
      </c>
      <c r="E12" s="18">
        <f>142+15+4+56</f>
        <v>217</v>
      </c>
      <c r="F12" s="15"/>
      <c r="G12" s="38" t="s">
        <v>348</v>
      </c>
    </row>
    <row r="13" spans="1:7" ht="36" customHeight="1">
      <c r="A13" s="802"/>
      <c r="B13" s="805"/>
      <c r="C13" s="809"/>
      <c r="D13" s="6" t="s">
        <v>26</v>
      </c>
      <c r="E13" s="27">
        <v>14</v>
      </c>
      <c r="F13" s="108"/>
    </row>
    <row r="14" spans="1:7" ht="36" customHeight="1" thickBot="1">
      <c r="A14" s="802"/>
      <c r="B14" s="805"/>
      <c r="C14" s="158" t="s">
        <v>332</v>
      </c>
      <c r="D14" s="85" t="s">
        <v>345</v>
      </c>
      <c r="E14" s="29" t="s">
        <v>333</v>
      </c>
      <c r="F14" s="116"/>
    </row>
    <row r="15" spans="1:7" ht="36" customHeight="1">
      <c r="A15" s="801">
        <v>43167</v>
      </c>
      <c r="B15" s="804" t="s">
        <v>247</v>
      </c>
      <c r="C15" s="824" t="s">
        <v>14</v>
      </c>
      <c r="D15" s="12" t="s">
        <v>26</v>
      </c>
      <c r="E15" s="18">
        <v>108</v>
      </c>
      <c r="F15" s="15"/>
    </row>
    <row r="16" spans="1:7" ht="36" customHeight="1">
      <c r="A16" s="802"/>
      <c r="B16" s="805"/>
      <c r="C16" s="809"/>
      <c r="D16" s="6" t="s">
        <v>331</v>
      </c>
      <c r="E16" s="27">
        <v>113</v>
      </c>
      <c r="F16" s="108"/>
    </row>
    <row r="17" spans="1:6" ht="36" customHeight="1">
      <c r="A17" s="802"/>
      <c r="B17" s="805"/>
      <c r="C17" s="861" t="s">
        <v>33</v>
      </c>
      <c r="D17" s="6" t="s">
        <v>334</v>
      </c>
      <c r="E17" s="27">
        <v>50</v>
      </c>
      <c r="F17" s="108" t="s">
        <v>336</v>
      </c>
    </row>
    <row r="18" spans="1:6" ht="36" customHeight="1">
      <c r="A18" s="802"/>
      <c r="B18" s="805"/>
      <c r="C18" s="822"/>
      <c r="D18" s="6" t="s">
        <v>338</v>
      </c>
      <c r="E18" s="27">
        <v>100</v>
      </c>
      <c r="F18" s="108" t="s">
        <v>354</v>
      </c>
    </row>
    <row r="19" spans="1:6" ht="36" customHeight="1">
      <c r="A19" s="802"/>
      <c r="B19" s="805"/>
      <c r="C19" s="822"/>
      <c r="D19" s="6" t="s">
        <v>339</v>
      </c>
      <c r="E19" s="27">
        <v>50</v>
      </c>
      <c r="F19" s="108" t="s">
        <v>340</v>
      </c>
    </row>
    <row r="20" spans="1:6" ht="36" customHeight="1">
      <c r="A20" s="802"/>
      <c r="B20" s="805"/>
      <c r="C20" s="822"/>
      <c r="D20" s="6" t="s">
        <v>341</v>
      </c>
      <c r="E20" s="27">
        <v>100</v>
      </c>
      <c r="F20" s="108" t="s">
        <v>355</v>
      </c>
    </row>
    <row r="21" spans="1:6" ht="36" customHeight="1" thickBot="1">
      <c r="A21" s="802"/>
      <c r="B21" s="805"/>
      <c r="C21" s="823"/>
      <c r="D21" s="8" t="s">
        <v>342</v>
      </c>
      <c r="E21" s="24" t="s">
        <v>343</v>
      </c>
      <c r="F21" s="14"/>
    </row>
    <row r="22" spans="1:6" ht="36" customHeight="1" thickBot="1">
      <c r="A22" s="803"/>
      <c r="B22" s="828"/>
      <c r="C22" s="42" t="s">
        <v>326</v>
      </c>
      <c r="D22" s="40" t="s">
        <v>327</v>
      </c>
      <c r="E22" s="36" t="s">
        <v>328</v>
      </c>
      <c r="F22" s="43" t="s">
        <v>321</v>
      </c>
    </row>
    <row r="23" spans="1:6" ht="36" customHeight="1">
      <c r="A23" s="801">
        <v>43168</v>
      </c>
      <c r="B23" s="804" t="s">
        <v>248</v>
      </c>
      <c r="C23" s="824" t="s">
        <v>14</v>
      </c>
      <c r="D23" s="12" t="s">
        <v>26</v>
      </c>
      <c r="E23" s="18">
        <v>108</v>
      </c>
      <c r="F23" s="15"/>
    </row>
    <row r="24" spans="1:6" ht="36" customHeight="1">
      <c r="A24" s="802"/>
      <c r="B24" s="805"/>
      <c r="C24" s="809"/>
      <c r="D24" s="6" t="s">
        <v>317</v>
      </c>
      <c r="E24" s="27">
        <v>86</v>
      </c>
      <c r="F24" s="108"/>
    </row>
    <row r="25" spans="1:6" ht="36" customHeight="1">
      <c r="A25" s="802"/>
      <c r="B25" s="805"/>
      <c r="C25" s="158" t="s">
        <v>372</v>
      </c>
      <c r="D25" s="85" t="s">
        <v>373</v>
      </c>
      <c r="E25" s="29" t="s">
        <v>374</v>
      </c>
      <c r="F25" s="116"/>
    </row>
    <row r="26" spans="1:6" ht="36" customHeight="1" thickBot="1">
      <c r="A26" s="803"/>
      <c r="B26" s="828"/>
      <c r="C26" s="156" t="s">
        <v>315</v>
      </c>
      <c r="D26" s="8" t="s">
        <v>367</v>
      </c>
      <c r="E26" s="24">
        <v>50</v>
      </c>
      <c r="F26" s="14"/>
    </row>
    <row r="27" spans="1:6" ht="123" customHeight="1" thickBot="1">
      <c r="A27" s="798" t="s">
        <v>0</v>
      </c>
      <c r="B27" s="799"/>
      <c r="C27" s="886"/>
      <c r="D27" s="886"/>
      <c r="E27" s="886"/>
      <c r="F27" s="887"/>
    </row>
    <row r="28" spans="1:6" ht="36" customHeight="1">
      <c r="A28" s="801">
        <v>43171</v>
      </c>
      <c r="B28" s="804" t="s">
        <v>329</v>
      </c>
      <c r="C28" s="157" t="s">
        <v>356</v>
      </c>
      <c r="D28" s="12" t="s">
        <v>366</v>
      </c>
      <c r="E28" s="18">
        <v>60</v>
      </c>
      <c r="F28" s="15"/>
    </row>
    <row r="29" spans="1:6" ht="36" customHeight="1">
      <c r="A29" s="802"/>
      <c r="B29" s="805"/>
      <c r="C29" s="155" t="s">
        <v>156</v>
      </c>
      <c r="D29" s="6" t="s">
        <v>337</v>
      </c>
      <c r="E29" s="27">
        <v>100</v>
      </c>
      <c r="F29" s="108" t="s">
        <v>344</v>
      </c>
    </row>
    <row r="30" spans="1:6" ht="36" customHeight="1" thickBot="1">
      <c r="A30" s="803"/>
      <c r="B30" s="828"/>
      <c r="C30" s="52"/>
      <c r="D30" s="53"/>
      <c r="E30" s="33"/>
      <c r="F30" s="54"/>
    </row>
    <row r="31" spans="1:6" ht="36" customHeight="1">
      <c r="A31" s="801">
        <v>43172</v>
      </c>
      <c r="B31" s="804" t="s">
        <v>176</v>
      </c>
      <c r="C31" s="833" t="s">
        <v>359</v>
      </c>
      <c r="D31" s="12" t="s">
        <v>360</v>
      </c>
      <c r="E31" s="18" t="s">
        <v>361</v>
      </c>
      <c r="F31" s="15" t="s">
        <v>363</v>
      </c>
    </row>
    <row r="32" spans="1:6" ht="36" customHeight="1">
      <c r="A32" s="802"/>
      <c r="B32" s="805"/>
      <c r="C32" s="825"/>
      <c r="D32" s="146" t="s">
        <v>362</v>
      </c>
      <c r="E32" s="57">
        <v>100</v>
      </c>
      <c r="F32" s="58"/>
    </row>
    <row r="33" spans="1:6" ht="36" customHeight="1">
      <c r="A33" s="802"/>
      <c r="B33" s="805"/>
      <c r="C33" s="809" t="s">
        <v>349</v>
      </c>
      <c r="D33" s="6" t="s">
        <v>350</v>
      </c>
      <c r="E33" s="27">
        <v>100</v>
      </c>
      <c r="F33" s="108" t="s">
        <v>352</v>
      </c>
    </row>
    <row r="34" spans="1:6" ht="36" customHeight="1" thickBot="1">
      <c r="A34" s="802"/>
      <c r="B34" s="805"/>
      <c r="C34" s="810"/>
      <c r="D34" s="8" t="s">
        <v>351</v>
      </c>
      <c r="E34" s="24">
        <v>50</v>
      </c>
      <c r="F34" s="14" t="s">
        <v>353</v>
      </c>
    </row>
    <row r="35" spans="1:6" ht="36" customHeight="1" thickBot="1">
      <c r="A35" s="803"/>
      <c r="B35" s="828"/>
      <c r="C35" s="149"/>
      <c r="D35" s="150"/>
      <c r="E35" s="151"/>
      <c r="F35" s="152"/>
    </row>
    <row r="36" spans="1:6" ht="36" customHeight="1">
      <c r="A36" s="801">
        <v>43173</v>
      </c>
      <c r="B36" s="804" t="s">
        <v>175</v>
      </c>
      <c r="C36" s="157" t="s">
        <v>346</v>
      </c>
      <c r="D36" s="12" t="s">
        <v>347</v>
      </c>
      <c r="E36" s="18">
        <v>50</v>
      </c>
      <c r="F36" s="15"/>
    </row>
    <row r="37" spans="1:6" ht="36" customHeight="1">
      <c r="A37" s="802"/>
      <c r="B37" s="805"/>
      <c r="C37" s="155" t="s">
        <v>357</v>
      </c>
      <c r="D37" s="6" t="s">
        <v>358</v>
      </c>
      <c r="E37" s="27">
        <v>30</v>
      </c>
      <c r="F37" s="108"/>
    </row>
    <row r="38" spans="1:6" ht="36" customHeight="1" thickBot="1">
      <c r="A38" s="802"/>
      <c r="B38" s="805"/>
      <c r="C38" s="158" t="s">
        <v>368</v>
      </c>
      <c r="D38" s="85" t="s">
        <v>369</v>
      </c>
      <c r="E38" s="29" t="s">
        <v>370</v>
      </c>
      <c r="F38" s="116"/>
    </row>
    <row r="39" spans="1:6" ht="36" customHeight="1" thickBot="1">
      <c r="A39" s="803"/>
      <c r="B39" s="828"/>
      <c r="C39" s="105"/>
      <c r="D39" s="106"/>
      <c r="E39" s="63"/>
      <c r="F39" s="107"/>
    </row>
    <row r="40" spans="1:6" ht="36" customHeight="1">
      <c r="A40" s="801">
        <v>43174</v>
      </c>
      <c r="B40" s="804" t="s">
        <v>247</v>
      </c>
      <c r="C40" s="824" t="s">
        <v>364</v>
      </c>
      <c r="D40" s="888" t="s">
        <v>365</v>
      </c>
      <c r="E40" s="18">
        <v>421</v>
      </c>
      <c r="F40" s="15" t="s">
        <v>379</v>
      </c>
    </row>
    <row r="41" spans="1:6" ht="36" customHeight="1">
      <c r="A41" s="802"/>
      <c r="B41" s="805"/>
      <c r="C41" s="809"/>
      <c r="D41" s="889"/>
      <c r="E41" s="27">
        <v>19</v>
      </c>
      <c r="F41" s="108" t="s">
        <v>382</v>
      </c>
    </row>
    <row r="42" spans="1:6" ht="36" customHeight="1">
      <c r="A42" s="802"/>
      <c r="B42" s="805"/>
      <c r="C42" s="809" t="s">
        <v>33</v>
      </c>
      <c r="D42" s="6" t="s">
        <v>371</v>
      </c>
      <c r="E42" s="27">
        <v>50</v>
      </c>
      <c r="F42" s="108"/>
    </row>
    <row r="43" spans="1:6" ht="36" customHeight="1">
      <c r="A43" s="802"/>
      <c r="B43" s="805"/>
      <c r="C43" s="809"/>
      <c r="D43" s="6" t="s">
        <v>384</v>
      </c>
      <c r="E43" s="27">
        <v>50</v>
      </c>
      <c r="F43" s="108"/>
    </row>
    <row r="44" spans="1:6" ht="36" customHeight="1">
      <c r="A44" s="802"/>
      <c r="B44" s="805"/>
      <c r="C44" s="809"/>
      <c r="D44" s="6" t="s">
        <v>385</v>
      </c>
      <c r="E44" s="27">
        <v>50</v>
      </c>
      <c r="F44" s="108"/>
    </row>
    <row r="45" spans="1:6" ht="36" customHeight="1" thickBot="1">
      <c r="A45" s="802"/>
      <c r="B45" s="805"/>
      <c r="C45" s="810"/>
      <c r="D45" s="8" t="s">
        <v>386</v>
      </c>
      <c r="E45" s="24">
        <v>50</v>
      </c>
      <c r="F45" s="14"/>
    </row>
    <row r="46" spans="1:6" ht="36" customHeight="1" thickBot="1">
      <c r="A46" s="803"/>
      <c r="B46" s="828"/>
      <c r="C46" s="42"/>
      <c r="D46" s="40"/>
      <c r="E46" s="36"/>
      <c r="F46" s="43"/>
    </row>
    <row r="47" spans="1:6" ht="36" customHeight="1">
      <c r="A47" s="801">
        <v>43175</v>
      </c>
      <c r="B47" s="804" t="s">
        <v>248</v>
      </c>
      <c r="C47" s="157" t="s">
        <v>381</v>
      </c>
      <c r="D47" s="153"/>
      <c r="E47" s="18"/>
      <c r="F47" s="15"/>
    </row>
    <row r="48" spans="1:6" ht="36" customHeight="1">
      <c r="A48" s="802"/>
      <c r="B48" s="805"/>
      <c r="C48" s="155"/>
      <c r="D48" s="154"/>
      <c r="E48" s="27"/>
      <c r="F48" s="108"/>
    </row>
    <row r="49" spans="1:7" ht="36" customHeight="1" thickBot="1">
      <c r="A49" s="802"/>
      <c r="B49" s="805"/>
      <c r="C49" s="156"/>
      <c r="D49" s="8"/>
      <c r="E49" s="24"/>
      <c r="F49" s="14"/>
    </row>
    <row r="50" spans="1:7" ht="36" customHeight="1" thickBot="1">
      <c r="A50" s="803"/>
      <c r="B50" s="828"/>
      <c r="C50" s="52" t="s">
        <v>375</v>
      </c>
      <c r="D50" s="53" t="s">
        <v>376</v>
      </c>
      <c r="E50" s="33" t="s">
        <v>377</v>
      </c>
      <c r="F50" s="54" t="s">
        <v>378</v>
      </c>
    </row>
    <row r="51" spans="1:7" ht="100.5" customHeight="1" thickBot="1">
      <c r="A51" s="798" t="s">
        <v>0</v>
      </c>
      <c r="B51" s="799"/>
      <c r="C51" s="886"/>
      <c r="D51" s="886"/>
      <c r="E51" s="886"/>
      <c r="F51" s="887"/>
    </row>
    <row r="52" spans="1:7" ht="36" customHeight="1">
      <c r="A52" s="801">
        <v>43178</v>
      </c>
      <c r="B52" s="804" t="s">
        <v>380</v>
      </c>
      <c r="C52" s="824" t="s">
        <v>392</v>
      </c>
      <c r="D52" s="12" t="s">
        <v>395</v>
      </c>
      <c r="E52" s="18">
        <v>100</v>
      </c>
      <c r="F52" s="15"/>
      <c r="G52" s="38" t="s">
        <v>396</v>
      </c>
    </row>
    <row r="53" spans="1:7" ht="36" customHeight="1">
      <c r="A53" s="802"/>
      <c r="B53" s="805"/>
      <c r="C53" s="809"/>
      <c r="D53" s="6" t="s">
        <v>393</v>
      </c>
      <c r="E53" s="27" t="s">
        <v>394</v>
      </c>
      <c r="F53" s="108"/>
      <c r="G53" s="38" t="s">
        <v>397</v>
      </c>
    </row>
    <row r="54" spans="1:7" ht="36" customHeight="1" thickBot="1">
      <c r="A54" s="802"/>
      <c r="B54" s="805"/>
      <c r="C54" s="156" t="s">
        <v>408</v>
      </c>
      <c r="D54" s="8" t="s">
        <v>409</v>
      </c>
      <c r="E54" s="24">
        <v>100</v>
      </c>
      <c r="F54" s="14"/>
      <c r="G54" s="38" t="s">
        <v>410</v>
      </c>
    </row>
    <row r="55" spans="1:7" ht="36" customHeight="1" thickBot="1">
      <c r="A55" s="803"/>
      <c r="B55" s="828"/>
      <c r="C55" s="42"/>
      <c r="D55" s="40"/>
      <c r="E55" s="36"/>
      <c r="F55" s="43"/>
    </row>
    <row r="56" spans="1:7" ht="36" customHeight="1">
      <c r="A56" s="801">
        <v>43179</v>
      </c>
      <c r="B56" s="804" t="s">
        <v>176</v>
      </c>
      <c r="C56" s="824" t="s">
        <v>381</v>
      </c>
      <c r="D56" s="153" t="s">
        <v>400</v>
      </c>
      <c r="E56" s="18">
        <v>102</v>
      </c>
      <c r="F56" s="15"/>
    </row>
    <row r="57" spans="1:7" ht="36" customHeight="1">
      <c r="A57" s="802"/>
      <c r="B57" s="805"/>
      <c r="C57" s="809"/>
      <c r="D57" s="154" t="s">
        <v>399</v>
      </c>
      <c r="E57" s="27">
        <f>5+1+1+13+13</f>
        <v>33</v>
      </c>
      <c r="F57" s="108"/>
    </row>
    <row r="58" spans="1:7" ht="36" customHeight="1" thickBot="1">
      <c r="A58" s="803"/>
      <c r="B58" s="828"/>
      <c r="C58" s="42"/>
      <c r="D58" s="40"/>
      <c r="E58" s="36"/>
      <c r="F58" s="43"/>
    </row>
    <row r="59" spans="1:7" ht="36" customHeight="1">
      <c r="A59" s="801">
        <v>43180</v>
      </c>
      <c r="B59" s="804" t="s">
        <v>175</v>
      </c>
      <c r="C59" s="833" t="s">
        <v>33</v>
      </c>
      <c r="D59" s="12" t="s">
        <v>57</v>
      </c>
      <c r="E59" s="18">
        <v>50</v>
      </c>
      <c r="F59" s="15" t="s">
        <v>383</v>
      </c>
      <c r="G59" s="38" t="s">
        <v>414</v>
      </c>
    </row>
    <row r="60" spans="1:7" ht="36" customHeight="1">
      <c r="A60" s="802"/>
      <c r="B60" s="805"/>
      <c r="C60" s="822"/>
      <c r="D60" s="49" t="s">
        <v>406</v>
      </c>
      <c r="E60" s="124">
        <v>100</v>
      </c>
      <c r="F60" s="84"/>
    </row>
    <row r="61" spans="1:7" ht="36" customHeight="1">
      <c r="A61" s="802"/>
      <c r="B61" s="805"/>
      <c r="C61" s="825"/>
      <c r="D61" s="49" t="s">
        <v>407</v>
      </c>
      <c r="E61" s="124">
        <v>30</v>
      </c>
      <c r="F61" s="84"/>
    </row>
    <row r="62" spans="1:7" ht="36" customHeight="1">
      <c r="A62" s="802"/>
      <c r="B62" s="805"/>
      <c r="C62" s="809" t="s">
        <v>58</v>
      </c>
      <c r="D62" s="160" t="s">
        <v>387</v>
      </c>
      <c r="E62" s="27" t="s">
        <v>50</v>
      </c>
      <c r="F62" s="108"/>
    </row>
    <row r="63" spans="1:7" ht="36" customHeight="1">
      <c r="A63" s="802"/>
      <c r="B63" s="805"/>
      <c r="C63" s="809"/>
      <c r="D63" s="160" t="s">
        <v>388</v>
      </c>
      <c r="E63" s="27" t="s">
        <v>147</v>
      </c>
      <c r="F63" s="108" t="s">
        <v>65</v>
      </c>
    </row>
    <row r="64" spans="1:7" ht="36" customHeight="1" thickBot="1">
      <c r="A64" s="802"/>
      <c r="B64" s="805"/>
      <c r="C64" s="810"/>
      <c r="D64" s="8" t="s">
        <v>16</v>
      </c>
      <c r="E64" s="24" t="s">
        <v>389</v>
      </c>
      <c r="F64" s="14" t="s">
        <v>65</v>
      </c>
    </row>
    <row r="65" spans="1:7" ht="36" customHeight="1" thickBot="1">
      <c r="A65" s="803"/>
      <c r="B65" s="828"/>
      <c r="C65" s="42"/>
      <c r="D65" s="40"/>
      <c r="E65" s="36"/>
      <c r="F65" s="43"/>
    </row>
    <row r="66" spans="1:7" ht="36" customHeight="1">
      <c r="A66" s="801">
        <v>43181</v>
      </c>
      <c r="B66" s="804" t="s">
        <v>247</v>
      </c>
      <c r="C66" s="163" t="s">
        <v>111</v>
      </c>
      <c r="D66" s="165" t="s">
        <v>386</v>
      </c>
      <c r="E66" s="18">
        <v>72</v>
      </c>
      <c r="F66" s="15" t="s">
        <v>404</v>
      </c>
    </row>
    <row r="67" spans="1:7" ht="36" customHeight="1" thickBot="1">
      <c r="A67" s="802"/>
      <c r="B67" s="805"/>
      <c r="C67" s="162" t="s">
        <v>424</v>
      </c>
      <c r="D67" s="8" t="s">
        <v>425</v>
      </c>
      <c r="E67" s="24">
        <v>200</v>
      </c>
      <c r="F67" s="14"/>
    </row>
    <row r="68" spans="1:7" ht="36" customHeight="1" thickBot="1">
      <c r="A68" s="803"/>
      <c r="B68" s="828"/>
      <c r="C68" s="42"/>
      <c r="D68" s="40"/>
      <c r="E68" s="36"/>
      <c r="F68" s="43"/>
    </row>
    <row r="69" spans="1:7" ht="36" customHeight="1">
      <c r="A69" s="801">
        <v>43182</v>
      </c>
      <c r="B69" s="804" t="s">
        <v>248</v>
      </c>
      <c r="C69" s="163" t="s">
        <v>398</v>
      </c>
      <c r="D69" s="165" t="s">
        <v>399</v>
      </c>
      <c r="E69" s="18">
        <f>161+27</f>
        <v>188</v>
      </c>
      <c r="F69" s="15"/>
    </row>
    <row r="70" spans="1:7" ht="36" customHeight="1" thickBot="1">
      <c r="A70" s="802"/>
      <c r="B70" s="805"/>
      <c r="C70" s="162" t="s">
        <v>181</v>
      </c>
      <c r="D70" s="8" t="s">
        <v>405</v>
      </c>
      <c r="E70" s="24">
        <v>200</v>
      </c>
      <c r="F70" s="14" t="s">
        <v>416</v>
      </c>
    </row>
    <row r="71" spans="1:7" ht="36" customHeight="1" thickBot="1">
      <c r="A71" s="803"/>
      <c r="B71" s="828"/>
      <c r="C71" s="52" t="s">
        <v>30</v>
      </c>
      <c r="D71" s="53" t="s">
        <v>401</v>
      </c>
      <c r="E71" s="33" t="s">
        <v>402</v>
      </c>
      <c r="F71" s="54" t="s">
        <v>403</v>
      </c>
    </row>
    <row r="72" spans="1:7" ht="84.75" customHeight="1" thickBot="1">
      <c r="A72" s="798" t="s">
        <v>0</v>
      </c>
      <c r="B72" s="799"/>
      <c r="C72" s="886"/>
      <c r="D72" s="886"/>
      <c r="E72" s="886"/>
      <c r="F72" s="887"/>
    </row>
    <row r="73" spans="1:7" ht="36" customHeight="1">
      <c r="A73" s="801">
        <v>43185</v>
      </c>
      <c r="B73" s="804" t="s">
        <v>7</v>
      </c>
      <c r="C73" s="157" t="s">
        <v>82</v>
      </c>
      <c r="D73" s="159" t="s">
        <v>390</v>
      </c>
      <c r="E73" s="18">
        <v>200</v>
      </c>
      <c r="F73" s="15" t="s">
        <v>415</v>
      </c>
    </row>
    <row r="74" spans="1:7" ht="36" customHeight="1" thickBot="1">
      <c r="A74" s="802"/>
      <c r="B74" s="805"/>
      <c r="C74" s="174" t="s">
        <v>417</v>
      </c>
      <c r="D74" s="85" t="s">
        <v>418</v>
      </c>
      <c r="E74" s="29" t="s">
        <v>419</v>
      </c>
      <c r="F74" s="116"/>
    </row>
    <row r="75" spans="1:7" ht="36" customHeight="1">
      <c r="A75" s="801">
        <v>43186</v>
      </c>
      <c r="B75" s="804" t="s">
        <v>176</v>
      </c>
      <c r="C75" s="833" t="s">
        <v>411</v>
      </c>
      <c r="D75" s="176" t="s">
        <v>412</v>
      </c>
      <c r="E75" s="18">
        <v>23</v>
      </c>
      <c r="F75" s="15"/>
      <c r="G75" s="38" t="s">
        <v>458</v>
      </c>
    </row>
    <row r="76" spans="1:7" ht="36" customHeight="1">
      <c r="A76" s="802"/>
      <c r="B76" s="805"/>
      <c r="C76" s="825"/>
      <c r="D76" s="177" t="s">
        <v>413</v>
      </c>
      <c r="E76" s="27">
        <f>18+2+10+36</f>
        <v>66</v>
      </c>
      <c r="F76" s="108"/>
    </row>
    <row r="77" spans="1:7" ht="36" customHeight="1">
      <c r="A77" s="802"/>
      <c r="B77" s="805"/>
      <c r="C77" s="861" t="s">
        <v>459</v>
      </c>
      <c r="D77" s="177" t="s">
        <v>460</v>
      </c>
      <c r="E77" s="27">
        <v>70</v>
      </c>
      <c r="F77" s="116"/>
    </row>
    <row r="78" spans="1:7" ht="36" customHeight="1" thickBot="1">
      <c r="A78" s="802"/>
      <c r="B78" s="805"/>
      <c r="C78" s="823"/>
      <c r="D78" s="8" t="s">
        <v>461</v>
      </c>
      <c r="E78" s="24">
        <v>30</v>
      </c>
      <c r="F78" s="14"/>
    </row>
    <row r="79" spans="1:7" ht="36" customHeight="1">
      <c r="A79" s="801">
        <v>43187</v>
      </c>
      <c r="B79" s="804" t="s">
        <v>175</v>
      </c>
      <c r="C79" s="833" t="s">
        <v>56</v>
      </c>
      <c r="D79" s="161" t="s">
        <v>391</v>
      </c>
      <c r="E79" s="27">
        <v>50</v>
      </c>
      <c r="F79" s="108" t="s">
        <v>434</v>
      </c>
      <c r="G79" s="38" t="s">
        <v>463</v>
      </c>
    </row>
    <row r="80" spans="1:7" ht="36" customHeight="1">
      <c r="A80" s="802"/>
      <c r="B80" s="805"/>
      <c r="C80" s="822"/>
      <c r="D80" s="166" t="s">
        <v>426</v>
      </c>
      <c r="E80" s="27">
        <v>100</v>
      </c>
      <c r="F80" s="108" t="s">
        <v>427</v>
      </c>
    </row>
    <row r="81" spans="1:7" ht="36" customHeight="1">
      <c r="A81" s="802"/>
      <c r="B81" s="805"/>
      <c r="C81" s="822"/>
      <c r="D81" s="166" t="s">
        <v>426</v>
      </c>
      <c r="E81" s="27" t="s">
        <v>428</v>
      </c>
      <c r="F81" s="108" t="s">
        <v>429</v>
      </c>
    </row>
    <row r="82" spans="1:7" ht="36" customHeight="1">
      <c r="A82" s="802"/>
      <c r="B82" s="805"/>
      <c r="C82" s="822"/>
      <c r="D82" s="166" t="s">
        <v>430</v>
      </c>
      <c r="E82" s="27">
        <v>50</v>
      </c>
      <c r="F82" s="108" t="s">
        <v>431</v>
      </c>
    </row>
    <row r="83" spans="1:7" ht="36" customHeight="1">
      <c r="A83" s="802"/>
      <c r="B83" s="805"/>
      <c r="C83" s="822"/>
      <c r="D83" s="166" t="s">
        <v>432</v>
      </c>
      <c r="E83" s="27">
        <v>50</v>
      </c>
      <c r="F83" s="108" t="s">
        <v>353</v>
      </c>
    </row>
    <row r="84" spans="1:7" ht="36" customHeight="1">
      <c r="A84" s="802"/>
      <c r="B84" s="805"/>
      <c r="C84" s="825"/>
      <c r="D84" s="166" t="s">
        <v>433</v>
      </c>
      <c r="E84" s="27">
        <v>50</v>
      </c>
      <c r="F84" s="108" t="s">
        <v>353</v>
      </c>
    </row>
    <row r="85" spans="1:7" ht="36" customHeight="1">
      <c r="A85" s="802"/>
      <c r="B85" s="805"/>
      <c r="C85" s="175" t="s">
        <v>15</v>
      </c>
      <c r="D85" s="85" t="s">
        <v>462</v>
      </c>
      <c r="E85" s="29" t="s">
        <v>486</v>
      </c>
      <c r="F85" s="116" t="s">
        <v>487</v>
      </c>
    </row>
    <row r="86" spans="1:7" ht="36" customHeight="1" thickBot="1">
      <c r="A86" s="802"/>
      <c r="B86" s="805"/>
      <c r="C86" s="164" t="s">
        <v>435</v>
      </c>
      <c r="D86" s="85" t="s">
        <v>436</v>
      </c>
      <c r="E86" s="29">
        <v>100</v>
      </c>
      <c r="F86" s="116"/>
    </row>
    <row r="87" spans="1:7" ht="36" customHeight="1">
      <c r="A87" s="801">
        <v>43188</v>
      </c>
      <c r="B87" s="804" t="s">
        <v>247</v>
      </c>
      <c r="C87" s="824" t="s">
        <v>33</v>
      </c>
      <c r="D87" s="204" t="s">
        <v>437</v>
      </c>
      <c r="E87" s="18">
        <v>50</v>
      </c>
      <c r="F87" s="15"/>
      <c r="G87" s="38" t="s">
        <v>485</v>
      </c>
    </row>
    <row r="88" spans="1:7" ht="36" customHeight="1">
      <c r="A88" s="802"/>
      <c r="B88" s="805"/>
      <c r="C88" s="809"/>
      <c r="D88" s="205" t="s">
        <v>438</v>
      </c>
      <c r="E88" s="27">
        <v>42</v>
      </c>
      <c r="F88" s="203">
        <v>0.75</v>
      </c>
    </row>
    <row r="89" spans="1:7" ht="36" customHeight="1">
      <c r="A89" s="802"/>
      <c r="B89" s="805"/>
      <c r="C89" s="809"/>
      <c r="D89" s="205" t="s">
        <v>439</v>
      </c>
      <c r="E89" s="27">
        <v>50</v>
      </c>
      <c r="F89" s="108"/>
    </row>
    <row r="90" spans="1:7" ht="36" customHeight="1">
      <c r="A90" s="802"/>
      <c r="B90" s="805"/>
      <c r="C90" s="809"/>
      <c r="D90" s="205" t="s">
        <v>483</v>
      </c>
      <c r="E90" s="27">
        <v>50</v>
      </c>
      <c r="F90" s="108"/>
    </row>
    <row r="91" spans="1:7" ht="36" customHeight="1">
      <c r="A91" s="802"/>
      <c r="B91" s="805"/>
      <c r="C91" s="809"/>
      <c r="D91" s="205" t="s">
        <v>484</v>
      </c>
      <c r="E91" s="27">
        <v>50</v>
      </c>
      <c r="F91" s="203">
        <v>0.75</v>
      </c>
    </row>
    <row r="92" spans="1:7" ht="36" customHeight="1">
      <c r="A92" s="802"/>
      <c r="B92" s="805"/>
      <c r="C92" s="809" t="s">
        <v>15</v>
      </c>
      <c r="D92" s="205" t="s">
        <v>422</v>
      </c>
      <c r="E92" s="27">
        <v>30</v>
      </c>
      <c r="F92" s="108"/>
    </row>
    <row r="93" spans="1:7" ht="36" customHeight="1">
      <c r="A93" s="802"/>
      <c r="B93" s="805"/>
      <c r="C93" s="809"/>
      <c r="D93" s="205" t="s">
        <v>371</v>
      </c>
      <c r="E93" s="27">
        <v>50</v>
      </c>
      <c r="F93" s="108"/>
    </row>
    <row r="94" spans="1:7" ht="36" customHeight="1">
      <c r="A94" s="802"/>
      <c r="B94" s="805"/>
      <c r="C94" s="809"/>
      <c r="D94" s="205" t="s">
        <v>423</v>
      </c>
      <c r="E94" s="27" t="s">
        <v>50</v>
      </c>
      <c r="F94" s="108"/>
    </row>
    <row r="95" spans="1:7" ht="36" customHeight="1">
      <c r="A95" s="802"/>
      <c r="B95" s="805"/>
      <c r="C95" s="809" t="s">
        <v>498</v>
      </c>
      <c r="D95" s="205" t="s">
        <v>499</v>
      </c>
      <c r="E95" s="27" t="s">
        <v>500</v>
      </c>
      <c r="F95" s="890" t="s">
        <v>503</v>
      </c>
    </row>
    <row r="96" spans="1:7" ht="36" customHeight="1" thickBot="1">
      <c r="A96" s="803"/>
      <c r="B96" s="828"/>
      <c r="C96" s="810"/>
      <c r="D96" s="8" t="s">
        <v>501</v>
      </c>
      <c r="E96" s="24" t="s">
        <v>502</v>
      </c>
      <c r="F96" s="891"/>
    </row>
    <row r="97" spans="1:6" ht="36" customHeight="1">
      <c r="A97" s="801">
        <v>43189</v>
      </c>
      <c r="B97" s="804" t="s">
        <v>248</v>
      </c>
      <c r="C97" s="202" t="s">
        <v>492</v>
      </c>
      <c r="D97" s="49" t="s">
        <v>493</v>
      </c>
      <c r="E97" s="124">
        <v>300</v>
      </c>
      <c r="F97" s="84"/>
    </row>
    <row r="98" spans="1:6" ht="36" customHeight="1" thickBot="1">
      <c r="A98" s="802"/>
      <c r="B98" s="805"/>
      <c r="C98" s="171" t="s">
        <v>456</v>
      </c>
      <c r="D98" s="8" t="s">
        <v>494</v>
      </c>
      <c r="E98" s="24" t="s">
        <v>457</v>
      </c>
      <c r="F98" s="14" t="s">
        <v>65</v>
      </c>
    </row>
    <row r="99" spans="1:6" ht="36" customHeight="1" thickBot="1">
      <c r="A99" s="803"/>
      <c r="B99" s="828"/>
      <c r="C99" s="52" t="s">
        <v>452</v>
      </c>
      <c r="D99" s="53" t="s">
        <v>453</v>
      </c>
      <c r="E99" s="33" t="s">
        <v>454</v>
      </c>
      <c r="F99" s="54" t="s">
        <v>455</v>
      </c>
    </row>
  </sheetData>
  <mergeCells count="66">
    <mergeCell ref="A66:A68"/>
    <mergeCell ref="B66:B68"/>
    <mergeCell ref="A69:A71"/>
    <mergeCell ref="B69:B71"/>
    <mergeCell ref="B59:B65"/>
    <mergeCell ref="B87:B96"/>
    <mergeCell ref="F95:F96"/>
    <mergeCell ref="C95:C96"/>
    <mergeCell ref="A73:A74"/>
    <mergeCell ref="B73:B74"/>
    <mergeCell ref="C52:C53"/>
    <mergeCell ref="C42:C45"/>
    <mergeCell ref="A40:A46"/>
    <mergeCell ref="B40:B46"/>
    <mergeCell ref="A47:A50"/>
    <mergeCell ref="B47:B50"/>
    <mergeCell ref="A51:F51"/>
    <mergeCell ref="A1:F1"/>
    <mergeCell ref="A2:A6"/>
    <mergeCell ref="B2:B6"/>
    <mergeCell ref="C3:C5"/>
    <mergeCell ref="A7:A11"/>
    <mergeCell ref="B7:B11"/>
    <mergeCell ref="C7:C8"/>
    <mergeCell ref="C12:C13"/>
    <mergeCell ref="A15:A22"/>
    <mergeCell ref="B15:B22"/>
    <mergeCell ref="A23:A26"/>
    <mergeCell ref="B23:B26"/>
    <mergeCell ref="C23:C24"/>
    <mergeCell ref="A12:A14"/>
    <mergeCell ref="B12:B14"/>
    <mergeCell ref="C15:C16"/>
    <mergeCell ref="C17:C21"/>
    <mergeCell ref="A27:F27"/>
    <mergeCell ref="A28:A30"/>
    <mergeCell ref="B28:B30"/>
    <mergeCell ref="D40:D41"/>
    <mergeCell ref="C56:C57"/>
    <mergeCell ref="A31:A35"/>
    <mergeCell ref="B31:B35"/>
    <mergeCell ref="C33:C34"/>
    <mergeCell ref="C31:C32"/>
    <mergeCell ref="A36:A39"/>
    <mergeCell ref="B36:B39"/>
    <mergeCell ref="C40:C41"/>
    <mergeCell ref="A52:A55"/>
    <mergeCell ref="B52:B55"/>
    <mergeCell ref="A56:A58"/>
    <mergeCell ref="B56:B58"/>
    <mergeCell ref="A97:A99"/>
    <mergeCell ref="B97:B99"/>
    <mergeCell ref="C59:C61"/>
    <mergeCell ref="A75:A78"/>
    <mergeCell ref="B75:B78"/>
    <mergeCell ref="A79:A86"/>
    <mergeCell ref="B79:B86"/>
    <mergeCell ref="C75:C76"/>
    <mergeCell ref="C62:C64"/>
    <mergeCell ref="A72:F72"/>
    <mergeCell ref="C77:C78"/>
    <mergeCell ref="C92:C94"/>
    <mergeCell ref="C87:C91"/>
    <mergeCell ref="C79:C84"/>
    <mergeCell ref="A59:A65"/>
    <mergeCell ref="A87:A96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76" fitToHeight="5" orientation="portrait" r:id="rId1"/>
  <rowBreaks count="1" manualBreakCount="1">
    <brk id="71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view="pageBreakPreview" topLeftCell="A62" zoomScale="80" zoomScaleNormal="87" zoomScaleSheetLayoutView="80" workbookViewId="0">
      <selection activeCell="C68" sqref="C68:G68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18.375" style="3" customWidth="1"/>
    <col min="7" max="7" width="16.875" style="250" customWidth="1"/>
    <col min="8" max="8" width="42.5" style="38" customWidth="1"/>
    <col min="9" max="16384" width="9" style="19"/>
  </cols>
  <sheetData>
    <row r="1" spans="1:7" s="38" customFormat="1" ht="126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43192</v>
      </c>
      <c r="B2" s="804" t="s">
        <v>7</v>
      </c>
      <c r="C2" s="213" t="s">
        <v>440</v>
      </c>
      <c r="D2" s="219" t="s">
        <v>442</v>
      </c>
      <c r="E2" s="18" t="s">
        <v>441</v>
      </c>
      <c r="F2" s="206"/>
      <c r="G2" s="236"/>
    </row>
    <row r="3" spans="1:7" s="38" customFormat="1" ht="36" customHeight="1">
      <c r="A3" s="802"/>
      <c r="B3" s="805"/>
      <c r="C3" s="211"/>
      <c r="D3" s="220"/>
      <c r="E3" s="27"/>
      <c r="F3" s="167"/>
      <c r="G3" s="237"/>
    </row>
    <row r="4" spans="1:7" s="38" customFormat="1" ht="36" customHeight="1">
      <c r="A4" s="802"/>
      <c r="B4" s="805"/>
      <c r="C4" s="211"/>
      <c r="D4" s="220"/>
      <c r="E4" s="27"/>
      <c r="F4" s="167"/>
      <c r="G4" s="237"/>
    </row>
    <row r="5" spans="1:7" s="38" customFormat="1" ht="36" customHeight="1" thickBot="1">
      <c r="A5" s="802"/>
      <c r="B5" s="805"/>
      <c r="C5" s="212"/>
      <c r="D5" s="8"/>
      <c r="E5" s="24"/>
      <c r="F5" s="207"/>
      <c r="G5" s="238"/>
    </row>
    <row r="6" spans="1:7" s="38" customFormat="1" ht="36" customHeight="1" thickBot="1">
      <c r="A6" s="803"/>
      <c r="B6" s="828"/>
      <c r="C6" s="42"/>
      <c r="D6" s="40"/>
      <c r="E6" s="36"/>
      <c r="F6" s="43"/>
      <c r="G6" s="239"/>
    </row>
    <row r="7" spans="1:7" ht="36" customHeight="1">
      <c r="A7" s="801">
        <v>43193</v>
      </c>
      <c r="B7" s="804" t="s">
        <v>176</v>
      </c>
      <c r="C7" s="824" t="s">
        <v>489</v>
      </c>
      <c r="D7" s="219" t="s">
        <v>490</v>
      </c>
      <c r="E7" s="18">
        <f>42+55+11</f>
        <v>108</v>
      </c>
      <c r="F7" s="206"/>
      <c r="G7" s="236"/>
    </row>
    <row r="8" spans="1:7" ht="36" customHeight="1">
      <c r="A8" s="802"/>
      <c r="B8" s="805"/>
      <c r="C8" s="809"/>
      <c r="D8" s="220" t="s">
        <v>491</v>
      </c>
      <c r="E8" s="27">
        <v>63</v>
      </c>
      <c r="F8" s="167"/>
      <c r="G8" s="237"/>
    </row>
    <row r="9" spans="1:7" ht="36" customHeight="1" thickBot="1">
      <c r="A9" s="802"/>
      <c r="B9" s="805"/>
      <c r="C9" s="201" t="s">
        <v>497</v>
      </c>
      <c r="D9" s="8" t="s">
        <v>421</v>
      </c>
      <c r="E9" s="24" t="s">
        <v>450</v>
      </c>
      <c r="F9" s="207" t="s">
        <v>451</v>
      </c>
      <c r="G9" s="238"/>
    </row>
    <row r="10" spans="1:7" ht="36" customHeight="1" thickBot="1">
      <c r="A10" s="803"/>
      <c r="B10" s="828"/>
      <c r="C10" s="42"/>
      <c r="D10" s="40"/>
      <c r="E10" s="36"/>
      <c r="F10" s="43"/>
      <c r="G10" s="239"/>
    </row>
    <row r="11" spans="1:7" ht="36" customHeight="1">
      <c r="A11" s="801">
        <v>43194</v>
      </c>
      <c r="B11" s="804" t="s">
        <v>175</v>
      </c>
      <c r="C11" s="824" t="s">
        <v>478</v>
      </c>
      <c r="D11" s="219" t="s">
        <v>479</v>
      </c>
      <c r="E11" s="18">
        <v>220</v>
      </c>
      <c r="F11" s="15"/>
      <c r="G11" s="236"/>
    </row>
    <row r="12" spans="1:7" ht="36" customHeight="1">
      <c r="A12" s="802"/>
      <c r="B12" s="805"/>
      <c r="C12" s="809"/>
      <c r="D12" s="220" t="s">
        <v>480</v>
      </c>
      <c r="E12" s="27">
        <v>10</v>
      </c>
      <c r="F12" s="108"/>
      <c r="G12" s="237"/>
    </row>
    <row r="13" spans="1:7" ht="36" customHeight="1">
      <c r="A13" s="802"/>
      <c r="B13" s="805"/>
      <c r="C13" s="809"/>
      <c r="D13" s="220" t="s">
        <v>481</v>
      </c>
      <c r="E13" s="27" t="s">
        <v>482</v>
      </c>
      <c r="F13" s="108" t="s">
        <v>505</v>
      </c>
      <c r="G13" s="237"/>
    </row>
    <row r="14" spans="1:7" ht="36" customHeight="1" thickBot="1">
      <c r="A14" s="802"/>
      <c r="B14" s="805"/>
      <c r="C14" s="179" t="s">
        <v>447</v>
      </c>
      <c r="D14" s="8" t="s">
        <v>449</v>
      </c>
      <c r="E14" s="24" t="s">
        <v>448</v>
      </c>
      <c r="F14" s="14" t="s">
        <v>504</v>
      </c>
      <c r="G14" s="238"/>
    </row>
    <row r="15" spans="1:7" ht="36" customHeight="1" thickBot="1">
      <c r="A15" s="803"/>
      <c r="B15" s="828"/>
      <c r="C15" s="52"/>
      <c r="D15" s="53"/>
      <c r="E15" s="33"/>
      <c r="F15" s="54"/>
      <c r="G15" s="240"/>
    </row>
    <row r="16" spans="1:7" ht="36" customHeight="1">
      <c r="A16" s="801">
        <v>43195</v>
      </c>
      <c r="B16" s="804" t="s">
        <v>247</v>
      </c>
      <c r="C16" s="173" t="s">
        <v>443</v>
      </c>
      <c r="D16" s="219" t="s">
        <v>444</v>
      </c>
      <c r="E16" s="18" t="s">
        <v>445</v>
      </c>
      <c r="F16" s="15" t="s">
        <v>446</v>
      </c>
      <c r="G16" s="236"/>
    </row>
    <row r="17" spans="1:8" ht="36" customHeight="1">
      <c r="A17" s="802"/>
      <c r="B17" s="805"/>
      <c r="C17" s="172" t="s">
        <v>515</v>
      </c>
      <c r="D17" s="146" t="s">
        <v>516</v>
      </c>
      <c r="E17" s="57" t="s">
        <v>517</v>
      </c>
      <c r="F17" s="58" t="s">
        <v>521</v>
      </c>
      <c r="G17" s="241"/>
    </row>
    <row r="18" spans="1:8" ht="36" customHeight="1" thickBot="1">
      <c r="A18" s="802"/>
      <c r="B18" s="805"/>
      <c r="C18" s="174"/>
      <c r="D18" s="85"/>
      <c r="E18" s="29"/>
      <c r="F18" s="116"/>
      <c r="G18" s="242"/>
    </row>
    <row r="19" spans="1:8" ht="36" customHeight="1" thickBot="1">
      <c r="A19" s="803"/>
      <c r="B19" s="828"/>
      <c r="C19" s="105"/>
      <c r="D19" s="106"/>
      <c r="E19" s="63"/>
      <c r="F19" s="107"/>
      <c r="G19" s="243"/>
    </row>
    <row r="20" spans="1:8" ht="36" customHeight="1" thickBot="1">
      <c r="A20" s="801">
        <v>43196</v>
      </c>
      <c r="B20" s="804" t="s">
        <v>248</v>
      </c>
      <c r="C20" s="833" t="s">
        <v>105</v>
      </c>
      <c r="D20" s="219" t="s">
        <v>511</v>
      </c>
      <c r="E20" s="18">
        <f>164+1+30+28+5</f>
        <v>228</v>
      </c>
      <c r="F20" s="15"/>
      <c r="G20" s="236" t="s">
        <v>512</v>
      </c>
    </row>
    <row r="21" spans="1:8" ht="36" customHeight="1" thickBot="1">
      <c r="A21" s="802"/>
      <c r="B21" s="805"/>
      <c r="C21" s="823"/>
      <c r="D21" s="219" t="s">
        <v>513</v>
      </c>
      <c r="E21" s="18">
        <v>2</v>
      </c>
      <c r="F21" s="15"/>
      <c r="G21" s="241"/>
    </row>
    <row r="22" spans="1:8" ht="36" customHeight="1">
      <c r="A22" s="802"/>
      <c r="B22" s="805"/>
      <c r="C22" s="833" t="s">
        <v>495</v>
      </c>
      <c r="D22" s="219" t="s">
        <v>496</v>
      </c>
      <c r="E22" s="18" t="s">
        <v>55</v>
      </c>
      <c r="F22" s="15"/>
      <c r="G22" s="241"/>
    </row>
    <row r="23" spans="1:8" ht="36" customHeight="1">
      <c r="A23" s="802"/>
      <c r="B23" s="805"/>
      <c r="C23" s="822"/>
      <c r="D23" s="146" t="s">
        <v>518</v>
      </c>
      <c r="E23" s="57">
        <v>50</v>
      </c>
      <c r="F23" s="58"/>
      <c r="G23" s="241"/>
    </row>
    <row r="24" spans="1:8" ht="36" customHeight="1">
      <c r="A24" s="802"/>
      <c r="B24" s="805"/>
      <c r="C24" s="822"/>
      <c r="D24" s="146" t="s">
        <v>519</v>
      </c>
      <c r="E24" s="57">
        <v>50</v>
      </c>
      <c r="F24" s="58"/>
      <c r="G24" s="241"/>
    </row>
    <row r="25" spans="1:8" ht="36" customHeight="1" thickBot="1">
      <c r="A25" s="802"/>
      <c r="B25" s="805"/>
      <c r="C25" s="825"/>
      <c r="D25" s="146" t="s">
        <v>520</v>
      </c>
      <c r="E25" s="57">
        <v>50</v>
      </c>
      <c r="F25" s="58"/>
      <c r="G25" s="241"/>
    </row>
    <row r="26" spans="1:8" ht="36" customHeight="1" thickBot="1">
      <c r="A26" s="803"/>
      <c r="B26" s="828"/>
      <c r="C26" s="105" t="s">
        <v>506</v>
      </c>
      <c r="D26" s="106" t="s">
        <v>507</v>
      </c>
      <c r="E26" s="63" t="s">
        <v>508</v>
      </c>
      <c r="F26" s="107"/>
      <c r="G26" s="243" t="s">
        <v>509</v>
      </c>
    </row>
    <row r="27" spans="1:8" ht="102" customHeight="1" thickBot="1">
      <c r="A27" s="798" t="s">
        <v>0</v>
      </c>
      <c r="B27" s="799"/>
      <c r="C27" s="886"/>
      <c r="D27" s="886"/>
      <c r="E27" s="886"/>
      <c r="F27" s="886"/>
      <c r="G27" s="887"/>
    </row>
    <row r="28" spans="1:8" ht="36" customHeight="1">
      <c r="A28" s="801">
        <v>43199</v>
      </c>
      <c r="B28" s="804" t="s">
        <v>510</v>
      </c>
      <c r="C28" s="214" t="s">
        <v>15</v>
      </c>
      <c r="D28" s="220" t="s">
        <v>514</v>
      </c>
      <c r="E28" s="27" t="s">
        <v>59</v>
      </c>
      <c r="F28" s="167"/>
      <c r="G28" s="237"/>
    </row>
    <row r="29" spans="1:8" ht="36" customHeight="1">
      <c r="A29" s="802"/>
      <c r="B29" s="805"/>
      <c r="C29" s="210"/>
      <c r="D29" s="146"/>
      <c r="E29" s="57"/>
      <c r="F29" s="58"/>
      <c r="G29" s="241"/>
    </row>
    <row r="30" spans="1:8" ht="36" customHeight="1" thickBot="1">
      <c r="A30" s="802"/>
      <c r="B30" s="805"/>
      <c r="C30" s="209"/>
      <c r="D30" s="85"/>
      <c r="E30" s="29"/>
      <c r="F30" s="116"/>
      <c r="G30" s="242"/>
    </row>
    <row r="31" spans="1:8" ht="36" customHeight="1" thickBot="1">
      <c r="A31" s="803"/>
      <c r="B31" s="828"/>
      <c r="C31" s="105"/>
      <c r="D31" s="106"/>
      <c r="E31" s="63"/>
      <c r="F31" s="107"/>
      <c r="G31" s="243"/>
    </row>
    <row r="32" spans="1:8" ht="36" customHeight="1">
      <c r="A32" s="801">
        <v>43200</v>
      </c>
      <c r="B32" s="804" t="s">
        <v>176</v>
      </c>
      <c r="C32" s="208" t="s">
        <v>532</v>
      </c>
      <c r="D32" s="219" t="s">
        <v>533</v>
      </c>
      <c r="E32" s="18">
        <v>20</v>
      </c>
      <c r="F32" s="15"/>
      <c r="G32" s="236"/>
      <c r="H32" s="38" t="s">
        <v>397</v>
      </c>
    </row>
    <row r="33" spans="1:8" ht="36" customHeight="1">
      <c r="A33" s="802"/>
      <c r="B33" s="805"/>
      <c r="C33" s="861" t="s">
        <v>522</v>
      </c>
      <c r="D33" s="146" t="s">
        <v>518</v>
      </c>
      <c r="E33" s="57">
        <v>30</v>
      </c>
      <c r="F33" s="58"/>
      <c r="G33" s="241"/>
    </row>
    <row r="34" spans="1:8" ht="36" customHeight="1" thickBot="1">
      <c r="A34" s="802"/>
      <c r="B34" s="805"/>
      <c r="C34" s="823"/>
      <c r="D34" s="85" t="s">
        <v>523</v>
      </c>
      <c r="E34" s="29">
        <v>30</v>
      </c>
      <c r="F34" s="116"/>
      <c r="G34" s="242"/>
    </row>
    <row r="35" spans="1:8" ht="36" customHeight="1" thickBot="1">
      <c r="A35" s="803"/>
      <c r="B35" s="828"/>
      <c r="C35" s="149"/>
      <c r="D35" s="150"/>
      <c r="E35" s="151"/>
      <c r="F35" s="152"/>
      <c r="G35" s="244"/>
    </row>
    <row r="36" spans="1:8" ht="36" customHeight="1">
      <c r="A36" s="801">
        <v>43201</v>
      </c>
      <c r="B36" s="804" t="s">
        <v>175</v>
      </c>
      <c r="C36" s="218" t="s">
        <v>14</v>
      </c>
      <c r="D36" s="219" t="s">
        <v>529</v>
      </c>
      <c r="E36" s="18">
        <f>5+24+4+1+23+181+4</f>
        <v>242</v>
      </c>
      <c r="F36" s="206"/>
      <c r="G36" s="236"/>
      <c r="H36" s="38" t="s">
        <v>542</v>
      </c>
    </row>
    <row r="37" spans="1:8" ht="36" customHeight="1">
      <c r="A37" s="802"/>
      <c r="B37" s="805"/>
      <c r="C37" s="215" t="s">
        <v>540</v>
      </c>
      <c r="D37" s="220" t="s">
        <v>541</v>
      </c>
      <c r="E37" s="27" t="s">
        <v>50</v>
      </c>
      <c r="F37" s="167"/>
      <c r="G37" s="237"/>
      <c r="H37" s="38" t="s">
        <v>545</v>
      </c>
    </row>
    <row r="38" spans="1:8" ht="36" customHeight="1">
      <c r="A38" s="802"/>
      <c r="B38" s="805"/>
      <c r="C38" s="809" t="s">
        <v>372</v>
      </c>
      <c r="D38" s="220" t="s">
        <v>421</v>
      </c>
      <c r="E38" s="27" t="s">
        <v>450</v>
      </c>
      <c r="F38" s="167" t="s">
        <v>451</v>
      </c>
      <c r="G38" s="237"/>
    </row>
    <row r="39" spans="1:8" ht="36" customHeight="1">
      <c r="A39" s="802"/>
      <c r="B39" s="805"/>
      <c r="C39" s="809"/>
      <c r="D39" s="220" t="s">
        <v>421</v>
      </c>
      <c r="E39" s="27" t="s">
        <v>161</v>
      </c>
      <c r="F39" s="167" t="s">
        <v>451</v>
      </c>
      <c r="G39" s="237"/>
    </row>
    <row r="40" spans="1:8" ht="36" customHeight="1" thickBot="1">
      <c r="A40" s="802"/>
      <c r="B40" s="805"/>
      <c r="C40" s="810"/>
      <c r="D40" s="8" t="s">
        <v>369</v>
      </c>
      <c r="E40" s="24" t="s">
        <v>161</v>
      </c>
      <c r="F40" s="207" t="s">
        <v>451</v>
      </c>
      <c r="G40" s="238"/>
    </row>
    <row r="41" spans="1:8" ht="36" customHeight="1" thickBot="1">
      <c r="A41" s="803"/>
      <c r="B41" s="828"/>
      <c r="C41" s="42"/>
      <c r="D41" s="40"/>
      <c r="E41" s="36"/>
      <c r="F41" s="43"/>
      <c r="G41" s="239"/>
    </row>
    <row r="42" spans="1:8" ht="36" customHeight="1">
      <c r="A42" s="802">
        <v>43202</v>
      </c>
      <c r="B42" s="805" t="s">
        <v>531</v>
      </c>
      <c r="C42" s="824" t="s">
        <v>82</v>
      </c>
      <c r="D42" s="223" t="s">
        <v>524</v>
      </c>
      <c r="E42" s="18">
        <v>200</v>
      </c>
      <c r="F42" s="206"/>
      <c r="G42" s="236" t="s">
        <v>528</v>
      </c>
      <c r="H42" s="38" t="s">
        <v>548</v>
      </c>
    </row>
    <row r="43" spans="1:8" ht="36" customHeight="1">
      <c r="A43" s="802"/>
      <c r="B43" s="805"/>
      <c r="C43" s="809"/>
      <c r="D43" s="224" t="s">
        <v>390</v>
      </c>
      <c r="E43" s="27">
        <v>50</v>
      </c>
      <c r="F43" s="167"/>
      <c r="G43" s="237"/>
    </row>
    <row r="44" spans="1:8" ht="36" customHeight="1">
      <c r="A44" s="802"/>
      <c r="B44" s="805"/>
      <c r="C44" s="809" t="s">
        <v>534</v>
      </c>
      <c r="D44" s="224" t="s">
        <v>537</v>
      </c>
      <c r="E44" s="27">
        <v>30</v>
      </c>
      <c r="F44" s="224"/>
      <c r="G44" s="892" t="s">
        <v>535</v>
      </c>
    </row>
    <row r="45" spans="1:8" ht="36" customHeight="1">
      <c r="A45" s="802"/>
      <c r="B45" s="805"/>
      <c r="C45" s="809"/>
      <c r="D45" s="224" t="s">
        <v>538</v>
      </c>
      <c r="E45" s="27">
        <v>50</v>
      </c>
      <c r="F45" s="224"/>
      <c r="G45" s="893"/>
    </row>
    <row r="46" spans="1:8" ht="36" customHeight="1">
      <c r="A46" s="802"/>
      <c r="B46" s="805"/>
      <c r="C46" s="861"/>
      <c r="D46" s="85" t="s">
        <v>539</v>
      </c>
      <c r="E46" s="29" t="s">
        <v>536</v>
      </c>
      <c r="F46" s="226"/>
      <c r="G46" s="893"/>
    </row>
    <row r="47" spans="1:8" ht="36" customHeight="1">
      <c r="A47" s="802"/>
      <c r="B47" s="805"/>
      <c r="C47" s="221" t="s">
        <v>540</v>
      </c>
      <c r="D47" s="224" t="s">
        <v>109</v>
      </c>
      <c r="E47" s="27" t="s">
        <v>50</v>
      </c>
      <c r="F47" s="167"/>
      <c r="G47" s="245"/>
    </row>
    <row r="48" spans="1:8" ht="36" customHeight="1" thickBot="1">
      <c r="A48" s="802"/>
      <c r="B48" s="805"/>
      <c r="C48" s="222" t="s">
        <v>546</v>
      </c>
      <c r="D48" s="8" t="s">
        <v>547</v>
      </c>
      <c r="E48" s="24">
        <v>200</v>
      </c>
      <c r="F48" s="207"/>
      <c r="G48" s="246"/>
    </row>
    <row r="49" spans="1:7" ht="36" customHeight="1" thickBot="1">
      <c r="A49" s="803"/>
      <c r="B49" s="828"/>
      <c r="C49" s="52"/>
      <c r="D49" s="53"/>
      <c r="E49" s="33"/>
      <c r="F49" s="54"/>
      <c r="G49" s="240"/>
    </row>
    <row r="50" spans="1:7" ht="36" customHeight="1">
      <c r="A50" s="801">
        <v>43203</v>
      </c>
      <c r="B50" s="804" t="s">
        <v>248</v>
      </c>
      <c r="C50" s="824" t="s">
        <v>526</v>
      </c>
      <c r="D50" s="219" t="s">
        <v>527</v>
      </c>
      <c r="E50" s="18">
        <f>178+8</f>
        <v>186</v>
      </c>
      <c r="F50" s="206"/>
      <c r="G50" s="236"/>
    </row>
    <row r="51" spans="1:7" ht="36" customHeight="1">
      <c r="A51" s="802"/>
      <c r="B51" s="805"/>
      <c r="C51" s="809"/>
      <c r="D51" s="220" t="s">
        <v>529</v>
      </c>
      <c r="E51" s="27">
        <v>16</v>
      </c>
      <c r="F51" s="167"/>
      <c r="G51" s="237"/>
    </row>
    <row r="52" spans="1:7" ht="36" customHeight="1" thickBot="1">
      <c r="A52" s="802"/>
      <c r="B52" s="805"/>
      <c r="C52" s="212"/>
      <c r="D52" s="8"/>
      <c r="E52" s="24"/>
      <c r="F52" s="207"/>
      <c r="G52" s="238"/>
    </row>
    <row r="53" spans="1:7" ht="36" customHeight="1" thickBot="1">
      <c r="A53" s="803"/>
      <c r="B53" s="828"/>
      <c r="C53" s="52"/>
      <c r="D53" s="53"/>
      <c r="E53" s="33"/>
      <c r="F53" s="54"/>
      <c r="G53" s="240"/>
    </row>
    <row r="54" spans="1:7" ht="101.25" customHeight="1" thickBot="1">
      <c r="A54" s="798" t="s">
        <v>0</v>
      </c>
      <c r="B54" s="799"/>
      <c r="C54" s="886"/>
      <c r="D54" s="886"/>
      <c r="E54" s="886"/>
      <c r="F54" s="886"/>
      <c r="G54" s="887"/>
    </row>
    <row r="55" spans="1:7" ht="36" customHeight="1">
      <c r="A55" s="801">
        <v>43206</v>
      </c>
      <c r="B55" s="804" t="s">
        <v>525</v>
      </c>
      <c r="C55" s="230" t="s">
        <v>543</v>
      </c>
      <c r="D55" s="231" t="s">
        <v>263</v>
      </c>
      <c r="E55" s="18">
        <v>100</v>
      </c>
      <c r="F55" s="233" t="s">
        <v>544</v>
      </c>
      <c r="G55" s="247" t="s">
        <v>560</v>
      </c>
    </row>
    <row r="56" spans="1:7" ht="36" customHeight="1">
      <c r="A56" s="802"/>
      <c r="B56" s="805"/>
      <c r="C56" s="217" t="s">
        <v>558</v>
      </c>
      <c r="D56" s="146" t="s">
        <v>559</v>
      </c>
      <c r="E56" s="27">
        <v>100</v>
      </c>
      <c r="F56" s="226"/>
      <c r="G56" s="260" t="s">
        <v>561</v>
      </c>
    </row>
    <row r="57" spans="1:7" ht="36" customHeight="1" thickBot="1">
      <c r="A57" s="802"/>
      <c r="B57" s="805"/>
      <c r="C57" s="216"/>
      <c r="D57" s="8"/>
      <c r="E57" s="24"/>
      <c r="F57" s="207"/>
      <c r="G57" s="261"/>
    </row>
    <row r="58" spans="1:7" ht="36" customHeight="1" thickBot="1">
      <c r="A58" s="803"/>
      <c r="B58" s="828"/>
      <c r="C58" s="105"/>
      <c r="D58" s="106"/>
      <c r="E58" s="106"/>
      <c r="F58" s="63"/>
      <c r="G58" s="243"/>
    </row>
    <row r="59" spans="1:7" ht="36" customHeight="1">
      <c r="A59" s="801">
        <v>43207</v>
      </c>
      <c r="B59" s="804" t="s">
        <v>176</v>
      </c>
      <c r="C59" s="822" t="s">
        <v>33</v>
      </c>
      <c r="D59" s="49" t="s">
        <v>20</v>
      </c>
      <c r="E59" s="124">
        <v>50</v>
      </c>
      <c r="F59" s="258"/>
      <c r="G59" s="248" t="s">
        <v>562</v>
      </c>
    </row>
    <row r="60" spans="1:7" ht="36" customHeight="1">
      <c r="A60" s="802"/>
      <c r="B60" s="805"/>
      <c r="C60" s="822"/>
      <c r="D60" s="235" t="s">
        <v>57</v>
      </c>
      <c r="E60" s="27">
        <v>100</v>
      </c>
      <c r="F60" s="258"/>
      <c r="G60" s="248"/>
    </row>
    <row r="61" spans="1:7" ht="36" customHeight="1">
      <c r="A61" s="802"/>
      <c r="B61" s="805"/>
      <c r="C61" s="822"/>
      <c r="D61" s="85" t="s">
        <v>19</v>
      </c>
      <c r="E61" s="29">
        <v>100</v>
      </c>
      <c r="F61" s="167"/>
      <c r="G61" s="237"/>
    </row>
    <row r="62" spans="1:7" ht="36" customHeight="1" thickBot="1">
      <c r="A62" s="802"/>
      <c r="B62" s="805"/>
      <c r="C62" s="823"/>
      <c r="D62" s="8" t="s">
        <v>263</v>
      </c>
      <c r="E62" s="24">
        <v>50</v>
      </c>
      <c r="F62" s="207"/>
      <c r="G62" s="238"/>
    </row>
    <row r="63" spans="1:7" ht="36" customHeight="1" thickBot="1">
      <c r="A63" s="803"/>
      <c r="B63" s="828"/>
      <c r="C63" s="52" t="s">
        <v>549</v>
      </c>
      <c r="D63" s="53" t="s">
        <v>550</v>
      </c>
      <c r="E63" s="251" t="s">
        <v>551</v>
      </c>
      <c r="F63" s="262" t="s">
        <v>134</v>
      </c>
      <c r="G63" s="263"/>
    </row>
    <row r="64" spans="1:7" ht="36" customHeight="1">
      <c r="A64" s="801">
        <v>43208</v>
      </c>
      <c r="B64" s="804" t="s">
        <v>175</v>
      </c>
      <c r="C64" s="833" t="s">
        <v>14</v>
      </c>
      <c r="D64" s="227" t="s">
        <v>555</v>
      </c>
      <c r="E64" s="18">
        <v>105</v>
      </c>
      <c r="F64" s="206"/>
      <c r="G64" s="259" t="s">
        <v>563</v>
      </c>
    </row>
    <row r="65" spans="1:7" ht="36" customHeight="1">
      <c r="A65" s="802"/>
      <c r="B65" s="805"/>
      <c r="C65" s="825"/>
      <c r="D65" s="49" t="s">
        <v>556</v>
      </c>
      <c r="E65" s="124">
        <f>6+24+1+26+13+37+11</f>
        <v>118</v>
      </c>
      <c r="F65" s="234"/>
      <c r="G65" s="248"/>
    </row>
    <row r="66" spans="1:7" ht="36" customHeight="1">
      <c r="A66" s="802"/>
      <c r="B66" s="805"/>
      <c r="C66" s="861"/>
      <c r="D66" s="220"/>
      <c r="E66" s="27"/>
      <c r="F66" s="167"/>
      <c r="G66" s="237"/>
    </row>
    <row r="67" spans="1:7" ht="36" customHeight="1" thickBot="1">
      <c r="A67" s="802"/>
      <c r="B67" s="805"/>
      <c r="C67" s="822"/>
      <c r="D67" s="85"/>
      <c r="E67" s="29"/>
      <c r="F67" s="226"/>
      <c r="G67" s="242"/>
    </row>
    <row r="68" spans="1:7" ht="36" customHeight="1" thickBot="1">
      <c r="A68" s="803"/>
      <c r="B68" s="828"/>
      <c r="C68" s="149" t="s">
        <v>375</v>
      </c>
      <c r="D68" s="150" t="s">
        <v>376</v>
      </c>
      <c r="E68" s="151" t="s">
        <v>552</v>
      </c>
      <c r="F68" s="268" t="s">
        <v>89</v>
      </c>
      <c r="G68" s="269"/>
    </row>
    <row r="69" spans="1:7" ht="36" customHeight="1">
      <c r="A69" s="801">
        <v>43209</v>
      </c>
      <c r="B69" s="804" t="s">
        <v>247</v>
      </c>
      <c r="C69" s="254" t="s">
        <v>14</v>
      </c>
      <c r="D69" s="255" t="s">
        <v>556</v>
      </c>
      <c r="E69" s="18">
        <f>26+37+178</f>
        <v>241</v>
      </c>
      <c r="F69" s="206"/>
      <c r="G69" s="236"/>
    </row>
    <row r="70" spans="1:7" ht="36" customHeight="1">
      <c r="A70" s="802"/>
      <c r="B70" s="805"/>
      <c r="C70" s="281"/>
      <c r="D70" s="49"/>
      <c r="E70" s="124"/>
      <c r="F70" s="258"/>
      <c r="G70" s="248"/>
    </row>
    <row r="71" spans="1:7" ht="36" customHeight="1">
      <c r="A71" s="802"/>
      <c r="B71" s="805"/>
      <c r="C71" s="252"/>
      <c r="D71" s="256"/>
      <c r="E71" s="27"/>
      <c r="F71" s="167"/>
      <c r="G71" s="237"/>
    </row>
    <row r="72" spans="1:7" ht="36" customHeight="1" thickBot="1">
      <c r="A72" s="802"/>
      <c r="B72" s="805"/>
      <c r="C72" s="253"/>
      <c r="D72" s="8"/>
      <c r="E72" s="24"/>
      <c r="F72" s="207"/>
      <c r="G72" s="238"/>
    </row>
    <row r="73" spans="1:7" ht="36" customHeight="1" thickBot="1">
      <c r="A73" s="803"/>
      <c r="B73" s="828"/>
      <c r="C73" s="42"/>
      <c r="D73" s="40"/>
      <c r="E73" s="40"/>
      <c r="F73" s="264"/>
      <c r="G73" s="270"/>
    </row>
    <row r="74" spans="1:7" ht="36" customHeight="1">
      <c r="A74" s="801">
        <v>43210</v>
      </c>
      <c r="B74" s="804" t="s">
        <v>248</v>
      </c>
      <c r="C74" s="833" t="s">
        <v>565</v>
      </c>
      <c r="D74" s="227" t="s">
        <v>568</v>
      </c>
      <c r="E74" s="18">
        <f>2+18+7</f>
        <v>27</v>
      </c>
      <c r="F74" s="233"/>
      <c r="G74" s="247"/>
    </row>
    <row r="75" spans="1:7" ht="36" customHeight="1">
      <c r="A75" s="802"/>
      <c r="B75" s="805"/>
      <c r="C75" s="825"/>
      <c r="D75" s="49" t="s">
        <v>569</v>
      </c>
      <c r="E75" s="124">
        <v>87</v>
      </c>
      <c r="F75" s="277"/>
      <c r="G75" s="278"/>
    </row>
    <row r="76" spans="1:7" ht="36" customHeight="1">
      <c r="A76" s="802"/>
      <c r="B76" s="805"/>
      <c r="C76" s="276" t="s">
        <v>38</v>
      </c>
      <c r="D76" s="85" t="s">
        <v>576</v>
      </c>
      <c r="E76" s="29">
        <v>40</v>
      </c>
      <c r="F76" s="225"/>
      <c r="G76" s="249"/>
    </row>
    <row r="77" spans="1:7" ht="36" customHeight="1">
      <c r="A77" s="802"/>
      <c r="B77" s="805"/>
      <c r="C77" s="282"/>
      <c r="D77" s="85"/>
      <c r="E77" s="29"/>
      <c r="F77" s="284"/>
      <c r="G77" s="285"/>
    </row>
    <row r="78" spans="1:7" ht="36" customHeight="1" thickBot="1">
      <c r="A78" s="802"/>
      <c r="B78" s="805"/>
      <c r="C78" s="265"/>
      <c r="D78" s="85"/>
      <c r="E78" s="29"/>
      <c r="F78" s="226"/>
      <c r="G78" s="242"/>
    </row>
    <row r="79" spans="1:7" ht="36" customHeight="1" thickBot="1">
      <c r="A79" s="803"/>
      <c r="B79" s="828"/>
      <c r="C79" s="105" t="s">
        <v>258</v>
      </c>
      <c r="D79" s="106" t="s">
        <v>553</v>
      </c>
      <c r="E79" s="63" t="s">
        <v>554</v>
      </c>
      <c r="F79" s="279" t="s">
        <v>134</v>
      </c>
      <c r="G79" s="263"/>
    </row>
    <row r="80" spans="1:7" ht="77.25" customHeight="1" thickBot="1">
      <c r="A80" s="798" t="s">
        <v>0</v>
      </c>
      <c r="B80" s="799"/>
      <c r="C80" s="886"/>
      <c r="D80" s="886"/>
      <c r="E80" s="886"/>
      <c r="F80" s="886"/>
      <c r="G80" s="887"/>
    </row>
    <row r="81" spans="1:7" ht="36" customHeight="1">
      <c r="A81" s="801">
        <v>43213</v>
      </c>
      <c r="B81" s="804" t="s">
        <v>557</v>
      </c>
      <c r="C81" s="833" t="s">
        <v>566</v>
      </c>
      <c r="D81" s="266" t="s">
        <v>119</v>
      </c>
      <c r="E81" s="18">
        <v>50</v>
      </c>
      <c r="F81" s="233" t="s">
        <v>567</v>
      </c>
      <c r="G81" s="247"/>
    </row>
    <row r="82" spans="1:7" ht="36" customHeight="1">
      <c r="A82" s="802"/>
      <c r="B82" s="805"/>
      <c r="C82" s="822"/>
      <c r="D82" s="49" t="s">
        <v>585</v>
      </c>
      <c r="E82" s="124">
        <v>50</v>
      </c>
      <c r="F82" s="277"/>
      <c r="G82" s="278"/>
    </row>
    <row r="83" spans="1:7" ht="36" customHeight="1">
      <c r="A83" s="802"/>
      <c r="B83" s="805"/>
      <c r="C83" s="822"/>
      <c r="D83" s="49" t="s">
        <v>586</v>
      </c>
      <c r="E83" s="124">
        <v>50</v>
      </c>
      <c r="F83" s="277"/>
      <c r="G83" s="278"/>
    </row>
    <row r="84" spans="1:7" ht="36" customHeight="1">
      <c r="A84" s="802"/>
      <c r="B84" s="805"/>
      <c r="C84" s="825"/>
      <c r="D84" s="267" t="s">
        <v>570</v>
      </c>
      <c r="E84" s="27" t="s">
        <v>571</v>
      </c>
      <c r="F84" s="167"/>
      <c r="G84" s="249"/>
    </row>
    <row r="85" spans="1:7" ht="36" customHeight="1" thickBot="1">
      <c r="A85" s="803"/>
      <c r="B85" s="828"/>
      <c r="C85" s="52"/>
      <c r="D85" s="53"/>
      <c r="E85" s="33"/>
      <c r="F85" s="54"/>
      <c r="G85" s="240"/>
    </row>
    <row r="86" spans="1:7" ht="36" customHeight="1">
      <c r="A86" s="801">
        <v>43214</v>
      </c>
      <c r="B86" s="804" t="s">
        <v>176</v>
      </c>
      <c r="C86" s="280" t="s">
        <v>372</v>
      </c>
      <c r="D86" s="283" t="s">
        <v>369</v>
      </c>
      <c r="E86" s="27" t="s">
        <v>161</v>
      </c>
      <c r="F86" s="225" t="s">
        <v>451</v>
      </c>
      <c r="G86" s="247"/>
    </row>
    <row r="87" spans="1:7" ht="36" customHeight="1">
      <c r="A87" s="802"/>
      <c r="B87" s="805"/>
      <c r="C87" s="861" t="s">
        <v>372</v>
      </c>
      <c r="D87" s="283" t="s">
        <v>572</v>
      </c>
      <c r="E87" s="27" t="s">
        <v>573</v>
      </c>
      <c r="F87" s="225" t="s">
        <v>451</v>
      </c>
      <c r="G87" s="278"/>
    </row>
    <row r="88" spans="1:7" ht="36" customHeight="1" thickBot="1">
      <c r="A88" s="802"/>
      <c r="B88" s="805"/>
      <c r="C88" s="822"/>
      <c r="D88" s="85" t="s">
        <v>574</v>
      </c>
      <c r="E88" s="29" t="s">
        <v>575</v>
      </c>
      <c r="F88" s="226"/>
      <c r="G88" s="285"/>
    </row>
    <row r="89" spans="1:7" ht="36" customHeight="1" thickBot="1">
      <c r="A89" s="803"/>
      <c r="B89" s="828"/>
      <c r="C89" s="105"/>
      <c r="D89" s="106"/>
      <c r="E89" s="63"/>
      <c r="F89" s="107"/>
      <c r="G89" s="243"/>
    </row>
    <row r="90" spans="1:7" ht="36" customHeight="1">
      <c r="A90" s="801">
        <v>43215</v>
      </c>
      <c r="B90" s="804" t="s">
        <v>175</v>
      </c>
      <c r="C90" s="287" t="s">
        <v>581</v>
      </c>
      <c r="D90" s="288" t="s">
        <v>582</v>
      </c>
      <c r="E90" s="18">
        <f>172+4</f>
        <v>176</v>
      </c>
      <c r="F90" s="233"/>
      <c r="G90" s="247"/>
    </row>
    <row r="91" spans="1:7" ht="36" customHeight="1">
      <c r="A91" s="802"/>
      <c r="B91" s="805"/>
      <c r="C91" s="861" t="s">
        <v>577</v>
      </c>
      <c r="D91" s="289" t="s">
        <v>578</v>
      </c>
      <c r="E91" s="27">
        <v>100</v>
      </c>
      <c r="F91" s="225"/>
      <c r="G91" s="249"/>
    </row>
    <row r="92" spans="1:7" ht="36" customHeight="1">
      <c r="A92" s="802"/>
      <c r="B92" s="805"/>
      <c r="C92" s="825"/>
      <c r="D92" s="289" t="s">
        <v>579</v>
      </c>
      <c r="E92" s="27" t="s">
        <v>580</v>
      </c>
      <c r="F92" s="167"/>
      <c r="G92" s="237"/>
    </row>
    <row r="93" spans="1:7" ht="36" customHeight="1" thickBot="1">
      <c r="A93" s="802"/>
      <c r="B93" s="805"/>
      <c r="C93" s="286" t="s">
        <v>443</v>
      </c>
      <c r="D93" s="8" t="s">
        <v>514</v>
      </c>
      <c r="E93" s="24" t="s">
        <v>124</v>
      </c>
      <c r="F93" s="207" t="s">
        <v>530</v>
      </c>
      <c r="G93" s="238" t="s">
        <v>596</v>
      </c>
    </row>
    <row r="94" spans="1:7" ht="36" customHeight="1" thickBot="1">
      <c r="A94" s="803"/>
      <c r="B94" s="828"/>
      <c r="C94" s="42"/>
      <c r="D94" s="40"/>
      <c r="E94" s="36"/>
      <c r="F94" s="43"/>
      <c r="G94" s="239"/>
    </row>
    <row r="95" spans="1:7" ht="36" customHeight="1">
      <c r="A95" s="801">
        <v>43216</v>
      </c>
      <c r="B95" s="804" t="s">
        <v>247</v>
      </c>
      <c r="C95" s="824" t="s">
        <v>591</v>
      </c>
      <c r="D95" s="288" t="s">
        <v>592</v>
      </c>
      <c r="E95" s="18">
        <v>100</v>
      </c>
      <c r="F95" s="233"/>
      <c r="G95" s="247"/>
    </row>
    <row r="96" spans="1:7" ht="36" customHeight="1">
      <c r="A96" s="802"/>
      <c r="B96" s="805"/>
      <c r="C96" s="809"/>
      <c r="D96" s="289" t="s">
        <v>593</v>
      </c>
      <c r="E96" s="27">
        <v>5</v>
      </c>
      <c r="F96" s="225"/>
      <c r="G96" s="249"/>
    </row>
    <row r="97" spans="1:7" ht="36" customHeight="1">
      <c r="A97" s="802"/>
      <c r="B97" s="805"/>
      <c r="C97" s="809"/>
      <c r="D97" s="289" t="s">
        <v>594</v>
      </c>
      <c r="E97" s="27" t="s">
        <v>595</v>
      </c>
      <c r="F97" s="167"/>
      <c r="G97" s="237"/>
    </row>
    <row r="98" spans="1:7" ht="36" customHeight="1">
      <c r="A98" s="802"/>
      <c r="B98" s="805"/>
      <c r="C98" s="861" t="s">
        <v>597</v>
      </c>
      <c r="D98" s="85" t="s">
        <v>598</v>
      </c>
      <c r="E98" s="29" t="s">
        <v>599</v>
      </c>
      <c r="F98" s="226" t="s">
        <v>600</v>
      </c>
      <c r="G98" s="242"/>
    </row>
    <row r="99" spans="1:7" ht="36" customHeight="1">
      <c r="A99" s="802"/>
      <c r="B99" s="805"/>
      <c r="C99" s="822"/>
      <c r="D99" s="293" t="s">
        <v>605</v>
      </c>
      <c r="E99" s="27">
        <v>150</v>
      </c>
      <c r="F99" s="225" t="s">
        <v>606</v>
      </c>
      <c r="G99" s="260"/>
    </row>
    <row r="100" spans="1:7" ht="36" customHeight="1" thickBot="1">
      <c r="A100" s="802"/>
      <c r="B100" s="805"/>
      <c r="C100" s="823"/>
      <c r="D100" s="293" t="s">
        <v>607</v>
      </c>
      <c r="E100" s="27" t="s">
        <v>608</v>
      </c>
      <c r="F100" s="167" t="s">
        <v>609</v>
      </c>
      <c r="G100" s="260"/>
    </row>
    <row r="101" spans="1:7" ht="36" customHeight="1" thickBot="1">
      <c r="A101" s="803"/>
      <c r="B101" s="828"/>
      <c r="C101" s="105"/>
      <c r="D101" s="106"/>
      <c r="E101" s="63"/>
      <c r="F101" s="107"/>
      <c r="G101" s="243"/>
    </row>
    <row r="102" spans="1:7" ht="36" customHeight="1">
      <c r="A102" s="801">
        <v>43217</v>
      </c>
      <c r="B102" s="804" t="s">
        <v>248</v>
      </c>
      <c r="C102" s="833" t="s">
        <v>581</v>
      </c>
      <c r="D102" s="231" t="s">
        <v>583</v>
      </c>
      <c r="E102" s="18">
        <f>10+198+14</f>
        <v>222</v>
      </c>
      <c r="F102" s="233"/>
      <c r="G102" s="247"/>
    </row>
    <row r="103" spans="1:7" ht="36" customHeight="1">
      <c r="A103" s="802"/>
      <c r="B103" s="805"/>
      <c r="C103" s="825"/>
      <c r="D103" s="49" t="s">
        <v>584</v>
      </c>
      <c r="E103" s="124">
        <v>8</v>
      </c>
      <c r="F103" s="277"/>
      <c r="G103" s="278"/>
    </row>
    <row r="104" spans="1:7" ht="36" customHeight="1">
      <c r="A104" s="802"/>
      <c r="B104" s="805"/>
      <c r="C104" s="809" t="s">
        <v>33</v>
      </c>
      <c r="D104" s="290" t="s">
        <v>264</v>
      </c>
      <c r="E104" s="27">
        <v>50</v>
      </c>
      <c r="F104" s="167"/>
      <c r="G104" s="237"/>
    </row>
    <row r="105" spans="1:7" ht="36" customHeight="1">
      <c r="A105" s="802"/>
      <c r="B105" s="805"/>
      <c r="C105" s="809"/>
      <c r="D105" s="290" t="s">
        <v>484</v>
      </c>
      <c r="E105" s="27">
        <v>100</v>
      </c>
      <c r="F105" s="291">
        <v>0.75</v>
      </c>
      <c r="G105" s="237"/>
    </row>
    <row r="106" spans="1:7" ht="36" customHeight="1">
      <c r="A106" s="802"/>
      <c r="B106" s="805"/>
      <c r="C106" s="861"/>
      <c r="D106" s="85" t="s">
        <v>604</v>
      </c>
      <c r="E106" s="29">
        <v>50</v>
      </c>
      <c r="F106" s="294"/>
      <c r="G106" s="242"/>
    </row>
    <row r="107" spans="1:7" ht="36" customHeight="1" thickBot="1">
      <c r="A107" s="802"/>
      <c r="B107" s="805"/>
      <c r="C107" s="810"/>
      <c r="D107" s="8" t="s">
        <v>602</v>
      </c>
      <c r="E107" s="24" t="s">
        <v>601</v>
      </c>
      <c r="F107" s="207" t="s">
        <v>603</v>
      </c>
      <c r="G107" s="238"/>
    </row>
    <row r="108" spans="1:7" ht="36" customHeight="1" thickBot="1">
      <c r="A108" s="803"/>
      <c r="B108" s="828"/>
      <c r="C108" s="52" t="s">
        <v>295</v>
      </c>
      <c r="D108" s="53" t="s">
        <v>587</v>
      </c>
      <c r="E108" s="33" t="s">
        <v>588</v>
      </c>
      <c r="F108" s="54" t="s">
        <v>589</v>
      </c>
      <c r="G108" s="240"/>
    </row>
  </sheetData>
  <mergeCells count="65">
    <mergeCell ref="C91:C92"/>
    <mergeCell ref="C102:C103"/>
    <mergeCell ref="A90:A94"/>
    <mergeCell ref="B90:B94"/>
    <mergeCell ref="A95:A101"/>
    <mergeCell ref="B95:B101"/>
    <mergeCell ref="A102:A108"/>
    <mergeCell ref="B102:B108"/>
    <mergeCell ref="C95:C97"/>
    <mergeCell ref="C104:C107"/>
    <mergeCell ref="C98:C100"/>
    <mergeCell ref="A80:G80"/>
    <mergeCell ref="A81:A85"/>
    <mergeCell ref="B81:B85"/>
    <mergeCell ref="A86:A89"/>
    <mergeCell ref="B86:B89"/>
    <mergeCell ref="C81:C84"/>
    <mergeCell ref="C87:C88"/>
    <mergeCell ref="C50:C51"/>
    <mergeCell ref="C42:C43"/>
    <mergeCell ref="A64:A68"/>
    <mergeCell ref="B64:B68"/>
    <mergeCell ref="A69:A73"/>
    <mergeCell ref="B69:B73"/>
    <mergeCell ref="A50:A53"/>
    <mergeCell ref="B50:B53"/>
    <mergeCell ref="C44:C46"/>
    <mergeCell ref="A74:A79"/>
    <mergeCell ref="B74:B79"/>
    <mergeCell ref="A54:G54"/>
    <mergeCell ref="A55:A58"/>
    <mergeCell ref="B55:B58"/>
    <mergeCell ref="A59:A63"/>
    <mergeCell ref="B59:B63"/>
    <mergeCell ref="C66:C67"/>
    <mergeCell ref="C64:C65"/>
    <mergeCell ref="C59:C62"/>
    <mergeCell ref="C74:C75"/>
    <mergeCell ref="A36:A41"/>
    <mergeCell ref="B36:B41"/>
    <mergeCell ref="A42:A49"/>
    <mergeCell ref="B42:B49"/>
    <mergeCell ref="A20:A26"/>
    <mergeCell ref="B20:B26"/>
    <mergeCell ref="A27:G27"/>
    <mergeCell ref="A28:A31"/>
    <mergeCell ref="B28:B31"/>
    <mergeCell ref="A32:A35"/>
    <mergeCell ref="B32:B35"/>
    <mergeCell ref="C33:C34"/>
    <mergeCell ref="G44:G46"/>
    <mergeCell ref="C20:C21"/>
    <mergeCell ref="C22:C25"/>
    <mergeCell ref="C38:C40"/>
    <mergeCell ref="A1:G1"/>
    <mergeCell ref="A2:A6"/>
    <mergeCell ref="B2:B6"/>
    <mergeCell ref="A7:A10"/>
    <mergeCell ref="B7:B10"/>
    <mergeCell ref="C7:C8"/>
    <mergeCell ref="A11:A15"/>
    <mergeCell ref="B11:B15"/>
    <mergeCell ref="A16:A19"/>
    <mergeCell ref="B16:B19"/>
    <mergeCell ref="C11:C13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74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7"/>
  <sheetViews>
    <sheetView view="pageBreakPreview" topLeftCell="A76" zoomScale="80" zoomScaleNormal="87" zoomScaleSheetLayoutView="80" workbookViewId="0">
      <selection activeCell="E112" sqref="E112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0.875" style="3" customWidth="1"/>
    <col min="7" max="7" width="18.125" style="4" customWidth="1"/>
    <col min="8" max="8" width="42.5" style="38" customWidth="1"/>
    <col min="9" max="16384" width="9" style="19"/>
  </cols>
  <sheetData>
    <row r="1" spans="1:7" ht="109.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ht="36" customHeight="1">
      <c r="A2" s="801">
        <v>43220</v>
      </c>
      <c r="B2" s="804" t="s">
        <v>557</v>
      </c>
      <c r="C2" s="230"/>
      <c r="D2" s="231"/>
      <c r="E2" s="18"/>
      <c r="F2" s="233"/>
      <c r="G2" s="333"/>
    </row>
    <row r="3" spans="1:7" ht="36" customHeight="1">
      <c r="A3" s="802"/>
      <c r="B3" s="805"/>
      <c r="C3" s="228"/>
      <c r="D3" s="232"/>
      <c r="E3" s="27"/>
      <c r="F3" s="225"/>
      <c r="G3" s="334"/>
    </row>
    <row r="4" spans="1:7" ht="36" customHeight="1">
      <c r="A4" s="802"/>
      <c r="B4" s="805"/>
      <c r="C4" s="228"/>
      <c r="D4" s="232"/>
      <c r="E4" s="27"/>
      <c r="F4" s="167"/>
      <c r="G4" s="335"/>
    </row>
    <row r="5" spans="1:7" ht="36" customHeight="1" thickBot="1">
      <c r="A5" s="802"/>
      <c r="B5" s="805"/>
      <c r="C5" s="229"/>
      <c r="D5" s="8"/>
      <c r="E5" s="24"/>
      <c r="F5" s="207"/>
      <c r="G5" s="336"/>
    </row>
    <row r="6" spans="1:7" ht="36" customHeight="1" thickBot="1">
      <c r="A6" s="803"/>
      <c r="B6" s="828"/>
      <c r="C6" s="52"/>
      <c r="D6" s="53"/>
      <c r="E6" s="33"/>
      <c r="F6" s="54"/>
      <c r="G6" s="337"/>
    </row>
    <row r="7" spans="1:7" ht="36" customHeight="1">
      <c r="A7" s="801">
        <v>43221</v>
      </c>
      <c r="B7" s="804" t="s">
        <v>176</v>
      </c>
      <c r="C7" s="900" t="s">
        <v>610</v>
      </c>
      <c r="D7" s="901"/>
      <c r="E7" s="901"/>
      <c r="F7" s="901"/>
      <c r="G7" s="902"/>
    </row>
    <row r="8" spans="1:7" ht="141.75" customHeight="1" thickBot="1">
      <c r="A8" s="802"/>
      <c r="B8" s="805"/>
      <c r="C8" s="903"/>
      <c r="D8" s="904"/>
      <c r="E8" s="904"/>
      <c r="F8" s="904"/>
      <c r="G8" s="905"/>
    </row>
    <row r="9" spans="1:7" ht="36" customHeight="1">
      <c r="A9" s="801">
        <v>43222</v>
      </c>
      <c r="B9" s="804" t="s">
        <v>175</v>
      </c>
      <c r="C9" s="833" t="s">
        <v>23</v>
      </c>
      <c r="D9" s="296" t="s">
        <v>611</v>
      </c>
      <c r="E9" s="18">
        <v>230</v>
      </c>
      <c r="F9" s="233"/>
      <c r="G9" s="333"/>
    </row>
    <row r="10" spans="1:7" ht="36" customHeight="1">
      <c r="A10" s="802"/>
      <c r="B10" s="805"/>
      <c r="C10" s="825"/>
      <c r="D10" s="297" t="s">
        <v>481</v>
      </c>
      <c r="E10" s="27" t="s">
        <v>17</v>
      </c>
      <c r="F10" s="225"/>
      <c r="G10" s="334"/>
    </row>
    <row r="11" spans="1:7" ht="36" customHeight="1">
      <c r="A11" s="802"/>
      <c r="B11" s="805"/>
      <c r="C11" s="295" t="s">
        <v>617</v>
      </c>
      <c r="D11" s="297" t="s">
        <v>618</v>
      </c>
      <c r="E11" s="27">
        <v>100</v>
      </c>
      <c r="F11" s="167"/>
      <c r="G11" s="335"/>
    </row>
    <row r="12" spans="1:7" ht="36" customHeight="1" thickBot="1">
      <c r="A12" s="802"/>
      <c r="B12" s="805"/>
      <c r="C12" s="292"/>
      <c r="D12" s="8"/>
      <c r="E12" s="24"/>
      <c r="F12" s="207"/>
      <c r="G12" s="336"/>
    </row>
    <row r="13" spans="1:7" ht="36" customHeight="1" thickBot="1">
      <c r="A13" s="803"/>
      <c r="B13" s="828"/>
      <c r="C13" s="52"/>
      <c r="D13" s="53"/>
      <c r="E13" s="33"/>
      <c r="F13" s="54"/>
      <c r="G13" s="337"/>
    </row>
    <row r="14" spans="1:7" ht="36" customHeight="1">
      <c r="A14" s="801">
        <v>43223</v>
      </c>
      <c r="B14" s="804" t="s">
        <v>247</v>
      </c>
      <c r="C14" s="230" t="s">
        <v>590</v>
      </c>
      <c r="D14" s="231" t="s">
        <v>616</v>
      </c>
      <c r="E14" s="18">
        <f>22+39+12+20+38</f>
        <v>131</v>
      </c>
      <c r="F14" s="233"/>
      <c r="G14" s="333"/>
    </row>
    <row r="15" spans="1:7" ht="36" customHeight="1">
      <c r="A15" s="802"/>
      <c r="B15" s="805"/>
      <c r="C15" s="228" t="s">
        <v>612</v>
      </c>
      <c r="D15" s="232" t="s">
        <v>613</v>
      </c>
      <c r="E15" s="27" t="s">
        <v>614</v>
      </c>
      <c r="F15" s="225"/>
      <c r="G15" s="334"/>
    </row>
    <row r="16" spans="1:7" ht="36" customHeight="1">
      <c r="A16" s="802"/>
      <c r="B16" s="805"/>
      <c r="C16" s="228" t="s">
        <v>632</v>
      </c>
      <c r="D16" s="232" t="s">
        <v>633</v>
      </c>
      <c r="E16" s="27">
        <v>100</v>
      </c>
      <c r="F16" s="167"/>
      <c r="G16" s="335"/>
    </row>
    <row r="17" spans="1:7" ht="36" customHeight="1" thickBot="1">
      <c r="A17" s="802"/>
      <c r="B17" s="805"/>
      <c r="C17" s="229"/>
      <c r="D17" s="8"/>
      <c r="E17" s="24"/>
      <c r="F17" s="207"/>
      <c r="G17" s="336"/>
    </row>
    <row r="18" spans="1:7" ht="36" customHeight="1" thickBot="1">
      <c r="A18" s="803"/>
      <c r="B18" s="828"/>
      <c r="C18" s="42"/>
      <c r="D18" s="40"/>
      <c r="E18" s="36"/>
      <c r="F18" s="43"/>
      <c r="G18" s="338"/>
    </row>
    <row r="19" spans="1:7" ht="36" customHeight="1">
      <c r="A19" s="801">
        <v>43224</v>
      </c>
      <c r="B19" s="804" t="s">
        <v>248</v>
      </c>
      <c r="C19" s="824" t="s">
        <v>14</v>
      </c>
      <c r="D19" s="302" t="s">
        <v>615</v>
      </c>
      <c r="E19" s="18">
        <f>1+1+175</f>
        <v>177</v>
      </c>
      <c r="F19" s="233"/>
      <c r="G19" s="333" t="s">
        <v>635</v>
      </c>
    </row>
    <row r="20" spans="1:7" ht="36" customHeight="1">
      <c r="A20" s="802"/>
      <c r="B20" s="805"/>
      <c r="C20" s="809"/>
      <c r="D20" s="303" t="s">
        <v>634</v>
      </c>
      <c r="E20" s="27">
        <v>1</v>
      </c>
      <c r="F20" s="225"/>
      <c r="G20" s="334"/>
    </row>
    <row r="21" spans="1:7" ht="36" customHeight="1">
      <c r="A21" s="802"/>
      <c r="B21" s="805"/>
      <c r="C21" s="298" t="s">
        <v>630</v>
      </c>
      <c r="D21" s="303" t="s">
        <v>631</v>
      </c>
      <c r="E21" s="27">
        <v>30</v>
      </c>
      <c r="F21" s="225" t="s">
        <v>648</v>
      </c>
      <c r="G21" s="334"/>
    </row>
    <row r="22" spans="1:7" ht="36" customHeight="1">
      <c r="A22" s="802"/>
      <c r="B22" s="805"/>
      <c r="C22" s="298" t="s">
        <v>636</v>
      </c>
      <c r="D22" s="303" t="s">
        <v>637</v>
      </c>
      <c r="E22" s="27">
        <v>40</v>
      </c>
      <c r="F22" s="167"/>
      <c r="G22" s="335"/>
    </row>
    <row r="23" spans="1:7" ht="36" customHeight="1" thickBot="1">
      <c r="A23" s="802"/>
      <c r="B23" s="805"/>
      <c r="C23" s="299"/>
      <c r="D23" s="8"/>
      <c r="E23" s="24"/>
      <c r="F23" s="207"/>
      <c r="G23" s="336"/>
    </row>
    <row r="24" spans="1:7" ht="36" customHeight="1" thickBot="1">
      <c r="A24" s="803"/>
      <c r="B24" s="828"/>
      <c r="C24" s="52" t="s">
        <v>619</v>
      </c>
      <c r="D24" s="53" t="s">
        <v>620</v>
      </c>
      <c r="E24" s="33" t="s">
        <v>621</v>
      </c>
      <c r="F24" s="54" t="s">
        <v>622</v>
      </c>
      <c r="G24" s="337"/>
    </row>
    <row r="25" spans="1:7" ht="90.75" customHeight="1" thickBot="1">
      <c r="A25" s="798" t="s">
        <v>0</v>
      </c>
      <c r="B25" s="799"/>
      <c r="C25" s="886"/>
      <c r="D25" s="886"/>
      <c r="E25" s="886"/>
      <c r="F25" s="886"/>
      <c r="G25" s="887"/>
    </row>
    <row r="26" spans="1:7" ht="36" customHeight="1">
      <c r="A26" s="801">
        <v>43227</v>
      </c>
      <c r="B26" s="804" t="s">
        <v>623</v>
      </c>
      <c r="C26" s="900" t="s">
        <v>625</v>
      </c>
      <c r="D26" s="901"/>
      <c r="E26" s="901"/>
      <c r="F26" s="901"/>
      <c r="G26" s="902"/>
    </row>
    <row r="27" spans="1:7" ht="36" customHeight="1" thickBot="1">
      <c r="A27" s="802"/>
      <c r="B27" s="805"/>
      <c r="C27" s="906"/>
      <c r="D27" s="907"/>
      <c r="E27" s="907"/>
      <c r="F27" s="907"/>
      <c r="G27" s="908"/>
    </row>
    <row r="28" spans="1:7" ht="36" customHeight="1">
      <c r="A28" s="801">
        <v>43228</v>
      </c>
      <c r="B28" s="804" t="s">
        <v>624</v>
      </c>
      <c r="C28" s="824" t="s">
        <v>143</v>
      </c>
      <c r="D28" s="302" t="s">
        <v>592</v>
      </c>
      <c r="E28" s="18">
        <v>100</v>
      </c>
      <c r="F28" s="233"/>
      <c r="G28" s="333"/>
    </row>
    <row r="29" spans="1:7" ht="36" customHeight="1">
      <c r="A29" s="802"/>
      <c r="B29" s="805"/>
      <c r="C29" s="809"/>
      <c r="D29" s="303" t="s">
        <v>57</v>
      </c>
      <c r="E29" s="27">
        <v>5</v>
      </c>
      <c r="F29" s="167"/>
      <c r="G29" s="334"/>
    </row>
    <row r="30" spans="1:7" ht="36" customHeight="1">
      <c r="A30" s="802"/>
      <c r="B30" s="805"/>
      <c r="C30" s="809"/>
      <c r="D30" s="303" t="s">
        <v>369</v>
      </c>
      <c r="E30" s="27" t="s">
        <v>147</v>
      </c>
      <c r="F30" s="167"/>
      <c r="G30" s="334"/>
    </row>
    <row r="31" spans="1:7" ht="36" customHeight="1">
      <c r="A31" s="802"/>
      <c r="B31" s="805"/>
      <c r="C31" s="809" t="s">
        <v>638</v>
      </c>
      <c r="D31" s="303" t="s">
        <v>639</v>
      </c>
      <c r="E31" s="27">
        <v>50</v>
      </c>
      <c r="F31" s="225"/>
      <c r="G31" s="334"/>
    </row>
    <row r="32" spans="1:7" ht="36" customHeight="1" thickBot="1">
      <c r="A32" s="802"/>
      <c r="B32" s="805"/>
      <c r="C32" s="861"/>
      <c r="D32" s="85" t="s">
        <v>640</v>
      </c>
      <c r="E32" s="29">
        <v>50</v>
      </c>
      <c r="F32" s="284"/>
      <c r="G32" s="339"/>
    </row>
    <row r="33" spans="1:7" ht="36" customHeight="1" thickBot="1">
      <c r="A33" s="803"/>
      <c r="B33" s="828"/>
      <c r="C33" s="149" t="s">
        <v>30</v>
      </c>
      <c r="D33" s="150" t="s">
        <v>620</v>
      </c>
      <c r="E33" s="151" t="s">
        <v>621</v>
      </c>
      <c r="F33" s="152" t="s">
        <v>134</v>
      </c>
      <c r="G33" s="340"/>
    </row>
    <row r="34" spans="1:7" ht="36" customHeight="1">
      <c r="A34" s="802">
        <v>43229</v>
      </c>
      <c r="B34" s="805" t="s">
        <v>649</v>
      </c>
      <c r="C34" s="305" t="s">
        <v>14</v>
      </c>
      <c r="D34" s="306" t="s">
        <v>25</v>
      </c>
      <c r="E34" s="18">
        <f>175+18+20</f>
        <v>213</v>
      </c>
      <c r="F34" s="233"/>
      <c r="G34" s="333"/>
    </row>
    <row r="35" spans="1:7" ht="36" customHeight="1">
      <c r="A35" s="802"/>
      <c r="B35" s="805"/>
      <c r="C35" s="304" t="s">
        <v>23</v>
      </c>
      <c r="D35" s="307" t="s">
        <v>643</v>
      </c>
      <c r="E35" s="27">
        <v>50</v>
      </c>
      <c r="F35" s="167"/>
      <c r="G35" s="335"/>
    </row>
    <row r="36" spans="1:7" ht="36" customHeight="1">
      <c r="A36" s="802"/>
      <c r="B36" s="805"/>
      <c r="C36" s="809" t="s">
        <v>33</v>
      </c>
      <c r="D36" s="315" t="s">
        <v>19</v>
      </c>
      <c r="E36" s="27">
        <v>50</v>
      </c>
      <c r="F36" s="167"/>
      <c r="G36" s="341"/>
    </row>
    <row r="37" spans="1:7" ht="36" customHeight="1">
      <c r="A37" s="802"/>
      <c r="B37" s="805"/>
      <c r="C37" s="809"/>
      <c r="D37" s="315" t="s">
        <v>263</v>
      </c>
      <c r="E37" s="27">
        <v>72</v>
      </c>
      <c r="F37" s="167"/>
      <c r="G37" s="341"/>
    </row>
    <row r="38" spans="1:7" ht="36" customHeight="1">
      <c r="A38" s="802"/>
      <c r="B38" s="805"/>
      <c r="C38" s="809"/>
      <c r="D38" s="315" t="s">
        <v>57</v>
      </c>
      <c r="E38" s="27">
        <v>72</v>
      </c>
      <c r="F38" s="167"/>
      <c r="G38" s="341"/>
    </row>
    <row r="39" spans="1:7" ht="36" customHeight="1">
      <c r="A39" s="802"/>
      <c r="B39" s="805"/>
      <c r="C39" s="809"/>
      <c r="D39" s="315" t="s">
        <v>662</v>
      </c>
      <c r="E39" s="27">
        <v>50</v>
      </c>
      <c r="F39" s="167"/>
      <c r="G39" s="341"/>
    </row>
    <row r="40" spans="1:7" ht="36" customHeight="1">
      <c r="A40" s="802"/>
      <c r="B40" s="805"/>
      <c r="C40" s="809"/>
      <c r="D40" s="315" t="s">
        <v>262</v>
      </c>
      <c r="E40" s="27">
        <v>72</v>
      </c>
      <c r="F40" s="167" t="s">
        <v>278</v>
      </c>
      <c r="G40" s="341"/>
    </row>
    <row r="41" spans="1:7" ht="36" customHeight="1" thickBot="1">
      <c r="A41" s="802"/>
      <c r="B41" s="805"/>
      <c r="C41" s="810"/>
      <c r="D41" s="8" t="s">
        <v>484</v>
      </c>
      <c r="E41" s="24">
        <v>72</v>
      </c>
      <c r="F41" s="207" t="s">
        <v>309</v>
      </c>
      <c r="G41" s="341"/>
    </row>
    <row r="42" spans="1:7" ht="36" customHeight="1" thickBot="1">
      <c r="A42" s="803"/>
      <c r="B42" s="828"/>
      <c r="C42" s="42" t="s">
        <v>644</v>
      </c>
      <c r="D42" s="40" t="s">
        <v>645</v>
      </c>
      <c r="E42" s="36" t="s">
        <v>646</v>
      </c>
      <c r="F42" s="43" t="s">
        <v>647</v>
      </c>
      <c r="G42" s="338"/>
    </row>
    <row r="43" spans="1:7" ht="36" customHeight="1">
      <c r="A43" s="801">
        <v>43230</v>
      </c>
      <c r="B43" s="804" t="s">
        <v>247</v>
      </c>
      <c r="C43" s="310" t="s">
        <v>641</v>
      </c>
      <c r="D43" s="311" t="s">
        <v>642</v>
      </c>
      <c r="E43" s="18">
        <v>180</v>
      </c>
      <c r="F43" s="206" t="s">
        <v>650</v>
      </c>
      <c r="G43" s="342"/>
    </row>
    <row r="44" spans="1:7" ht="36" customHeight="1">
      <c r="A44" s="802"/>
      <c r="B44" s="805"/>
      <c r="C44" s="309" t="s">
        <v>38</v>
      </c>
      <c r="D44" s="312" t="s">
        <v>341</v>
      </c>
      <c r="E44" s="27">
        <v>30</v>
      </c>
      <c r="F44" s="167"/>
      <c r="G44" s="335"/>
    </row>
    <row r="45" spans="1:7" ht="36" customHeight="1">
      <c r="A45" s="802"/>
      <c r="B45" s="805"/>
      <c r="C45" s="809" t="s">
        <v>58</v>
      </c>
      <c r="D45" s="312" t="s">
        <v>369</v>
      </c>
      <c r="E45" s="27" t="s">
        <v>22</v>
      </c>
      <c r="F45" s="167"/>
      <c r="G45" s="335"/>
    </row>
    <row r="46" spans="1:7" ht="36" customHeight="1" thickBot="1">
      <c r="A46" s="802"/>
      <c r="B46" s="805"/>
      <c r="C46" s="861"/>
      <c r="D46" s="85" t="s">
        <v>626</v>
      </c>
      <c r="E46" s="29" t="s">
        <v>147</v>
      </c>
      <c r="F46" s="226"/>
      <c r="G46" s="343"/>
    </row>
    <row r="47" spans="1:7" ht="36" customHeight="1" thickBot="1">
      <c r="A47" s="803"/>
      <c r="B47" s="828"/>
      <c r="C47" s="316"/>
      <c r="D47" s="150"/>
      <c r="E47" s="151"/>
      <c r="F47" s="151"/>
      <c r="G47" s="344"/>
    </row>
    <row r="48" spans="1:7" ht="36" customHeight="1">
      <c r="A48" s="801">
        <v>43231</v>
      </c>
      <c r="B48" s="804" t="s">
        <v>248</v>
      </c>
      <c r="C48" s="318" t="s">
        <v>627</v>
      </c>
      <c r="D48" s="314" t="s">
        <v>524</v>
      </c>
      <c r="E48" s="18">
        <v>250</v>
      </c>
      <c r="F48" s="233"/>
      <c r="G48" s="333"/>
    </row>
    <row r="49" spans="1:7" ht="36" customHeight="1" thickBot="1">
      <c r="A49" s="802"/>
      <c r="B49" s="805"/>
      <c r="C49" s="313" t="s">
        <v>653</v>
      </c>
      <c r="D49" s="8" t="s">
        <v>654</v>
      </c>
      <c r="E49" s="24">
        <v>50</v>
      </c>
      <c r="F49" s="207" t="s">
        <v>655</v>
      </c>
      <c r="G49" s="336" t="s">
        <v>656</v>
      </c>
    </row>
    <row r="50" spans="1:7" ht="36" customHeight="1" thickBot="1">
      <c r="A50" s="803"/>
      <c r="B50" s="828"/>
      <c r="C50" s="52"/>
      <c r="D50" s="53"/>
      <c r="E50" s="33"/>
      <c r="F50" s="54"/>
      <c r="G50" s="337"/>
    </row>
    <row r="51" spans="1:7" ht="78" customHeight="1" thickBot="1">
      <c r="A51" s="798" t="s">
        <v>0</v>
      </c>
      <c r="B51" s="799"/>
      <c r="C51" s="886"/>
      <c r="D51" s="886"/>
      <c r="E51" s="886"/>
      <c r="F51" s="886"/>
      <c r="G51" s="887"/>
    </row>
    <row r="52" spans="1:7" ht="36" customHeight="1">
      <c r="A52" s="801">
        <v>43234</v>
      </c>
      <c r="B52" s="804" t="s">
        <v>651</v>
      </c>
      <c r="C52" s="300" t="s">
        <v>670</v>
      </c>
      <c r="D52" s="302" t="s">
        <v>671</v>
      </c>
      <c r="E52" s="18">
        <v>200</v>
      </c>
      <c r="F52" s="206"/>
      <c r="G52" s="342"/>
    </row>
    <row r="53" spans="1:7" ht="36" customHeight="1">
      <c r="A53" s="802"/>
      <c r="B53" s="805"/>
      <c r="C53" s="861" t="s">
        <v>33</v>
      </c>
      <c r="D53" s="322" t="s">
        <v>680</v>
      </c>
      <c r="E53" s="323">
        <v>250</v>
      </c>
      <c r="F53" s="167"/>
      <c r="G53" s="335"/>
    </row>
    <row r="54" spans="1:7" ht="36" customHeight="1">
      <c r="A54" s="802"/>
      <c r="B54" s="805"/>
      <c r="C54" s="822"/>
      <c r="D54" s="85" t="s">
        <v>681</v>
      </c>
      <c r="E54" s="29">
        <v>72</v>
      </c>
      <c r="F54" s="226"/>
      <c r="G54" s="343"/>
    </row>
    <row r="55" spans="1:7" ht="36" customHeight="1">
      <c r="A55" s="802"/>
      <c r="B55" s="805"/>
      <c r="C55" s="822"/>
      <c r="D55" s="324" t="s">
        <v>682</v>
      </c>
      <c r="E55" s="325">
        <v>72</v>
      </c>
      <c r="F55" s="226"/>
      <c r="G55" s="343"/>
    </row>
    <row r="56" spans="1:7" ht="36" customHeight="1">
      <c r="A56" s="802"/>
      <c r="B56" s="805"/>
      <c r="C56" s="822"/>
      <c r="D56" s="85" t="s">
        <v>683</v>
      </c>
      <c r="E56" s="77">
        <v>100</v>
      </c>
      <c r="F56" s="226"/>
      <c r="G56" s="343"/>
    </row>
    <row r="57" spans="1:7" ht="36" customHeight="1">
      <c r="A57" s="802"/>
      <c r="B57" s="805"/>
      <c r="C57" s="822"/>
      <c r="D57" s="85" t="s">
        <v>684</v>
      </c>
      <c r="E57" s="29">
        <v>72</v>
      </c>
      <c r="F57" s="226">
        <v>0.65</v>
      </c>
      <c r="G57" s="343"/>
    </row>
    <row r="58" spans="1:7" ht="36" customHeight="1" thickBot="1">
      <c r="A58" s="802"/>
      <c r="B58" s="805"/>
      <c r="C58" s="825"/>
      <c r="D58" s="85" t="s">
        <v>685</v>
      </c>
      <c r="E58" s="29">
        <v>72</v>
      </c>
      <c r="F58" s="226">
        <v>0.75</v>
      </c>
      <c r="G58" s="343"/>
    </row>
    <row r="59" spans="1:7" ht="36" customHeight="1">
      <c r="A59" s="801">
        <v>43235</v>
      </c>
      <c r="B59" s="804" t="s">
        <v>176</v>
      </c>
      <c r="C59" s="833" t="s">
        <v>652</v>
      </c>
      <c r="D59" s="302" t="s">
        <v>661</v>
      </c>
      <c r="E59" s="18">
        <f>74+3+20</f>
        <v>97</v>
      </c>
      <c r="F59" s="206"/>
      <c r="G59" s="342"/>
    </row>
    <row r="60" spans="1:7" ht="36" customHeight="1">
      <c r="A60" s="802"/>
      <c r="B60" s="805"/>
      <c r="C60" s="825"/>
      <c r="D60" s="303" t="s">
        <v>660</v>
      </c>
      <c r="E60" s="27">
        <f>2+14+19+23+16+5+18+1</f>
        <v>98</v>
      </c>
      <c r="F60" s="167"/>
      <c r="G60" s="335"/>
    </row>
    <row r="61" spans="1:7" ht="36" customHeight="1">
      <c r="A61" s="802"/>
      <c r="B61" s="805"/>
      <c r="C61" s="861" t="s">
        <v>663</v>
      </c>
      <c r="D61" s="85" t="s">
        <v>664</v>
      </c>
      <c r="E61" s="29">
        <v>50</v>
      </c>
      <c r="F61" s="226"/>
      <c r="G61" s="343"/>
    </row>
    <row r="62" spans="1:7" ht="36" customHeight="1">
      <c r="A62" s="802"/>
      <c r="B62" s="805"/>
      <c r="C62" s="822"/>
      <c r="D62" s="85" t="s">
        <v>665</v>
      </c>
      <c r="E62" s="29">
        <v>50</v>
      </c>
      <c r="F62" s="226"/>
      <c r="G62" s="343"/>
    </row>
    <row r="63" spans="1:7" ht="36" customHeight="1">
      <c r="A63" s="802"/>
      <c r="B63" s="805"/>
      <c r="C63" s="822"/>
      <c r="D63" s="85" t="s">
        <v>666</v>
      </c>
      <c r="E63" s="29">
        <v>50</v>
      </c>
      <c r="F63" s="226"/>
      <c r="G63" s="343"/>
    </row>
    <row r="64" spans="1:7" ht="36" customHeight="1">
      <c r="A64" s="802"/>
      <c r="B64" s="805"/>
      <c r="C64" s="822"/>
      <c r="D64" s="85" t="s">
        <v>667</v>
      </c>
      <c r="E64" s="29">
        <v>50</v>
      </c>
      <c r="F64" s="226"/>
      <c r="G64" s="343"/>
    </row>
    <row r="65" spans="1:7" ht="36" customHeight="1" thickBot="1">
      <c r="A65" s="802"/>
      <c r="B65" s="805"/>
      <c r="C65" s="823"/>
      <c r="D65" s="85" t="s">
        <v>668</v>
      </c>
      <c r="E65" s="29">
        <v>50</v>
      </c>
      <c r="F65" s="226"/>
      <c r="G65" s="343"/>
    </row>
    <row r="66" spans="1:7" ht="36" customHeight="1">
      <c r="A66" s="801">
        <v>43236</v>
      </c>
      <c r="B66" s="804" t="s">
        <v>175</v>
      </c>
      <c r="C66" s="326" t="s">
        <v>156</v>
      </c>
      <c r="D66" s="330" t="s">
        <v>657</v>
      </c>
      <c r="E66" s="27">
        <v>100</v>
      </c>
      <c r="F66" s="167" t="s">
        <v>658</v>
      </c>
      <c r="G66" s="335"/>
    </row>
    <row r="67" spans="1:7" ht="36" customHeight="1">
      <c r="A67" s="802"/>
      <c r="B67" s="805"/>
      <c r="C67" s="301" t="s">
        <v>686</v>
      </c>
      <c r="D67" s="85" t="s">
        <v>687</v>
      </c>
      <c r="E67" s="29">
        <v>50</v>
      </c>
      <c r="F67" s="226" t="s">
        <v>688</v>
      </c>
      <c r="G67" s="343"/>
    </row>
    <row r="68" spans="1:7" ht="36" customHeight="1" thickBot="1">
      <c r="A68" s="802"/>
      <c r="B68" s="805"/>
      <c r="C68" s="332" t="s">
        <v>58</v>
      </c>
      <c r="D68" s="85" t="s">
        <v>418</v>
      </c>
      <c r="E68" s="29" t="s">
        <v>161</v>
      </c>
      <c r="F68" s="226" t="s">
        <v>696</v>
      </c>
      <c r="G68" s="343"/>
    </row>
    <row r="69" spans="1:7" ht="36" customHeight="1" thickBot="1">
      <c r="A69" s="803"/>
      <c r="B69" s="828"/>
      <c r="C69" s="316" t="s">
        <v>672</v>
      </c>
      <c r="D69" s="150" t="s">
        <v>673</v>
      </c>
      <c r="E69" s="151" t="s">
        <v>674</v>
      </c>
      <c r="F69" s="151" t="s">
        <v>675</v>
      </c>
      <c r="G69" s="344"/>
    </row>
    <row r="70" spans="1:7" ht="36" customHeight="1">
      <c r="A70" s="801">
        <v>43237</v>
      </c>
      <c r="B70" s="804" t="s">
        <v>247</v>
      </c>
      <c r="C70" s="327" t="s">
        <v>23</v>
      </c>
      <c r="D70" s="329" t="s">
        <v>692</v>
      </c>
      <c r="E70" s="18">
        <v>50</v>
      </c>
      <c r="F70" s="206"/>
      <c r="G70" s="342" t="s">
        <v>690</v>
      </c>
    </row>
    <row r="71" spans="1:7" ht="36" customHeight="1">
      <c r="A71" s="802"/>
      <c r="B71" s="805"/>
      <c r="C71" s="809" t="s">
        <v>82</v>
      </c>
      <c r="D71" s="330" t="s">
        <v>386</v>
      </c>
      <c r="E71" s="27">
        <v>50</v>
      </c>
      <c r="F71" s="225"/>
      <c r="G71" s="334" t="s">
        <v>691</v>
      </c>
    </row>
    <row r="72" spans="1:7" ht="36" customHeight="1">
      <c r="A72" s="802"/>
      <c r="B72" s="805"/>
      <c r="C72" s="809"/>
      <c r="D72" s="330" t="s">
        <v>390</v>
      </c>
      <c r="E72" s="27">
        <v>100</v>
      </c>
      <c r="F72" s="225"/>
      <c r="G72" s="334"/>
    </row>
    <row r="73" spans="1:7" ht="36" customHeight="1">
      <c r="A73" s="802"/>
      <c r="B73" s="805"/>
      <c r="C73" s="809"/>
      <c r="D73" s="330" t="s">
        <v>669</v>
      </c>
      <c r="E73" s="27">
        <v>50</v>
      </c>
      <c r="F73" s="167"/>
      <c r="G73" s="335"/>
    </row>
    <row r="74" spans="1:7" ht="36" customHeight="1">
      <c r="A74" s="802"/>
      <c r="B74" s="805"/>
      <c r="C74" s="809"/>
      <c r="D74" s="330" t="s">
        <v>679</v>
      </c>
      <c r="E74" s="27">
        <v>50</v>
      </c>
      <c r="F74" s="167"/>
      <c r="G74" s="335"/>
    </row>
    <row r="75" spans="1:7" ht="36" customHeight="1" thickBot="1">
      <c r="A75" s="802"/>
      <c r="B75" s="805"/>
      <c r="C75" s="331" t="s">
        <v>695</v>
      </c>
      <c r="D75" s="8" t="s">
        <v>516</v>
      </c>
      <c r="E75" s="24" t="s">
        <v>17</v>
      </c>
      <c r="F75" s="207"/>
      <c r="G75" s="336"/>
    </row>
    <row r="76" spans="1:7" ht="36" customHeight="1" thickBot="1">
      <c r="A76" s="803"/>
      <c r="B76" s="828"/>
      <c r="C76" s="308"/>
      <c r="D76" s="106"/>
      <c r="E76" s="63"/>
      <c r="F76" s="63"/>
      <c r="G76" s="345"/>
    </row>
    <row r="77" spans="1:7" ht="36" customHeight="1">
      <c r="A77" s="801">
        <v>43238</v>
      </c>
      <c r="B77" s="804" t="s">
        <v>248</v>
      </c>
      <c r="C77" s="328" t="s">
        <v>659</v>
      </c>
      <c r="D77" s="49" t="s">
        <v>660</v>
      </c>
      <c r="E77" s="124">
        <f>259+10</f>
        <v>269</v>
      </c>
      <c r="F77" s="258"/>
      <c r="G77" s="346" t="s">
        <v>700</v>
      </c>
    </row>
    <row r="78" spans="1:7" ht="36" customHeight="1" thickBot="1">
      <c r="A78" s="802"/>
      <c r="B78" s="805"/>
      <c r="C78" s="332" t="s">
        <v>15</v>
      </c>
      <c r="D78" s="85" t="s">
        <v>654</v>
      </c>
      <c r="E78" s="29">
        <v>50</v>
      </c>
      <c r="F78" s="226" t="s">
        <v>699</v>
      </c>
      <c r="G78" s="343"/>
    </row>
    <row r="79" spans="1:7" ht="36" customHeight="1" thickBot="1">
      <c r="A79" s="803"/>
      <c r="B79" s="828"/>
      <c r="C79" s="105" t="s">
        <v>375</v>
      </c>
      <c r="D79" s="106" t="s">
        <v>376</v>
      </c>
      <c r="E79" s="63" t="s">
        <v>552</v>
      </c>
      <c r="F79" s="279" t="s">
        <v>89</v>
      </c>
      <c r="G79" s="345"/>
    </row>
    <row r="80" spans="1:7" ht="106.5" customHeight="1" thickBot="1">
      <c r="A80" s="798" t="s">
        <v>0</v>
      </c>
      <c r="B80" s="799"/>
      <c r="C80" s="886"/>
      <c r="D80" s="886"/>
      <c r="E80" s="886"/>
      <c r="F80" s="886"/>
      <c r="G80" s="887"/>
    </row>
    <row r="81" spans="1:7" ht="36" customHeight="1">
      <c r="A81" s="801">
        <v>43241</v>
      </c>
      <c r="B81" s="804" t="s">
        <v>676</v>
      </c>
      <c r="C81" s="833" t="s">
        <v>689</v>
      </c>
      <c r="D81" s="320" t="s">
        <v>697</v>
      </c>
      <c r="E81" s="18">
        <v>250</v>
      </c>
      <c r="F81" s="206"/>
      <c r="G81" s="342"/>
    </row>
    <row r="82" spans="1:7" ht="36" customHeight="1">
      <c r="A82" s="802"/>
      <c r="B82" s="805"/>
      <c r="C82" s="825"/>
      <c r="D82" s="321" t="s">
        <v>693</v>
      </c>
      <c r="E82" s="27" t="s">
        <v>694</v>
      </c>
      <c r="F82" s="167"/>
      <c r="G82" s="335"/>
    </row>
    <row r="83" spans="1:7" ht="36" customHeight="1" thickBot="1">
      <c r="A83" s="802"/>
      <c r="B83" s="805"/>
      <c r="C83" s="319"/>
      <c r="D83" s="85"/>
      <c r="E83" s="29"/>
      <c r="F83" s="226"/>
      <c r="G83" s="343"/>
    </row>
    <row r="84" spans="1:7" ht="36" customHeight="1" thickBot="1">
      <c r="A84" s="803"/>
      <c r="B84" s="828"/>
      <c r="C84" s="105"/>
      <c r="D84" s="106"/>
      <c r="E84" s="63"/>
      <c r="F84" s="279"/>
      <c r="G84" s="345"/>
    </row>
    <row r="85" spans="1:7" ht="36" customHeight="1">
      <c r="A85" s="801">
        <v>43242</v>
      </c>
      <c r="B85" s="804" t="s">
        <v>176</v>
      </c>
      <c r="C85" s="894" t="s">
        <v>677</v>
      </c>
      <c r="D85" s="895"/>
      <c r="E85" s="895"/>
      <c r="F85" s="895"/>
      <c r="G85" s="896"/>
    </row>
    <row r="86" spans="1:7" ht="36" customHeight="1" thickBot="1">
      <c r="A86" s="802"/>
      <c r="B86" s="805"/>
      <c r="C86" s="897"/>
      <c r="D86" s="898"/>
      <c r="E86" s="898"/>
      <c r="F86" s="898"/>
      <c r="G86" s="899"/>
    </row>
    <row r="87" spans="1:7" ht="36" customHeight="1">
      <c r="A87" s="801">
        <v>43243</v>
      </c>
      <c r="B87" s="804" t="s">
        <v>175</v>
      </c>
      <c r="C87" s="352" t="s">
        <v>23</v>
      </c>
      <c r="D87" s="353" t="s">
        <v>341</v>
      </c>
      <c r="E87" s="18">
        <v>50</v>
      </c>
      <c r="F87" s="206" t="s">
        <v>708</v>
      </c>
      <c r="G87" s="342"/>
    </row>
    <row r="88" spans="1:7" ht="36" customHeight="1">
      <c r="A88" s="802"/>
      <c r="B88" s="805"/>
      <c r="C88" s="861" t="s">
        <v>48</v>
      </c>
      <c r="D88" s="354" t="s">
        <v>395</v>
      </c>
      <c r="E88" s="27">
        <v>100</v>
      </c>
      <c r="F88" s="167"/>
      <c r="G88" s="335"/>
    </row>
    <row r="89" spans="1:7" ht="36" customHeight="1">
      <c r="A89" s="802"/>
      <c r="B89" s="805"/>
      <c r="C89" s="825"/>
      <c r="D89" s="85" t="s">
        <v>369</v>
      </c>
      <c r="E89" s="29" t="s">
        <v>50</v>
      </c>
      <c r="F89" s="226"/>
      <c r="G89" s="343"/>
    </row>
    <row r="90" spans="1:7" ht="36" customHeight="1" thickBot="1">
      <c r="A90" s="802"/>
      <c r="B90" s="805"/>
      <c r="C90" s="319" t="s">
        <v>714</v>
      </c>
      <c r="D90" s="85" t="s">
        <v>715</v>
      </c>
      <c r="E90" s="29" t="s">
        <v>716</v>
      </c>
      <c r="F90" s="226"/>
      <c r="G90" s="343"/>
    </row>
    <row r="91" spans="1:7" ht="36" customHeight="1" thickBot="1">
      <c r="A91" s="803"/>
      <c r="B91" s="828"/>
      <c r="C91" s="105" t="s">
        <v>323</v>
      </c>
      <c r="D91" s="106" t="s">
        <v>701</v>
      </c>
      <c r="E91" s="63" t="s">
        <v>702</v>
      </c>
      <c r="F91" s="279" t="s">
        <v>703</v>
      </c>
      <c r="G91" s="345"/>
    </row>
    <row r="92" spans="1:7" ht="36" customHeight="1">
      <c r="A92" s="801">
        <v>43244</v>
      </c>
      <c r="B92" s="804" t="s">
        <v>247</v>
      </c>
      <c r="C92" s="833" t="s">
        <v>678</v>
      </c>
      <c r="D92" s="320" t="s">
        <v>704</v>
      </c>
      <c r="E92" s="18">
        <f>77+2</f>
        <v>79</v>
      </c>
      <c r="F92" s="206"/>
      <c r="G92" s="342" t="s">
        <v>698</v>
      </c>
    </row>
    <row r="93" spans="1:7" ht="36" customHeight="1">
      <c r="A93" s="802"/>
      <c r="B93" s="805"/>
      <c r="C93" s="825"/>
      <c r="D93" s="49" t="s">
        <v>706</v>
      </c>
      <c r="E93" s="124">
        <f>30+17+6+27+33+34</f>
        <v>147</v>
      </c>
      <c r="F93" s="258" t="s">
        <v>705</v>
      </c>
      <c r="G93" s="346"/>
    </row>
    <row r="94" spans="1:7" ht="36" customHeight="1">
      <c r="A94" s="802"/>
      <c r="B94" s="805"/>
      <c r="C94" s="355" t="s">
        <v>712</v>
      </c>
      <c r="D94" s="146" t="s">
        <v>713</v>
      </c>
      <c r="E94" s="57">
        <v>200</v>
      </c>
      <c r="F94" s="356"/>
      <c r="G94" s="357"/>
    </row>
    <row r="95" spans="1:7" ht="36" customHeight="1" thickBot="1">
      <c r="A95" s="802"/>
      <c r="B95" s="805"/>
      <c r="C95" s="319"/>
      <c r="D95" s="85"/>
      <c r="E95" s="29"/>
      <c r="F95" s="226"/>
      <c r="G95" s="343"/>
    </row>
    <row r="96" spans="1:7" ht="36" customHeight="1" thickBot="1">
      <c r="A96" s="803"/>
      <c r="B96" s="828"/>
      <c r="C96" s="105"/>
      <c r="D96" s="106"/>
      <c r="E96" s="63"/>
      <c r="F96" s="279"/>
      <c r="G96" s="345"/>
    </row>
    <row r="97" spans="1:7" ht="36" customHeight="1">
      <c r="A97" s="801">
        <v>43245</v>
      </c>
      <c r="B97" s="804" t="s">
        <v>248</v>
      </c>
      <c r="C97" s="348"/>
      <c r="D97" s="350"/>
      <c r="E97" s="18"/>
      <c r="F97" s="206"/>
      <c r="G97" s="342" t="s">
        <v>717</v>
      </c>
    </row>
    <row r="98" spans="1:7" ht="36" customHeight="1">
      <c r="A98" s="802"/>
      <c r="B98" s="805"/>
      <c r="C98" s="317"/>
      <c r="D98" s="321"/>
      <c r="E98" s="27"/>
      <c r="F98" s="167"/>
      <c r="G98" s="335"/>
    </row>
    <row r="99" spans="1:7" ht="36" customHeight="1" thickBot="1">
      <c r="A99" s="802"/>
      <c r="B99" s="805"/>
      <c r="C99" s="319"/>
      <c r="D99" s="85"/>
      <c r="E99" s="29"/>
      <c r="F99" s="226"/>
      <c r="G99" s="343"/>
    </row>
    <row r="100" spans="1:7" ht="36" customHeight="1" thickBot="1">
      <c r="A100" s="803"/>
      <c r="B100" s="828"/>
      <c r="C100" s="105"/>
      <c r="D100" s="106"/>
      <c r="E100" s="63"/>
      <c r="F100" s="279"/>
      <c r="G100" s="345"/>
    </row>
    <row r="101" spans="1:7" ht="89.25" customHeight="1" thickBot="1">
      <c r="A101" s="798" t="s">
        <v>0</v>
      </c>
      <c r="B101" s="799"/>
      <c r="C101" s="886"/>
      <c r="D101" s="886"/>
      <c r="E101" s="886"/>
      <c r="F101" s="886"/>
      <c r="G101" s="887"/>
    </row>
    <row r="102" spans="1:7" ht="36" customHeight="1">
      <c r="A102" s="801">
        <v>43248</v>
      </c>
      <c r="B102" s="804" t="s">
        <v>707</v>
      </c>
      <c r="C102" s="348" t="s">
        <v>709</v>
      </c>
      <c r="D102" s="350" t="s">
        <v>710</v>
      </c>
      <c r="E102" s="18" t="s">
        <v>711</v>
      </c>
      <c r="F102" s="206"/>
      <c r="G102" s="342"/>
    </row>
    <row r="103" spans="1:7" ht="36" customHeight="1">
      <c r="A103" s="802"/>
      <c r="B103" s="805"/>
      <c r="C103" s="347" t="s">
        <v>729</v>
      </c>
      <c r="D103" s="351" t="s">
        <v>730</v>
      </c>
      <c r="E103" s="27">
        <v>50</v>
      </c>
      <c r="F103" s="167" t="s">
        <v>734</v>
      </c>
      <c r="G103" s="335" t="s">
        <v>735</v>
      </c>
    </row>
    <row r="104" spans="1:7" ht="36" customHeight="1" thickBot="1">
      <c r="A104" s="802"/>
      <c r="B104" s="805"/>
      <c r="C104" s="349"/>
      <c r="D104" s="85"/>
      <c r="E104" s="29"/>
      <c r="F104" s="226"/>
      <c r="G104" s="343"/>
    </row>
    <row r="105" spans="1:7" ht="36" customHeight="1" thickBot="1">
      <c r="A105" s="803"/>
      <c r="B105" s="828"/>
      <c r="C105" s="149"/>
      <c r="D105" s="150"/>
      <c r="E105" s="151"/>
      <c r="F105" s="268"/>
      <c r="G105" s="344"/>
    </row>
    <row r="106" spans="1:7" ht="36" customHeight="1">
      <c r="A106" s="801">
        <v>43249</v>
      </c>
      <c r="B106" s="804" t="s">
        <v>176</v>
      </c>
      <c r="C106" s="367" t="s">
        <v>732</v>
      </c>
      <c r="D106" s="368" t="s">
        <v>733</v>
      </c>
      <c r="E106" s="18">
        <f>8+2+13+2+92+41</f>
        <v>158</v>
      </c>
      <c r="F106" s="206"/>
      <c r="G106" s="342"/>
    </row>
    <row r="107" spans="1:7" ht="36" customHeight="1">
      <c r="A107" s="802"/>
      <c r="B107" s="805"/>
      <c r="C107" s="861" t="s">
        <v>66</v>
      </c>
      <c r="D107" s="369" t="s">
        <v>68</v>
      </c>
      <c r="E107" s="27" t="s">
        <v>69</v>
      </c>
      <c r="F107" s="356"/>
      <c r="G107" s="357"/>
    </row>
    <row r="108" spans="1:7" ht="36" customHeight="1" thickBot="1">
      <c r="A108" s="802"/>
      <c r="B108" s="805"/>
      <c r="C108" s="823"/>
      <c r="D108" s="8" t="s">
        <v>362</v>
      </c>
      <c r="E108" s="24">
        <v>100</v>
      </c>
      <c r="F108" s="207"/>
      <c r="G108" s="336"/>
    </row>
    <row r="109" spans="1:7" ht="36" customHeight="1" thickBot="1">
      <c r="A109" s="803"/>
      <c r="B109" s="828"/>
      <c r="C109" s="42"/>
      <c r="D109" s="40"/>
      <c r="E109" s="36"/>
      <c r="F109" s="264"/>
      <c r="G109" s="370"/>
    </row>
    <row r="110" spans="1:7" ht="36" customHeight="1">
      <c r="A110" s="802">
        <v>43250</v>
      </c>
      <c r="B110" s="805" t="s">
        <v>739</v>
      </c>
      <c r="C110" s="824" t="s">
        <v>23</v>
      </c>
      <c r="D110" s="368" t="s">
        <v>19</v>
      </c>
      <c r="E110" s="18">
        <v>250</v>
      </c>
      <c r="F110" s="206" t="s">
        <v>178</v>
      </c>
      <c r="G110" s="342"/>
    </row>
    <row r="111" spans="1:7" ht="36" customHeight="1">
      <c r="A111" s="802"/>
      <c r="B111" s="805"/>
      <c r="C111" s="809"/>
      <c r="D111" s="369" t="s">
        <v>662</v>
      </c>
      <c r="E111" s="27">
        <v>30</v>
      </c>
      <c r="F111" s="167"/>
      <c r="G111" s="335"/>
    </row>
    <row r="112" spans="1:7" ht="36" customHeight="1">
      <c r="A112" s="802"/>
      <c r="B112" s="805"/>
      <c r="C112" s="809"/>
      <c r="D112" s="369" t="s">
        <v>174</v>
      </c>
      <c r="E112" s="27">
        <v>10</v>
      </c>
      <c r="F112" s="167"/>
      <c r="G112" s="335"/>
    </row>
    <row r="113" spans="1:7" ht="36" customHeight="1">
      <c r="A113" s="802"/>
      <c r="B113" s="805"/>
      <c r="C113" s="809"/>
      <c r="D113" s="369" t="s">
        <v>369</v>
      </c>
      <c r="E113" s="27" t="s">
        <v>55</v>
      </c>
      <c r="F113" s="167"/>
      <c r="G113" s="335"/>
    </row>
    <row r="114" spans="1:7" ht="36" customHeight="1" thickBot="1">
      <c r="A114" s="802"/>
      <c r="B114" s="805"/>
      <c r="C114" s="366"/>
      <c r="D114" s="8"/>
      <c r="E114" s="24"/>
      <c r="F114" s="207"/>
      <c r="G114" s="336"/>
    </row>
    <row r="115" spans="1:7" ht="36" customHeight="1" thickBot="1">
      <c r="A115" s="803"/>
      <c r="B115" s="828"/>
      <c r="C115" s="42" t="s">
        <v>718</v>
      </c>
      <c r="D115" s="40" t="s">
        <v>719</v>
      </c>
      <c r="E115" s="36" t="s">
        <v>720</v>
      </c>
      <c r="F115" s="264" t="s">
        <v>721</v>
      </c>
      <c r="G115" s="370"/>
    </row>
    <row r="116" spans="1:7" ht="36" customHeight="1">
      <c r="A116" s="801">
        <v>43251</v>
      </c>
      <c r="B116" s="804" t="s">
        <v>247</v>
      </c>
      <c r="C116" s="833" t="s">
        <v>14</v>
      </c>
      <c r="D116" s="363" t="s">
        <v>736</v>
      </c>
      <c r="E116" s="18">
        <v>83</v>
      </c>
      <c r="F116" s="206"/>
      <c r="G116" s="342" t="s">
        <v>744</v>
      </c>
    </row>
    <row r="117" spans="1:7" ht="36" customHeight="1">
      <c r="A117" s="802"/>
      <c r="B117" s="805"/>
      <c r="C117" s="825"/>
      <c r="D117" s="364" t="s">
        <v>737</v>
      </c>
      <c r="E117" s="27">
        <v>42</v>
      </c>
      <c r="F117" s="167"/>
      <c r="G117" s="335"/>
    </row>
    <row r="118" spans="1:7" ht="36" customHeight="1">
      <c r="A118" s="802"/>
      <c r="B118" s="805"/>
      <c r="C118" s="361" t="s">
        <v>311</v>
      </c>
      <c r="D118" s="364" t="s">
        <v>369</v>
      </c>
      <c r="E118" s="27" t="s">
        <v>59</v>
      </c>
      <c r="F118" s="167"/>
      <c r="G118" s="335"/>
    </row>
    <row r="119" spans="1:7" ht="36" customHeight="1" thickBot="1">
      <c r="A119" s="802"/>
      <c r="B119" s="805"/>
      <c r="C119" s="362"/>
      <c r="D119" s="8"/>
      <c r="E119" s="24"/>
      <c r="F119" s="207"/>
      <c r="G119" s="336"/>
    </row>
    <row r="120" spans="1:7" ht="36" customHeight="1" thickBot="1">
      <c r="A120" s="803"/>
      <c r="B120" s="828"/>
      <c r="C120" s="52" t="s">
        <v>722</v>
      </c>
      <c r="D120" s="53" t="s">
        <v>723</v>
      </c>
      <c r="E120" s="33" t="s">
        <v>724</v>
      </c>
      <c r="F120" s="262" t="s">
        <v>721</v>
      </c>
      <c r="G120" s="365"/>
    </row>
    <row r="121" spans="1:7" ht="36" customHeight="1">
      <c r="A121" s="801">
        <v>43252</v>
      </c>
      <c r="B121" s="804" t="s">
        <v>248</v>
      </c>
      <c r="C121" s="833" t="s">
        <v>738</v>
      </c>
      <c r="D121" s="359" t="s">
        <v>747</v>
      </c>
      <c r="E121" s="18">
        <v>100</v>
      </c>
      <c r="F121" s="206"/>
      <c r="G121" s="342"/>
    </row>
    <row r="122" spans="1:7" ht="36" customHeight="1">
      <c r="A122" s="802"/>
      <c r="B122" s="805"/>
      <c r="C122" s="825"/>
      <c r="D122" s="49" t="s">
        <v>746</v>
      </c>
      <c r="E122" s="124">
        <v>48</v>
      </c>
      <c r="F122" s="258"/>
      <c r="G122" s="346"/>
    </row>
    <row r="123" spans="1:7" ht="36" customHeight="1">
      <c r="A123" s="802"/>
      <c r="B123" s="805"/>
      <c r="C123" s="861" t="s">
        <v>743</v>
      </c>
      <c r="D123" s="49" t="s">
        <v>740</v>
      </c>
      <c r="E123" s="124">
        <v>10</v>
      </c>
      <c r="F123" s="258"/>
      <c r="G123" s="346"/>
    </row>
    <row r="124" spans="1:7" ht="36" customHeight="1">
      <c r="A124" s="802"/>
      <c r="B124" s="805"/>
      <c r="C124" s="822"/>
      <c r="D124" s="49" t="s">
        <v>741</v>
      </c>
      <c r="E124" s="124">
        <v>10</v>
      </c>
      <c r="F124" s="258"/>
      <c r="G124" s="346"/>
    </row>
    <row r="125" spans="1:7" ht="36" customHeight="1">
      <c r="A125" s="802"/>
      <c r="B125" s="805"/>
      <c r="C125" s="825"/>
      <c r="D125" s="360" t="s">
        <v>742</v>
      </c>
      <c r="E125" s="27">
        <v>20</v>
      </c>
      <c r="F125" s="167"/>
      <c r="G125" s="335"/>
    </row>
    <row r="126" spans="1:7" ht="36" customHeight="1" thickBot="1">
      <c r="A126" s="802"/>
      <c r="B126" s="805"/>
      <c r="C126" s="358"/>
      <c r="D126" s="8"/>
      <c r="E126" s="24"/>
      <c r="F126" s="207"/>
      <c r="G126" s="336"/>
    </row>
    <row r="127" spans="1:7" ht="36" customHeight="1" thickBot="1">
      <c r="A127" s="803"/>
      <c r="B127" s="828"/>
      <c r="C127" s="105" t="s">
        <v>725</v>
      </c>
      <c r="D127" s="106" t="s">
        <v>726</v>
      </c>
      <c r="E127" s="63" t="s">
        <v>727</v>
      </c>
      <c r="F127" s="279" t="s">
        <v>728</v>
      </c>
      <c r="G127" s="345"/>
    </row>
  </sheetData>
  <mergeCells count="76">
    <mergeCell ref="C116:C117"/>
    <mergeCell ref="C123:C125"/>
    <mergeCell ref="A110:A115"/>
    <mergeCell ref="B110:B115"/>
    <mergeCell ref="A116:A120"/>
    <mergeCell ref="B116:B120"/>
    <mergeCell ref="A121:A127"/>
    <mergeCell ref="B121:B127"/>
    <mergeCell ref="C121:C122"/>
    <mergeCell ref="A102:A105"/>
    <mergeCell ref="B102:B105"/>
    <mergeCell ref="A106:A109"/>
    <mergeCell ref="B106:B109"/>
    <mergeCell ref="C110:C113"/>
    <mergeCell ref="C107:C108"/>
    <mergeCell ref="B19:B24"/>
    <mergeCell ref="B48:B50"/>
    <mergeCell ref="C19:C20"/>
    <mergeCell ref="C36:C41"/>
    <mergeCell ref="A25:G25"/>
    <mergeCell ref="A28:A33"/>
    <mergeCell ref="B28:B33"/>
    <mergeCell ref="A26:A27"/>
    <mergeCell ref="B26:B27"/>
    <mergeCell ref="C26:G27"/>
    <mergeCell ref="C31:C32"/>
    <mergeCell ref="C28:C30"/>
    <mergeCell ref="B43:B47"/>
    <mergeCell ref="A48:A50"/>
    <mergeCell ref="A43:A47"/>
    <mergeCell ref="A51:G51"/>
    <mergeCell ref="A1:G1"/>
    <mergeCell ref="A2:A6"/>
    <mergeCell ref="B2:B6"/>
    <mergeCell ref="A7:A8"/>
    <mergeCell ref="B7:B8"/>
    <mergeCell ref="A9:A13"/>
    <mergeCell ref="B9:B13"/>
    <mergeCell ref="A14:A18"/>
    <mergeCell ref="B14:B18"/>
    <mergeCell ref="C7:G8"/>
    <mergeCell ref="C9:C10"/>
    <mergeCell ref="C45:C46"/>
    <mergeCell ref="A19:A24"/>
    <mergeCell ref="A34:A42"/>
    <mergeCell ref="B34:B42"/>
    <mergeCell ref="C59:C60"/>
    <mergeCell ref="C81:C82"/>
    <mergeCell ref="A77:A79"/>
    <mergeCell ref="B77:B79"/>
    <mergeCell ref="A59:A65"/>
    <mergeCell ref="B59:B65"/>
    <mergeCell ref="A66:A69"/>
    <mergeCell ref="B66:B69"/>
    <mergeCell ref="A70:A76"/>
    <mergeCell ref="B70:B76"/>
    <mergeCell ref="C71:C74"/>
    <mergeCell ref="C61:C65"/>
    <mergeCell ref="A81:A84"/>
    <mergeCell ref="B81:B84"/>
    <mergeCell ref="A101:G101"/>
    <mergeCell ref="C92:C93"/>
    <mergeCell ref="C88:C89"/>
    <mergeCell ref="C53:C58"/>
    <mergeCell ref="A97:A100"/>
    <mergeCell ref="B97:B100"/>
    <mergeCell ref="C85:G86"/>
    <mergeCell ref="A85:A86"/>
    <mergeCell ref="B85:B86"/>
    <mergeCell ref="A87:A91"/>
    <mergeCell ref="B87:B91"/>
    <mergeCell ref="A92:A96"/>
    <mergeCell ref="B92:B96"/>
    <mergeCell ref="A80:G80"/>
    <mergeCell ref="A52:A58"/>
    <mergeCell ref="B52:B58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73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2"/>
  <sheetViews>
    <sheetView view="pageBreakPreview" topLeftCell="A92" zoomScale="78" zoomScaleNormal="87" zoomScaleSheetLayoutView="78" workbookViewId="0">
      <selection activeCell="E112" sqref="E112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0.875" style="3" customWidth="1"/>
    <col min="7" max="7" width="19.5" style="374" customWidth="1"/>
    <col min="8" max="8" width="42.5" style="38" customWidth="1"/>
    <col min="9" max="16384" width="9" style="19"/>
  </cols>
  <sheetData>
    <row r="1" spans="1:7" ht="89.2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ht="36" customHeight="1">
      <c r="A2" s="801">
        <v>43255</v>
      </c>
      <c r="B2" s="804" t="s">
        <v>7</v>
      </c>
      <c r="C2" s="833" t="s">
        <v>745</v>
      </c>
      <c r="D2" s="375" t="s">
        <v>770</v>
      </c>
      <c r="E2" s="18">
        <v>72</v>
      </c>
      <c r="F2" s="206"/>
      <c r="G2" s="371"/>
    </row>
    <row r="3" spans="1:7" ht="36" customHeight="1">
      <c r="A3" s="802"/>
      <c r="B3" s="805"/>
      <c r="C3" s="822"/>
      <c r="D3" s="376" t="s">
        <v>771</v>
      </c>
      <c r="E3" s="7">
        <v>100</v>
      </c>
      <c r="F3" s="167"/>
      <c r="G3" s="372"/>
    </row>
    <row r="4" spans="1:7" ht="36" customHeight="1">
      <c r="A4" s="802"/>
      <c r="B4" s="805"/>
      <c r="C4" s="822"/>
      <c r="D4" s="376" t="s">
        <v>338</v>
      </c>
      <c r="E4" s="27">
        <v>72</v>
      </c>
      <c r="F4" s="167">
        <v>0.65</v>
      </c>
      <c r="G4" s="372"/>
    </row>
    <row r="5" spans="1:7" ht="36" customHeight="1">
      <c r="A5" s="802"/>
      <c r="B5" s="805"/>
      <c r="C5" s="822"/>
      <c r="D5" s="376" t="s">
        <v>772</v>
      </c>
      <c r="E5" s="27">
        <v>72</v>
      </c>
      <c r="F5" s="167">
        <v>0.75</v>
      </c>
      <c r="G5" s="372"/>
    </row>
    <row r="6" spans="1:7" ht="36" customHeight="1">
      <c r="A6" s="802"/>
      <c r="B6" s="805"/>
      <c r="C6" s="825"/>
      <c r="D6" s="376" t="s">
        <v>753</v>
      </c>
      <c r="E6" s="27" t="s">
        <v>754</v>
      </c>
      <c r="F6" s="167"/>
      <c r="G6" s="372"/>
    </row>
    <row r="7" spans="1:7" ht="36" customHeight="1">
      <c r="A7" s="802"/>
      <c r="B7" s="805"/>
      <c r="C7" s="809" t="s">
        <v>750</v>
      </c>
      <c r="D7" s="376" t="s">
        <v>751</v>
      </c>
      <c r="E7" s="27">
        <v>50</v>
      </c>
      <c r="F7" s="167"/>
      <c r="G7" s="372"/>
    </row>
    <row r="8" spans="1:7" ht="36" customHeight="1" thickBot="1">
      <c r="A8" s="802"/>
      <c r="B8" s="805"/>
      <c r="C8" s="810"/>
      <c r="D8" s="8" t="s">
        <v>752</v>
      </c>
      <c r="E8" s="24">
        <v>50</v>
      </c>
      <c r="F8" s="207"/>
      <c r="G8" s="384"/>
    </row>
    <row r="9" spans="1:7" ht="36" customHeight="1" thickBot="1">
      <c r="A9" s="803"/>
      <c r="B9" s="828"/>
      <c r="C9" s="42"/>
      <c r="D9" s="40"/>
      <c r="E9" s="36"/>
      <c r="F9" s="264"/>
      <c r="G9" s="390"/>
    </row>
    <row r="10" spans="1:7" ht="36" customHeight="1">
      <c r="A10" s="801">
        <v>43256</v>
      </c>
      <c r="B10" s="804" t="s">
        <v>176</v>
      </c>
      <c r="C10" s="824" t="s">
        <v>14</v>
      </c>
      <c r="D10" s="382" t="s">
        <v>25</v>
      </c>
      <c r="E10" s="18">
        <v>226</v>
      </c>
      <c r="F10" s="206"/>
      <c r="G10" s="371" t="s">
        <v>764</v>
      </c>
    </row>
    <row r="11" spans="1:7" ht="36" customHeight="1">
      <c r="A11" s="802"/>
      <c r="B11" s="805"/>
      <c r="C11" s="809"/>
      <c r="D11" s="383" t="s">
        <v>26</v>
      </c>
      <c r="E11" s="27">
        <v>2</v>
      </c>
      <c r="F11" s="167"/>
      <c r="G11" s="372"/>
    </row>
    <row r="12" spans="1:7" ht="36" customHeight="1" thickBot="1">
      <c r="A12" s="802"/>
      <c r="B12" s="805"/>
      <c r="C12" s="380"/>
      <c r="D12" s="8"/>
      <c r="E12" s="24"/>
      <c r="F12" s="207"/>
      <c r="G12" s="384"/>
    </row>
    <row r="13" spans="1:7" ht="36" customHeight="1" thickBot="1">
      <c r="A13" s="803"/>
      <c r="B13" s="828"/>
      <c r="C13" s="52" t="s">
        <v>755</v>
      </c>
      <c r="D13" s="53" t="s">
        <v>756</v>
      </c>
      <c r="E13" s="33" t="s">
        <v>757</v>
      </c>
      <c r="F13" s="54" t="s">
        <v>89</v>
      </c>
      <c r="G13" s="337"/>
    </row>
    <row r="14" spans="1:7" ht="90.75" customHeight="1" thickBot="1">
      <c r="A14" s="377">
        <v>43257</v>
      </c>
      <c r="B14" s="378" t="s">
        <v>175</v>
      </c>
      <c r="C14" s="915" t="s">
        <v>765</v>
      </c>
      <c r="D14" s="916"/>
      <c r="E14" s="916"/>
      <c r="F14" s="916"/>
      <c r="G14" s="917"/>
    </row>
    <row r="15" spans="1:7" ht="36" customHeight="1">
      <c r="A15" s="801">
        <v>43258</v>
      </c>
      <c r="B15" s="804" t="s">
        <v>247</v>
      </c>
      <c r="C15" s="381" t="s">
        <v>748</v>
      </c>
      <c r="D15" s="382" t="s">
        <v>749</v>
      </c>
      <c r="E15" s="18">
        <f>30+6+17+18</f>
        <v>71</v>
      </c>
      <c r="F15" s="206"/>
      <c r="G15" s="371"/>
    </row>
    <row r="16" spans="1:7" ht="36" customHeight="1">
      <c r="A16" s="802"/>
      <c r="B16" s="805"/>
      <c r="C16" s="809" t="s">
        <v>48</v>
      </c>
      <c r="D16" s="383" t="s">
        <v>592</v>
      </c>
      <c r="E16" s="27">
        <v>100</v>
      </c>
      <c r="F16" s="167"/>
      <c r="G16" s="372" t="s">
        <v>763</v>
      </c>
    </row>
    <row r="17" spans="1:7" ht="36" customHeight="1">
      <c r="A17" s="802"/>
      <c r="B17" s="805"/>
      <c r="C17" s="809"/>
      <c r="D17" s="383" t="s">
        <v>369</v>
      </c>
      <c r="E17" s="27" t="s">
        <v>50</v>
      </c>
      <c r="F17" s="167"/>
      <c r="G17" s="372" t="s">
        <v>777</v>
      </c>
    </row>
    <row r="18" spans="1:7" ht="35.25" customHeight="1" thickBot="1">
      <c r="A18" s="802"/>
      <c r="B18" s="805"/>
      <c r="C18" s="380"/>
      <c r="D18" s="8"/>
      <c r="E18" s="24"/>
      <c r="F18" s="207"/>
      <c r="G18" s="384"/>
    </row>
    <row r="19" spans="1:7" ht="36" customHeight="1" thickBot="1">
      <c r="A19" s="803"/>
      <c r="B19" s="806"/>
      <c r="C19" s="42"/>
      <c r="D19" s="40"/>
      <c r="E19" s="36"/>
      <c r="F19" s="264"/>
      <c r="G19" s="390"/>
    </row>
    <row r="20" spans="1:7" ht="36" customHeight="1">
      <c r="A20" s="801">
        <v>43259</v>
      </c>
      <c r="B20" s="804" t="s">
        <v>248</v>
      </c>
      <c r="C20" s="387"/>
      <c r="D20" s="388"/>
      <c r="E20" s="18"/>
      <c r="F20" s="206"/>
      <c r="G20" s="371" t="s">
        <v>760</v>
      </c>
    </row>
    <row r="21" spans="1:7" ht="36" customHeight="1">
      <c r="A21" s="802"/>
      <c r="B21" s="805"/>
      <c r="C21" s="385" t="s">
        <v>761</v>
      </c>
      <c r="D21" s="389" t="s">
        <v>775</v>
      </c>
      <c r="E21" s="27">
        <v>50</v>
      </c>
      <c r="F21" s="167" t="s">
        <v>762</v>
      </c>
      <c r="G21" s="372" t="s">
        <v>776</v>
      </c>
    </row>
    <row r="22" spans="1:7" ht="36" customHeight="1">
      <c r="A22" s="802"/>
      <c r="B22" s="805"/>
      <c r="C22" s="809" t="s">
        <v>768</v>
      </c>
      <c r="D22" s="389" t="s">
        <v>769</v>
      </c>
      <c r="E22" s="27">
        <v>50</v>
      </c>
      <c r="F22" s="167"/>
      <c r="G22" s="372"/>
    </row>
    <row r="23" spans="1:7" ht="36" customHeight="1" thickBot="1">
      <c r="A23" s="802"/>
      <c r="B23" s="805"/>
      <c r="C23" s="810"/>
      <c r="D23" s="8" t="s">
        <v>774</v>
      </c>
      <c r="E23" s="24">
        <v>20</v>
      </c>
      <c r="F23" s="207"/>
      <c r="G23" s="384"/>
    </row>
    <row r="24" spans="1:7" ht="36" customHeight="1" thickBot="1">
      <c r="A24" s="803"/>
      <c r="B24" s="828"/>
      <c r="C24" s="105" t="s">
        <v>375</v>
      </c>
      <c r="D24" s="106" t="s">
        <v>376</v>
      </c>
      <c r="E24" s="63" t="s">
        <v>552</v>
      </c>
      <c r="F24" s="279" t="s">
        <v>89</v>
      </c>
      <c r="G24" s="373"/>
    </row>
    <row r="25" spans="1:7" ht="91.5" customHeight="1" thickBot="1">
      <c r="A25" s="798" t="s">
        <v>0</v>
      </c>
      <c r="B25" s="799"/>
      <c r="C25" s="886"/>
      <c r="D25" s="886"/>
      <c r="E25" s="886"/>
      <c r="F25" s="886"/>
      <c r="G25" s="887"/>
    </row>
    <row r="26" spans="1:7" ht="36" customHeight="1">
      <c r="A26" s="801">
        <v>43262</v>
      </c>
      <c r="B26" s="804" t="s">
        <v>766</v>
      </c>
      <c r="C26" s="381"/>
      <c r="D26" s="382"/>
      <c r="E26" s="18"/>
      <c r="F26" s="206"/>
      <c r="G26" s="342"/>
    </row>
    <row r="27" spans="1:7" ht="36" customHeight="1">
      <c r="A27" s="802"/>
      <c r="B27" s="805"/>
      <c r="C27" s="379"/>
      <c r="D27" s="383"/>
      <c r="E27" s="27"/>
      <c r="F27" s="167"/>
      <c r="G27" s="335"/>
    </row>
    <row r="28" spans="1:7" ht="36" customHeight="1" thickBot="1">
      <c r="A28" s="802"/>
      <c r="B28" s="805"/>
      <c r="C28" s="396" t="s">
        <v>628</v>
      </c>
      <c r="D28" s="8" t="s">
        <v>514</v>
      </c>
      <c r="E28" s="24" t="s">
        <v>731</v>
      </c>
      <c r="F28" s="207" t="s">
        <v>629</v>
      </c>
      <c r="G28" s="343"/>
    </row>
    <row r="29" spans="1:7" ht="36" customHeight="1" thickBot="1">
      <c r="A29" s="803"/>
      <c r="B29" s="828"/>
      <c r="C29" s="149" t="s">
        <v>758</v>
      </c>
      <c r="D29" s="150" t="s">
        <v>259</v>
      </c>
      <c r="E29" s="151" t="s">
        <v>759</v>
      </c>
      <c r="F29" s="268" t="s">
        <v>786</v>
      </c>
      <c r="G29" s="397"/>
    </row>
    <row r="30" spans="1:7" ht="36" customHeight="1">
      <c r="A30" s="801">
        <v>43263</v>
      </c>
      <c r="B30" s="804" t="s">
        <v>176</v>
      </c>
      <c r="C30" s="833" t="s">
        <v>773</v>
      </c>
      <c r="D30" s="394" t="s">
        <v>787</v>
      </c>
      <c r="E30" s="18">
        <f>2+134</f>
        <v>136</v>
      </c>
      <c r="F30" s="206"/>
      <c r="G30" s="342"/>
    </row>
    <row r="31" spans="1:7" ht="36" customHeight="1">
      <c r="A31" s="802"/>
      <c r="B31" s="805"/>
      <c r="C31" s="825"/>
      <c r="D31" s="49" t="s">
        <v>788</v>
      </c>
      <c r="E31" s="124">
        <v>102</v>
      </c>
      <c r="F31" s="258"/>
      <c r="G31" s="346"/>
    </row>
    <row r="32" spans="1:7" ht="36" customHeight="1">
      <c r="A32" s="802"/>
      <c r="B32" s="805"/>
      <c r="C32" s="809" t="s">
        <v>745</v>
      </c>
      <c r="D32" s="395" t="s">
        <v>432</v>
      </c>
      <c r="E32" s="27">
        <v>144</v>
      </c>
      <c r="F32" s="167"/>
      <c r="G32" s="335"/>
    </row>
    <row r="33" spans="1:7" ht="36" customHeight="1">
      <c r="A33" s="802"/>
      <c r="B33" s="805"/>
      <c r="C33" s="809"/>
      <c r="D33" s="395" t="s">
        <v>384</v>
      </c>
      <c r="E33" s="7">
        <v>100</v>
      </c>
      <c r="F33" s="167"/>
      <c r="G33" s="335"/>
    </row>
    <row r="34" spans="1:7" ht="36" customHeight="1">
      <c r="A34" s="802"/>
      <c r="B34" s="805"/>
      <c r="C34" s="809"/>
      <c r="D34" s="395" t="s">
        <v>279</v>
      </c>
      <c r="E34" s="7">
        <v>64</v>
      </c>
      <c r="F34" s="167" t="s">
        <v>280</v>
      </c>
      <c r="G34" s="335"/>
    </row>
    <row r="35" spans="1:7" ht="36" customHeight="1">
      <c r="A35" s="802"/>
      <c r="B35" s="805"/>
      <c r="C35" s="809"/>
      <c r="D35" s="395" t="s">
        <v>767</v>
      </c>
      <c r="E35" s="27">
        <v>64</v>
      </c>
      <c r="F35" s="167"/>
      <c r="G35" s="335"/>
    </row>
    <row r="36" spans="1:7" ht="36" customHeight="1" thickBot="1">
      <c r="A36" s="802"/>
      <c r="B36" s="805"/>
      <c r="C36" s="810"/>
      <c r="D36" s="8" t="s">
        <v>779</v>
      </c>
      <c r="E36" s="24">
        <v>30</v>
      </c>
      <c r="F36" s="207" t="s">
        <v>780</v>
      </c>
      <c r="G36" s="336"/>
    </row>
    <row r="37" spans="1:7" ht="36" customHeight="1" thickBot="1">
      <c r="A37" s="803"/>
      <c r="B37" s="828"/>
      <c r="C37" s="42"/>
      <c r="D37" s="40"/>
      <c r="E37" s="36"/>
      <c r="F37" s="264"/>
      <c r="G37" s="370"/>
    </row>
    <row r="38" spans="1:7" ht="36" customHeight="1">
      <c r="A38" s="801">
        <v>43264</v>
      </c>
      <c r="B38" s="804" t="s">
        <v>175</v>
      </c>
      <c r="C38" s="909" t="s">
        <v>781</v>
      </c>
      <c r="D38" s="910"/>
      <c r="E38" s="910"/>
      <c r="F38" s="910"/>
      <c r="G38" s="911"/>
    </row>
    <row r="39" spans="1:7" ht="36" customHeight="1" thickBot="1">
      <c r="A39" s="802"/>
      <c r="B39" s="805"/>
      <c r="C39" s="912"/>
      <c r="D39" s="913"/>
      <c r="E39" s="913"/>
      <c r="F39" s="913"/>
      <c r="G39" s="914"/>
    </row>
    <row r="40" spans="1:7" ht="36" customHeight="1">
      <c r="A40" s="801">
        <v>43265</v>
      </c>
      <c r="B40" s="804" t="s">
        <v>247</v>
      </c>
      <c r="C40" s="398" t="s">
        <v>792</v>
      </c>
      <c r="D40" s="399" t="s">
        <v>793</v>
      </c>
      <c r="E40" s="18">
        <v>200</v>
      </c>
      <c r="F40" s="206"/>
      <c r="G40" s="342"/>
    </row>
    <row r="41" spans="1:7" ht="36" customHeight="1">
      <c r="A41" s="802"/>
      <c r="B41" s="805"/>
      <c r="C41" s="809" t="s">
        <v>794</v>
      </c>
      <c r="D41" s="400" t="s">
        <v>795</v>
      </c>
      <c r="E41" s="27" t="s">
        <v>796</v>
      </c>
      <c r="F41" s="167"/>
      <c r="G41" s="335"/>
    </row>
    <row r="42" spans="1:7" ht="36" customHeight="1">
      <c r="A42" s="802"/>
      <c r="B42" s="805"/>
      <c r="C42" s="809"/>
      <c r="D42" s="400" t="s">
        <v>797</v>
      </c>
      <c r="E42" s="27" t="s">
        <v>798</v>
      </c>
      <c r="F42" s="167"/>
      <c r="G42" s="335"/>
    </row>
    <row r="43" spans="1:7" ht="36" customHeight="1">
      <c r="A43" s="802"/>
      <c r="B43" s="805"/>
      <c r="C43" s="809" t="s">
        <v>745</v>
      </c>
      <c r="D43" s="400" t="s">
        <v>386</v>
      </c>
      <c r="E43" s="27">
        <v>64</v>
      </c>
      <c r="F43" s="167"/>
      <c r="G43" s="335"/>
    </row>
    <row r="44" spans="1:7" ht="36" customHeight="1">
      <c r="A44" s="802"/>
      <c r="B44" s="805"/>
      <c r="C44" s="809"/>
      <c r="D44" s="400" t="s">
        <v>384</v>
      </c>
      <c r="E44" s="7">
        <v>50</v>
      </c>
      <c r="F44" s="167"/>
      <c r="G44" s="335"/>
    </row>
    <row r="45" spans="1:7" ht="36" customHeight="1">
      <c r="A45" s="802"/>
      <c r="B45" s="805"/>
      <c r="C45" s="809"/>
      <c r="D45" s="400" t="s">
        <v>57</v>
      </c>
      <c r="E45" s="27">
        <v>64</v>
      </c>
      <c r="F45" s="167"/>
      <c r="G45" s="335"/>
    </row>
    <row r="46" spans="1:7" ht="36" customHeight="1" thickBot="1">
      <c r="A46" s="802"/>
      <c r="B46" s="805"/>
      <c r="C46" s="810"/>
      <c r="D46" s="8" t="s">
        <v>362</v>
      </c>
      <c r="E46" s="24">
        <v>30</v>
      </c>
      <c r="F46" s="207" t="s">
        <v>780</v>
      </c>
      <c r="G46" s="336"/>
    </row>
    <row r="47" spans="1:7" ht="36" customHeight="1" thickBot="1">
      <c r="A47" s="803"/>
      <c r="B47" s="828"/>
      <c r="C47" s="52"/>
      <c r="D47" s="53"/>
      <c r="E47" s="33"/>
      <c r="F47" s="262"/>
      <c r="G47" s="365"/>
    </row>
    <row r="48" spans="1:7" ht="36" customHeight="1">
      <c r="A48" s="801">
        <v>43266</v>
      </c>
      <c r="B48" s="804" t="s">
        <v>248</v>
      </c>
      <c r="C48" s="833" t="s">
        <v>790</v>
      </c>
      <c r="D48" s="382" t="s">
        <v>791</v>
      </c>
      <c r="E48" s="18">
        <f>1+19+4+32+41</f>
        <v>97</v>
      </c>
      <c r="F48" s="206"/>
      <c r="G48" s="342" t="s">
        <v>778</v>
      </c>
    </row>
    <row r="49" spans="1:7" ht="36" customHeight="1">
      <c r="A49" s="802"/>
      <c r="B49" s="805"/>
      <c r="C49" s="825"/>
      <c r="D49" s="146" t="s">
        <v>799</v>
      </c>
      <c r="E49" s="57">
        <v>10</v>
      </c>
      <c r="F49" s="356"/>
      <c r="G49" s="357"/>
    </row>
    <row r="50" spans="1:7" ht="36" customHeight="1" thickBot="1">
      <c r="A50" s="802"/>
      <c r="B50" s="805"/>
      <c r="C50" s="386"/>
      <c r="D50" s="8"/>
      <c r="E50" s="24"/>
      <c r="F50" s="207"/>
      <c r="G50" s="384"/>
    </row>
    <row r="51" spans="1:7" ht="36" customHeight="1" thickBot="1">
      <c r="A51" s="803"/>
      <c r="B51" s="828"/>
      <c r="C51" s="105" t="s">
        <v>782</v>
      </c>
      <c r="D51" s="106" t="s">
        <v>783</v>
      </c>
      <c r="E51" s="63" t="s">
        <v>784</v>
      </c>
      <c r="F51" s="279" t="s">
        <v>785</v>
      </c>
      <c r="G51" s="345"/>
    </row>
    <row r="52" spans="1:7" ht="118.5" customHeight="1" thickBot="1">
      <c r="A52" s="798" t="s">
        <v>0</v>
      </c>
      <c r="B52" s="799"/>
      <c r="C52" s="886"/>
      <c r="D52" s="886"/>
      <c r="E52" s="886"/>
      <c r="F52" s="886"/>
      <c r="G52" s="887"/>
    </row>
    <row r="53" spans="1:7" ht="36" customHeight="1">
      <c r="A53" s="801">
        <v>43269</v>
      </c>
      <c r="B53" s="804" t="s">
        <v>246</v>
      </c>
      <c r="C53" s="392"/>
      <c r="D53" s="394"/>
      <c r="E53" s="18"/>
      <c r="F53" s="206"/>
      <c r="G53" s="342" t="s">
        <v>803</v>
      </c>
    </row>
    <row r="54" spans="1:7" ht="36" customHeight="1">
      <c r="A54" s="802"/>
      <c r="B54" s="805"/>
      <c r="C54" s="809" t="s">
        <v>15</v>
      </c>
      <c r="D54" s="408" t="s">
        <v>813</v>
      </c>
      <c r="E54" s="27">
        <v>30</v>
      </c>
      <c r="F54" s="167"/>
      <c r="G54" s="335" t="s">
        <v>807</v>
      </c>
    </row>
    <row r="55" spans="1:7" ht="36" customHeight="1" thickBot="1">
      <c r="A55" s="802"/>
      <c r="B55" s="805"/>
      <c r="C55" s="810"/>
      <c r="D55" s="8" t="s">
        <v>514</v>
      </c>
      <c r="E55" s="24" t="s">
        <v>17</v>
      </c>
      <c r="F55" s="226"/>
      <c r="G55" s="343"/>
    </row>
    <row r="56" spans="1:7" ht="36" customHeight="1" thickBot="1">
      <c r="A56" s="803"/>
      <c r="B56" s="828"/>
      <c r="C56" s="149"/>
      <c r="D56" s="150"/>
      <c r="E56" s="151"/>
      <c r="F56" s="268"/>
      <c r="G56" s="397"/>
    </row>
    <row r="57" spans="1:7" ht="36" customHeight="1">
      <c r="A57" s="801">
        <v>43270</v>
      </c>
      <c r="B57" s="804" t="s">
        <v>176</v>
      </c>
      <c r="C57" s="392" t="s">
        <v>808</v>
      </c>
      <c r="D57" s="394" t="s">
        <v>811</v>
      </c>
      <c r="E57" s="18">
        <f>5+20+160+20</f>
        <v>205</v>
      </c>
      <c r="F57" s="206"/>
      <c r="G57" s="342"/>
    </row>
    <row r="58" spans="1:7" ht="36" customHeight="1">
      <c r="A58" s="802"/>
      <c r="B58" s="805"/>
      <c r="C58" s="391" t="s">
        <v>820</v>
      </c>
      <c r="D58" s="395" t="s">
        <v>821</v>
      </c>
      <c r="E58" s="27" t="s">
        <v>823</v>
      </c>
      <c r="F58" s="167"/>
      <c r="G58" s="335"/>
    </row>
    <row r="59" spans="1:7" ht="36" customHeight="1" thickBot="1">
      <c r="A59" s="802"/>
      <c r="B59" s="805"/>
      <c r="C59" s="393"/>
      <c r="D59" s="85"/>
      <c r="E59" s="29"/>
      <c r="F59" s="226"/>
      <c r="G59" s="343"/>
    </row>
    <row r="60" spans="1:7" ht="36" customHeight="1" thickBot="1">
      <c r="A60" s="803"/>
      <c r="B60" s="828"/>
      <c r="C60" s="149" t="s">
        <v>804</v>
      </c>
      <c r="D60" s="150"/>
      <c r="E60" s="151"/>
      <c r="F60" s="268" t="s">
        <v>789</v>
      </c>
      <c r="G60" s="397"/>
    </row>
    <row r="61" spans="1:7" ht="36" customHeight="1">
      <c r="A61" s="801">
        <v>43271</v>
      </c>
      <c r="B61" s="804" t="s">
        <v>175</v>
      </c>
      <c r="C61" s="401" t="s">
        <v>808</v>
      </c>
      <c r="D61" s="402" t="s">
        <v>809</v>
      </c>
      <c r="E61" s="18">
        <f>201+1+19</f>
        <v>221</v>
      </c>
      <c r="F61" s="206"/>
      <c r="G61" s="342"/>
    </row>
    <row r="62" spans="1:7" ht="36" customHeight="1">
      <c r="A62" s="802"/>
      <c r="B62" s="805"/>
      <c r="C62" s="409"/>
      <c r="D62" s="403"/>
      <c r="E62" s="27"/>
      <c r="F62" s="167"/>
      <c r="G62" s="335"/>
    </row>
    <row r="63" spans="1:7" ht="36" customHeight="1" thickBot="1">
      <c r="A63" s="802"/>
      <c r="B63" s="805"/>
      <c r="C63" s="406"/>
      <c r="D63" s="85"/>
      <c r="E63" s="29"/>
      <c r="F63" s="226"/>
      <c r="G63" s="343"/>
    </row>
    <row r="64" spans="1:7" ht="36" customHeight="1" thickBot="1">
      <c r="A64" s="803"/>
      <c r="B64" s="828"/>
      <c r="C64" s="105"/>
      <c r="D64" s="106"/>
      <c r="E64" s="63"/>
      <c r="F64" s="279"/>
      <c r="G64" s="373"/>
    </row>
    <row r="65" spans="1:7" ht="36" customHeight="1">
      <c r="A65" s="801">
        <v>43272</v>
      </c>
      <c r="B65" s="804" t="s">
        <v>247</v>
      </c>
      <c r="C65" s="833" t="s">
        <v>808</v>
      </c>
      <c r="D65" s="394" t="s">
        <v>809</v>
      </c>
      <c r="E65" s="18">
        <f>13+6+32+73</f>
        <v>124</v>
      </c>
      <c r="F65" s="206"/>
      <c r="G65" s="342" t="s">
        <v>824</v>
      </c>
    </row>
    <row r="66" spans="1:7" ht="36" customHeight="1">
      <c r="A66" s="802"/>
      <c r="B66" s="805"/>
      <c r="C66" s="825"/>
      <c r="D66" s="49" t="s">
        <v>826</v>
      </c>
      <c r="E66" s="124">
        <v>3</v>
      </c>
      <c r="F66" s="258"/>
      <c r="G66" s="346" t="s">
        <v>830</v>
      </c>
    </row>
    <row r="67" spans="1:7" ht="36" customHeight="1">
      <c r="A67" s="802"/>
      <c r="B67" s="805"/>
      <c r="C67" s="411" t="s">
        <v>827</v>
      </c>
      <c r="D67" s="49" t="s">
        <v>828</v>
      </c>
      <c r="E67" s="124">
        <v>300</v>
      </c>
      <c r="F67" s="258" t="s">
        <v>831</v>
      </c>
      <c r="G67" s="346"/>
    </row>
    <row r="68" spans="1:7" ht="36" customHeight="1">
      <c r="A68" s="802"/>
      <c r="B68" s="805"/>
      <c r="C68" s="411"/>
      <c r="D68" s="410"/>
      <c r="E68" s="27"/>
      <c r="F68" s="167"/>
      <c r="G68" s="335"/>
    </row>
    <row r="69" spans="1:7" ht="36" customHeight="1" thickBot="1">
      <c r="A69" s="802"/>
      <c r="B69" s="805"/>
      <c r="C69" s="411"/>
      <c r="D69" s="410"/>
      <c r="E69" s="27"/>
      <c r="F69" s="226"/>
      <c r="G69" s="343"/>
    </row>
    <row r="70" spans="1:7" ht="36" customHeight="1" thickBot="1">
      <c r="A70" s="803"/>
      <c r="B70" s="828"/>
      <c r="C70" s="149"/>
      <c r="D70" s="150"/>
      <c r="E70" s="151"/>
      <c r="F70" s="268"/>
      <c r="G70" s="397"/>
    </row>
    <row r="71" spans="1:7" ht="36" customHeight="1">
      <c r="A71" s="801">
        <v>43273</v>
      </c>
      <c r="B71" s="804" t="s">
        <v>248</v>
      </c>
      <c r="C71" s="833" t="s">
        <v>800</v>
      </c>
      <c r="D71" s="394" t="s">
        <v>825</v>
      </c>
      <c r="E71" s="18">
        <v>300</v>
      </c>
      <c r="F71" s="206"/>
      <c r="G71" s="342" t="s">
        <v>840</v>
      </c>
    </row>
    <row r="72" spans="1:7" ht="36" customHeight="1">
      <c r="A72" s="802"/>
      <c r="B72" s="805"/>
      <c r="C72" s="825"/>
      <c r="D72" s="395" t="s">
        <v>801</v>
      </c>
      <c r="E72" s="27" t="s">
        <v>802</v>
      </c>
      <c r="F72" s="167"/>
      <c r="G72" s="335"/>
    </row>
    <row r="73" spans="1:7" ht="36" customHeight="1" thickBot="1">
      <c r="A73" s="802"/>
      <c r="B73" s="805"/>
      <c r="C73" s="393"/>
      <c r="D73" s="85"/>
      <c r="E73" s="29"/>
      <c r="F73" s="226"/>
      <c r="G73" s="343"/>
    </row>
    <row r="74" spans="1:7" ht="36" customHeight="1" thickBot="1">
      <c r="A74" s="803"/>
      <c r="B74" s="828"/>
      <c r="C74" s="105" t="s">
        <v>805</v>
      </c>
      <c r="D74" s="106"/>
      <c r="E74" s="63"/>
      <c r="F74" s="279" t="s">
        <v>806</v>
      </c>
      <c r="G74" s="373"/>
    </row>
    <row r="75" spans="1:7" ht="98.25" customHeight="1" thickBot="1">
      <c r="A75" s="798" t="s">
        <v>0</v>
      </c>
      <c r="B75" s="799"/>
      <c r="C75" s="886"/>
      <c r="D75" s="886"/>
      <c r="E75" s="886"/>
      <c r="F75" s="886"/>
      <c r="G75" s="887"/>
    </row>
    <row r="76" spans="1:7" ht="36" customHeight="1">
      <c r="A76" s="801">
        <v>43276</v>
      </c>
      <c r="B76" s="804" t="s">
        <v>810</v>
      </c>
      <c r="C76" s="824" t="s">
        <v>814</v>
      </c>
      <c r="D76" s="413" t="s">
        <v>815</v>
      </c>
      <c r="E76" s="18">
        <v>100</v>
      </c>
      <c r="F76" s="925" t="s">
        <v>819</v>
      </c>
      <c r="G76" s="342"/>
    </row>
    <row r="77" spans="1:7" ht="36" customHeight="1">
      <c r="A77" s="802"/>
      <c r="B77" s="805"/>
      <c r="C77" s="809"/>
      <c r="D77" s="414" t="s">
        <v>816</v>
      </c>
      <c r="E77" s="27">
        <v>10</v>
      </c>
      <c r="F77" s="926"/>
      <c r="G77" s="335"/>
    </row>
    <row r="78" spans="1:7" ht="36" customHeight="1">
      <c r="A78" s="802"/>
      <c r="B78" s="805"/>
      <c r="C78" s="809"/>
      <c r="D78" s="414" t="s">
        <v>817</v>
      </c>
      <c r="E78" s="27" t="s">
        <v>818</v>
      </c>
      <c r="F78" s="926"/>
      <c r="G78" s="335"/>
    </row>
    <row r="79" spans="1:7" ht="36" customHeight="1" thickBot="1">
      <c r="A79" s="802"/>
      <c r="B79" s="805"/>
      <c r="C79" s="412" t="s">
        <v>58</v>
      </c>
      <c r="D79" s="8" t="s">
        <v>202</v>
      </c>
      <c r="E79" s="24" t="s">
        <v>59</v>
      </c>
      <c r="F79" s="207"/>
      <c r="G79" s="336"/>
    </row>
    <row r="80" spans="1:7" ht="36" customHeight="1" thickBot="1">
      <c r="A80" s="803"/>
      <c r="B80" s="828"/>
      <c r="C80" s="52" t="s">
        <v>832</v>
      </c>
      <c r="D80" s="53" t="s">
        <v>833</v>
      </c>
      <c r="E80" s="33" t="s">
        <v>834</v>
      </c>
      <c r="F80" s="262" t="s">
        <v>837</v>
      </c>
      <c r="G80" s="418"/>
    </row>
    <row r="81" spans="1:7" ht="36" customHeight="1">
      <c r="A81" s="801">
        <v>43277</v>
      </c>
      <c r="B81" s="804" t="s">
        <v>176</v>
      </c>
      <c r="C81" s="405" t="s">
        <v>808</v>
      </c>
      <c r="D81" s="407" t="s">
        <v>811</v>
      </c>
      <c r="E81" s="18">
        <v>251</v>
      </c>
      <c r="F81" s="206" t="s">
        <v>812</v>
      </c>
      <c r="G81" s="342" t="s">
        <v>839</v>
      </c>
    </row>
    <row r="82" spans="1:7" ht="36" customHeight="1">
      <c r="A82" s="802"/>
      <c r="B82" s="805"/>
      <c r="C82" s="404"/>
      <c r="D82" s="408"/>
      <c r="E82" s="27"/>
      <c r="F82" s="167"/>
      <c r="G82" s="335"/>
    </row>
    <row r="83" spans="1:7" ht="36" customHeight="1" thickBot="1">
      <c r="A83" s="802"/>
      <c r="B83" s="805"/>
      <c r="C83" s="406"/>
      <c r="D83" s="85"/>
      <c r="E83" s="29"/>
      <c r="F83" s="226"/>
      <c r="G83" s="343"/>
    </row>
    <row r="84" spans="1:7" ht="36" customHeight="1" thickBot="1">
      <c r="A84" s="802"/>
      <c r="B84" s="805"/>
      <c r="C84" s="918" t="s">
        <v>829</v>
      </c>
      <c r="D84" s="919"/>
      <c r="E84" s="920" t="s">
        <v>838</v>
      </c>
      <c r="F84" s="921"/>
      <c r="G84" s="373"/>
    </row>
    <row r="85" spans="1:7" ht="36" customHeight="1" thickBot="1">
      <c r="A85" s="803"/>
      <c r="B85" s="828"/>
      <c r="C85" s="105"/>
      <c r="D85" s="106"/>
      <c r="E85" s="63"/>
      <c r="F85" s="279"/>
      <c r="G85" s="373"/>
    </row>
    <row r="86" spans="1:7" ht="36" customHeight="1">
      <c r="A86" s="801">
        <v>43278</v>
      </c>
      <c r="B86" s="804" t="s">
        <v>175</v>
      </c>
      <c r="C86" s="833" t="s">
        <v>745</v>
      </c>
      <c r="D86" s="414" t="s">
        <v>386</v>
      </c>
      <c r="E86" s="27">
        <v>64</v>
      </c>
      <c r="F86" s="167"/>
      <c r="G86" s="342" t="s">
        <v>850</v>
      </c>
    </row>
    <row r="87" spans="1:7" ht="36" customHeight="1">
      <c r="A87" s="802"/>
      <c r="B87" s="805"/>
      <c r="C87" s="822"/>
      <c r="D87" s="414" t="s">
        <v>371</v>
      </c>
      <c r="E87" s="27">
        <v>50</v>
      </c>
      <c r="F87" s="226"/>
      <c r="G87" s="335"/>
    </row>
    <row r="88" spans="1:7" ht="36" customHeight="1">
      <c r="A88" s="802"/>
      <c r="B88" s="805"/>
      <c r="C88" s="822"/>
      <c r="D88" s="85" t="s">
        <v>841</v>
      </c>
      <c r="E88" s="29">
        <v>64</v>
      </c>
      <c r="F88" s="294">
        <v>0.65</v>
      </c>
      <c r="G88" s="343"/>
    </row>
    <row r="89" spans="1:7" ht="36" customHeight="1">
      <c r="A89" s="802"/>
      <c r="B89" s="805"/>
      <c r="C89" s="825"/>
      <c r="D89" s="85" t="s">
        <v>842</v>
      </c>
      <c r="E89" s="29">
        <v>64</v>
      </c>
      <c r="F89" s="226"/>
      <c r="G89" s="343"/>
    </row>
    <row r="90" spans="1:7" ht="36" customHeight="1">
      <c r="A90" s="802"/>
      <c r="B90" s="805"/>
      <c r="C90" s="861" t="s">
        <v>851</v>
      </c>
      <c r="D90" s="422" t="s">
        <v>740</v>
      </c>
      <c r="E90" s="27">
        <v>10</v>
      </c>
      <c r="F90" s="922" t="s">
        <v>822</v>
      </c>
      <c r="G90" s="343"/>
    </row>
    <row r="91" spans="1:7" ht="36" customHeight="1">
      <c r="A91" s="802"/>
      <c r="B91" s="805"/>
      <c r="C91" s="822"/>
      <c r="D91" s="85" t="s">
        <v>848</v>
      </c>
      <c r="E91" s="29">
        <v>10</v>
      </c>
      <c r="F91" s="923"/>
      <c r="G91" s="343"/>
    </row>
    <row r="92" spans="1:7" ht="36" customHeight="1" thickBot="1">
      <c r="A92" s="802"/>
      <c r="B92" s="805"/>
      <c r="C92" s="825"/>
      <c r="D92" s="85" t="s">
        <v>849</v>
      </c>
      <c r="E92" s="29">
        <v>7</v>
      </c>
      <c r="F92" s="924"/>
      <c r="G92" s="343"/>
    </row>
    <row r="93" spans="1:7" ht="36" customHeight="1" thickBot="1">
      <c r="A93" s="803"/>
      <c r="B93" s="828"/>
      <c r="C93" s="105"/>
      <c r="D93" s="106"/>
      <c r="E93" s="63"/>
      <c r="F93" s="279"/>
      <c r="G93" s="373"/>
    </row>
    <row r="94" spans="1:7" ht="36" customHeight="1">
      <c r="A94" s="801">
        <v>43279</v>
      </c>
      <c r="B94" s="804" t="s">
        <v>247</v>
      </c>
      <c r="C94" s="415" t="s">
        <v>96</v>
      </c>
      <c r="D94" s="417" t="s">
        <v>97</v>
      </c>
      <c r="E94" s="27" t="s">
        <v>98</v>
      </c>
      <c r="F94" s="167" t="s">
        <v>822</v>
      </c>
      <c r="G94" s="342"/>
    </row>
    <row r="95" spans="1:7" ht="36" customHeight="1">
      <c r="A95" s="802"/>
      <c r="B95" s="805"/>
      <c r="C95" s="421" t="s">
        <v>38</v>
      </c>
      <c r="D95" s="85" t="s">
        <v>384</v>
      </c>
      <c r="E95" s="29">
        <v>50</v>
      </c>
      <c r="F95" s="226" t="s">
        <v>856</v>
      </c>
      <c r="G95" s="357"/>
    </row>
    <row r="96" spans="1:7" ht="36" customHeight="1" thickBot="1">
      <c r="A96" s="802"/>
      <c r="B96" s="805"/>
      <c r="C96" s="406"/>
      <c r="D96" s="85"/>
      <c r="E96" s="29"/>
      <c r="F96" s="226"/>
      <c r="G96" s="343"/>
    </row>
    <row r="97" spans="1:7" ht="36" customHeight="1" thickBot="1">
      <c r="A97" s="803"/>
      <c r="B97" s="828"/>
      <c r="C97" s="105"/>
      <c r="D97" s="106"/>
      <c r="E97" s="63"/>
      <c r="F97" s="279"/>
      <c r="G97" s="373"/>
    </row>
    <row r="98" spans="1:7" ht="36" customHeight="1">
      <c r="A98" s="801">
        <v>43280</v>
      </c>
      <c r="B98" s="804" t="s">
        <v>248</v>
      </c>
      <c r="C98" s="833" t="s">
        <v>808</v>
      </c>
      <c r="D98" s="407" t="s">
        <v>852</v>
      </c>
      <c r="E98" s="18">
        <f>1+90</f>
        <v>91</v>
      </c>
      <c r="F98" s="206"/>
      <c r="G98" s="342"/>
    </row>
    <row r="99" spans="1:7" ht="36" customHeight="1">
      <c r="A99" s="802"/>
      <c r="B99" s="805"/>
      <c r="C99" s="825"/>
      <c r="D99" s="146" t="s">
        <v>853</v>
      </c>
      <c r="E99" s="57">
        <f>3+16+26+16+22+9</f>
        <v>92</v>
      </c>
      <c r="F99" s="356"/>
      <c r="G99" s="357"/>
    </row>
    <row r="100" spans="1:7" ht="36" customHeight="1">
      <c r="A100" s="802"/>
      <c r="B100" s="805"/>
      <c r="C100" s="419"/>
      <c r="D100" s="85"/>
      <c r="E100" s="29"/>
      <c r="F100" s="226"/>
      <c r="G100" s="357"/>
    </row>
    <row r="101" spans="1:7" ht="36" customHeight="1" thickBot="1">
      <c r="A101" s="802"/>
      <c r="B101" s="805"/>
      <c r="C101" s="406"/>
      <c r="D101" s="85"/>
      <c r="E101" s="29"/>
      <c r="F101" s="226"/>
      <c r="G101" s="343"/>
    </row>
    <row r="102" spans="1:7" ht="36" customHeight="1" thickBot="1">
      <c r="A102" s="803"/>
      <c r="B102" s="828"/>
      <c r="C102" s="105" t="s">
        <v>782</v>
      </c>
      <c r="D102" s="106" t="s">
        <v>833</v>
      </c>
      <c r="E102" s="63" t="s">
        <v>835</v>
      </c>
      <c r="F102" s="279" t="s">
        <v>836</v>
      </c>
      <c r="G102" s="373"/>
    </row>
  </sheetData>
  <mergeCells count="65">
    <mergeCell ref="C98:C99"/>
    <mergeCell ref="B86:B93"/>
    <mergeCell ref="A94:A97"/>
    <mergeCell ref="B94:B97"/>
    <mergeCell ref="C54:C55"/>
    <mergeCell ref="C71:C72"/>
    <mergeCell ref="C65:C66"/>
    <mergeCell ref="A98:A102"/>
    <mergeCell ref="B98:B102"/>
    <mergeCell ref="A75:G75"/>
    <mergeCell ref="A76:A80"/>
    <mergeCell ref="B76:B80"/>
    <mergeCell ref="A81:A85"/>
    <mergeCell ref="B81:B85"/>
    <mergeCell ref="C76:C78"/>
    <mergeCell ref="F76:F78"/>
    <mergeCell ref="C84:D84"/>
    <mergeCell ref="E84:F84"/>
    <mergeCell ref="C86:C89"/>
    <mergeCell ref="A86:A93"/>
    <mergeCell ref="A53:A56"/>
    <mergeCell ref="B53:B56"/>
    <mergeCell ref="A57:A60"/>
    <mergeCell ref="B57:B60"/>
    <mergeCell ref="A71:A74"/>
    <mergeCell ref="B71:B74"/>
    <mergeCell ref="C90:C92"/>
    <mergeCell ref="F90:F92"/>
    <mergeCell ref="A20:A24"/>
    <mergeCell ref="B20:B24"/>
    <mergeCell ref="A15:A19"/>
    <mergeCell ref="B15:B19"/>
    <mergeCell ref="C14:G14"/>
    <mergeCell ref="C16:C17"/>
    <mergeCell ref="C22:C23"/>
    <mergeCell ref="A1:G1"/>
    <mergeCell ref="A2:A9"/>
    <mergeCell ref="B2:B9"/>
    <mergeCell ref="A10:A13"/>
    <mergeCell ref="B10:B13"/>
    <mergeCell ref="C7:C8"/>
    <mergeCell ref="C10:C11"/>
    <mergeCell ref="C2:C6"/>
    <mergeCell ref="C38:G39"/>
    <mergeCell ref="A61:A64"/>
    <mergeCell ref="B61:B64"/>
    <mergeCell ref="A65:A70"/>
    <mergeCell ref="B65:B70"/>
    <mergeCell ref="A48:A51"/>
    <mergeCell ref="B48:B51"/>
    <mergeCell ref="A38:A39"/>
    <mergeCell ref="B38:B39"/>
    <mergeCell ref="A40:A47"/>
    <mergeCell ref="B40:B47"/>
    <mergeCell ref="A52:G52"/>
    <mergeCell ref="C43:C46"/>
    <mergeCell ref="C41:C42"/>
    <mergeCell ref="C48:C49"/>
    <mergeCell ref="A25:G25"/>
    <mergeCell ref="A26:A29"/>
    <mergeCell ref="B26:B29"/>
    <mergeCell ref="A30:A37"/>
    <mergeCell ref="B30:B37"/>
    <mergeCell ref="C32:C36"/>
    <mergeCell ref="C30:C31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73" fitToHeight="5" orientation="portrait" r:id="rId1"/>
  <rowBreaks count="1" manualBreakCount="1">
    <brk id="24" max="6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6"/>
  <sheetViews>
    <sheetView view="pageBreakPreview" topLeftCell="A20" zoomScale="71" zoomScaleNormal="87" zoomScaleSheetLayoutView="71" zoomScalePageLayoutView="75" workbookViewId="0">
      <selection activeCell="C31" sqref="C31:F31"/>
    </sheetView>
  </sheetViews>
  <sheetFormatPr defaultRowHeight="36" customHeight="1"/>
  <cols>
    <col min="1" max="1" width="12.5" style="1" customWidth="1"/>
    <col min="2" max="2" width="8.5" style="2" customWidth="1"/>
    <col min="3" max="3" width="20.375" style="19" customWidth="1"/>
    <col min="4" max="4" width="24.125" style="19" customWidth="1"/>
    <col min="5" max="5" width="15.375" style="3" customWidth="1"/>
    <col min="6" max="6" width="20.875" style="3" customWidth="1"/>
    <col min="7" max="7" width="19.5" style="374" customWidth="1"/>
    <col min="8" max="8" width="42.5" style="38" customWidth="1"/>
    <col min="9" max="16384" width="9" style="19"/>
  </cols>
  <sheetData>
    <row r="1" spans="1:7" s="38" customFormat="1" ht="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43283</v>
      </c>
      <c r="B2" s="804" t="s">
        <v>843</v>
      </c>
      <c r="C2" s="833" t="s">
        <v>859</v>
      </c>
      <c r="D2" s="416" t="s">
        <v>861</v>
      </c>
      <c r="E2" s="18">
        <v>50</v>
      </c>
      <c r="F2" s="938" t="s">
        <v>860</v>
      </c>
      <c r="G2" s="342"/>
    </row>
    <row r="3" spans="1:7" s="38" customFormat="1" ht="36" customHeight="1">
      <c r="A3" s="802"/>
      <c r="B3" s="805"/>
      <c r="C3" s="822"/>
      <c r="D3" s="49" t="s">
        <v>862</v>
      </c>
      <c r="E3" s="124">
        <v>50</v>
      </c>
      <c r="F3" s="939"/>
      <c r="G3" s="346"/>
    </row>
    <row r="4" spans="1:7" s="38" customFormat="1" ht="36" customHeight="1">
      <c r="A4" s="802"/>
      <c r="B4" s="805"/>
      <c r="C4" s="822"/>
      <c r="D4" s="49" t="s">
        <v>863</v>
      </c>
      <c r="E4" s="124">
        <v>50</v>
      </c>
      <c r="F4" s="939"/>
      <c r="G4" s="346"/>
    </row>
    <row r="5" spans="1:7" s="38" customFormat="1" ht="36" customHeight="1">
      <c r="A5" s="802"/>
      <c r="B5" s="805"/>
      <c r="C5" s="825"/>
      <c r="D5" s="49" t="s">
        <v>864</v>
      </c>
      <c r="E5" s="124">
        <v>50</v>
      </c>
      <c r="F5" s="937"/>
      <c r="G5" s="346"/>
    </row>
    <row r="6" spans="1:7" s="38" customFormat="1" ht="36" customHeight="1">
      <c r="A6" s="802"/>
      <c r="B6" s="805"/>
      <c r="C6" s="861" t="s">
        <v>865</v>
      </c>
      <c r="D6" s="49" t="s">
        <v>866</v>
      </c>
      <c r="E6" s="124">
        <v>60</v>
      </c>
      <c r="F6" s="423" t="s">
        <v>868</v>
      </c>
      <c r="G6" s="346"/>
    </row>
    <row r="7" spans="1:7" s="38" customFormat="1" ht="36" customHeight="1" thickBot="1">
      <c r="A7" s="802"/>
      <c r="B7" s="805"/>
      <c r="C7" s="825"/>
      <c r="D7" s="417" t="s">
        <v>867</v>
      </c>
      <c r="E7" s="27">
        <v>150</v>
      </c>
      <c r="F7" s="167" t="s">
        <v>869</v>
      </c>
      <c r="G7" s="335"/>
    </row>
    <row r="8" spans="1:7" s="38" customFormat="1" ht="36" customHeight="1" thickBot="1">
      <c r="A8" s="803"/>
      <c r="B8" s="828"/>
      <c r="C8" s="149" t="s">
        <v>323</v>
      </c>
      <c r="D8" s="150" t="s">
        <v>877</v>
      </c>
      <c r="E8" s="151" t="s">
        <v>878</v>
      </c>
      <c r="F8" s="268" t="s">
        <v>879</v>
      </c>
      <c r="G8" s="397"/>
    </row>
    <row r="9" spans="1:7" ht="36" customHeight="1">
      <c r="A9" s="801">
        <v>43284</v>
      </c>
      <c r="B9" s="804" t="s">
        <v>176</v>
      </c>
      <c r="C9" s="424" t="s">
        <v>854</v>
      </c>
      <c r="D9" s="425" t="s">
        <v>853</v>
      </c>
      <c r="E9" s="18">
        <v>256</v>
      </c>
      <c r="F9" s="206" t="s">
        <v>855</v>
      </c>
      <c r="G9" s="342"/>
    </row>
    <row r="10" spans="1:7" ht="36" customHeight="1">
      <c r="A10" s="802"/>
      <c r="B10" s="805"/>
      <c r="C10" s="861" t="s">
        <v>33</v>
      </c>
      <c r="D10" s="426" t="s">
        <v>384</v>
      </c>
      <c r="E10" s="27" t="s">
        <v>858</v>
      </c>
      <c r="F10" s="427" t="s">
        <v>857</v>
      </c>
      <c r="G10" s="335"/>
    </row>
    <row r="11" spans="1:7" ht="36" customHeight="1">
      <c r="A11" s="802"/>
      <c r="B11" s="805"/>
      <c r="C11" s="822"/>
      <c r="D11" s="426" t="s">
        <v>870</v>
      </c>
      <c r="E11" s="27">
        <v>50</v>
      </c>
      <c r="F11" s="167" t="s">
        <v>873</v>
      </c>
      <c r="G11" s="335"/>
    </row>
    <row r="12" spans="1:7" ht="36" customHeight="1">
      <c r="A12" s="802"/>
      <c r="B12" s="805"/>
      <c r="C12" s="822"/>
      <c r="D12" s="426" t="s">
        <v>871</v>
      </c>
      <c r="E12" s="27">
        <v>64</v>
      </c>
      <c r="F12" s="427"/>
      <c r="G12" s="335"/>
    </row>
    <row r="13" spans="1:7" ht="36" customHeight="1" thickBot="1">
      <c r="A13" s="802"/>
      <c r="B13" s="805"/>
      <c r="C13" s="822"/>
      <c r="D13" s="85" t="s">
        <v>872</v>
      </c>
      <c r="E13" s="29">
        <v>64</v>
      </c>
      <c r="F13" s="446"/>
      <c r="G13" s="343"/>
    </row>
    <row r="14" spans="1:7" ht="36" customHeight="1" thickBot="1">
      <c r="A14" s="803"/>
      <c r="B14" s="828"/>
      <c r="C14" s="105" t="s">
        <v>880</v>
      </c>
      <c r="D14" s="106" t="s">
        <v>881</v>
      </c>
      <c r="E14" s="63" t="s">
        <v>882</v>
      </c>
      <c r="F14" s="279" t="s">
        <v>883</v>
      </c>
      <c r="G14" s="373"/>
    </row>
    <row r="15" spans="1:7" ht="36" customHeight="1">
      <c r="A15" s="801">
        <v>43285</v>
      </c>
      <c r="B15" s="804" t="s">
        <v>175</v>
      </c>
      <c r="C15" s="428" t="s">
        <v>844</v>
      </c>
      <c r="D15" s="429" t="s">
        <v>845</v>
      </c>
      <c r="E15" s="18" t="s">
        <v>846</v>
      </c>
      <c r="F15" s="420" t="s">
        <v>847</v>
      </c>
      <c r="G15" s="342"/>
    </row>
    <row r="16" spans="1:7" ht="36" customHeight="1">
      <c r="A16" s="802"/>
      <c r="B16" s="805"/>
      <c r="C16" s="809" t="s">
        <v>884</v>
      </c>
      <c r="D16" s="430" t="s">
        <v>885</v>
      </c>
      <c r="E16" s="27">
        <v>230</v>
      </c>
      <c r="F16" s="431"/>
      <c r="G16" s="335"/>
    </row>
    <row r="17" spans="1:7" ht="36" customHeight="1">
      <c r="A17" s="802"/>
      <c r="B17" s="805"/>
      <c r="C17" s="809"/>
      <c r="D17" s="430" t="s">
        <v>888</v>
      </c>
      <c r="E17" s="27">
        <v>30</v>
      </c>
      <c r="F17" s="431"/>
      <c r="G17" s="335"/>
    </row>
    <row r="18" spans="1:7" ht="36" customHeight="1">
      <c r="A18" s="802"/>
      <c r="B18" s="805"/>
      <c r="C18" s="809"/>
      <c r="D18" s="430" t="s">
        <v>889</v>
      </c>
      <c r="E18" s="27">
        <v>20</v>
      </c>
      <c r="F18" s="431"/>
      <c r="G18" s="335"/>
    </row>
    <row r="19" spans="1:7" ht="36" customHeight="1">
      <c r="A19" s="802"/>
      <c r="B19" s="805"/>
      <c r="C19" s="809"/>
      <c r="D19" s="430" t="s">
        <v>886</v>
      </c>
      <c r="E19" s="27" t="s">
        <v>887</v>
      </c>
      <c r="F19" s="167"/>
      <c r="G19" s="335"/>
    </row>
    <row r="20" spans="1:7" ht="36" customHeight="1">
      <c r="A20" s="802"/>
      <c r="B20" s="805"/>
      <c r="C20" s="861" t="s">
        <v>890</v>
      </c>
      <c r="D20" s="430" t="s">
        <v>891</v>
      </c>
      <c r="E20" s="27" t="s">
        <v>892</v>
      </c>
      <c r="F20" s="167"/>
      <c r="G20" s="335"/>
    </row>
    <row r="21" spans="1:7" ht="36" customHeight="1" thickBot="1">
      <c r="A21" s="802"/>
      <c r="B21" s="805"/>
      <c r="C21" s="823"/>
      <c r="D21" s="8" t="s">
        <v>893</v>
      </c>
      <c r="E21" s="24">
        <v>100</v>
      </c>
      <c r="F21" s="207"/>
      <c r="G21" s="336"/>
    </row>
    <row r="22" spans="1:7" ht="36" customHeight="1">
      <c r="A22" s="801">
        <v>43286</v>
      </c>
      <c r="B22" s="804" t="s">
        <v>247</v>
      </c>
      <c r="C22" s="432" t="s">
        <v>897</v>
      </c>
      <c r="D22" s="433" t="s">
        <v>898</v>
      </c>
      <c r="E22" s="18">
        <v>200</v>
      </c>
      <c r="F22" s="439"/>
      <c r="G22" s="342"/>
    </row>
    <row r="23" spans="1:7" ht="36" customHeight="1">
      <c r="A23" s="802"/>
      <c r="B23" s="805"/>
      <c r="C23" s="861" t="s">
        <v>827</v>
      </c>
      <c r="D23" s="434" t="s">
        <v>903</v>
      </c>
      <c r="E23" s="27">
        <v>50</v>
      </c>
      <c r="F23" s="942" t="s">
        <v>899</v>
      </c>
      <c r="G23" s="335"/>
    </row>
    <row r="24" spans="1:7" ht="36" customHeight="1">
      <c r="A24" s="802"/>
      <c r="B24" s="805"/>
      <c r="C24" s="822"/>
      <c r="D24" s="434" t="s">
        <v>900</v>
      </c>
      <c r="E24" s="27">
        <v>50</v>
      </c>
      <c r="F24" s="943"/>
      <c r="G24" s="335"/>
    </row>
    <row r="25" spans="1:7" ht="36" customHeight="1">
      <c r="A25" s="802"/>
      <c r="B25" s="805"/>
      <c r="C25" s="822"/>
      <c r="D25" s="85" t="s">
        <v>901</v>
      </c>
      <c r="E25" s="29">
        <v>50</v>
      </c>
      <c r="F25" s="943"/>
      <c r="G25" s="343"/>
    </row>
    <row r="26" spans="1:7" ht="36" customHeight="1" thickBot="1">
      <c r="A26" s="802"/>
      <c r="B26" s="805"/>
      <c r="C26" s="822"/>
      <c r="D26" s="85" t="s">
        <v>902</v>
      </c>
      <c r="E26" s="29">
        <v>50</v>
      </c>
      <c r="F26" s="943"/>
      <c r="G26" s="343"/>
    </row>
    <row r="27" spans="1:7" ht="36" customHeight="1">
      <c r="A27" s="801">
        <v>43287</v>
      </c>
      <c r="B27" s="804" t="s">
        <v>248</v>
      </c>
      <c r="C27" s="833" t="s">
        <v>874</v>
      </c>
      <c r="D27" s="416" t="s">
        <v>875</v>
      </c>
      <c r="E27" s="18">
        <f>9+25+1</f>
        <v>35</v>
      </c>
      <c r="F27" s="206"/>
      <c r="G27" s="342" t="s">
        <v>839</v>
      </c>
    </row>
    <row r="28" spans="1:7" ht="36" customHeight="1">
      <c r="A28" s="802"/>
      <c r="B28" s="805"/>
      <c r="C28" s="825"/>
      <c r="D28" s="417" t="s">
        <v>876</v>
      </c>
      <c r="E28" s="27">
        <f>19+16+8+2+20+2+32+59</f>
        <v>158</v>
      </c>
      <c r="F28" s="167"/>
      <c r="G28" s="335"/>
    </row>
    <row r="29" spans="1:7" ht="36" customHeight="1">
      <c r="A29" s="802"/>
      <c r="B29" s="805"/>
      <c r="C29" s="809" t="s">
        <v>56</v>
      </c>
      <c r="D29" s="441" t="s">
        <v>351</v>
      </c>
      <c r="E29" s="27">
        <v>60</v>
      </c>
      <c r="F29" s="226"/>
      <c r="G29" s="346"/>
    </row>
    <row r="30" spans="1:7" ht="36" customHeight="1" thickBot="1">
      <c r="A30" s="802"/>
      <c r="B30" s="805"/>
      <c r="C30" s="809"/>
      <c r="D30" s="441" t="s">
        <v>514</v>
      </c>
      <c r="E30" s="27" t="s">
        <v>50</v>
      </c>
      <c r="F30" s="226"/>
      <c r="G30" s="346"/>
    </row>
    <row r="31" spans="1:7" ht="36" customHeight="1" thickBot="1">
      <c r="A31" s="803"/>
      <c r="B31" s="828"/>
      <c r="C31" s="105" t="s">
        <v>375</v>
      </c>
      <c r="D31" s="106" t="s">
        <v>376</v>
      </c>
      <c r="E31" s="63" t="s">
        <v>552</v>
      </c>
      <c r="F31" s="279" t="s">
        <v>89</v>
      </c>
      <c r="G31" s="373"/>
    </row>
    <row r="32" spans="1:7" ht="102" customHeight="1" thickBot="1">
      <c r="A32" s="798" t="s">
        <v>0</v>
      </c>
      <c r="B32" s="799"/>
      <c r="C32" s="886"/>
      <c r="D32" s="886"/>
      <c r="E32" s="886"/>
      <c r="F32" s="886"/>
      <c r="G32" s="887"/>
    </row>
    <row r="33" spans="1:7" ht="36" customHeight="1">
      <c r="A33" s="801">
        <v>43290</v>
      </c>
      <c r="B33" s="804" t="s">
        <v>894</v>
      </c>
      <c r="C33" s="833" t="s">
        <v>33</v>
      </c>
      <c r="D33" s="437" t="s">
        <v>341</v>
      </c>
      <c r="E33" s="18">
        <v>150</v>
      </c>
      <c r="F33" s="206"/>
      <c r="G33" s="342" t="s">
        <v>914</v>
      </c>
    </row>
    <row r="34" spans="1:7" ht="36" customHeight="1">
      <c r="A34" s="802"/>
      <c r="B34" s="805"/>
      <c r="C34" s="822"/>
      <c r="D34" s="49" t="s">
        <v>927</v>
      </c>
      <c r="E34" s="124">
        <v>30</v>
      </c>
      <c r="F34" s="258"/>
      <c r="G34" s="346"/>
    </row>
    <row r="35" spans="1:7" ht="36" customHeight="1">
      <c r="A35" s="802"/>
      <c r="B35" s="805"/>
      <c r="C35" s="822"/>
      <c r="D35" s="438" t="s">
        <v>904</v>
      </c>
      <c r="E35" s="27">
        <v>64</v>
      </c>
      <c r="F35" s="291">
        <v>0.75</v>
      </c>
      <c r="G35" s="346"/>
    </row>
    <row r="36" spans="1:7" ht="36" customHeight="1">
      <c r="A36" s="802"/>
      <c r="B36" s="805"/>
      <c r="C36" s="825"/>
      <c r="D36" s="438" t="s">
        <v>905</v>
      </c>
      <c r="E36" s="27" t="s">
        <v>906</v>
      </c>
      <c r="F36" s="167"/>
      <c r="G36" s="346"/>
    </row>
    <row r="37" spans="1:7" ht="36" customHeight="1">
      <c r="A37" s="802"/>
      <c r="B37" s="805"/>
      <c r="C37" s="435" t="s">
        <v>911</v>
      </c>
      <c r="D37" s="438" t="s">
        <v>912</v>
      </c>
      <c r="E37" s="27" t="s">
        <v>913</v>
      </c>
      <c r="F37" s="167"/>
      <c r="G37" s="335"/>
    </row>
    <row r="38" spans="1:7" ht="36" customHeight="1" thickBot="1">
      <c r="A38" s="802"/>
      <c r="B38" s="805"/>
      <c r="C38" s="436"/>
      <c r="D38" s="8"/>
      <c r="E38" s="24"/>
      <c r="F38" s="207"/>
      <c r="G38" s="336"/>
    </row>
    <row r="39" spans="1:7" ht="36" customHeight="1" thickBot="1">
      <c r="A39" s="803"/>
      <c r="B39" s="828"/>
      <c r="C39" s="105"/>
      <c r="D39" s="106"/>
      <c r="E39" s="63"/>
      <c r="F39" s="279"/>
      <c r="G39" s="373"/>
    </row>
    <row r="40" spans="1:7" ht="36" customHeight="1">
      <c r="A40" s="801">
        <v>43291</v>
      </c>
      <c r="B40" s="804" t="s">
        <v>176</v>
      </c>
      <c r="C40" s="442" t="s">
        <v>48</v>
      </c>
      <c r="D40" s="445" t="s">
        <v>915</v>
      </c>
      <c r="E40" s="27">
        <v>100</v>
      </c>
      <c r="F40" s="167"/>
      <c r="G40" s="342"/>
    </row>
    <row r="41" spans="1:7" ht="36" customHeight="1">
      <c r="A41" s="802"/>
      <c r="B41" s="805"/>
      <c r="C41" s="442" t="s">
        <v>916</v>
      </c>
      <c r="D41" s="445"/>
      <c r="E41" s="27" t="s">
        <v>917</v>
      </c>
      <c r="F41" s="167"/>
      <c r="G41" s="343"/>
    </row>
    <row r="42" spans="1:7" ht="36" customHeight="1" thickBot="1">
      <c r="A42" s="802"/>
      <c r="B42" s="805"/>
      <c r="C42" s="440"/>
      <c r="D42" s="8"/>
      <c r="E42" s="24"/>
      <c r="F42" s="207"/>
      <c r="G42" s="336"/>
    </row>
    <row r="43" spans="1:7" ht="36" customHeight="1" thickBot="1">
      <c r="A43" s="803"/>
      <c r="B43" s="828"/>
      <c r="C43" s="149" t="s">
        <v>918</v>
      </c>
      <c r="D43" s="150" t="s">
        <v>919</v>
      </c>
      <c r="E43" s="151" t="s">
        <v>920</v>
      </c>
      <c r="F43" s="268" t="s">
        <v>921</v>
      </c>
      <c r="G43" s="397"/>
    </row>
    <row r="44" spans="1:7" ht="36" customHeight="1">
      <c r="A44" s="801">
        <v>43292</v>
      </c>
      <c r="B44" s="804" t="s">
        <v>895</v>
      </c>
      <c r="C44" s="824" t="s">
        <v>14</v>
      </c>
      <c r="D44" s="444" t="s">
        <v>907</v>
      </c>
      <c r="E44" s="18">
        <f>70+35+12</f>
        <v>117</v>
      </c>
      <c r="F44" s="940" t="s">
        <v>910</v>
      </c>
      <c r="G44" s="342" t="s">
        <v>933</v>
      </c>
    </row>
    <row r="45" spans="1:7" ht="36" customHeight="1">
      <c r="A45" s="802"/>
      <c r="B45" s="805"/>
      <c r="C45" s="809"/>
      <c r="D45" s="445" t="s">
        <v>908</v>
      </c>
      <c r="E45" s="27">
        <v>94</v>
      </c>
      <c r="F45" s="941"/>
      <c r="G45" s="335" t="s">
        <v>934</v>
      </c>
    </row>
    <row r="46" spans="1:7" ht="36" customHeight="1">
      <c r="A46" s="802"/>
      <c r="B46" s="805"/>
      <c r="C46" s="442" t="s">
        <v>14</v>
      </c>
      <c r="D46" s="445" t="s">
        <v>25</v>
      </c>
      <c r="E46" s="27">
        <v>256</v>
      </c>
      <c r="F46" s="167" t="s">
        <v>812</v>
      </c>
      <c r="G46" s="335"/>
    </row>
    <row r="47" spans="1:7" ht="36" customHeight="1" thickBot="1">
      <c r="A47" s="802"/>
      <c r="B47" s="805"/>
      <c r="C47" s="443"/>
      <c r="D47" s="8"/>
      <c r="E47" s="24"/>
      <c r="F47" s="207"/>
      <c r="G47" s="336"/>
    </row>
    <row r="48" spans="1:7" ht="36" customHeight="1" thickBot="1">
      <c r="A48" s="803"/>
      <c r="B48" s="828"/>
      <c r="C48" s="42" t="s">
        <v>782</v>
      </c>
      <c r="D48" s="40" t="s">
        <v>27</v>
      </c>
      <c r="E48" s="36" t="s">
        <v>922</v>
      </c>
      <c r="F48" s="264" t="s">
        <v>923</v>
      </c>
      <c r="G48" s="390"/>
    </row>
    <row r="49" spans="1:7" ht="36" customHeight="1">
      <c r="A49" s="801">
        <v>43293</v>
      </c>
      <c r="B49" s="804" t="s">
        <v>247</v>
      </c>
      <c r="C49" s="824" t="s">
        <v>928</v>
      </c>
      <c r="D49" s="451" t="s">
        <v>932</v>
      </c>
      <c r="E49" s="18">
        <v>30</v>
      </c>
      <c r="F49" s="206"/>
      <c r="G49" s="342"/>
    </row>
    <row r="50" spans="1:7" ht="36" customHeight="1">
      <c r="A50" s="802"/>
      <c r="B50" s="805"/>
      <c r="C50" s="809"/>
      <c r="D50" s="452" t="s">
        <v>929</v>
      </c>
      <c r="E50" s="27">
        <v>60</v>
      </c>
      <c r="F50" s="167"/>
      <c r="G50" s="335"/>
    </row>
    <row r="51" spans="1:7" ht="36" customHeight="1">
      <c r="A51" s="802"/>
      <c r="B51" s="805"/>
      <c r="C51" s="809"/>
      <c r="D51" s="452" t="s">
        <v>930</v>
      </c>
      <c r="E51" s="27" t="s">
        <v>931</v>
      </c>
      <c r="F51" s="167"/>
      <c r="G51" s="335"/>
    </row>
    <row r="52" spans="1:7" ht="36" customHeight="1" thickBot="1">
      <c r="A52" s="802"/>
      <c r="B52" s="805"/>
      <c r="C52" s="449" t="s">
        <v>940</v>
      </c>
      <c r="D52" s="8" t="s">
        <v>941</v>
      </c>
      <c r="E52" s="24" t="s">
        <v>942</v>
      </c>
      <c r="F52" s="207"/>
      <c r="G52" s="336"/>
    </row>
    <row r="53" spans="1:7" ht="36" customHeight="1" thickBot="1">
      <c r="A53" s="803"/>
      <c r="B53" s="828"/>
      <c r="C53" s="42"/>
      <c r="D53" s="40"/>
      <c r="E53" s="36"/>
      <c r="F53" s="264"/>
      <c r="G53" s="390"/>
    </row>
    <row r="54" spans="1:7" ht="36" customHeight="1">
      <c r="A54" s="801">
        <v>43294</v>
      </c>
      <c r="B54" s="804" t="s">
        <v>248</v>
      </c>
      <c r="C54" s="833" t="s">
        <v>896</v>
      </c>
      <c r="D54" s="444" t="s">
        <v>909</v>
      </c>
      <c r="E54" s="18">
        <f>32+32+32+32+22+1+1</f>
        <v>152</v>
      </c>
      <c r="F54" s="206" t="s">
        <v>945</v>
      </c>
      <c r="G54" s="342"/>
    </row>
    <row r="55" spans="1:7" ht="36" customHeight="1">
      <c r="A55" s="802"/>
      <c r="B55" s="805"/>
      <c r="C55" s="825"/>
      <c r="D55" s="445" t="s">
        <v>25</v>
      </c>
      <c r="E55" s="27">
        <v>256</v>
      </c>
      <c r="F55" s="167" t="s">
        <v>812</v>
      </c>
      <c r="G55" s="335"/>
    </row>
    <row r="56" spans="1:7" ht="36" customHeight="1">
      <c r="A56" s="802"/>
      <c r="B56" s="805"/>
      <c r="C56" s="809" t="s">
        <v>33</v>
      </c>
      <c r="D56" s="458" t="s">
        <v>338</v>
      </c>
      <c r="E56" s="27">
        <f>128+64</f>
        <v>192</v>
      </c>
      <c r="F56" s="167" t="s">
        <v>278</v>
      </c>
      <c r="G56" s="335" t="s">
        <v>949</v>
      </c>
    </row>
    <row r="57" spans="1:7" ht="36" customHeight="1">
      <c r="A57" s="802"/>
      <c r="B57" s="805"/>
      <c r="C57" s="809"/>
      <c r="D57" s="458" t="s">
        <v>390</v>
      </c>
      <c r="E57" s="27">
        <v>64</v>
      </c>
      <c r="F57" s="167"/>
      <c r="G57" s="335"/>
    </row>
    <row r="58" spans="1:7" ht="36" customHeight="1" thickBot="1">
      <c r="A58" s="803"/>
      <c r="B58" s="828"/>
      <c r="C58" s="52" t="s">
        <v>924</v>
      </c>
      <c r="D58" s="53" t="s">
        <v>27</v>
      </c>
      <c r="E58" s="33" t="s">
        <v>925</v>
      </c>
      <c r="F58" s="262" t="s">
        <v>926</v>
      </c>
      <c r="G58" s="418"/>
    </row>
    <row r="59" spans="1:7" ht="110.25" customHeight="1" thickBot="1">
      <c r="A59" s="798" t="s">
        <v>0</v>
      </c>
      <c r="B59" s="799"/>
      <c r="C59" s="886"/>
      <c r="D59" s="886"/>
      <c r="E59" s="886"/>
      <c r="F59" s="886"/>
      <c r="G59" s="887"/>
    </row>
    <row r="60" spans="1:7" ht="36" customHeight="1">
      <c r="A60" s="801">
        <v>43297</v>
      </c>
      <c r="B60" s="804" t="s">
        <v>935</v>
      </c>
      <c r="C60" s="450"/>
      <c r="D60" s="451"/>
      <c r="E60" s="18"/>
      <c r="F60" s="206"/>
      <c r="G60" s="342"/>
    </row>
    <row r="61" spans="1:7" ht="36" customHeight="1">
      <c r="A61" s="802"/>
      <c r="B61" s="805"/>
      <c r="C61" s="448"/>
      <c r="D61" s="452"/>
      <c r="E61" s="27"/>
      <c r="F61" s="167"/>
      <c r="G61" s="335"/>
    </row>
    <row r="62" spans="1:7" ht="36" customHeight="1" thickBot="1">
      <c r="A62" s="802"/>
      <c r="B62" s="805"/>
      <c r="C62" s="449"/>
      <c r="D62" s="8"/>
      <c r="E62" s="24"/>
      <c r="F62" s="207"/>
      <c r="G62" s="336"/>
    </row>
    <row r="63" spans="1:7" ht="36" customHeight="1" thickBot="1">
      <c r="A63" s="803"/>
      <c r="B63" s="828"/>
      <c r="C63" s="42"/>
      <c r="D63" s="40"/>
      <c r="E63" s="36"/>
      <c r="F63" s="264"/>
      <c r="G63" s="390"/>
    </row>
    <row r="64" spans="1:7" ht="36" customHeight="1">
      <c r="A64" s="801">
        <v>43298</v>
      </c>
      <c r="B64" s="804" t="s">
        <v>176</v>
      </c>
      <c r="C64" s="461" t="s">
        <v>959</v>
      </c>
      <c r="D64" s="462" t="s">
        <v>960</v>
      </c>
      <c r="E64" s="18" t="s">
        <v>961</v>
      </c>
      <c r="F64" s="206"/>
      <c r="G64" s="342"/>
    </row>
    <row r="65" spans="1:7" ht="36" customHeight="1">
      <c r="A65" s="802"/>
      <c r="B65" s="805"/>
      <c r="C65" s="459"/>
      <c r="D65" s="463"/>
      <c r="E65" s="27"/>
      <c r="F65" s="167"/>
      <c r="G65" s="335"/>
    </row>
    <row r="66" spans="1:7" ht="36" customHeight="1" thickBot="1">
      <c r="A66" s="802"/>
      <c r="B66" s="805"/>
      <c r="C66" s="460"/>
      <c r="D66" s="8"/>
      <c r="E66" s="24"/>
      <c r="F66" s="207"/>
      <c r="G66" s="336"/>
    </row>
    <row r="67" spans="1:7" ht="36" customHeight="1" thickBot="1">
      <c r="A67" s="803"/>
      <c r="B67" s="828"/>
      <c r="C67" s="52"/>
      <c r="D67" s="53"/>
      <c r="E67" s="33"/>
      <c r="F67" s="262"/>
      <c r="G67" s="418"/>
    </row>
    <row r="68" spans="1:7" ht="36" customHeight="1">
      <c r="A68" s="801">
        <v>43299</v>
      </c>
      <c r="B68" s="804" t="s">
        <v>175</v>
      </c>
      <c r="C68" s="825" t="s">
        <v>936</v>
      </c>
      <c r="D68" s="49" t="s">
        <v>937</v>
      </c>
      <c r="E68" s="124">
        <v>103</v>
      </c>
      <c r="G68" s="346"/>
    </row>
    <row r="69" spans="1:7" ht="36" customHeight="1">
      <c r="A69" s="802"/>
      <c r="B69" s="805"/>
      <c r="C69" s="809"/>
      <c r="D69" s="453" t="s">
        <v>938</v>
      </c>
      <c r="E69" s="27">
        <f>32+3+55+39+3+1</f>
        <v>133</v>
      </c>
      <c r="F69" s="167"/>
      <c r="G69" s="335"/>
    </row>
    <row r="70" spans="1:7" ht="36" customHeight="1">
      <c r="A70" s="802"/>
      <c r="B70" s="805"/>
      <c r="C70" s="809" t="s">
        <v>82</v>
      </c>
      <c r="D70" s="453" t="s">
        <v>943</v>
      </c>
      <c r="E70" s="27">
        <v>200</v>
      </c>
      <c r="F70" s="167"/>
      <c r="G70" s="335"/>
    </row>
    <row r="71" spans="1:7" ht="36" customHeight="1">
      <c r="A71" s="802"/>
      <c r="B71" s="805"/>
      <c r="C71" s="809"/>
      <c r="D71" s="453" t="s">
        <v>944</v>
      </c>
      <c r="E71" s="27">
        <v>100</v>
      </c>
      <c r="F71" s="167" t="s">
        <v>958</v>
      </c>
      <c r="G71" s="335"/>
    </row>
    <row r="72" spans="1:7" ht="36" customHeight="1" thickBot="1">
      <c r="A72" s="802"/>
      <c r="B72" s="805"/>
      <c r="C72" s="464" t="s">
        <v>106</v>
      </c>
      <c r="D72" s="8" t="s">
        <v>109</v>
      </c>
      <c r="E72" s="24" t="s">
        <v>50</v>
      </c>
      <c r="F72" s="207"/>
      <c r="G72" s="336"/>
    </row>
    <row r="73" spans="1:7" ht="36" customHeight="1" thickBot="1">
      <c r="A73" s="803"/>
      <c r="B73" s="828"/>
      <c r="C73" s="52"/>
      <c r="D73" s="53"/>
      <c r="E73" s="33"/>
      <c r="F73" s="262"/>
      <c r="G73" s="418"/>
    </row>
    <row r="74" spans="1:7" ht="36" customHeight="1">
      <c r="A74" s="801">
        <v>43300</v>
      </c>
      <c r="B74" s="804" t="s">
        <v>247</v>
      </c>
      <c r="C74" s="833" t="s">
        <v>33</v>
      </c>
      <c r="D74" s="462" t="s">
        <v>950</v>
      </c>
      <c r="E74" s="18">
        <v>50</v>
      </c>
      <c r="F74" s="206" t="s">
        <v>951</v>
      </c>
      <c r="G74" s="342" t="s">
        <v>962</v>
      </c>
    </row>
    <row r="75" spans="1:7" ht="36" customHeight="1">
      <c r="A75" s="802"/>
      <c r="B75" s="805"/>
      <c r="C75" s="822"/>
      <c r="D75" s="49" t="s">
        <v>980</v>
      </c>
      <c r="E75" s="124">
        <v>50</v>
      </c>
      <c r="F75" s="258"/>
      <c r="G75" s="346"/>
    </row>
    <row r="76" spans="1:7" ht="36" customHeight="1">
      <c r="A76" s="802"/>
      <c r="B76" s="805"/>
      <c r="C76" s="822"/>
      <c r="D76" s="49" t="s">
        <v>981</v>
      </c>
      <c r="E76" s="124">
        <v>23</v>
      </c>
      <c r="F76" s="258"/>
      <c r="G76" s="346"/>
    </row>
    <row r="77" spans="1:7" ht="36" customHeight="1">
      <c r="A77" s="802"/>
      <c r="B77" s="805"/>
      <c r="C77" s="822"/>
      <c r="D77" s="49" t="s">
        <v>982</v>
      </c>
      <c r="E77" s="124">
        <v>30</v>
      </c>
      <c r="F77" s="258"/>
      <c r="G77" s="346"/>
    </row>
    <row r="78" spans="1:7" ht="36" customHeight="1">
      <c r="A78" s="802"/>
      <c r="B78" s="805"/>
      <c r="C78" s="822"/>
      <c r="D78" s="49" t="s">
        <v>952</v>
      </c>
      <c r="E78" s="124" t="s">
        <v>955</v>
      </c>
      <c r="F78" s="258"/>
      <c r="G78" s="346"/>
    </row>
    <row r="79" spans="1:7" ht="36" customHeight="1">
      <c r="A79" s="802"/>
      <c r="B79" s="805"/>
      <c r="C79" s="822"/>
      <c r="D79" s="49" t="s">
        <v>953</v>
      </c>
      <c r="E79" s="124" t="s">
        <v>956</v>
      </c>
      <c r="F79" s="258"/>
      <c r="G79" s="346"/>
    </row>
    <row r="80" spans="1:7" ht="36" customHeight="1">
      <c r="A80" s="802"/>
      <c r="B80" s="805"/>
      <c r="C80" s="825"/>
      <c r="D80" s="463" t="s">
        <v>954</v>
      </c>
      <c r="E80" s="27" t="s">
        <v>957</v>
      </c>
      <c r="F80" s="167"/>
      <c r="G80" s="335"/>
    </row>
    <row r="81" spans="1:7" ht="36" customHeight="1" thickBot="1">
      <c r="A81" s="802"/>
      <c r="B81" s="805"/>
      <c r="C81" s="447" t="s">
        <v>964</v>
      </c>
      <c r="D81" s="8" t="s">
        <v>965</v>
      </c>
      <c r="E81" s="24">
        <v>100</v>
      </c>
      <c r="F81" s="207"/>
      <c r="G81" s="336"/>
    </row>
    <row r="82" spans="1:7" ht="36" customHeight="1" thickBot="1">
      <c r="A82" s="803"/>
      <c r="B82" s="828"/>
      <c r="C82" s="52"/>
      <c r="D82" s="53"/>
      <c r="E82" s="33"/>
      <c r="F82" s="262"/>
      <c r="G82" s="418"/>
    </row>
    <row r="83" spans="1:7" ht="36" customHeight="1">
      <c r="A83" s="801">
        <v>43301</v>
      </c>
      <c r="B83" s="804" t="s">
        <v>248</v>
      </c>
      <c r="C83" s="456" t="s">
        <v>936</v>
      </c>
      <c r="D83" s="457" t="s">
        <v>939</v>
      </c>
      <c r="E83" s="18">
        <v>215</v>
      </c>
      <c r="F83" s="206"/>
      <c r="G83" s="342"/>
    </row>
    <row r="84" spans="1:7" ht="36" customHeight="1">
      <c r="A84" s="802"/>
      <c r="B84" s="805"/>
      <c r="C84" s="454"/>
      <c r="D84" s="458"/>
      <c r="E84" s="27"/>
      <c r="F84" s="167"/>
      <c r="G84" s="335"/>
    </row>
    <row r="85" spans="1:7" ht="36" customHeight="1" thickBot="1">
      <c r="A85" s="802"/>
      <c r="B85" s="805"/>
      <c r="C85" s="455"/>
      <c r="D85" s="8"/>
      <c r="E85" s="24"/>
      <c r="F85" s="207"/>
      <c r="G85" s="336"/>
    </row>
    <row r="86" spans="1:7" ht="36" customHeight="1" thickBot="1">
      <c r="A86" s="803"/>
      <c r="B86" s="828"/>
      <c r="C86" s="52"/>
      <c r="D86" s="53"/>
      <c r="E86" s="33"/>
      <c r="F86" s="262"/>
      <c r="G86" s="418"/>
    </row>
    <row r="87" spans="1:7" ht="108" customHeight="1" thickBot="1">
      <c r="A87" s="798" t="s">
        <v>0</v>
      </c>
      <c r="B87" s="799"/>
      <c r="C87" s="886"/>
      <c r="D87" s="886"/>
      <c r="E87" s="886"/>
      <c r="F87" s="886"/>
      <c r="G87" s="887"/>
    </row>
    <row r="88" spans="1:7" ht="36" customHeight="1">
      <c r="A88" s="801">
        <v>43304</v>
      </c>
      <c r="B88" s="804" t="s">
        <v>7</v>
      </c>
      <c r="C88" s="456" t="s">
        <v>827</v>
      </c>
      <c r="D88" s="457" t="s">
        <v>966</v>
      </c>
      <c r="E88" s="18">
        <v>100</v>
      </c>
      <c r="F88" s="420" t="s">
        <v>967</v>
      </c>
      <c r="G88" s="342"/>
    </row>
    <row r="89" spans="1:7" ht="36" customHeight="1">
      <c r="A89" s="802"/>
      <c r="B89" s="805"/>
      <c r="C89" s="454" t="s">
        <v>968</v>
      </c>
      <c r="D89" s="458" t="s">
        <v>969</v>
      </c>
      <c r="E89" s="27" t="s">
        <v>970</v>
      </c>
      <c r="F89" s="167" t="s">
        <v>971</v>
      </c>
      <c r="G89" s="335"/>
    </row>
    <row r="90" spans="1:7" ht="36" customHeight="1" thickBot="1">
      <c r="A90" s="802"/>
      <c r="B90" s="805"/>
      <c r="C90" s="455" t="s">
        <v>996</v>
      </c>
      <c r="D90" s="8" t="s">
        <v>997</v>
      </c>
      <c r="E90" s="24">
        <v>200</v>
      </c>
      <c r="F90" s="207"/>
      <c r="G90" s="336"/>
    </row>
    <row r="91" spans="1:7" ht="36" customHeight="1" thickBot="1">
      <c r="A91" s="803"/>
      <c r="B91" s="828"/>
      <c r="C91" s="42"/>
      <c r="D91" s="40"/>
      <c r="E91" s="36"/>
      <c r="F91" s="264"/>
      <c r="G91" s="390"/>
    </row>
    <row r="92" spans="1:7" ht="36" customHeight="1">
      <c r="A92" s="801">
        <v>43305</v>
      </c>
      <c r="B92" s="804" t="s">
        <v>176</v>
      </c>
      <c r="C92" s="833" t="s">
        <v>946</v>
      </c>
      <c r="D92" s="457" t="s">
        <v>947</v>
      </c>
      <c r="E92" s="18">
        <f>98+226+1</f>
        <v>325</v>
      </c>
      <c r="F92" s="206"/>
      <c r="G92" s="342"/>
    </row>
    <row r="93" spans="1:7" ht="36" customHeight="1">
      <c r="A93" s="802"/>
      <c r="B93" s="805"/>
      <c r="C93" s="825"/>
      <c r="D93" s="458" t="s">
        <v>948</v>
      </c>
      <c r="E93" s="27">
        <v>111</v>
      </c>
      <c r="F93" s="167"/>
      <c r="G93" s="335"/>
    </row>
    <row r="94" spans="1:7" ht="36" customHeight="1" thickBot="1">
      <c r="A94" s="802"/>
      <c r="B94" s="805"/>
      <c r="C94" s="455"/>
      <c r="D94" s="8"/>
      <c r="E94" s="24"/>
      <c r="F94" s="207"/>
      <c r="G94" s="336"/>
    </row>
    <row r="95" spans="1:7" ht="36" customHeight="1" thickBot="1">
      <c r="A95" s="803"/>
      <c r="B95" s="828"/>
      <c r="C95" s="42" t="s">
        <v>782</v>
      </c>
      <c r="D95" s="40" t="s">
        <v>27</v>
      </c>
      <c r="E95" s="36" t="s">
        <v>984</v>
      </c>
      <c r="F95" s="264" t="s">
        <v>134</v>
      </c>
      <c r="G95" s="390"/>
    </row>
    <row r="96" spans="1:7" ht="36" customHeight="1">
      <c r="A96" s="801">
        <v>43306</v>
      </c>
      <c r="B96" s="804" t="s">
        <v>175</v>
      </c>
      <c r="C96" s="824" t="s">
        <v>972</v>
      </c>
      <c r="D96" s="474" t="s">
        <v>973</v>
      </c>
      <c r="E96" s="18">
        <v>100</v>
      </c>
      <c r="F96" s="206"/>
      <c r="G96" s="342"/>
    </row>
    <row r="97" spans="1:7" ht="36" customHeight="1">
      <c r="A97" s="802"/>
      <c r="B97" s="805"/>
      <c r="C97" s="825"/>
      <c r="D97" s="49" t="s">
        <v>1006</v>
      </c>
      <c r="E97" s="124">
        <v>10</v>
      </c>
      <c r="F97" s="258"/>
      <c r="G97" s="346"/>
    </row>
    <row r="98" spans="1:7" ht="36" customHeight="1">
      <c r="A98" s="802"/>
      <c r="B98" s="805"/>
      <c r="C98" s="809"/>
      <c r="D98" s="475" t="s">
        <v>974</v>
      </c>
      <c r="E98" s="27" t="s">
        <v>975</v>
      </c>
      <c r="F98" s="167"/>
      <c r="G98" s="335"/>
    </row>
    <row r="99" spans="1:7" ht="36" customHeight="1">
      <c r="A99" s="802"/>
      <c r="B99" s="805"/>
      <c r="C99" s="809" t="s">
        <v>1000</v>
      </c>
      <c r="D99" s="475" t="s">
        <v>1001</v>
      </c>
      <c r="E99" s="27" t="s">
        <v>1002</v>
      </c>
      <c r="F99" s="936" t="s">
        <v>1011</v>
      </c>
      <c r="G99" s="335"/>
    </row>
    <row r="100" spans="1:7" ht="36" customHeight="1">
      <c r="A100" s="802"/>
      <c r="B100" s="805"/>
      <c r="C100" s="809"/>
      <c r="D100" s="475" t="s">
        <v>1003</v>
      </c>
      <c r="E100" s="27">
        <v>50</v>
      </c>
      <c r="F100" s="937"/>
      <c r="G100" s="335"/>
    </row>
    <row r="101" spans="1:7" ht="36" customHeight="1" thickBot="1">
      <c r="A101" s="802"/>
      <c r="B101" s="805"/>
      <c r="C101" s="472" t="s">
        <v>543</v>
      </c>
      <c r="D101" s="8" t="s">
        <v>1004</v>
      </c>
      <c r="E101" s="24">
        <v>100</v>
      </c>
      <c r="F101" s="207" t="s">
        <v>1005</v>
      </c>
      <c r="G101" s="336"/>
    </row>
    <row r="102" spans="1:7" ht="36" customHeight="1" thickBot="1">
      <c r="A102" s="803"/>
      <c r="B102" s="828"/>
      <c r="C102" s="52" t="s">
        <v>985</v>
      </c>
      <c r="D102" s="53" t="s">
        <v>986</v>
      </c>
      <c r="E102" s="33" t="s">
        <v>987</v>
      </c>
      <c r="F102" s="262" t="s">
        <v>988</v>
      </c>
      <c r="G102" s="418"/>
    </row>
    <row r="103" spans="1:7" ht="36" customHeight="1">
      <c r="A103" s="801">
        <v>43307</v>
      </c>
      <c r="B103" s="804" t="s">
        <v>247</v>
      </c>
      <c r="C103" s="833" t="s">
        <v>33</v>
      </c>
      <c r="D103" s="49" t="s">
        <v>963</v>
      </c>
      <c r="E103" s="124">
        <v>51</v>
      </c>
      <c r="F103" s="206"/>
      <c r="G103" s="342"/>
    </row>
    <row r="104" spans="1:7" ht="36" customHeight="1">
      <c r="A104" s="802"/>
      <c r="B104" s="805"/>
      <c r="C104" s="822"/>
      <c r="D104" s="49" t="s">
        <v>983</v>
      </c>
      <c r="E104" s="124">
        <v>64</v>
      </c>
      <c r="F104" s="258"/>
      <c r="G104" s="346"/>
    </row>
    <row r="105" spans="1:7" ht="36" customHeight="1">
      <c r="A105" s="802"/>
      <c r="B105" s="805"/>
      <c r="C105" s="476" t="s">
        <v>1007</v>
      </c>
      <c r="D105" s="479" t="s">
        <v>1008</v>
      </c>
      <c r="E105" s="27">
        <v>300</v>
      </c>
      <c r="F105" s="226"/>
      <c r="G105" s="343"/>
    </row>
    <row r="106" spans="1:7" ht="36" customHeight="1" thickBot="1">
      <c r="A106" s="802"/>
      <c r="B106" s="805"/>
      <c r="C106" s="473" t="s">
        <v>990</v>
      </c>
      <c r="D106" s="85" t="s">
        <v>991</v>
      </c>
      <c r="E106" s="29">
        <v>50</v>
      </c>
      <c r="F106" s="226"/>
      <c r="G106" s="343"/>
    </row>
    <row r="107" spans="1:7" ht="36" customHeight="1" thickBot="1">
      <c r="A107" s="803"/>
      <c r="B107" s="828"/>
      <c r="C107" s="149"/>
      <c r="D107" s="150"/>
      <c r="E107" s="151"/>
      <c r="F107" s="268"/>
      <c r="G107" s="397"/>
    </row>
    <row r="108" spans="1:7" ht="36" customHeight="1">
      <c r="A108" s="801">
        <v>43308</v>
      </c>
      <c r="B108" s="804" t="s">
        <v>248</v>
      </c>
      <c r="C108" s="833" t="s">
        <v>978</v>
      </c>
      <c r="D108" s="478" t="s">
        <v>979</v>
      </c>
      <c r="E108" s="18">
        <v>139</v>
      </c>
      <c r="F108" s="206"/>
      <c r="G108" s="342"/>
    </row>
    <row r="109" spans="1:7" ht="36" customHeight="1">
      <c r="A109" s="802"/>
      <c r="B109" s="805"/>
      <c r="C109" s="825"/>
      <c r="D109" s="49" t="s">
        <v>1010</v>
      </c>
      <c r="E109" s="124">
        <v>1</v>
      </c>
      <c r="F109" s="258"/>
      <c r="G109" s="346"/>
    </row>
    <row r="110" spans="1:7" ht="36" customHeight="1">
      <c r="A110" s="802"/>
      <c r="B110" s="805"/>
      <c r="C110" s="476" t="s">
        <v>1009</v>
      </c>
      <c r="D110" s="479" t="s">
        <v>1008</v>
      </c>
      <c r="E110" s="27">
        <v>70</v>
      </c>
      <c r="F110" s="167"/>
      <c r="G110" s="335"/>
    </row>
    <row r="111" spans="1:7" ht="36" customHeight="1">
      <c r="A111" s="802"/>
      <c r="B111" s="805"/>
      <c r="C111" s="476"/>
      <c r="D111" s="479"/>
      <c r="E111" s="27"/>
      <c r="F111" s="167"/>
      <c r="G111" s="335"/>
    </row>
    <row r="112" spans="1:7" ht="36" customHeight="1" thickBot="1">
      <c r="A112" s="802"/>
      <c r="B112" s="805"/>
      <c r="C112" s="477"/>
      <c r="D112" s="8"/>
      <c r="E112" s="24"/>
      <c r="F112" s="207"/>
      <c r="G112" s="336"/>
    </row>
    <row r="113" spans="1:7" ht="36" customHeight="1" thickBot="1">
      <c r="A113" s="803"/>
      <c r="B113" s="828"/>
      <c r="C113" s="105" t="s">
        <v>30</v>
      </c>
      <c r="D113" s="106" t="s">
        <v>259</v>
      </c>
      <c r="E113" s="63" t="s">
        <v>720</v>
      </c>
      <c r="F113" s="279" t="s">
        <v>989</v>
      </c>
      <c r="G113" s="373"/>
    </row>
    <row r="114" spans="1:7" ht="111" customHeight="1" thickBot="1">
      <c r="A114" s="798" t="s">
        <v>0</v>
      </c>
      <c r="B114" s="799"/>
      <c r="C114" s="886"/>
      <c r="D114" s="886"/>
      <c r="E114" s="886"/>
      <c r="F114" s="886"/>
      <c r="G114" s="887"/>
    </row>
    <row r="115" spans="1:7" ht="36" customHeight="1">
      <c r="A115" s="801">
        <v>43311</v>
      </c>
      <c r="B115" s="804" t="s">
        <v>976</v>
      </c>
      <c r="C115" s="470" t="s">
        <v>998</v>
      </c>
      <c r="D115" s="471"/>
      <c r="E115" s="18"/>
      <c r="F115" s="206" t="s">
        <v>999</v>
      </c>
      <c r="G115" s="342"/>
    </row>
    <row r="116" spans="1:7" ht="36" customHeight="1">
      <c r="A116" s="802"/>
      <c r="B116" s="805"/>
      <c r="C116" s="480" t="s">
        <v>1012</v>
      </c>
      <c r="D116" s="85" t="s">
        <v>1013</v>
      </c>
      <c r="E116" s="29">
        <v>72</v>
      </c>
      <c r="F116" s="226" t="s">
        <v>1026</v>
      </c>
      <c r="G116" s="335"/>
    </row>
    <row r="117" spans="1:7" ht="36" customHeight="1" thickBot="1">
      <c r="A117" s="802"/>
      <c r="B117" s="805"/>
      <c r="C117" s="466"/>
      <c r="D117" s="8"/>
      <c r="E117" s="24"/>
      <c r="F117" s="207"/>
      <c r="G117" s="336"/>
    </row>
    <row r="118" spans="1:7" ht="36" customHeight="1" thickBot="1">
      <c r="A118" s="803"/>
      <c r="B118" s="828"/>
      <c r="C118" s="105" t="s">
        <v>1021</v>
      </c>
      <c r="D118" s="106" t="s">
        <v>1022</v>
      </c>
      <c r="E118" s="63" t="s">
        <v>1023</v>
      </c>
      <c r="F118" s="279" t="s">
        <v>989</v>
      </c>
      <c r="G118" s="418"/>
    </row>
    <row r="119" spans="1:7" ht="36" customHeight="1">
      <c r="A119" s="801">
        <v>43312</v>
      </c>
      <c r="B119" s="804" t="s">
        <v>176</v>
      </c>
      <c r="C119" s="470" t="s">
        <v>995</v>
      </c>
      <c r="D119" s="471" t="s">
        <v>993</v>
      </c>
      <c r="E119" s="18">
        <f>298+4+9+4+3+8+11+16</f>
        <v>353</v>
      </c>
      <c r="F119" s="206"/>
      <c r="G119" s="342"/>
    </row>
    <row r="120" spans="1:7" ht="36" customHeight="1">
      <c r="A120" s="802"/>
      <c r="B120" s="805"/>
      <c r="C120" s="861" t="s">
        <v>1032</v>
      </c>
      <c r="D120" s="49" t="s">
        <v>1033</v>
      </c>
      <c r="E120" s="124">
        <v>25</v>
      </c>
      <c r="F120" s="258"/>
      <c r="G120" s="346"/>
    </row>
    <row r="121" spans="1:7" ht="36" customHeight="1">
      <c r="A121" s="802"/>
      <c r="B121" s="805"/>
      <c r="C121" s="825"/>
      <c r="D121" s="498" t="s">
        <v>1034</v>
      </c>
      <c r="E121" s="27">
        <v>10</v>
      </c>
      <c r="F121" s="258"/>
      <c r="G121" s="346"/>
    </row>
    <row r="122" spans="1:7" ht="36" customHeight="1">
      <c r="A122" s="802"/>
      <c r="B122" s="805"/>
      <c r="C122" s="465"/>
      <c r="D122" s="469"/>
      <c r="E122" s="27"/>
      <c r="F122" s="167"/>
      <c r="G122" s="335"/>
    </row>
    <row r="123" spans="1:7" ht="36" customHeight="1" thickBot="1">
      <c r="A123" s="802"/>
      <c r="B123" s="805"/>
      <c r="C123" s="466"/>
      <c r="D123" s="8"/>
      <c r="E123" s="24"/>
      <c r="F123" s="207"/>
      <c r="G123" s="336"/>
    </row>
    <row r="124" spans="1:7" ht="36" customHeight="1" thickBot="1">
      <c r="A124" s="803"/>
      <c r="B124" s="828"/>
      <c r="C124" s="52" t="s">
        <v>1024</v>
      </c>
      <c r="D124" s="106" t="s">
        <v>376</v>
      </c>
      <c r="E124" s="63" t="s">
        <v>552</v>
      </c>
      <c r="F124" s="279" t="s">
        <v>1025</v>
      </c>
      <c r="G124" s="418"/>
    </row>
    <row r="125" spans="1:7" ht="36" customHeight="1">
      <c r="A125" s="801">
        <v>43313</v>
      </c>
      <c r="B125" s="804" t="s">
        <v>175</v>
      </c>
      <c r="C125" s="927" t="s">
        <v>977</v>
      </c>
      <c r="D125" s="928"/>
      <c r="E125" s="928"/>
      <c r="F125" s="928"/>
      <c r="G125" s="929"/>
    </row>
    <row r="126" spans="1:7" ht="36" customHeight="1">
      <c r="A126" s="802"/>
      <c r="B126" s="805"/>
      <c r="C126" s="930"/>
      <c r="D126" s="931"/>
      <c r="E126" s="931"/>
      <c r="F126" s="931"/>
      <c r="G126" s="932"/>
    </row>
    <row r="127" spans="1:7" ht="36" customHeight="1">
      <c r="A127" s="802"/>
      <c r="B127" s="805"/>
      <c r="C127" s="930"/>
      <c r="D127" s="931"/>
      <c r="E127" s="931"/>
      <c r="F127" s="931"/>
      <c r="G127" s="932"/>
    </row>
    <row r="128" spans="1:7" ht="36" customHeight="1" thickBot="1">
      <c r="A128" s="803"/>
      <c r="B128" s="828"/>
      <c r="C128" s="930"/>
      <c r="D128" s="931"/>
      <c r="E128" s="931"/>
      <c r="F128" s="931"/>
      <c r="G128" s="932"/>
    </row>
    <row r="129" spans="1:7" ht="36" customHeight="1">
      <c r="A129" s="801">
        <v>43314</v>
      </c>
      <c r="B129" s="804" t="s">
        <v>247</v>
      </c>
      <c r="C129" s="930"/>
      <c r="D129" s="931"/>
      <c r="E129" s="931"/>
      <c r="F129" s="931"/>
      <c r="G129" s="932"/>
    </row>
    <row r="130" spans="1:7" ht="36" customHeight="1">
      <c r="A130" s="802"/>
      <c r="B130" s="805"/>
      <c r="C130" s="930"/>
      <c r="D130" s="931"/>
      <c r="E130" s="931"/>
      <c r="F130" s="931"/>
      <c r="G130" s="932"/>
    </row>
    <row r="131" spans="1:7" ht="36" customHeight="1">
      <c r="A131" s="802"/>
      <c r="B131" s="805"/>
      <c r="C131" s="930"/>
      <c r="D131" s="931"/>
      <c r="E131" s="931"/>
      <c r="F131" s="931"/>
      <c r="G131" s="932"/>
    </row>
    <row r="132" spans="1:7" ht="36" customHeight="1" thickBot="1">
      <c r="A132" s="803"/>
      <c r="B132" s="828"/>
      <c r="C132" s="930"/>
      <c r="D132" s="931"/>
      <c r="E132" s="931"/>
      <c r="F132" s="931"/>
      <c r="G132" s="932"/>
    </row>
    <row r="133" spans="1:7" ht="36" customHeight="1">
      <c r="A133" s="801">
        <v>43315</v>
      </c>
      <c r="B133" s="804" t="s">
        <v>248</v>
      </c>
      <c r="C133" s="930"/>
      <c r="D133" s="931"/>
      <c r="E133" s="931"/>
      <c r="F133" s="931"/>
      <c r="G133" s="932"/>
    </row>
    <row r="134" spans="1:7" ht="36" customHeight="1">
      <c r="A134" s="802"/>
      <c r="B134" s="805"/>
      <c r="C134" s="930"/>
      <c r="D134" s="931"/>
      <c r="E134" s="931"/>
      <c r="F134" s="931"/>
      <c r="G134" s="932"/>
    </row>
    <row r="135" spans="1:7" ht="36" customHeight="1">
      <c r="A135" s="802"/>
      <c r="B135" s="805"/>
      <c r="C135" s="930"/>
      <c r="D135" s="931"/>
      <c r="E135" s="931"/>
      <c r="F135" s="931"/>
      <c r="G135" s="932"/>
    </row>
    <row r="136" spans="1:7" ht="36" customHeight="1" thickBot="1">
      <c r="A136" s="803"/>
      <c r="B136" s="828"/>
      <c r="C136" s="933"/>
      <c r="D136" s="934"/>
      <c r="E136" s="934"/>
      <c r="F136" s="934"/>
      <c r="G136" s="935"/>
    </row>
  </sheetData>
  <mergeCells count="82">
    <mergeCell ref="C49:C51"/>
    <mergeCell ref="C54:C55"/>
    <mergeCell ref="C56:C57"/>
    <mergeCell ref="F44:F45"/>
    <mergeCell ref="B22:B26"/>
    <mergeCell ref="B27:B31"/>
    <mergeCell ref="F23:F26"/>
    <mergeCell ref="C27:C28"/>
    <mergeCell ref="A32:G32"/>
    <mergeCell ref="A27:A31"/>
    <mergeCell ref="A33:A39"/>
    <mergeCell ref="B33:B39"/>
    <mergeCell ref="A40:A43"/>
    <mergeCell ref="B40:B43"/>
    <mergeCell ref="C33:C36"/>
    <mergeCell ref="C70:C71"/>
    <mergeCell ref="C74:C80"/>
    <mergeCell ref="A59:G59"/>
    <mergeCell ref="A64:A67"/>
    <mergeCell ref="B64:B67"/>
    <mergeCell ref="A74:A82"/>
    <mergeCell ref="B74:B82"/>
    <mergeCell ref="A60:A63"/>
    <mergeCell ref="B60:B63"/>
    <mergeCell ref="C68:C69"/>
    <mergeCell ref="A68:A73"/>
    <mergeCell ref="B68:B73"/>
    <mergeCell ref="A1:G1"/>
    <mergeCell ref="A2:A8"/>
    <mergeCell ref="B2:B8"/>
    <mergeCell ref="A9:A14"/>
    <mergeCell ref="B9:B14"/>
    <mergeCell ref="C2:C5"/>
    <mergeCell ref="F2:F5"/>
    <mergeCell ref="C6:C7"/>
    <mergeCell ref="C10:C13"/>
    <mergeCell ref="A92:A95"/>
    <mergeCell ref="B92:B95"/>
    <mergeCell ref="C16:C19"/>
    <mergeCell ref="C20:C21"/>
    <mergeCell ref="C23:C26"/>
    <mergeCell ref="C29:C30"/>
    <mergeCell ref="C44:C45"/>
    <mergeCell ref="A15:A21"/>
    <mergeCell ref="B15:B21"/>
    <mergeCell ref="A22:A26"/>
    <mergeCell ref="A54:A58"/>
    <mergeCell ref="B54:B58"/>
    <mergeCell ref="A44:A48"/>
    <mergeCell ref="B44:B48"/>
    <mergeCell ref="A49:A53"/>
    <mergeCell ref="B49:B53"/>
    <mergeCell ref="A83:A86"/>
    <mergeCell ref="B83:B86"/>
    <mergeCell ref="A87:G87"/>
    <mergeCell ref="F99:F100"/>
    <mergeCell ref="A129:A132"/>
    <mergeCell ref="B129:B132"/>
    <mergeCell ref="C103:C104"/>
    <mergeCell ref="A96:A102"/>
    <mergeCell ref="B96:B102"/>
    <mergeCell ref="A103:A107"/>
    <mergeCell ref="B103:B107"/>
    <mergeCell ref="C96:C98"/>
    <mergeCell ref="C99:C100"/>
    <mergeCell ref="C92:C93"/>
    <mergeCell ref="A88:A91"/>
    <mergeCell ref="B88:B91"/>
    <mergeCell ref="A133:A136"/>
    <mergeCell ref="B133:B136"/>
    <mergeCell ref="B108:B113"/>
    <mergeCell ref="A114:G114"/>
    <mergeCell ref="A115:A118"/>
    <mergeCell ref="B115:B118"/>
    <mergeCell ref="A119:A124"/>
    <mergeCell ref="B119:B124"/>
    <mergeCell ref="A108:A113"/>
    <mergeCell ref="C120:C121"/>
    <mergeCell ref="A125:A128"/>
    <mergeCell ref="B125:B128"/>
    <mergeCell ref="C108:C109"/>
    <mergeCell ref="C125:G136"/>
  </mergeCells>
  <phoneticPr fontId="1" type="noConversion"/>
  <printOptions horizontalCentered="1" verticalCentered="1"/>
  <pageMargins left="0.35433070866141736" right="0.15748031496062992" top="0.15748031496062992" bottom="0.15748031496062992" header="0.11811023622047245" footer="0.31496062992125984"/>
  <pageSetup paperSize="9" scale="75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view="pageBreakPreview" topLeftCell="A91" zoomScale="71" zoomScaleNormal="87" zoomScaleSheetLayoutView="71" zoomScalePageLayoutView="75" workbookViewId="0">
      <selection activeCell="D101" sqref="D101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19" customWidth="1"/>
    <col min="4" max="4" width="24.125" style="19" customWidth="1"/>
    <col min="5" max="5" width="15.375" style="3" customWidth="1"/>
    <col min="6" max="6" width="25.625" style="3" customWidth="1"/>
    <col min="7" max="7" width="19.5" style="374" customWidth="1"/>
    <col min="8" max="8" width="42.5" style="38" customWidth="1"/>
    <col min="9" max="16384" width="9" style="19"/>
  </cols>
  <sheetData>
    <row r="1" spans="1:7" s="38" customFormat="1" ht="81.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43318</v>
      </c>
      <c r="B2" s="804" t="s">
        <v>7</v>
      </c>
      <c r="C2" s="501" t="s">
        <v>968</v>
      </c>
      <c r="D2" s="503" t="s">
        <v>1041</v>
      </c>
      <c r="E2" s="18" t="s">
        <v>1050</v>
      </c>
      <c r="F2" s="206"/>
      <c r="G2" s="342"/>
    </row>
    <row r="3" spans="1:7" s="38" customFormat="1" ht="36" customHeight="1">
      <c r="A3" s="802"/>
      <c r="B3" s="805"/>
      <c r="C3" s="499" t="s">
        <v>346</v>
      </c>
      <c r="D3" s="504" t="s">
        <v>20</v>
      </c>
      <c r="E3" s="27">
        <v>50</v>
      </c>
      <c r="F3" s="167"/>
      <c r="G3" s="335"/>
    </row>
    <row r="4" spans="1:7" s="38" customFormat="1" ht="36" customHeight="1">
      <c r="A4" s="802"/>
      <c r="B4" s="805"/>
      <c r="C4" s="809" t="s">
        <v>66</v>
      </c>
      <c r="D4" s="504" t="s">
        <v>362</v>
      </c>
      <c r="E4" s="27">
        <v>100</v>
      </c>
      <c r="F4" s="509" t="s">
        <v>1040</v>
      </c>
      <c r="G4" s="335"/>
    </row>
    <row r="5" spans="1:7" s="38" customFormat="1" ht="36" customHeight="1">
      <c r="A5" s="802"/>
      <c r="B5" s="805"/>
      <c r="C5" s="809"/>
      <c r="D5" s="504" t="s">
        <v>68</v>
      </c>
      <c r="E5" s="27" t="s">
        <v>69</v>
      </c>
      <c r="F5" s="167"/>
      <c r="G5" s="335"/>
    </row>
    <row r="6" spans="1:7" s="38" customFormat="1" ht="36" customHeight="1">
      <c r="A6" s="802"/>
      <c r="B6" s="805"/>
      <c r="C6" s="499" t="s">
        <v>1045</v>
      </c>
      <c r="D6" s="504" t="s">
        <v>1046</v>
      </c>
      <c r="E6" s="27" t="s">
        <v>1047</v>
      </c>
      <c r="F6" s="167"/>
      <c r="G6" s="335"/>
    </row>
    <row r="7" spans="1:7" s="38" customFormat="1" ht="36" customHeight="1" thickBot="1">
      <c r="A7" s="802"/>
      <c r="B7" s="805"/>
      <c r="C7" s="500" t="s">
        <v>1043</v>
      </c>
      <c r="D7" s="8" t="s">
        <v>369</v>
      </c>
      <c r="E7" s="24" t="s">
        <v>59</v>
      </c>
      <c r="F7" s="207"/>
      <c r="G7" s="336"/>
    </row>
    <row r="8" spans="1:7" ht="36" customHeight="1">
      <c r="A8" s="801">
        <v>43319</v>
      </c>
      <c r="B8" s="804" t="s">
        <v>176</v>
      </c>
      <c r="C8" s="833" t="s">
        <v>992</v>
      </c>
      <c r="D8" s="503" t="s">
        <v>993</v>
      </c>
      <c r="E8" s="18">
        <f>4+30+291+12+11</f>
        <v>348</v>
      </c>
      <c r="F8" s="206" t="s">
        <v>1042</v>
      </c>
      <c r="G8" s="342" t="s">
        <v>1054</v>
      </c>
    </row>
    <row r="9" spans="1:7" ht="36" customHeight="1">
      <c r="A9" s="802"/>
      <c r="B9" s="805"/>
      <c r="C9" s="825"/>
      <c r="D9" s="146" t="s">
        <v>1053</v>
      </c>
      <c r="E9" s="57">
        <v>3</v>
      </c>
      <c r="F9" s="356"/>
      <c r="G9" s="357"/>
    </row>
    <row r="10" spans="1:7" ht="36" customHeight="1" thickBot="1">
      <c r="A10" s="802"/>
      <c r="B10" s="805"/>
      <c r="C10" s="502" t="s">
        <v>1044</v>
      </c>
      <c r="D10" s="85" t="s">
        <v>1048</v>
      </c>
      <c r="E10" s="29">
        <v>100</v>
      </c>
      <c r="F10" s="226"/>
      <c r="G10" s="343"/>
    </row>
    <row r="11" spans="1:7" ht="36" customHeight="1" thickBot="1">
      <c r="A11" s="803"/>
      <c r="B11" s="828"/>
      <c r="C11" s="105" t="s">
        <v>30</v>
      </c>
      <c r="D11" s="106" t="s">
        <v>1036</v>
      </c>
      <c r="E11" s="63" t="s">
        <v>720</v>
      </c>
      <c r="F11" s="279" t="s">
        <v>989</v>
      </c>
      <c r="G11" s="373"/>
    </row>
    <row r="12" spans="1:7" ht="36" customHeight="1">
      <c r="A12" s="801">
        <v>43320</v>
      </c>
      <c r="B12" s="804" t="s">
        <v>175</v>
      </c>
      <c r="C12" s="467" t="s">
        <v>992</v>
      </c>
      <c r="D12" s="468" t="s">
        <v>993</v>
      </c>
      <c r="E12" s="18">
        <v>386</v>
      </c>
      <c r="F12" s="206" t="s">
        <v>994</v>
      </c>
      <c r="G12" s="342"/>
    </row>
    <row r="13" spans="1:7" ht="36" customHeight="1" thickBot="1">
      <c r="A13" s="802"/>
      <c r="B13" s="805"/>
      <c r="C13" s="505"/>
      <c r="D13" s="8"/>
      <c r="E13" s="24"/>
      <c r="F13" s="207"/>
      <c r="G13" s="336"/>
    </row>
    <row r="14" spans="1:7" ht="36" customHeight="1">
      <c r="A14" s="801">
        <v>43321</v>
      </c>
      <c r="B14" s="804" t="s">
        <v>247</v>
      </c>
      <c r="C14" s="824" t="s">
        <v>14</v>
      </c>
      <c r="D14" s="512" t="s">
        <v>1014</v>
      </c>
      <c r="E14" s="18">
        <f>192+54+25+11+3</f>
        <v>285</v>
      </c>
      <c r="F14" s="206"/>
      <c r="G14" s="342"/>
    </row>
    <row r="15" spans="1:7" ht="36" customHeight="1">
      <c r="A15" s="802"/>
      <c r="B15" s="805"/>
      <c r="C15" s="809"/>
      <c r="D15" s="513" t="s">
        <v>1015</v>
      </c>
      <c r="E15" s="27">
        <v>1</v>
      </c>
      <c r="F15" s="167"/>
      <c r="G15" s="335"/>
    </row>
    <row r="16" spans="1:7" ht="36" customHeight="1">
      <c r="A16" s="802"/>
      <c r="B16" s="805"/>
      <c r="C16" s="809" t="s">
        <v>33</v>
      </c>
      <c r="D16" s="513" t="s">
        <v>263</v>
      </c>
      <c r="E16" s="27">
        <v>64</v>
      </c>
      <c r="F16" s="167" t="s">
        <v>1028</v>
      </c>
      <c r="G16" s="335"/>
    </row>
    <row r="17" spans="1:7" ht="36" customHeight="1">
      <c r="A17" s="802"/>
      <c r="B17" s="805"/>
      <c r="C17" s="809"/>
      <c r="D17" s="513" t="s">
        <v>1035</v>
      </c>
      <c r="E17" s="27">
        <v>50</v>
      </c>
      <c r="F17" s="167"/>
      <c r="G17" s="335"/>
    </row>
    <row r="18" spans="1:7" ht="36" customHeight="1">
      <c r="A18" s="802"/>
      <c r="B18" s="805"/>
      <c r="C18" s="809"/>
      <c r="D18" s="513" t="s">
        <v>19</v>
      </c>
      <c r="E18" s="27">
        <v>100</v>
      </c>
      <c r="F18" s="167" t="s">
        <v>1063</v>
      </c>
      <c r="G18" s="335"/>
    </row>
    <row r="19" spans="1:7" ht="36" customHeight="1">
      <c r="A19" s="802"/>
      <c r="B19" s="805"/>
      <c r="C19" s="809"/>
      <c r="D19" s="513" t="s">
        <v>1029</v>
      </c>
      <c r="E19" s="27">
        <v>64</v>
      </c>
      <c r="F19" s="514">
        <v>0.75</v>
      </c>
      <c r="G19" s="335"/>
    </row>
    <row r="20" spans="1:7" ht="36" customHeight="1">
      <c r="A20" s="802"/>
      <c r="B20" s="805"/>
      <c r="C20" s="809"/>
      <c r="D20" s="513" t="s">
        <v>1030</v>
      </c>
      <c r="E20" s="27" t="s">
        <v>1031</v>
      </c>
      <c r="F20" s="167"/>
      <c r="G20" s="335"/>
    </row>
    <row r="21" spans="1:7" ht="36" customHeight="1">
      <c r="A21" s="802"/>
      <c r="B21" s="805"/>
      <c r="C21" s="809"/>
      <c r="D21" s="513" t="s">
        <v>1062</v>
      </c>
      <c r="E21" s="27">
        <v>50</v>
      </c>
      <c r="F21" s="509" t="s">
        <v>1061</v>
      </c>
      <c r="G21" s="335"/>
    </row>
    <row r="22" spans="1:7" ht="36" customHeight="1">
      <c r="A22" s="802"/>
      <c r="B22" s="805"/>
      <c r="C22" s="510" t="s">
        <v>58</v>
      </c>
      <c r="D22" s="513" t="s">
        <v>418</v>
      </c>
      <c r="E22" s="27" t="s">
        <v>161</v>
      </c>
      <c r="F22" s="167"/>
      <c r="G22" s="335"/>
    </row>
    <row r="23" spans="1:7" ht="36" customHeight="1">
      <c r="A23" s="802"/>
      <c r="B23" s="805"/>
      <c r="C23" s="510" t="s">
        <v>357</v>
      </c>
      <c r="D23" s="513" t="s">
        <v>358</v>
      </c>
      <c r="E23" s="27">
        <v>30</v>
      </c>
      <c r="F23" s="167"/>
      <c r="G23" s="335"/>
    </row>
    <row r="24" spans="1:7" ht="36" customHeight="1" thickBot="1">
      <c r="A24" s="802"/>
      <c r="B24" s="805"/>
      <c r="C24" s="511" t="s">
        <v>1051</v>
      </c>
      <c r="D24" s="8" t="s">
        <v>1055</v>
      </c>
      <c r="E24" s="24" t="s">
        <v>1052</v>
      </c>
      <c r="F24" s="207"/>
      <c r="G24" s="336"/>
    </row>
    <row r="25" spans="1:7" ht="36" customHeight="1">
      <c r="A25" s="801">
        <v>43322</v>
      </c>
      <c r="B25" s="804" t="s">
        <v>248</v>
      </c>
      <c r="C25" s="833" t="s">
        <v>884</v>
      </c>
      <c r="D25" s="481" t="s">
        <v>19</v>
      </c>
      <c r="E25" s="18">
        <v>180</v>
      </c>
      <c r="F25" s="206"/>
      <c r="G25" s="342" t="s">
        <v>1068</v>
      </c>
    </row>
    <row r="26" spans="1:7" ht="36" customHeight="1">
      <c r="A26" s="802"/>
      <c r="B26" s="805"/>
      <c r="C26" s="822"/>
      <c r="D26" s="85" t="s">
        <v>20</v>
      </c>
      <c r="E26" s="29">
        <v>20</v>
      </c>
      <c r="F26" s="167"/>
      <c r="G26" s="427"/>
    </row>
    <row r="27" spans="1:7" ht="36" customHeight="1">
      <c r="A27" s="802"/>
      <c r="B27" s="805"/>
      <c r="C27" s="825"/>
      <c r="D27" s="85" t="s">
        <v>369</v>
      </c>
      <c r="E27" s="29" t="s">
        <v>147</v>
      </c>
      <c r="F27" s="167"/>
      <c r="G27" s="427"/>
    </row>
    <row r="28" spans="1:7" ht="36" customHeight="1">
      <c r="A28" s="802"/>
      <c r="B28" s="805"/>
      <c r="C28" s="516" t="s">
        <v>1069</v>
      </c>
      <c r="D28" s="85" t="s">
        <v>1070</v>
      </c>
      <c r="E28" s="29">
        <v>200</v>
      </c>
      <c r="F28" s="226"/>
      <c r="G28" s="343"/>
    </row>
    <row r="29" spans="1:7" ht="36" customHeight="1" thickBot="1">
      <c r="A29" s="802"/>
      <c r="B29" s="805"/>
      <c r="C29" s="477" t="s">
        <v>1066</v>
      </c>
      <c r="D29" s="8" t="s">
        <v>1070</v>
      </c>
      <c r="E29" s="24">
        <v>50</v>
      </c>
      <c r="F29" s="207"/>
      <c r="G29" s="336"/>
    </row>
    <row r="30" spans="1:7" ht="36" customHeight="1" thickBot="1">
      <c r="A30" s="803"/>
      <c r="B30" s="828"/>
      <c r="C30" s="52" t="s">
        <v>1037</v>
      </c>
      <c r="D30" s="106" t="s">
        <v>1038</v>
      </c>
      <c r="E30" s="63" t="s">
        <v>1039</v>
      </c>
      <c r="F30" s="279" t="s">
        <v>989</v>
      </c>
      <c r="G30" s="418"/>
    </row>
    <row r="31" spans="1:7" ht="95.25" customHeight="1" thickBot="1">
      <c r="A31" s="798" t="s">
        <v>0</v>
      </c>
      <c r="B31" s="799"/>
      <c r="C31" s="886"/>
      <c r="D31" s="886"/>
      <c r="E31" s="886"/>
      <c r="F31" s="886"/>
      <c r="G31" s="887"/>
    </row>
    <row r="32" spans="1:7" ht="36" customHeight="1">
      <c r="A32" s="801">
        <v>43325</v>
      </c>
      <c r="B32" s="804" t="s">
        <v>7</v>
      </c>
      <c r="C32" s="824" t="s">
        <v>48</v>
      </c>
      <c r="D32" s="521" t="s">
        <v>1049</v>
      </c>
      <c r="E32" s="18">
        <v>100</v>
      </c>
      <c r="F32" s="206"/>
      <c r="G32" s="342" t="s">
        <v>1071</v>
      </c>
    </row>
    <row r="33" spans="1:7" ht="36" customHeight="1">
      <c r="A33" s="802"/>
      <c r="B33" s="805"/>
      <c r="C33" s="809"/>
      <c r="D33" s="522" t="s">
        <v>1074</v>
      </c>
      <c r="E33" s="27">
        <v>10</v>
      </c>
      <c r="F33" s="167"/>
      <c r="G33" s="335"/>
    </row>
    <row r="34" spans="1:7" ht="36" customHeight="1">
      <c r="A34" s="802"/>
      <c r="B34" s="805"/>
      <c r="C34" s="809"/>
      <c r="D34" s="522" t="s">
        <v>369</v>
      </c>
      <c r="E34" s="27" t="s">
        <v>50</v>
      </c>
      <c r="F34" s="167"/>
      <c r="G34" s="335"/>
    </row>
    <row r="35" spans="1:7" ht="36" customHeight="1">
      <c r="A35" s="802"/>
      <c r="B35" s="805"/>
      <c r="C35" s="520" t="s">
        <v>1056</v>
      </c>
      <c r="D35" s="522" t="s">
        <v>1057</v>
      </c>
      <c r="E35" s="27">
        <v>100</v>
      </c>
      <c r="F35" s="167" t="s">
        <v>1073</v>
      </c>
      <c r="G35" s="335"/>
    </row>
    <row r="36" spans="1:7" ht="36" customHeight="1">
      <c r="A36" s="802"/>
      <c r="B36" s="805"/>
      <c r="C36" s="520" t="s">
        <v>111</v>
      </c>
      <c r="D36" s="522" t="s">
        <v>263</v>
      </c>
      <c r="E36" s="27">
        <v>100</v>
      </c>
      <c r="F36" s="167" t="s">
        <v>1076</v>
      </c>
      <c r="G36" s="335"/>
    </row>
    <row r="37" spans="1:7" ht="36" customHeight="1">
      <c r="A37" s="802"/>
      <c r="B37" s="805"/>
      <c r="C37" s="861" t="s">
        <v>33</v>
      </c>
      <c r="D37" s="49" t="s">
        <v>19</v>
      </c>
      <c r="E37" s="124">
        <v>20</v>
      </c>
      <c r="F37" s="922" t="s">
        <v>1079</v>
      </c>
      <c r="G37" s="343"/>
    </row>
    <row r="38" spans="1:7" ht="36" customHeight="1" thickBot="1">
      <c r="A38" s="802"/>
      <c r="B38" s="805"/>
      <c r="C38" s="822"/>
      <c r="D38" s="85" t="s">
        <v>1075</v>
      </c>
      <c r="E38" s="29">
        <v>20</v>
      </c>
      <c r="F38" s="923"/>
      <c r="G38" s="343"/>
    </row>
    <row r="39" spans="1:7" ht="36" customHeight="1" thickBot="1">
      <c r="A39" s="803"/>
      <c r="B39" s="828"/>
      <c r="C39" s="105"/>
      <c r="D39" s="106"/>
      <c r="E39" s="63"/>
      <c r="F39" s="279"/>
      <c r="G39" s="373"/>
    </row>
    <row r="40" spans="1:7" ht="36" customHeight="1">
      <c r="A40" s="801">
        <v>43326</v>
      </c>
      <c r="B40" s="804" t="s">
        <v>176</v>
      </c>
      <c r="C40" s="833" t="s">
        <v>1017</v>
      </c>
      <c r="D40" s="518" t="s">
        <v>1067</v>
      </c>
      <c r="E40" s="18">
        <v>256</v>
      </c>
      <c r="F40" s="206"/>
      <c r="G40" s="342"/>
    </row>
    <row r="41" spans="1:7" ht="36" customHeight="1">
      <c r="A41" s="802"/>
      <c r="B41" s="805"/>
      <c r="C41" s="825"/>
      <c r="D41" s="49" t="s">
        <v>1078</v>
      </c>
      <c r="E41" s="124">
        <f>166+7</f>
        <v>173</v>
      </c>
      <c r="F41" s="258"/>
      <c r="G41" s="346"/>
    </row>
    <row r="42" spans="1:7" ht="36" customHeight="1">
      <c r="A42" s="802"/>
      <c r="B42" s="805"/>
      <c r="C42" s="517"/>
      <c r="D42" s="85"/>
      <c r="E42" s="29"/>
      <c r="F42" s="226"/>
      <c r="G42" s="343"/>
    </row>
    <row r="43" spans="1:7" ht="36" customHeight="1" thickBot="1">
      <c r="A43" s="802"/>
      <c r="B43" s="805"/>
      <c r="C43" s="515"/>
      <c r="D43" s="8"/>
      <c r="E43" s="24"/>
      <c r="F43" s="207"/>
      <c r="G43" s="336"/>
    </row>
    <row r="44" spans="1:7" ht="36" customHeight="1" thickBot="1">
      <c r="A44" s="803"/>
      <c r="B44" s="828"/>
      <c r="C44" s="52"/>
      <c r="D44" s="53"/>
      <c r="E44" s="33"/>
      <c r="F44" s="262"/>
      <c r="G44" s="418"/>
    </row>
    <row r="45" spans="1:7" ht="36" customHeight="1">
      <c r="A45" s="801">
        <v>43327</v>
      </c>
      <c r="B45" s="804" t="s">
        <v>175</v>
      </c>
      <c r="C45" s="944" t="s">
        <v>1016</v>
      </c>
      <c r="D45" s="945"/>
      <c r="E45" s="945"/>
      <c r="F45" s="945"/>
      <c r="G45" s="946"/>
    </row>
    <row r="46" spans="1:7" ht="36" customHeight="1">
      <c r="A46" s="802"/>
      <c r="B46" s="805"/>
      <c r="C46" s="947"/>
      <c r="D46" s="948"/>
      <c r="E46" s="948"/>
      <c r="F46" s="948"/>
      <c r="G46" s="949"/>
    </row>
    <row r="47" spans="1:7" ht="33.75" customHeight="1" thickBot="1">
      <c r="A47" s="802"/>
      <c r="B47" s="805"/>
      <c r="C47" s="947"/>
      <c r="D47" s="948"/>
      <c r="E47" s="948"/>
      <c r="F47" s="948"/>
      <c r="G47" s="949"/>
    </row>
    <row r="48" spans="1:7" ht="36" hidden="1" customHeight="1" thickBot="1">
      <c r="A48" s="803"/>
      <c r="B48" s="828"/>
      <c r="C48" s="950"/>
      <c r="D48" s="951"/>
      <c r="E48" s="951"/>
      <c r="F48" s="951"/>
      <c r="G48" s="952"/>
    </row>
    <row r="49" spans="1:7" ht="36" customHeight="1">
      <c r="A49" s="801">
        <v>43328</v>
      </c>
      <c r="B49" s="844" t="s">
        <v>247</v>
      </c>
      <c r="C49" s="521" t="s">
        <v>1084</v>
      </c>
      <c r="D49" s="519" t="s">
        <v>1085</v>
      </c>
      <c r="E49" s="18">
        <v>150</v>
      </c>
      <c r="F49" s="206" t="s">
        <v>1086</v>
      </c>
      <c r="G49" s="342"/>
    </row>
    <row r="50" spans="1:7" ht="36" customHeight="1">
      <c r="A50" s="802"/>
      <c r="B50" s="857"/>
      <c r="C50" s="809" t="s">
        <v>111</v>
      </c>
      <c r="D50" s="528" t="s">
        <v>57</v>
      </c>
      <c r="E50" s="27">
        <v>150</v>
      </c>
      <c r="F50" s="167" t="s">
        <v>1072</v>
      </c>
      <c r="G50" s="346"/>
    </row>
    <row r="51" spans="1:7" ht="36" customHeight="1">
      <c r="A51" s="802"/>
      <c r="B51" s="857"/>
      <c r="C51" s="809"/>
      <c r="D51" s="528" t="s">
        <v>263</v>
      </c>
      <c r="E51" s="27">
        <v>60</v>
      </c>
      <c r="F51" s="167" t="s">
        <v>609</v>
      </c>
      <c r="G51" s="335"/>
    </row>
    <row r="52" spans="1:7" ht="36" customHeight="1" thickBot="1">
      <c r="A52" s="802"/>
      <c r="B52" s="857"/>
      <c r="C52" s="809"/>
      <c r="D52" s="528" t="s">
        <v>1064</v>
      </c>
      <c r="E52" s="27">
        <v>50</v>
      </c>
      <c r="F52" s="167" t="s">
        <v>1065</v>
      </c>
      <c r="G52" s="336"/>
    </row>
    <row r="53" spans="1:7" ht="36" customHeight="1" thickBot="1">
      <c r="A53" s="803"/>
      <c r="B53" s="806"/>
      <c r="C53" s="149"/>
      <c r="D53" s="150"/>
      <c r="E53" s="151"/>
      <c r="F53" s="268"/>
      <c r="G53" s="397"/>
    </row>
    <row r="54" spans="1:7" ht="36" customHeight="1">
      <c r="A54" s="801">
        <v>43329</v>
      </c>
      <c r="B54" s="804" t="s">
        <v>248</v>
      </c>
      <c r="C54" s="525" t="s">
        <v>1017</v>
      </c>
      <c r="D54" s="526" t="s">
        <v>26</v>
      </c>
      <c r="E54" s="18">
        <f>142+178+181+2+6</f>
        <v>509</v>
      </c>
      <c r="F54" s="206"/>
      <c r="G54" s="342"/>
    </row>
    <row r="55" spans="1:7" ht="36" customHeight="1" thickBot="1">
      <c r="A55" s="802"/>
      <c r="B55" s="805"/>
      <c r="C55" s="524"/>
      <c r="D55" s="8"/>
      <c r="E55" s="24"/>
      <c r="F55" s="207"/>
      <c r="G55" s="336"/>
    </row>
    <row r="56" spans="1:7" ht="36" customHeight="1" thickBot="1">
      <c r="A56" s="803"/>
      <c r="B56" s="828"/>
      <c r="C56" s="52"/>
      <c r="D56" s="53"/>
      <c r="E56" s="33"/>
      <c r="F56" s="262"/>
      <c r="G56" s="418"/>
    </row>
    <row r="57" spans="1:7" ht="99" customHeight="1" thickBot="1">
      <c r="A57" s="798" t="s">
        <v>0</v>
      </c>
      <c r="B57" s="799"/>
      <c r="C57" s="886"/>
      <c r="D57" s="886"/>
      <c r="E57" s="886"/>
      <c r="F57" s="886"/>
      <c r="G57" s="887"/>
    </row>
    <row r="58" spans="1:7" ht="36" customHeight="1">
      <c r="A58" s="801">
        <v>43332</v>
      </c>
      <c r="B58" s="844" t="s">
        <v>1058</v>
      </c>
      <c r="C58" s="533" t="s">
        <v>1087</v>
      </c>
      <c r="D58" s="507" t="s">
        <v>1088</v>
      </c>
      <c r="E58" s="18">
        <v>100</v>
      </c>
      <c r="F58" s="206" t="s">
        <v>1089</v>
      </c>
      <c r="G58" s="342"/>
    </row>
    <row r="59" spans="1:7" ht="36" customHeight="1">
      <c r="A59" s="802"/>
      <c r="B59" s="857"/>
      <c r="C59" s="861" t="s">
        <v>1090</v>
      </c>
      <c r="D59" s="508" t="s">
        <v>1091</v>
      </c>
      <c r="E59" s="27">
        <v>10</v>
      </c>
      <c r="F59" s="226" t="s">
        <v>1100</v>
      </c>
      <c r="G59" s="335"/>
    </row>
    <row r="60" spans="1:7" ht="36" customHeight="1">
      <c r="A60" s="802"/>
      <c r="B60" s="857"/>
      <c r="C60" s="825"/>
      <c r="D60" s="85" t="s">
        <v>1092</v>
      </c>
      <c r="E60" s="29">
        <v>50</v>
      </c>
      <c r="F60" s="258" t="s">
        <v>1101</v>
      </c>
      <c r="G60" s="343"/>
    </row>
    <row r="61" spans="1:7" ht="36" customHeight="1" thickBot="1">
      <c r="A61" s="802"/>
      <c r="B61" s="857"/>
      <c r="C61" s="505"/>
      <c r="D61" s="8"/>
      <c r="E61" s="24"/>
      <c r="F61" s="207"/>
      <c r="G61" s="336"/>
    </row>
    <row r="62" spans="1:7" ht="36" customHeight="1" thickBot="1">
      <c r="A62" s="803"/>
      <c r="B62" s="806"/>
      <c r="C62" s="105"/>
      <c r="D62" s="106"/>
      <c r="E62" s="63"/>
      <c r="F62" s="279"/>
      <c r="G62" s="373"/>
    </row>
    <row r="63" spans="1:7" ht="36" customHeight="1">
      <c r="A63" s="801">
        <v>43333</v>
      </c>
      <c r="B63" s="844" t="s">
        <v>176</v>
      </c>
      <c r="C63" s="506" t="s">
        <v>1059</v>
      </c>
      <c r="D63" s="507" t="s">
        <v>1060</v>
      </c>
      <c r="E63" s="18">
        <v>434</v>
      </c>
      <c r="F63" s="206"/>
      <c r="G63" s="342"/>
    </row>
    <row r="64" spans="1:7" ht="36" customHeight="1" thickBot="1">
      <c r="A64" s="802"/>
      <c r="B64" s="857"/>
      <c r="C64" s="505"/>
      <c r="D64" s="8"/>
      <c r="E64" s="24"/>
      <c r="F64" s="207"/>
      <c r="G64" s="336"/>
    </row>
    <row r="65" spans="1:7" ht="36" customHeight="1" thickBot="1">
      <c r="A65" s="803"/>
      <c r="B65" s="806"/>
      <c r="C65" s="149"/>
      <c r="D65" s="150"/>
      <c r="E65" s="151"/>
      <c r="F65" s="268"/>
      <c r="G65" s="397"/>
    </row>
    <row r="66" spans="1:7" ht="36" customHeight="1">
      <c r="A66" s="801">
        <v>43334</v>
      </c>
      <c r="B66" s="804" t="s">
        <v>175</v>
      </c>
      <c r="C66" s="534" t="s">
        <v>1103</v>
      </c>
      <c r="D66" s="535" t="s">
        <v>828</v>
      </c>
      <c r="E66" s="18">
        <v>50</v>
      </c>
      <c r="F66" s="206"/>
      <c r="G66" s="342"/>
    </row>
    <row r="67" spans="1:7" ht="36" customHeight="1">
      <c r="A67" s="802"/>
      <c r="B67" s="805"/>
      <c r="C67" s="861" t="s">
        <v>33</v>
      </c>
      <c r="D67" s="536" t="s">
        <v>1080</v>
      </c>
      <c r="E67" s="27">
        <v>50</v>
      </c>
      <c r="F67" s="167" t="s">
        <v>1099</v>
      </c>
      <c r="G67" s="335"/>
    </row>
    <row r="68" spans="1:7" ht="36" customHeight="1">
      <c r="A68" s="802"/>
      <c r="B68" s="805"/>
      <c r="C68" s="822"/>
      <c r="D68" s="536" t="s">
        <v>1082</v>
      </c>
      <c r="E68" s="27">
        <v>50</v>
      </c>
      <c r="F68" s="167"/>
      <c r="G68" s="335"/>
    </row>
    <row r="69" spans="1:7" ht="36" customHeight="1">
      <c r="A69" s="802"/>
      <c r="B69" s="805"/>
      <c r="C69" s="822"/>
      <c r="D69" s="536" t="s">
        <v>341</v>
      </c>
      <c r="E69" s="27">
        <v>150</v>
      </c>
      <c r="F69" s="537"/>
      <c r="G69" s="335"/>
    </row>
    <row r="70" spans="1:7" ht="36" customHeight="1" thickBot="1">
      <c r="A70" s="802"/>
      <c r="B70" s="805"/>
      <c r="C70" s="822"/>
      <c r="D70" s="85" t="s">
        <v>386</v>
      </c>
      <c r="E70" s="29">
        <v>64</v>
      </c>
      <c r="F70" s="226"/>
      <c r="G70" s="343"/>
    </row>
    <row r="71" spans="1:7" ht="36" customHeight="1" thickBot="1">
      <c r="A71" s="803"/>
      <c r="B71" s="806"/>
      <c r="C71" s="105"/>
      <c r="D71" s="106"/>
      <c r="E71" s="63"/>
      <c r="F71" s="279"/>
      <c r="G71" s="373"/>
    </row>
    <row r="72" spans="1:7" ht="36" customHeight="1">
      <c r="A72" s="802">
        <v>43335</v>
      </c>
      <c r="B72" s="857" t="s">
        <v>1104</v>
      </c>
      <c r="C72" s="833" t="s">
        <v>827</v>
      </c>
      <c r="D72" s="508" t="s">
        <v>1118</v>
      </c>
      <c r="E72" s="27">
        <v>200</v>
      </c>
      <c r="F72" s="167" t="s">
        <v>1117</v>
      </c>
      <c r="G72" s="335" t="s">
        <v>1126</v>
      </c>
    </row>
    <row r="73" spans="1:7" ht="36" customHeight="1">
      <c r="A73" s="802"/>
      <c r="B73" s="857"/>
      <c r="C73" s="825"/>
      <c r="D73" s="85" t="s">
        <v>1120</v>
      </c>
      <c r="E73" s="29" t="s">
        <v>1119</v>
      </c>
      <c r="F73" s="226" t="s">
        <v>1121</v>
      </c>
      <c r="G73" s="343"/>
    </row>
    <row r="74" spans="1:7" ht="36" customHeight="1" thickBot="1">
      <c r="A74" s="802"/>
      <c r="B74" s="857"/>
      <c r="C74" s="505" t="s">
        <v>1115</v>
      </c>
      <c r="D74" s="8" t="s">
        <v>1116</v>
      </c>
      <c r="E74" s="24">
        <v>100</v>
      </c>
      <c r="F74" s="207"/>
      <c r="G74" s="336"/>
    </row>
    <row r="75" spans="1:7" ht="36" customHeight="1" thickBot="1">
      <c r="A75" s="803"/>
      <c r="B75" s="806"/>
      <c r="C75" s="105"/>
      <c r="D75" s="106"/>
      <c r="E75" s="63"/>
      <c r="F75" s="279"/>
      <c r="G75" s="373"/>
    </row>
    <row r="76" spans="1:7" ht="36" customHeight="1">
      <c r="A76" s="801">
        <v>43336</v>
      </c>
      <c r="B76" s="844" t="s">
        <v>248</v>
      </c>
      <c r="C76" s="506" t="s">
        <v>1059</v>
      </c>
      <c r="D76" s="507" t="s">
        <v>1060</v>
      </c>
      <c r="E76" s="18">
        <v>518</v>
      </c>
      <c r="F76" s="206"/>
      <c r="G76" s="342"/>
    </row>
    <row r="77" spans="1:7" ht="36" customHeight="1" thickBot="1">
      <c r="A77" s="802"/>
      <c r="B77" s="857"/>
      <c r="C77" s="505"/>
      <c r="D77" s="8"/>
      <c r="E77" s="24"/>
      <c r="F77" s="207"/>
      <c r="G77" s="336"/>
    </row>
    <row r="78" spans="1:7" ht="36" customHeight="1" thickBot="1">
      <c r="A78" s="803"/>
      <c r="B78" s="806"/>
      <c r="C78" s="105"/>
      <c r="D78" s="106"/>
      <c r="E78" s="63"/>
      <c r="F78" s="279"/>
      <c r="G78" s="373"/>
    </row>
    <row r="79" spans="1:7" ht="109.5" customHeight="1" thickBot="1">
      <c r="A79" s="798" t="s">
        <v>0</v>
      </c>
      <c r="B79" s="799"/>
      <c r="C79" s="886"/>
      <c r="D79" s="886"/>
      <c r="E79" s="886"/>
      <c r="F79" s="886"/>
      <c r="G79" s="887"/>
    </row>
    <row r="80" spans="1:7" ht="36" customHeight="1">
      <c r="A80" s="801">
        <v>43339</v>
      </c>
      <c r="B80" s="804" t="s">
        <v>1093</v>
      </c>
      <c r="C80" s="543"/>
      <c r="D80" s="544"/>
      <c r="E80" s="18"/>
      <c r="F80" s="206"/>
      <c r="G80" s="342"/>
    </row>
    <row r="81" spans="1:7" ht="36" customHeight="1">
      <c r="A81" s="802"/>
      <c r="B81" s="805"/>
      <c r="C81" s="809" t="s">
        <v>33</v>
      </c>
      <c r="D81" s="545" t="s">
        <v>390</v>
      </c>
      <c r="E81" s="27">
        <v>64</v>
      </c>
      <c r="F81" s="167" t="s">
        <v>1114</v>
      </c>
      <c r="G81" s="335"/>
    </row>
    <row r="82" spans="1:7" ht="36" customHeight="1">
      <c r="A82" s="802"/>
      <c r="B82" s="805"/>
      <c r="C82" s="809"/>
      <c r="D82" s="545" t="s">
        <v>1083</v>
      </c>
      <c r="E82" s="27">
        <v>128</v>
      </c>
      <c r="F82" s="167" t="s">
        <v>1113</v>
      </c>
      <c r="G82" s="335"/>
    </row>
    <row r="83" spans="1:7" ht="36" customHeight="1">
      <c r="A83" s="802"/>
      <c r="B83" s="805"/>
      <c r="C83" s="809"/>
      <c r="D83" s="545" t="s">
        <v>1081</v>
      </c>
      <c r="E83" s="27">
        <v>64</v>
      </c>
      <c r="F83" s="167" t="s">
        <v>1113</v>
      </c>
      <c r="G83" s="335"/>
    </row>
    <row r="84" spans="1:7" ht="36" customHeight="1">
      <c r="A84" s="802"/>
      <c r="B84" s="805"/>
      <c r="C84" s="809"/>
      <c r="D84" s="545" t="s">
        <v>384</v>
      </c>
      <c r="E84" s="27">
        <v>50</v>
      </c>
      <c r="F84" s="167" t="s">
        <v>1105</v>
      </c>
      <c r="G84" s="335"/>
    </row>
    <row r="85" spans="1:7" ht="36" customHeight="1">
      <c r="A85" s="802"/>
      <c r="B85" s="805"/>
      <c r="C85" s="809"/>
      <c r="D85" s="545" t="s">
        <v>1123</v>
      </c>
      <c r="E85" s="27">
        <v>46</v>
      </c>
      <c r="F85" s="167" t="s">
        <v>1122</v>
      </c>
      <c r="G85" s="335"/>
    </row>
    <row r="86" spans="1:7" ht="36" customHeight="1" thickBot="1">
      <c r="A86" s="802"/>
      <c r="B86" s="805"/>
      <c r="C86" s="542"/>
      <c r="D86" s="8"/>
      <c r="E86" s="24"/>
      <c r="F86" s="207"/>
      <c r="G86" s="336"/>
    </row>
    <row r="87" spans="1:7" ht="36" customHeight="1" thickBot="1">
      <c r="A87" s="803"/>
      <c r="B87" s="806"/>
      <c r="C87" s="52" t="s">
        <v>326</v>
      </c>
      <c r="D87" s="53" t="s">
        <v>259</v>
      </c>
      <c r="E87" s="33" t="s">
        <v>1102</v>
      </c>
      <c r="F87" s="262" t="s">
        <v>134</v>
      </c>
      <c r="G87" s="390"/>
    </row>
    <row r="88" spans="1:7" ht="36" customHeight="1">
      <c r="A88" s="801">
        <v>43340</v>
      </c>
      <c r="B88" s="804" t="s">
        <v>176</v>
      </c>
      <c r="C88" s="833" t="s">
        <v>48</v>
      </c>
      <c r="D88" s="544" t="s">
        <v>395</v>
      </c>
      <c r="E88" s="18">
        <v>100</v>
      </c>
      <c r="F88" s="206"/>
      <c r="G88" s="342"/>
    </row>
    <row r="89" spans="1:7" ht="36" customHeight="1">
      <c r="A89" s="802"/>
      <c r="B89" s="805"/>
      <c r="C89" s="825"/>
      <c r="D89" s="545" t="s">
        <v>369</v>
      </c>
      <c r="E89" s="27" t="s">
        <v>50</v>
      </c>
      <c r="F89" s="258"/>
      <c r="G89" s="346"/>
    </row>
    <row r="90" spans="1:7" ht="36" customHeight="1">
      <c r="A90" s="802"/>
      <c r="B90" s="805"/>
      <c r="C90" s="809" t="s">
        <v>33</v>
      </c>
      <c r="D90" s="541" t="s">
        <v>1094</v>
      </c>
      <c r="E90" s="27">
        <v>50</v>
      </c>
      <c r="F90" s="167" t="s">
        <v>1095</v>
      </c>
      <c r="G90" s="335" t="s">
        <v>1124</v>
      </c>
    </row>
    <row r="91" spans="1:7" ht="36" customHeight="1">
      <c r="A91" s="802"/>
      <c r="B91" s="805"/>
      <c r="C91" s="809"/>
      <c r="D91" s="541" t="s">
        <v>341</v>
      </c>
      <c r="E91" s="27">
        <v>150</v>
      </c>
      <c r="F91" s="167" t="s">
        <v>1113</v>
      </c>
      <c r="G91" s="335"/>
    </row>
    <row r="92" spans="1:7" ht="36" customHeight="1">
      <c r="A92" s="802"/>
      <c r="B92" s="805"/>
      <c r="C92" s="809"/>
      <c r="D92" s="541" t="s">
        <v>1081</v>
      </c>
      <c r="E92" s="27">
        <v>64</v>
      </c>
      <c r="F92" s="167" t="s">
        <v>1113</v>
      </c>
      <c r="G92" s="335"/>
    </row>
    <row r="93" spans="1:7" ht="36" customHeight="1">
      <c r="A93" s="802"/>
      <c r="B93" s="805"/>
      <c r="C93" s="809"/>
      <c r="D93" s="541" t="s">
        <v>384</v>
      </c>
      <c r="E93" s="27">
        <v>50</v>
      </c>
      <c r="F93" s="167" t="s">
        <v>1105</v>
      </c>
      <c r="G93" s="335"/>
    </row>
    <row r="94" spans="1:7" ht="36" customHeight="1" thickBot="1">
      <c r="A94" s="802"/>
      <c r="B94" s="805"/>
      <c r="C94" s="861"/>
      <c r="D94" s="85" t="s">
        <v>371</v>
      </c>
      <c r="E94" s="29">
        <v>50</v>
      </c>
      <c r="F94" s="226" t="s">
        <v>1105</v>
      </c>
      <c r="G94" s="343"/>
    </row>
    <row r="95" spans="1:7" ht="36" customHeight="1" thickBot="1">
      <c r="A95" s="803"/>
      <c r="B95" s="806"/>
      <c r="C95" s="105"/>
      <c r="D95" s="106"/>
      <c r="E95" s="63"/>
      <c r="F95" s="279"/>
      <c r="G95" s="373"/>
    </row>
    <row r="96" spans="1:7" ht="36" customHeight="1">
      <c r="A96" s="801">
        <v>43341</v>
      </c>
      <c r="B96" s="844" t="s">
        <v>1125</v>
      </c>
      <c r="C96" s="833" t="s">
        <v>1141</v>
      </c>
      <c r="D96" s="49" t="s">
        <v>1146</v>
      </c>
      <c r="E96" s="124">
        <v>50</v>
      </c>
      <c r="F96" s="258" t="s">
        <v>1143</v>
      </c>
      <c r="G96" s="346"/>
    </row>
    <row r="97" spans="1:7" ht="36" customHeight="1">
      <c r="A97" s="802"/>
      <c r="B97" s="857"/>
      <c r="C97" s="825"/>
      <c r="D97" s="548" t="s">
        <v>1142</v>
      </c>
      <c r="E97" s="27">
        <v>64</v>
      </c>
      <c r="F97" s="167"/>
      <c r="G97" s="335"/>
    </row>
    <row r="98" spans="1:7" ht="36" customHeight="1">
      <c r="A98" s="802"/>
      <c r="B98" s="857"/>
      <c r="C98" s="547" t="s">
        <v>1144</v>
      </c>
      <c r="D98" s="85" t="s">
        <v>1145</v>
      </c>
      <c r="E98" s="29">
        <v>100</v>
      </c>
      <c r="F98" s="226" t="s">
        <v>1148</v>
      </c>
      <c r="G98" s="343"/>
    </row>
    <row r="99" spans="1:7" ht="36" customHeight="1" thickBot="1">
      <c r="A99" s="802"/>
      <c r="B99" s="857"/>
      <c r="C99" s="546"/>
      <c r="D99" s="8"/>
      <c r="E99" s="24"/>
      <c r="F99" s="207"/>
      <c r="G99" s="336"/>
    </row>
    <row r="100" spans="1:7" ht="36" customHeight="1" thickBot="1">
      <c r="A100" s="803"/>
      <c r="B100" s="806"/>
      <c r="C100" s="308"/>
      <c r="D100" s="106"/>
      <c r="E100" s="63"/>
      <c r="F100" s="63"/>
      <c r="G100" s="373"/>
    </row>
    <row r="101" spans="1:7" ht="36" customHeight="1">
      <c r="A101" s="801">
        <v>43342</v>
      </c>
      <c r="B101" s="844" t="s">
        <v>247</v>
      </c>
      <c r="C101" s="540" t="s">
        <v>1129</v>
      </c>
      <c r="D101" s="49"/>
      <c r="E101" s="124">
        <v>108</v>
      </c>
      <c r="F101" s="258"/>
      <c r="G101" s="346" t="s">
        <v>1112</v>
      </c>
    </row>
    <row r="102" spans="1:7" ht="36" customHeight="1">
      <c r="A102" s="802"/>
      <c r="B102" s="857"/>
      <c r="C102" s="529" t="s">
        <v>1140</v>
      </c>
      <c r="D102" s="532" t="s">
        <v>1139</v>
      </c>
      <c r="E102" s="27">
        <v>50</v>
      </c>
      <c r="F102" s="167" t="s">
        <v>1154</v>
      </c>
      <c r="G102" s="335" t="s">
        <v>1147</v>
      </c>
    </row>
    <row r="103" spans="1:7" ht="36" customHeight="1" thickBot="1">
      <c r="A103" s="802"/>
      <c r="B103" s="857"/>
      <c r="C103" s="530"/>
      <c r="D103" s="8"/>
      <c r="E103" s="24"/>
      <c r="F103" s="207"/>
      <c r="G103" s="336"/>
    </row>
    <row r="104" spans="1:7" ht="36" customHeight="1" thickBot="1">
      <c r="A104" s="803"/>
      <c r="B104" s="806"/>
      <c r="C104" s="105"/>
      <c r="D104" s="106"/>
      <c r="E104" s="63"/>
      <c r="F104" s="279"/>
      <c r="G104" s="373"/>
    </row>
    <row r="105" spans="1:7" ht="36" customHeight="1">
      <c r="A105" s="801">
        <v>43343</v>
      </c>
      <c r="B105" s="844" t="s">
        <v>248</v>
      </c>
      <c r="C105" s="833" t="s">
        <v>1096</v>
      </c>
      <c r="D105" s="531" t="s">
        <v>1097</v>
      </c>
      <c r="E105" s="18">
        <f>268+33+23</f>
        <v>324</v>
      </c>
      <c r="F105" s="206"/>
      <c r="G105" s="342"/>
    </row>
    <row r="106" spans="1:7" ht="36" customHeight="1">
      <c r="A106" s="802"/>
      <c r="B106" s="857"/>
      <c r="C106" s="825"/>
      <c r="D106" s="532" t="s">
        <v>1098</v>
      </c>
      <c r="E106" s="27">
        <f>2+146</f>
        <v>148</v>
      </c>
      <c r="F106" s="167"/>
      <c r="G106" s="335"/>
    </row>
    <row r="107" spans="1:7" ht="36" customHeight="1" thickBot="1">
      <c r="A107" s="802"/>
      <c r="B107" s="857"/>
      <c r="C107" s="530"/>
      <c r="D107" s="8"/>
      <c r="E107" s="24"/>
      <c r="F107" s="207"/>
      <c r="G107" s="336"/>
    </row>
    <row r="108" spans="1:7" ht="36" customHeight="1" thickBot="1">
      <c r="A108" s="803"/>
      <c r="B108" s="806"/>
      <c r="C108" s="105" t="s">
        <v>1127</v>
      </c>
      <c r="D108" s="106" t="s">
        <v>259</v>
      </c>
      <c r="E108" s="63" t="s">
        <v>1128</v>
      </c>
      <c r="F108" s="279" t="s">
        <v>89</v>
      </c>
      <c r="G108" s="373"/>
    </row>
  </sheetData>
  <mergeCells count="63">
    <mergeCell ref="B96:B100"/>
    <mergeCell ref="A96:A100"/>
    <mergeCell ref="C105:C106"/>
    <mergeCell ref="A101:A104"/>
    <mergeCell ref="B101:B104"/>
    <mergeCell ref="A105:A108"/>
    <mergeCell ref="B105:B108"/>
    <mergeCell ref="C96:C97"/>
    <mergeCell ref="A79:G79"/>
    <mergeCell ref="A80:A87"/>
    <mergeCell ref="B80:B87"/>
    <mergeCell ref="A88:A95"/>
    <mergeCell ref="B88:B95"/>
    <mergeCell ref="C90:C94"/>
    <mergeCell ref="C88:C89"/>
    <mergeCell ref="C81:C85"/>
    <mergeCell ref="C25:C27"/>
    <mergeCell ref="A40:A44"/>
    <mergeCell ref="B40:B44"/>
    <mergeCell ref="C45:G48"/>
    <mergeCell ref="A45:A48"/>
    <mergeCell ref="B45:B48"/>
    <mergeCell ref="C32:C34"/>
    <mergeCell ref="C37:C38"/>
    <mergeCell ref="F37:F38"/>
    <mergeCell ref="B54:B56"/>
    <mergeCell ref="A31:G31"/>
    <mergeCell ref="A32:A39"/>
    <mergeCell ref="B32:B39"/>
    <mergeCell ref="A72:A75"/>
    <mergeCell ref="B72:B75"/>
    <mergeCell ref="C59:C60"/>
    <mergeCell ref="C50:C52"/>
    <mergeCell ref="A57:G57"/>
    <mergeCell ref="A49:A53"/>
    <mergeCell ref="B49:B53"/>
    <mergeCell ref="A54:A56"/>
    <mergeCell ref="C67:C70"/>
    <mergeCell ref="C72:C73"/>
    <mergeCell ref="A76:A78"/>
    <mergeCell ref="B76:B78"/>
    <mergeCell ref="A58:A62"/>
    <mergeCell ref="B58:B62"/>
    <mergeCell ref="A63:A65"/>
    <mergeCell ref="B63:B65"/>
    <mergeCell ref="A66:A71"/>
    <mergeCell ref="B66:B71"/>
    <mergeCell ref="C8:C9"/>
    <mergeCell ref="C16:C21"/>
    <mergeCell ref="C40:C41"/>
    <mergeCell ref="A1:G1"/>
    <mergeCell ref="A2:A7"/>
    <mergeCell ref="B2:B7"/>
    <mergeCell ref="A12:A13"/>
    <mergeCell ref="B12:B13"/>
    <mergeCell ref="C4:C5"/>
    <mergeCell ref="A8:A11"/>
    <mergeCell ref="B8:B11"/>
    <mergeCell ref="A14:A24"/>
    <mergeCell ref="B14:B24"/>
    <mergeCell ref="C14:C15"/>
    <mergeCell ref="A25:A30"/>
    <mergeCell ref="B25:B30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0" fitToHeight="5" orientation="portrait" r:id="rId1"/>
  <rowBreaks count="1" manualBreakCount="1">
    <brk id="56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view="pageBreakPreview" topLeftCell="A26" zoomScale="71" zoomScaleNormal="87" zoomScaleSheetLayoutView="71" zoomScalePageLayoutView="75" workbookViewId="0">
      <selection activeCell="C43" sqref="C43:C45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19" customWidth="1"/>
    <col min="4" max="4" width="24.125" style="19" customWidth="1"/>
    <col min="5" max="5" width="15.375" style="3" customWidth="1"/>
    <col min="6" max="6" width="25.625" style="3" customWidth="1"/>
    <col min="7" max="7" width="21.375" style="374" customWidth="1"/>
    <col min="8" max="8" width="42.5" style="38" customWidth="1"/>
    <col min="9" max="16384" width="9" style="19"/>
  </cols>
  <sheetData>
    <row r="1" spans="1:7" s="38" customFormat="1" ht="117.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43346</v>
      </c>
      <c r="B2" s="804" t="s">
        <v>1106</v>
      </c>
      <c r="C2" s="833" t="s">
        <v>1131</v>
      </c>
      <c r="D2" s="538" t="s">
        <v>1132</v>
      </c>
      <c r="E2" s="18">
        <v>250</v>
      </c>
      <c r="F2" s="206" t="s">
        <v>1136</v>
      </c>
      <c r="G2" s="342"/>
    </row>
    <row r="3" spans="1:7" s="38" customFormat="1" ht="36" customHeight="1">
      <c r="A3" s="802"/>
      <c r="B3" s="805"/>
      <c r="C3" s="822"/>
      <c r="D3" s="49" t="s">
        <v>1133</v>
      </c>
      <c r="E3" s="124">
        <v>30</v>
      </c>
      <c r="F3" s="258" t="s">
        <v>1153</v>
      </c>
      <c r="G3" s="346"/>
    </row>
    <row r="4" spans="1:7" s="38" customFormat="1" ht="36" customHeight="1">
      <c r="A4" s="802"/>
      <c r="B4" s="805"/>
      <c r="C4" s="825"/>
      <c r="D4" s="49" t="s">
        <v>1134</v>
      </c>
      <c r="E4" s="124" t="s">
        <v>1135</v>
      </c>
      <c r="F4" s="258"/>
      <c r="G4" s="346"/>
    </row>
    <row r="5" spans="1:7" s="38" customFormat="1" ht="36" customHeight="1">
      <c r="A5" s="802"/>
      <c r="B5" s="805"/>
      <c r="C5" s="861" t="s">
        <v>1109</v>
      </c>
      <c r="D5" s="539" t="s">
        <v>1110</v>
      </c>
      <c r="E5" s="27" t="s">
        <v>1111</v>
      </c>
      <c r="F5" s="167"/>
      <c r="G5" s="335"/>
    </row>
    <row r="6" spans="1:7" s="38" customFormat="1" ht="36" customHeight="1" thickBot="1">
      <c r="A6" s="802"/>
      <c r="B6" s="805"/>
      <c r="C6" s="823"/>
      <c r="D6" s="8" t="s">
        <v>1151</v>
      </c>
      <c r="E6" s="24" t="s">
        <v>1152</v>
      </c>
      <c r="F6" s="207"/>
      <c r="G6" s="336"/>
    </row>
    <row r="7" spans="1:7" s="38" customFormat="1" ht="36" customHeight="1" thickBot="1">
      <c r="A7" s="803"/>
      <c r="B7" s="828"/>
      <c r="C7" s="149" t="s">
        <v>375</v>
      </c>
      <c r="D7" s="150" t="s">
        <v>376</v>
      </c>
      <c r="E7" s="151" t="s">
        <v>552</v>
      </c>
      <c r="F7" s="268" t="s">
        <v>1159</v>
      </c>
      <c r="G7" s="390"/>
    </row>
    <row r="8" spans="1:7" ht="36" customHeight="1">
      <c r="A8" s="801">
        <v>43347</v>
      </c>
      <c r="B8" s="804" t="s">
        <v>176</v>
      </c>
      <c r="C8" s="550" t="s">
        <v>1107</v>
      </c>
      <c r="D8" s="551" t="s">
        <v>1108</v>
      </c>
      <c r="E8" s="18">
        <v>566</v>
      </c>
      <c r="F8" s="206"/>
      <c r="G8" s="342"/>
    </row>
    <row r="9" spans="1:7" ht="36" customHeight="1" thickBot="1">
      <c r="A9" s="802"/>
      <c r="B9" s="805"/>
      <c r="C9" s="549"/>
      <c r="D9" s="8"/>
      <c r="E9" s="24"/>
      <c r="F9" s="207"/>
      <c r="G9" s="336"/>
    </row>
    <row r="10" spans="1:7" ht="36" customHeight="1" thickBot="1">
      <c r="A10" s="803"/>
      <c r="B10" s="828"/>
      <c r="C10" s="42"/>
      <c r="D10" s="40"/>
      <c r="E10" s="36"/>
      <c r="F10" s="264"/>
      <c r="G10" s="390"/>
    </row>
    <row r="11" spans="1:7" ht="36" customHeight="1">
      <c r="A11" s="801">
        <v>43348</v>
      </c>
      <c r="B11" s="804" t="s">
        <v>175</v>
      </c>
      <c r="C11" s="824" t="s">
        <v>1130</v>
      </c>
      <c r="D11" s="555" t="s">
        <v>395</v>
      </c>
      <c r="E11" s="18">
        <v>100</v>
      </c>
      <c r="F11" s="206"/>
      <c r="G11" s="342"/>
    </row>
    <row r="12" spans="1:7" ht="36" customHeight="1">
      <c r="A12" s="802"/>
      <c r="B12" s="805"/>
      <c r="C12" s="809"/>
      <c r="D12" s="556" t="s">
        <v>1158</v>
      </c>
      <c r="E12" s="27" t="s">
        <v>50</v>
      </c>
      <c r="F12" s="167"/>
      <c r="G12" s="335"/>
    </row>
    <row r="13" spans="1:7" ht="36" customHeight="1">
      <c r="A13" s="802"/>
      <c r="B13" s="805"/>
      <c r="C13" s="552" t="s">
        <v>1137</v>
      </c>
      <c r="D13" s="556" t="s">
        <v>1138</v>
      </c>
      <c r="E13" s="27">
        <v>10</v>
      </c>
      <c r="F13" s="167" t="s">
        <v>1160</v>
      </c>
      <c r="G13" s="335"/>
    </row>
    <row r="14" spans="1:7" ht="36" customHeight="1" thickBot="1">
      <c r="A14" s="802"/>
      <c r="B14" s="805"/>
      <c r="C14" s="553" t="s">
        <v>1155</v>
      </c>
      <c r="D14" s="8" t="s">
        <v>1156</v>
      </c>
      <c r="E14" s="24">
        <v>50</v>
      </c>
      <c r="F14" s="207"/>
      <c r="G14" s="336"/>
    </row>
    <row r="15" spans="1:7" ht="36" customHeight="1" thickBot="1">
      <c r="A15" s="803"/>
      <c r="B15" s="828"/>
      <c r="C15" s="42"/>
      <c r="D15" s="40"/>
      <c r="E15" s="36"/>
      <c r="F15" s="264"/>
      <c r="G15" s="390"/>
    </row>
    <row r="16" spans="1:7" ht="36" customHeight="1">
      <c r="A16" s="801">
        <v>43349</v>
      </c>
      <c r="B16" s="804" t="s">
        <v>247</v>
      </c>
      <c r="C16" s="554" t="s">
        <v>1157</v>
      </c>
      <c r="D16" s="555" t="s">
        <v>788</v>
      </c>
      <c r="E16" s="18">
        <f>31+38+39+4+51+39+11</f>
        <v>213</v>
      </c>
      <c r="F16" s="206"/>
      <c r="G16" s="342"/>
    </row>
    <row r="17" spans="1:7" ht="36" customHeight="1">
      <c r="A17" s="802"/>
      <c r="B17" s="805"/>
      <c r="C17" s="809" t="s">
        <v>66</v>
      </c>
      <c r="D17" s="556" t="s">
        <v>362</v>
      </c>
      <c r="E17" s="27">
        <v>100</v>
      </c>
      <c r="F17" s="167"/>
      <c r="G17" s="335"/>
    </row>
    <row r="18" spans="1:7" ht="36" customHeight="1">
      <c r="A18" s="802"/>
      <c r="B18" s="805"/>
      <c r="C18" s="809"/>
      <c r="D18" s="556" t="s">
        <v>68</v>
      </c>
      <c r="E18" s="27" t="s">
        <v>1175</v>
      </c>
      <c r="F18" s="167"/>
      <c r="G18" s="335"/>
    </row>
    <row r="19" spans="1:7" ht="36" customHeight="1">
      <c r="A19" s="802"/>
      <c r="B19" s="805"/>
      <c r="C19" s="561" t="s">
        <v>1149</v>
      </c>
      <c r="D19" s="556" t="s">
        <v>1150</v>
      </c>
      <c r="E19" s="27" t="s">
        <v>55</v>
      </c>
      <c r="F19" s="167" t="s">
        <v>1174</v>
      </c>
      <c r="G19" s="335"/>
    </row>
    <row r="20" spans="1:7" ht="36" customHeight="1" thickBot="1">
      <c r="A20" s="802"/>
      <c r="B20" s="805"/>
      <c r="C20" s="553"/>
      <c r="D20" s="8"/>
      <c r="E20" s="24"/>
      <c r="F20" s="207"/>
      <c r="G20" s="336"/>
    </row>
    <row r="21" spans="1:7" ht="36" customHeight="1" thickBot="1">
      <c r="A21" s="803"/>
      <c r="B21" s="828"/>
      <c r="C21" s="570"/>
      <c r="D21" s="40"/>
      <c r="E21" s="36"/>
      <c r="F21" s="36"/>
      <c r="G21" s="390"/>
    </row>
    <row r="22" spans="1:7" ht="36" customHeight="1">
      <c r="A22" s="802">
        <v>43350</v>
      </c>
      <c r="B22" s="805" t="s">
        <v>1179</v>
      </c>
      <c r="C22" s="565" t="s">
        <v>492</v>
      </c>
      <c r="D22" s="567" t="s">
        <v>341</v>
      </c>
      <c r="E22" s="18">
        <v>300</v>
      </c>
      <c r="F22" s="206"/>
      <c r="G22" s="342"/>
    </row>
    <row r="23" spans="1:7" ht="36" customHeight="1" thickBot="1">
      <c r="A23" s="802"/>
      <c r="B23" s="805"/>
      <c r="C23" s="566" t="s">
        <v>1183</v>
      </c>
      <c r="D23" s="146" t="s">
        <v>1184</v>
      </c>
      <c r="E23" s="57">
        <v>200</v>
      </c>
      <c r="F23" s="356" t="s">
        <v>1185</v>
      </c>
      <c r="G23" s="357"/>
    </row>
    <row r="24" spans="1:7" ht="36" customHeight="1" thickBot="1">
      <c r="A24" s="803"/>
      <c r="B24" s="828"/>
      <c r="C24" s="105" t="s">
        <v>1127</v>
      </c>
      <c r="D24" s="106" t="s">
        <v>259</v>
      </c>
      <c r="E24" s="63" t="s">
        <v>1161</v>
      </c>
      <c r="F24" s="279" t="s">
        <v>89</v>
      </c>
      <c r="G24" s="373"/>
    </row>
    <row r="25" spans="1:7" ht="117" customHeight="1" thickBot="1">
      <c r="A25" s="798" t="s">
        <v>0</v>
      </c>
      <c r="B25" s="799"/>
      <c r="C25" s="886"/>
      <c r="D25" s="886"/>
      <c r="E25" s="886"/>
      <c r="F25" s="886"/>
      <c r="G25" s="887"/>
    </row>
    <row r="26" spans="1:7" ht="36" customHeight="1">
      <c r="A26" s="801">
        <v>43353</v>
      </c>
      <c r="B26" s="804" t="s">
        <v>1166</v>
      </c>
      <c r="C26" s="833" t="s">
        <v>82</v>
      </c>
      <c r="D26" s="563" t="s">
        <v>1162</v>
      </c>
      <c r="E26" s="18">
        <v>200</v>
      </c>
      <c r="F26" s="206" t="s">
        <v>1197</v>
      </c>
      <c r="G26" s="342" t="s">
        <v>1195</v>
      </c>
    </row>
    <row r="27" spans="1:7" ht="36" customHeight="1">
      <c r="A27" s="802"/>
      <c r="B27" s="805"/>
      <c r="C27" s="825"/>
      <c r="D27" s="564" t="s">
        <v>369</v>
      </c>
      <c r="E27" s="27" t="s">
        <v>17</v>
      </c>
      <c r="F27" s="167"/>
      <c r="G27" s="335" t="s">
        <v>1196</v>
      </c>
    </row>
    <row r="28" spans="1:7" ht="36" customHeight="1" thickBot="1">
      <c r="A28" s="802"/>
      <c r="B28" s="805"/>
      <c r="C28" s="562"/>
      <c r="D28" s="8"/>
      <c r="E28" s="24"/>
      <c r="F28" s="207"/>
      <c r="G28" s="336"/>
    </row>
    <row r="29" spans="1:7" ht="36" customHeight="1" thickBot="1">
      <c r="A29" s="803"/>
      <c r="B29" s="828"/>
      <c r="C29" s="52"/>
      <c r="D29" s="53"/>
      <c r="E29" s="33"/>
      <c r="F29" s="262"/>
      <c r="G29" s="418"/>
    </row>
    <row r="30" spans="1:7" ht="36" customHeight="1">
      <c r="A30" s="801">
        <v>43354</v>
      </c>
      <c r="B30" s="804" t="s">
        <v>176</v>
      </c>
      <c r="C30" s="558" t="s">
        <v>1176</v>
      </c>
      <c r="D30" s="559" t="s">
        <v>1177</v>
      </c>
      <c r="E30" s="18">
        <v>300</v>
      </c>
      <c r="F30" s="206" t="s">
        <v>1178</v>
      </c>
      <c r="G30" s="342"/>
    </row>
    <row r="31" spans="1:7" ht="36" customHeight="1">
      <c r="A31" s="802"/>
      <c r="B31" s="805"/>
      <c r="C31" s="861" t="s">
        <v>45</v>
      </c>
      <c r="D31" s="569" t="s">
        <v>1170</v>
      </c>
      <c r="E31" s="27">
        <v>50</v>
      </c>
      <c r="F31" s="356"/>
      <c r="G31" s="357"/>
    </row>
    <row r="32" spans="1:7" ht="36" customHeight="1">
      <c r="A32" s="802"/>
      <c r="B32" s="805"/>
      <c r="C32" s="825"/>
      <c r="D32" s="569" t="s">
        <v>1171</v>
      </c>
      <c r="E32" s="27">
        <v>51</v>
      </c>
      <c r="F32" s="356"/>
      <c r="G32" s="357"/>
    </row>
    <row r="33" spans="1:7" ht="36" customHeight="1" thickBot="1">
      <c r="A33" s="802"/>
      <c r="B33" s="805"/>
      <c r="C33" s="557"/>
      <c r="D33" s="8"/>
      <c r="E33" s="24"/>
      <c r="F33" s="207"/>
      <c r="G33" s="336"/>
    </row>
    <row r="34" spans="1:7" ht="36" customHeight="1" thickBot="1">
      <c r="A34" s="803"/>
      <c r="B34" s="828"/>
      <c r="C34" s="149"/>
      <c r="D34" s="150"/>
      <c r="E34" s="151"/>
      <c r="F34" s="268"/>
      <c r="G34" s="397"/>
    </row>
    <row r="35" spans="1:7" ht="36" customHeight="1">
      <c r="A35" s="801">
        <v>43355</v>
      </c>
      <c r="B35" s="804" t="s">
        <v>175</v>
      </c>
      <c r="C35" s="833" t="s">
        <v>1186</v>
      </c>
      <c r="D35" s="568" t="s">
        <v>1187</v>
      </c>
      <c r="E35" s="18">
        <v>100</v>
      </c>
      <c r="F35" s="206" t="s">
        <v>1210</v>
      </c>
      <c r="G35" s="342"/>
    </row>
    <row r="36" spans="1:7" ht="36" customHeight="1">
      <c r="A36" s="802"/>
      <c r="B36" s="805"/>
      <c r="C36" s="822"/>
      <c r="D36" s="569" t="s">
        <v>1188</v>
      </c>
      <c r="E36" s="27">
        <v>64</v>
      </c>
      <c r="F36" s="167" t="s">
        <v>1189</v>
      </c>
      <c r="G36" s="335"/>
    </row>
    <row r="37" spans="1:7" ht="36" customHeight="1">
      <c r="A37" s="802"/>
      <c r="B37" s="805"/>
      <c r="C37" s="822"/>
      <c r="D37" s="575" t="s">
        <v>1204</v>
      </c>
      <c r="E37" s="27">
        <v>50</v>
      </c>
      <c r="F37" s="509" t="s">
        <v>1205</v>
      </c>
      <c r="G37" s="335"/>
    </row>
    <row r="38" spans="1:7" ht="36" customHeight="1">
      <c r="A38" s="802"/>
      <c r="B38" s="805"/>
      <c r="C38" s="825"/>
      <c r="D38" s="575" t="s">
        <v>1200</v>
      </c>
      <c r="E38" s="27" t="s">
        <v>1201</v>
      </c>
      <c r="F38" s="167" t="s">
        <v>1203</v>
      </c>
      <c r="G38" s="335"/>
    </row>
    <row r="39" spans="1:7" ht="36" customHeight="1" thickBot="1">
      <c r="A39" s="802"/>
      <c r="B39" s="805"/>
      <c r="C39" s="578" t="s">
        <v>663</v>
      </c>
      <c r="D39" s="85" t="s">
        <v>1198</v>
      </c>
      <c r="E39" s="29">
        <v>50</v>
      </c>
      <c r="F39" s="226"/>
      <c r="G39" s="343"/>
    </row>
    <row r="40" spans="1:7" ht="36" customHeight="1" thickBot="1">
      <c r="A40" s="803"/>
      <c r="B40" s="828"/>
      <c r="C40" s="105"/>
      <c r="D40" s="106"/>
      <c r="E40" s="63"/>
      <c r="F40" s="279"/>
      <c r="G40" s="373"/>
    </row>
    <row r="41" spans="1:7" ht="36" customHeight="1">
      <c r="A41" s="801">
        <v>43356</v>
      </c>
      <c r="B41" s="804" t="s">
        <v>247</v>
      </c>
      <c r="C41" s="833" t="s">
        <v>1172</v>
      </c>
      <c r="D41" s="579" t="s">
        <v>1173</v>
      </c>
      <c r="E41" s="18">
        <v>503</v>
      </c>
      <c r="F41" s="206" t="s">
        <v>1190</v>
      </c>
      <c r="G41" s="342"/>
    </row>
    <row r="42" spans="1:7" ht="36" customHeight="1">
      <c r="A42" s="802"/>
      <c r="B42" s="805"/>
      <c r="C42" s="825"/>
      <c r="D42" s="580" t="s">
        <v>1199</v>
      </c>
      <c r="E42" s="27">
        <v>2</v>
      </c>
      <c r="F42" s="167"/>
      <c r="G42" s="335"/>
    </row>
    <row r="43" spans="1:7" ht="36" customHeight="1">
      <c r="A43" s="802"/>
      <c r="B43" s="805"/>
      <c r="C43" s="861" t="s">
        <v>1215</v>
      </c>
      <c r="D43" s="580" t="s">
        <v>1216</v>
      </c>
      <c r="E43" s="27">
        <v>30</v>
      </c>
      <c r="F43" s="167" t="s">
        <v>1197</v>
      </c>
      <c r="G43" s="335"/>
    </row>
    <row r="44" spans="1:7" ht="36" customHeight="1">
      <c r="A44" s="802"/>
      <c r="B44" s="805"/>
      <c r="C44" s="822"/>
      <c r="D44" s="85" t="s">
        <v>1217</v>
      </c>
      <c r="E44" s="29">
        <v>25</v>
      </c>
      <c r="F44" s="226"/>
      <c r="G44" s="343"/>
    </row>
    <row r="45" spans="1:7" ht="36" customHeight="1" thickBot="1">
      <c r="A45" s="802"/>
      <c r="B45" s="805"/>
      <c r="C45" s="823"/>
      <c r="D45" s="8" t="s">
        <v>1218</v>
      </c>
      <c r="E45" s="24" t="s">
        <v>1219</v>
      </c>
      <c r="F45" s="207"/>
      <c r="G45" s="336"/>
    </row>
    <row r="46" spans="1:7" ht="36" customHeight="1" thickBot="1">
      <c r="A46" s="803"/>
      <c r="B46" s="828"/>
      <c r="C46" s="52"/>
      <c r="D46" s="53"/>
      <c r="E46" s="33"/>
      <c r="F46" s="262"/>
      <c r="G46" s="418"/>
    </row>
    <row r="47" spans="1:7" ht="36" customHeight="1">
      <c r="A47" s="801">
        <v>43357</v>
      </c>
      <c r="B47" s="804" t="s">
        <v>248</v>
      </c>
      <c r="C47" s="833" t="s">
        <v>1167</v>
      </c>
      <c r="D47" s="559" t="s">
        <v>1168</v>
      </c>
      <c r="E47" s="18">
        <v>317</v>
      </c>
      <c r="F47" s="206"/>
      <c r="G47" s="342"/>
    </row>
    <row r="48" spans="1:7" ht="36" customHeight="1">
      <c r="A48" s="802"/>
      <c r="B48" s="805"/>
      <c r="C48" s="825"/>
      <c r="D48" s="146" t="s">
        <v>1169</v>
      </c>
      <c r="E48" s="57">
        <v>203</v>
      </c>
      <c r="F48" s="356"/>
      <c r="G48" s="357"/>
    </row>
    <row r="49" spans="1:7" ht="36" customHeight="1" thickBot="1">
      <c r="A49" s="802"/>
      <c r="B49" s="805"/>
      <c r="C49" s="557"/>
      <c r="D49" s="8"/>
      <c r="E49" s="24"/>
      <c r="F49" s="207"/>
      <c r="G49" s="336"/>
    </row>
    <row r="50" spans="1:7" ht="36" customHeight="1" thickBot="1">
      <c r="A50" s="803"/>
      <c r="B50" s="828"/>
      <c r="C50" s="105" t="s">
        <v>1191</v>
      </c>
      <c r="D50" s="106" t="s">
        <v>1192</v>
      </c>
      <c r="E50" s="63" t="s">
        <v>1193</v>
      </c>
      <c r="F50" s="279" t="s">
        <v>1194</v>
      </c>
      <c r="G50" s="373"/>
    </row>
    <row r="51" spans="1:7" ht="119.25" customHeight="1" thickBot="1">
      <c r="A51" s="798" t="s">
        <v>0</v>
      </c>
      <c r="B51" s="799"/>
      <c r="C51" s="886"/>
      <c r="D51" s="886"/>
      <c r="E51" s="886"/>
      <c r="F51" s="886"/>
      <c r="G51" s="887"/>
    </row>
    <row r="52" spans="1:7" ht="36" customHeight="1">
      <c r="A52" s="801">
        <v>43360</v>
      </c>
      <c r="B52" s="804" t="s">
        <v>1202</v>
      </c>
      <c r="C52" s="824" t="s">
        <v>48</v>
      </c>
      <c r="D52" s="574" t="s">
        <v>1206</v>
      </c>
      <c r="E52" s="18">
        <v>100</v>
      </c>
      <c r="F52" s="206"/>
      <c r="G52" s="342" t="s">
        <v>1223</v>
      </c>
    </row>
    <row r="53" spans="1:7" ht="36" customHeight="1">
      <c r="A53" s="802"/>
      <c r="B53" s="805"/>
      <c r="C53" s="809"/>
      <c r="D53" s="575" t="s">
        <v>1207</v>
      </c>
      <c r="E53" s="27">
        <v>10</v>
      </c>
      <c r="F53" s="167"/>
      <c r="G53" s="335"/>
    </row>
    <row r="54" spans="1:7" ht="36" customHeight="1">
      <c r="A54" s="802"/>
      <c r="B54" s="805"/>
      <c r="C54" s="809"/>
      <c r="D54" s="575" t="s">
        <v>1208</v>
      </c>
      <c r="E54" s="27" t="s">
        <v>1209</v>
      </c>
      <c r="F54" s="167"/>
      <c r="G54" s="335"/>
    </row>
    <row r="55" spans="1:7" ht="36" customHeight="1">
      <c r="A55" s="802"/>
      <c r="B55" s="805"/>
      <c r="C55" s="581" t="s">
        <v>1220</v>
      </c>
      <c r="D55" s="85" t="s">
        <v>1221</v>
      </c>
      <c r="E55" s="29" t="s">
        <v>1222</v>
      </c>
      <c r="F55" s="226"/>
      <c r="G55" s="343"/>
    </row>
    <row r="56" spans="1:7" ht="36" customHeight="1" thickBot="1">
      <c r="A56" s="802"/>
      <c r="B56" s="805"/>
      <c r="C56" s="571"/>
      <c r="D56" s="8"/>
      <c r="E56" s="24"/>
      <c r="F56" s="207"/>
      <c r="G56" s="336"/>
    </row>
    <row r="57" spans="1:7" ht="36" customHeight="1" thickBot="1">
      <c r="A57" s="803"/>
      <c r="B57" s="828"/>
      <c r="C57" s="42"/>
      <c r="D57" s="40"/>
      <c r="E57" s="36"/>
      <c r="F57" s="264"/>
      <c r="G57" s="390"/>
    </row>
    <row r="58" spans="1:7" ht="36" customHeight="1">
      <c r="A58" s="801">
        <v>43361</v>
      </c>
      <c r="B58" s="804" t="s">
        <v>176</v>
      </c>
      <c r="C58" s="833" t="s">
        <v>1211</v>
      </c>
      <c r="D58" s="579" t="s">
        <v>26</v>
      </c>
      <c r="E58" s="18">
        <v>211</v>
      </c>
      <c r="F58" s="206"/>
      <c r="G58" s="342"/>
    </row>
    <row r="59" spans="1:7" ht="36" customHeight="1">
      <c r="A59" s="802"/>
      <c r="B59" s="805"/>
      <c r="C59" s="825"/>
      <c r="D59" s="49" t="s">
        <v>1237</v>
      </c>
      <c r="E59" s="124">
        <v>44</v>
      </c>
      <c r="F59" s="258"/>
      <c r="G59" s="346"/>
    </row>
    <row r="60" spans="1:7" ht="36" customHeight="1">
      <c r="A60" s="802"/>
      <c r="B60" s="805"/>
      <c r="C60" s="576" t="s">
        <v>58</v>
      </c>
      <c r="D60" s="580" t="s">
        <v>574</v>
      </c>
      <c r="E60" s="27" t="s">
        <v>161</v>
      </c>
      <c r="F60" s="167"/>
      <c r="G60" s="335"/>
    </row>
    <row r="61" spans="1:7" ht="36" customHeight="1" thickBot="1">
      <c r="A61" s="802"/>
      <c r="B61" s="805"/>
      <c r="C61" s="577"/>
      <c r="D61" s="8"/>
      <c r="E61" s="24"/>
      <c r="F61" s="207"/>
      <c r="G61" s="336"/>
    </row>
    <row r="62" spans="1:7" ht="36" customHeight="1" thickBot="1">
      <c r="A62" s="803"/>
      <c r="B62" s="828"/>
      <c r="C62" s="52"/>
      <c r="D62" s="53"/>
      <c r="E62" s="33"/>
      <c r="F62" s="262"/>
      <c r="G62" s="418"/>
    </row>
    <row r="63" spans="1:7" ht="36" customHeight="1">
      <c r="A63" s="801">
        <v>43362</v>
      </c>
      <c r="B63" s="804" t="s">
        <v>175</v>
      </c>
      <c r="C63" s="572" t="s">
        <v>1234</v>
      </c>
      <c r="D63" s="574" t="s">
        <v>1235</v>
      </c>
      <c r="E63" s="18" t="s">
        <v>1236</v>
      </c>
      <c r="F63" s="206"/>
      <c r="G63" s="342"/>
    </row>
    <row r="64" spans="1:7" ht="36" customHeight="1">
      <c r="A64" s="802"/>
      <c r="B64" s="805"/>
      <c r="C64" s="573" t="s">
        <v>1243</v>
      </c>
      <c r="D64" s="146" t="s">
        <v>1244</v>
      </c>
      <c r="E64" s="57">
        <v>200</v>
      </c>
      <c r="F64" s="356"/>
      <c r="G64" s="357"/>
    </row>
    <row r="65" spans="1:7" ht="36" customHeight="1" thickBot="1">
      <c r="A65" s="802"/>
      <c r="B65" s="805"/>
      <c r="C65" s="571"/>
      <c r="D65" s="8"/>
      <c r="E65" s="24"/>
      <c r="F65" s="207"/>
      <c r="G65" s="336"/>
    </row>
    <row r="66" spans="1:7" ht="36" customHeight="1" thickBot="1">
      <c r="A66" s="803"/>
      <c r="B66" s="828"/>
      <c r="C66" s="105"/>
      <c r="D66" s="106"/>
      <c r="E66" s="63"/>
      <c r="F66" s="279"/>
      <c r="G66" s="373"/>
    </row>
    <row r="67" spans="1:7" ht="36" customHeight="1" thickBot="1">
      <c r="A67" s="802">
        <v>43363</v>
      </c>
      <c r="B67" s="805" t="s">
        <v>1242</v>
      </c>
      <c r="C67" s="571"/>
      <c r="D67" s="8"/>
      <c r="E67" s="24"/>
      <c r="F67" s="207"/>
      <c r="G67" s="336"/>
    </row>
    <row r="68" spans="1:7" ht="36" customHeight="1">
      <c r="A68" s="802"/>
      <c r="B68" s="805"/>
      <c r="C68" s="861" t="s">
        <v>33</v>
      </c>
      <c r="D68" s="588" t="s">
        <v>1213</v>
      </c>
      <c r="E68" s="27" t="s">
        <v>1214</v>
      </c>
      <c r="F68" s="167" t="s">
        <v>1240</v>
      </c>
      <c r="G68" s="357"/>
    </row>
    <row r="69" spans="1:7" ht="36" customHeight="1">
      <c r="A69" s="802"/>
      <c r="B69" s="805"/>
      <c r="C69" s="822"/>
      <c r="D69" s="588" t="s">
        <v>662</v>
      </c>
      <c r="E69" s="27">
        <v>50</v>
      </c>
      <c r="F69" s="167" t="s">
        <v>1240</v>
      </c>
      <c r="G69" s="357"/>
    </row>
    <row r="70" spans="1:7" ht="36" customHeight="1">
      <c r="A70" s="802"/>
      <c r="B70" s="805"/>
      <c r="C70" s="822"/>
      <c r="D70" s="588" t="s">
        <v>20</v>
      </c>
      <c r="E70" s="27">
        <v>50</v>
      </c>
      <c r="F70" s="167" t="s">
        <v>1240</v>
      </c>
      <c r="G70" s="357"/>
    </row>
    <row r="71" spans="1:7" ht="36" customHeight="1">
      <c r="A71" s="802"/>
      <c r="B71" s="805"/>
      <c r="C71" s="822"/>
      <c r="D71" s="85" t="s">
        <v>341</v>
      </c>
      <c r="E71" s="29">
        <v>100</v>
      </c>
      <c r="F71" s="226" t="s">
        <v>1241</v>
      </c>
      <c r="G71" s="357"/>
    </row>
    <row r="72" spans="1:7" ht="36" customHeight="1" thickBot="1">
      <c r="A72" s="802"/>
      <c r="B72" s="805"/>
      <c r="C72" s="825"/>
      <c r="D72" s="85" t="s">
        <v>386</v>
      </c>
      <c r="E72" s="29">
        <v>64</v>
      </c>
      <c r="F72" s="226" t="s">
        <v>1241</v>
      </c>
      <c r="G72" s="357"/>
    </row>
    <row r="73" spans="1:7" ht="36" customHeight="1" thickBot="1">
      <c r="A73" s="803"/>
      <c r="B73" s="828"/>
      <c r="C73" s="149" t="s">
        <v>1224</v>
      </c>
      <c r="D73" s="150" t="s">
        <v>1225</v>
      </c>
      <c r="E73" s="151" t="s">
        <v>1226</v>
      </c>
      <c r="F73" s="268" t="s">
        <v>1227</v>
      </c>
      <c r="G73" s="397"/>
    </row>
    <row r="74" spans="1:7" ht="36" customHeight="1">
      <c r="A74" s="801">
        <v>43364</v>
      </c>
      <c r="B74" s="804" t="s">
        <v>248</v>
      </c>
      <c r="C74" s="833" t="s">
        <v>14</v>
      </c>
      <c r="D74" s="579" t="s">
        <v>1212</v>
      </c>
      <c r="E74" s="18">
        <v>157</v>
      </c>
      <c r="F74" s="206"/>
      <c r="G74" s="342"/>
    </row>
    <row r="75" spans="1:7" ht="36" customHeight="1">
      <c r="A75" s="802"/>
      <c r="B75" s="805"/>
      <c r="C75" s="825"/>
      <c r="D75" s="85" t="s">
        <v>1245</v>
      </c>
      <c r="E75" s="29">
        <v>5</v>
      </c>
      <c r="F75" s="226"/>
      <c r="G75" s="343"/>
    </row>
    <row r="76" spans="1:7" ht="36" customHeight="1" thickBot="1">
      <c r="A76" s="802"/>
      <c r="B76" s="805"/>
      <c r="C76" s="577"/>
      <c r="D76" s="8"/>
      <c r="E76" s="24"/>
      <c r="F76" s="207"/>
      <c r="G76" s="336"/>
    </row>
    <row r="77" spans="1:7" ht="36" customHeight="1" thickBot="1">
      <c r="A77" s="803"/>
      <c r="B77" s="828"/>
      <c r="C77" s="52"/>
      <c r="D77" s="53"/>
      <c r="E77" s="33"/>
      <c r="F77" s="262"/>
      <c r="G77" s="418"/>
    </row>
    <row r="78" spans="1:7" ht="110.25" customHeight="1" thickBot="1">
      <c r="A78" s="798" t="s">
        <v>0</v>
      </c>
      <c r="B78" s="799"/>
      <c r="C78" s="886"/>
      <c r="D78" s="886"/>
      <c r="E78" s="886"/>
      <c r="F78" s="886"/>
      <c r="G78" s="887"/>
    </row>
    <row r="79" spans="1:7" ht="36" customHeight="1">
      <c r="A79" s="801">
        <v>43367</v>
      </c>
      <c r="B79" s="804" t="s">
        <v>1228</v>
      </c>
      <c r="C79" s="909" t="s">
        <v>1256</v>
      </c>
      <c r="D79" s="910"/>
      <c r="E79" s="910"/>
      <c r="F79" s="910"/>
      <c r="G79" s="911"/>
    </row>
    <row r="80" spans="1:7" ht="36" customHeight="1">
      <c r="A80" s="802"/>
      <c r="B80" s="805"/>
      <c r="C80" s="912"/>
      <c r="D80" s="913"/>
      <c r="E80" s="913"/>
      <c r="F80" s="913"/>
      <c r="G80" s="914"/>
    </row>
    <row r="81" spans="1:7" ht="36" customHeight="1" thickBot="1">
      <c r="A81" s="803"/>
      <c r="B81" s="828"/>
      <c r="C81" s="953"/>
      <c r="D81" s="954"/>
      <c r="E81" s="954"/>
      <c r="F81" s="954"/>
      <c r="G81" s="955"/>
    </row>
    <row r="82" spans="1:7" ht="36" customHeight="1">
      <c r="A82" s="801">
        <v>43368</v>
      </c>
      <c r="B82" s="804" t="s">
        <v>176</v>
      </c>
      <c r="C82" s="909" t="s">
        <v>1232</v>
      </c>
      <c r="D82" s="910"/>
      <c r="E82" s="910"/>
      <c r="F82" s="910"/>
      <c r="G82" s="911"/>
    </row>
    <row r="83" spans="1:7" ht="36" customHeight="1">
      <c r="A83" s="802"/>
      <c r="B83" s="805"/>
      <c r="C83" s="912"/>
      <c r="D83" s="913"/>
      <c r="E83" s="913"/>
      <c r="F83" s="913"/>
      <c r="G83" s="914"/>
    </row>
    <row r="84" spans="1:7" ht="36" customHeight="1" thickBot="1">
      <c r="A84" s="803"/>
      <c r="B84" s="828"/>
      <c r="C84" s="953"/>
      <c r="D84" s="954"/>
      <c r="E84" s="954"/>
      <c r="F84" s="954"/>
      <c r="G84" s="955"/>
    </row>
    <row r="85" spans="1:7" ht="36" customHeight="1">
      <c r="A85" s="801">
        <v>43369</v>
      </c>
      <c r="B85" s="804" t="s">
        <v>175</v>
      </c>
      <c r="C85" s="909" t="s">
        <v>1233</v>
      </c>
      <c r="D85" s="910"/>
      <c r="E85" s="910"/>
      <c r="F85" s="910"/>
      <c r="G85" s="911"/>
    </row>
    <row r="86" spans="1:7" ht="36" customHeight="1">
      <c r="A86" s="802"/>
      <c r="B86" s="805"/>
      <c r="C86" s="912"/>
      <c r="D86" s="913"/>
      <c r="E86" s="913"/>
      <c r="F86" s="913"/>
      <c r="G86" s="914"/>
    </row>
    <row r="87" spans="1:7" ht="36" customHeight="1" thickBot="1">
      <c r="A87" s="803"/>
      <c r="B87" s="828"/>
      <c r="C87" s="912"/>
      <c r="D87" s="913"/>
      <c r="E87" s="913"/>
      <c r="F87" s="913"/>
      <c r="G87" s="914"/>
    </row>
    <row r="88" spans="1:7" ht="36" customHeight="1">
      <c r="A88" s="801">
        <v>43370</v>
      </c>
      <c r="B88" s="804" t="s">
        <v>247</v>
      </c>
      <c r="C88" s="586"/>
      <c r="D88" s="587"/>
      <c r="E88" s="18"/>
      <c r="F88" s="206"/>
      <c r="G88" s="342" t="s">
        <v>1246</v>
      </c>
    </row>
    <row r="89" spans="1:7" ht="36" customHeight="1">
      <c r="A89" s="802"/>
      <c r="B89" s="805"/>
      <c r="C89" s="589"/>
      <c r="D89" s="49"/>
      <c r="E89" s="124"/>
      <c r="F89" s="258"/>
      <c r="G89" s="346"/>
    </row>
    <row r="90" spans="1:7" ht="36" customHeight="1">
      <c r="A90" s="802"/>
      <c r="B90" s="805"/>
      <c r="C90" s="584"/>
      <c r="D90" s="588"/>
      <c r="E90" s="27"/>
      <c r="F90" s="167"/>
      <c r="G90" s="335"/>
    </row>
    <row r="91" spans="1:7" ht="36" customHeight="1" thickBot="1">
      <c r="A91" s="802"/>
      <c r="B91" s="805"/>
      <c r="C91" s="585"/>
      <c r="D91" s="8"/>
      <c r="E91" s="24"/>
      <c r="F91" s="207"/>
      <c r="G91" s="336"/>
    </row>
    <row r="92" spans="1:7" ht="36" customHeight="1" thickBot="1">
      <c r="A92" s="803"/>
      <c r="B92" s="828"/>
      <c r="C92" s="52"/>
      <c r="D92" s="53"/>
      <c r="E92" s="33"/>
      <c r="F92" s="262"/>
      <c r="G92" s="418"/>
    </row>
    <row r="93" spans="1:7" ht="36" customHeight="1">
      <c r="A93" s="801">
        <v>43371</v>
      </c>
      <c r="B93" s="804" t="s">
        <v>248</v>
      </c>
      <c r="C93" s="833" t="s">
        <v>1229</v>
      </c>
      <c r="D93" s="583" t="s">
        <v>1230</v>
      </c>
      <c r="E93" s="18">
        <f>247+107</f>
        <v>354</v>
      </c>
      <c r="F93" s="206"/>
      <c r="G93" s="342"/>
    </row>
    <row r="94" spans="1:7" ht="36" customHeight="1">
      <c r="A94" s="802"/>
      <c r="B94" s="805"/>
      <c r="C94" s="825"/>
      <c r="D94" s="146" t="s">
        <v>1231</v>
      </c>
      <c r="E94" s="57">
        <f>1+34+128</f>
        <v>163</v>
      </c>
      <c r="F94" s="356"/>
      <c r="G94" s="357"/>
    </row>
    <row r="95" spans="1:7" ht="36" customHeight="1" thickBot="1">
      <c r="A95" s="802"/>
      <c r="B95" s="805"/>
      <c r="C95" s="582"/>
      <c r="D95" s="8"/>
      <c r="E95" s="24"/>
      <c r="F95" s="207"/>
      <c r="G95" s="336"/>
    </row>
    <row r="96" spans="1:7" ht="36" customHeight="1" thickBot="1">
      <c r="A96" s="803"/>
      <c r="B96" s="828"/>
      <c r="C96" s="105" t="s">
        <v>1247</v>
      </c>
      <c r="D96" s="106" t="s">
        <v>1248</v>
      </c>
      <c r="E96" s="63" t="s">
        <v>1249</v>
      </c>
      <c r="F96" s="279" t="s">
        <v>89</v>
      </c>
      <c r="G96" s="373"/>
    </row>
  </sheetData>
  <mergeCells count="62">
    <mergeCell ref="C85:G87"/>
    <mergeCell ref="C93:C94"/>
    <mergeCell ref="A85:A87"/>
    <mergeCell ref="B85:B87"/>
    <mergeCell ref="A88:A92"/>
    <mergeCell ref="B88:B92"/>
    <mergeCell ref="A93:A96"/>
    <mergeCell ref="B93:B96"/>
    <mergeCell ref="A78:G78"/>
    <mergeCell ref="A79:A81"/>
    <mergeCell ref="B79:B81"/>
    <mergeCell ref="A82:A84"/>
    <mergeCell ref="B82:B84"/>
    <mergeCell ref="C79:G81"/>
    <mergeCell ref="C82:G84"/>
    <mergeCell ref="A74:A77"/>
    <mergeCell ref="B74:B77"/>
    <mergeCell ref="C52:C54"/>
    <mergeCell ref="A58:A62"/>
    <mergeCell ref="B58:B62"/>
    <mergeCell ref="A63:A66"/>
    <mergeCell ref="B63:B66"/>
    <mergeCell ref="A67:A73"/>
    <mergeCell ref="B67:B73"/>
    <mergeCell ref="C58:C59"/>
    <mergeCell ref="C68:C72"/>
    <mergeCell ref="C74:C75"/>
    <mergeCell ref="A51:G51"/>
    <mergeCell ref="A52:A57"/>
    <mergeCell ref="B52:B57"/>
    <mergeCell ref="C35:C38"/>
    <mergeCell ref="C47:C48"/>
    <mergeCell ref="A35:A40"/>
    <mergeCell ref="B35:B40"/>
    <mergeCell ref="A41:A46"/>
    <mergeCell ref="B41:B46"/>
    <mergeCell ref="A47:A50"/>
    <mergeCell ref="B47:B50"/>
    <mergeCell ref="C41:C42"/>
    <mergeCell ref="C43:C45"/>
    <mergeCell ref="A25:G25"/>
    <mergeCell ref="A26:A29"/>
    <mergeCell ref="B26:B29"/>
    <mergeCell ref="A30:A34"/>
    <mergeCell ref="B30:B34"/>
    <mergeCell ref="C26:C27"/>
    <mergeCell ref="C31:C32"/>
    <mergeCell ref="C17:C18"/>
    <mergeCell ref="A22:A24"/>
    <mergeCell ref="B22:B24"/>
    <mergeCell ref="A1:G1"/>
    <mergeCell ref="A2:A7"/>
    <mergeCell ref="B2:B7"/>
    <mergeCell ref="A8:A10"/>
    <mergeCell ref="B8:B10"/>
    <mergeCell ref="A11:A15"/>
    <mergeCell ref="B11:B15"/>
    <mergeCell ref="A16:A21"/>
    <mergeCell ref="B16:B21"/>
    <mergeCell ref="C2:C4"/>
    <mergeCell ref="C5:C6"/>
    <mergeCell ref="C11:C12"/>
  </mergeCells>
  <phoneticPr fontId="1" type="noConversion"/>
  <printOptions horizontalCentered="1" verticalCentered="1"/>
  <pageMargins left="0.15748031496062992" right="0.15748031496062992" top="0.11811023622047245" bottom="0.11811023622047245" header="0.11811023622047245" footer="0.31496062992125984"/>
  <pageSetup paperSize="9" scale="74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view="pageBreakPreview" topLeftCell="A122" zoomScale="71" zoomScaleNormal="87" zoomScaleSheetLayoutView="71" zoomScalePageLayoutView="75" workbookViewId="0">
      <selection activeCell="C122" sqref="C122:G122"/>
    </sheetView>
  </sheetViews>
  <sheetFormatPr defaultRowHeight="36" customHeight="1"/>
  <cols>
    <col min="1" max="1" width="12.5" style="1" customWidth="1"/>
    <col min="2" max="2" width="8.5" style="2" customWidth="1"/>
    <col min="3" max="3" width="18.625" style="19" customWidth="1"/>
    <col min="4" max="4" width="24.125" style="19" customWidth="1"/>
    <col min="5" max="5" width="15.375" style="3" customWidth="1"/>
    <col min="6" max="6" width="25.625" style="3" customWidth="1"/>
    <col min="7" max="7" width="19.5" style="374" customWidth="1"/>
    <col min="8" max="8" width="42.5" style="38" customWidth="1"/>
    <col min="9" max="16384" width="9" style="19"/>
  </cols>
  <sheetData>
    <row r="1" spans="1:7" s="38" customFormat="1" ht="117.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43374</v>
      </c>
      <c r="B2" s="804" t="s">
        <v>7</v>
      </c>
      <c r="C2" s="833" t="s">
        <v>1180</v>
      </c>
      <c r="D2" s="592" t="s">
        <v>1181</v>
      </c>
      <c r="E2" s="18">
        <v>50</v>
      </c>
      <c r="F2" s="206" t="s">
        <v>1182</v>
      </c>
      <c r="G2" s="342"/>
    </row>
    <row r="3" spans="1:7" s="38" customFormat="1" ht="36" customHeight="1">
      <c r="A3" s="802"/>
      <c r="B3" s="805"/>
      <c r="C3" s="822"/>
      <c r="D3" s="593" t="s">
        <v>1263</v>
      </c>
      <c r="E3" s="27">
        <v>50</v>
      </c>
      <c r="F3" s="167" t="s">
        <v>1267</v>
      </c>
      <c r="G3" s="335"/>
    </row>
    <row r="4" spans="1:7" s="38" customFormat="1" ht="36" customHeight="1">
      <c r="A4" s="802"/>
      <c r="B4" s="805"/>
      <c r="C4" s="822"/>
      <c r="D4" s="593" t="s">
        <v>1264</v>
      </c>
      <c r="E4" s="27">
        <v>64</v>
      </c>
      <c r="F4" s="167" t="s">
        <v>1268</v>
      </c>
      <c r="G4" s="335"/>
    </row>
    <row r="5" spans="1:7" s="38" customFormat="1" ht="36" customHeight="1">
      <c r="A5" s="802"/>
      <c r="B5" s="805"/>
      <c r="C5" s="822"/>
      <c r="D5" s="593" t="s">
        <v>1265</v>
      </c>
      <c r="E5" s="27">
        <v>64</v>
      </c>
      <c r="F5" s="167" t="s">
        <v>1268</v>
      </c>
      <c r="G5" s="335"/>
    </row>
    <row r="6" spans="1:7" s="38" customFormat="1" ht="36" customHeight="1">
      <c r="A6" s="802"/>
      <c r="B6" s="805"/>
      <c r="C6" s="825"/>
      <c r="D6" s="593" t="s">
        <v>1266</v>
      </c>
      <c r="E6" s="27">
        <v>50</v>
      </c>
      <c r="F6" s="167" t="s">
        <v>1268</v>
      </c>
      <c r="G6" s="335"/>
    </row>
    <row r="7" spans="1:7" s="38" customFormat="1" ht="36" customHeight="1" thickBot="1">
      <c r="A7" s="802"/>
      <c r="B7" s="805"/>
      <c r="C7" s="599" t="s">
        <v>66</v>
      </c>
      <c r="D7" s="85" t="s">
        <v>1257</v>
      </c>
      <c r="E7" s="29">
        <v>100</v>
      </c>
      <c r="F7" s="226"/>
      <c r="G7" s="343"/>
    </row>
    <row r="8" spans="1:7" s="38" customFormat="1" ht="36" customHeight="1" thickBot="1">
      <c r="A8" s="803"/>
      <c r="B8" s="828"/>
      <c r="C8" s="105" t="s">
        <v>375</v>
      </c>
      <c r="D8" s="106" t="s">
        <v>376</v>
      </c>
      <c r="E8" s="63" t="s">
        <v>552</v>
      </c>
      <c r="F8" s="279" t="s">
        <v>1250</v>
      </c>
      <c r="G8" s="373"/>
    </row>
    <row r="9" spans="1:7" s="38" customFormat="1" ht="36" customHeight="1">
      <c r="A9" s="801">
        <v>43375</v>
      </c>
      <c r="B9" s="804" t="s">
        <v>176</v>
      </c>
      <c r="C9" s="591" t="s">
        <v>1238</v>
      </c>
      <c r="D9" s="592" t="s">
        <v>1239</v>
      </c>
      <c r="E9" s="18">
        <v>559</v>
      </c>
      <c r="F9" s="206" t="s">
        <v>1258</v>
      </c>
      <c r="G9" s="342"/>
    </row>
    <row r="10" spans="1:7" s="38" customFormat="1" ht="36" customHeight="1" thickBot="1">
      <c r="A10" s="802"/>
      <c r="B10" s="805"/>
      <c r="C10" s="590" t="s">
        <v>1272</v>
      </c>
      <c r="D10" s="146" t="s">
        <v>1273</v>
      </c>
      <c r="E10" s="57">
        <v>30</v>
      </c>
      <c r="F10" s="356" t="s">
        <v>1274</v>
      </c>
      <c r="G10" s="357"/>
    </row>
    <row r="11" spans="1:7" s="38" customFormat="1" ht="36" customHeight="1" thickBot="1">
      <c r="A11" s="803"/>
      <c r="B11" s="828"/>
      <c r="C11" s="105"/>
      <c r="D11" s="106"/>
      <c r="E11" s="63"/>
      <c r="F11" s="279"/>
      <c r="G11" s="373"/>
    </row>
    <row r="12" spans="1:7" ht="36" customHeight="1">
      <c r="A12" s="801">
        <v>43376</v>
      </c>
      <c r="B12" s="804" t="s">
        <v>175</v>
      </c>
      <c r="C12" s="956" t="s">
        <v>1163</v>
      </c>
      <c r="D12" s="957"/>
      <c r="E12" s="957"/>
      <c r="F12" s="957"/>
      <c r="G12" s="958"/>
    </row>
    <row r="13" spans="1:7" ht="51" customHeight="1" thickBot="1">
      <c r="A13" s="803"/>
      <c r="B13" s="828"/>
      <c r="C13" s="959"/>
      <c r="D13" s="960"/>
      <c r="E13" s="960"/>
      <c r="F13" s="960"/>
      <c r="G13" s="961"/>
    </row>
    <row r="14" spans="1:7" ht="36" customHeight="1">
      <c r="A14" s="801">
        <v>43377</v>
      </c>
      <c r="B14" s="804" t="s">
        <v>247</v>
      </c>
      <c r="C14" s="824" t="s">
        <v>1259</v>
      </c>
      <c r="D14" s="592" t="s">
        <v>1260</v>
      </c>
      <c r="E14" s="18">
        <v>165</v>
      </c>
      <c r="F14" s="206"/>
      <c r="G14" s="342"/>
    </row>
    <row r="15" spans="1:7" ht="36" customHeight="1">
      <c r="A15" s="802"/>
      <c r="B15" s="805"/>
      <c r="C15" s="809"/>
      <c r="D15" s="593" t="s">
        <v>1261</v>
      </c>
      <c r="E15" s="27">
        <v>50</v>
      </c>
      <c r="F15" s="167"/>
      <c r="G15" s="335"/>
    </row>
    <row r="16" spans="1:7" ht="36" customHeight="1">
      <c r="A16" s="802"/>
      <c r="B16" s="805"/>
      <c r="C16" s="861" t="s">
        <v>1262</v>
      </c>
      <c r="D16" s="593" t="s">
        <v>395</v>
      </c>
      <c r="E16" s="27">
        <v>100</v>
      </c>
      <c r="F16" s="167"/>
      <c r="G16" s="335"/>
    </row>
    <row r="17" spans="1:7" ht="36" customHeight="1">
      <c r="A17" s="802"/>
      <c r="B17" s="805"/>
      <c r="C17" s="825"/>
      <c r="D17" s="85" t="s">
        <v>1300</v>
      </c>
      <c r="E17" s="29" t="s">
        <v>1301</v>
      </c>
      <c r="F17" s="226"/>
      <c r="G17" s="343"/>
    </row>
    <row r="18" spans="1:7" ht="36" customHeight="1" thickBot="1">
      <c r="A18" s="802"/>
      <c r="B18" s="805"/>
      <c r="C18" s="599" t="s">
        <v>1284</v>
      </c>
      <c r="D18" s="85" t="s">
        <v>1285</v>
      </c>
      <c r="E18" s="29">
        <v>200</v>
      </c>
      <c r="F18" s="226"/>
      <c r="G18" s="343"/>
    </row>
    <row r="19" spans="1:7" ht="36" customHeight="1" thickBot="1">
      <c r="A19" s="803"/>
      <c r="B19" s="828"/>
      <c r="C19" s="105" t="s">
        <v>1251</v>
      </c>
      <c r="D19" s="106" t="s">
        <v>376</v>
      </c>
      <c r="E19" s="63" t="s">
        <v>552</v>
      </c>
      <c r="F19" s="279" t="s">
        <v>1250</v>
      </c>
      <c r="G19" s="373"/>
    </row>
    <row r="20" spans="1:7" ht="36" customHeight="1">
      <c r="A20" s="801">
        <v>43378</v>
      </c>
      <c r="B20" s="804" t="s">
        <v>248</v>
      </c>
      <c r="C20" s="595" t="s">
        <v>1259</v>
      </c>
      <c r="D20" s="596" t="s">
        <v>1261</v>
      </c>
      <c r="E20" s="18">
        <v>401</v>
      </c>
      <c r="F20" s="206"/>
      <c r="G20" s="342"/>
    </row>
    <row r="21" spans="1:7" ht="36" customHeight="1">
      <c r="A21" s="802"/>
      <c r="B21" s="805"/>
      <c r="C21" s="608" t="s">
        <v>1304</v>
      </c>
      <c r="D21" s="49" t="s">
        <v>1305</v>
      </c>
      <c r="E21" s="124">
        <v>60</v>
      </c>
      <c r="F21" s="258"/>
      <c r="G21" s="346"/>
    </row>
    <row r="22" spans="1:7" ht="36" customHeight="1" thickBot="1">
      <c r="A22" s="802"/>
      <c r="B22" s="805"/>
      <c r="C22" s="594"/>
      <c r="D22" s="8"/>
      <c r="E22" s="24"/>
      <c r="F22" s="207"/>
      <c r="G22" s="336"/>
    </row>
    <row r="23" spans="1:7" ht="36" customHeight="1" thickBot="1">
      <c r="A23" s="803"/>
      <c r="B23" s="828"/>
      <c r="C23" s="105" t="s">
        <v>1252</v>
      </c>
      <c r="D23" s="106" t="s">
        <v>1253</v>
      </c>
      <c r="E23" s="63" t="s">
        <v>1254</v>
      </c>
      <c r="F23" s="279" t="s">
        <v>1255</v>
      </c>
      <c r="G23" s="373"/>
    </row>
    <row r="24" spans="1:7" ht="88.5" customHeight="1" thickBot="1">
      <c r="A24" s="798" t="s">
        <v>0</v>
      </c>
      <c r="B24" s="799"/>
      <c r="C24" s="886"/>
      <c r="D24" s="886"/>
      <c r="E24" s="886"/>
      <c r="F24" s="886"/>
      <c r="G24" s="887"/>
    </row>
    <row r="25" spans="1:7" ht="36" customHeight="1">
      <c r="A25" s="801">
        <v>43381</v>
      </c>
      <c r="B25" s="804" t="s">
        <v>7</v>
      </c>
      <c r="C25" s="833" t="s">
        <v>1286</v>
      </c>
      <c r="D25" s="600" t="s">
        <v>1287</v>
      </c>
      <c r="E25" s="18">
        <v>200</v>
      </c>
      <c r="F25" s="206"/>
      <c r="G25" s="342"/>
    </row>
    <row r="26" spans="1:7" ht="36" customHeight="1">
      <c r="A26" s="802"/>
      <c r="B26" s="805"/>
      <c r="C26" s="822"/>
      <c r="D26" s="601" t="s">
        <v>1288</v>
      </c>
      <c r="E26" s="27">
        <v>100</v>
      </c>
      <c r="F26" s="167"/>
      <c r="G26" s="335"/>
    </row>
    <row r="27" spans="1:7" ht="36" customHeight="1">
      <c r="A27" s="802"/>
      <c r="B27" s="805"/>
      <c r="C27" s="825"/>
      <c r="D27" s="602" t="s">
        <v>1299</v>
      </c>
      <c r="E27" s="27">
        <v>50</v>
      </c>
      <c r="F27" s="167"/>
      <c r="G27" s="335"/>
    </row>
    <row r="28" spans="1:7" ht="36" customHeight="1">
      <c r="A28" s="802"/>
      <c r="B28" s="805"/>
      <c r="C28" s="597" t="s">
        <v>15</v>
      </c>
      <c r="D28" s="601" t="s">
        <v>673</v>
      </c>
      <c r="E28" s="27" t="s">
        <v>55</v>
      </c>
      <c r="F28" s="167"/>
      <c r="G28" s="335"/>
    </row>
    <row r="29" spans="1:7" ht="36" customHeight="1">
      <c r="A29" s="802"/>
      <c r="B29" s="805"/>
      <c r="C29" s="861" t="s">
        <v>1289</v>
      </c>
      <c r="D29" s="85" t="s">
        <v>1290</v>
      </c>
      <c r="E29" s="29">
        <v>10</v>
      </c>
      <c r="F29" s="226"/>
      <c r="G29" s="343"/>
    </row>
    <row r="30" spans="1:7" ht="36" customHeight="1">
      <c r="A30" s="802"/>
      <c r="B30" s="805"/>
      <c r="C30" s="822"/>
      <c r="D30" s="85" t="s">
        <v>1291</v>
      </c>
      <c r="E30" s="29">
        <v>20</v>
      </c>
      <c r="F30" s="226"/>
      <c r="G30" s="343"/>
    </row>
    <row r="31" spans="1:7" ht="36" customHeight="1">
      <c r="A31" s="802"/>
      <c r="B31" s="805"/>
      <c r="C31" s="825"/>
      <c r="D31" s="85" t="s">
        <v>1292</v>
      </c>
      <c r="E31" s="29">
        <v>16</v>
      </c>
      <c r="F31" s="226"/>
      <c r="G31" s="343"/>
    </row>
    <row r="32" spans="1:7" ht="36" customHeight="1" thickBot="1">
      <c r="A32" s="802"/>
      <c r="B32" s="805"/>
      <c r="C32" s="607" t="s">
        <v>1302</v>
      </c>
      <c r="D32" s="85" t="s">
        <v>1303</v>
      </c>
      <c r="E32" s="29">
        <v>100</v>
      </c>
      <c r="F32" s="226"/>
      <c r="G32" s="343"/>
    </row>
    <row r="33" spans="1:7" ht="61.5" customHeight="1" thickBot="1">
      <c r="A33" s="605">
        <v>43382</v>
      </c>
      <c r="B33" s="606" t="s">
        <v>176</v>
      </c>
      <c r="C33" s="956" t="s">
        <v>1164</v>
      </c>
      <c r="D33" s="957"/>
      <c r="E33" s="957"/>
      <c r="F33" s="957"/>
      <c r="G33" s="958"/>
    </row>
    <row r="34" spans="1:7" ht="36" customHeight="1">
      <c r="A34" s="801">
        <v>43383</v>
      </c>
      <c r="B34" s="804" t="s">
        <v>175</v>
      </c>
      <c r="C34" s="598" t="s">
        <v>1276</v>
      </c>
      <c r="D34" s="600" t="s">
        <v>1277</v>
      </c>
      <c r="E34" s="18">
        <v>256</v>
      </c>
      <c r="F34" s="206"/>
      <c r="G34" s="342"/>
    </row>
    <row r="35" spans="1:7" ht="36" customHeight="1">
      <c r="A35" s="802"/>
      <c r="B35" s="805"/>
      <c r="C35" s="861" t="s">
        <v>33</v>
      </c>
      <c r="D35" s="601" t="s">
        <v>1278</v>
      </c>
      <c r="E35" s="27">
        <v>67</v>
      </c>
      <c r="F35" s="167"/>
      <c r="G35" s="335"/>
    </row>
    <row r="36" spans="1:7" ht="36" customHeight="1">
      <c r="A36" s="802"/>
      <c r="B36" s="805"/>
      <c r="C36" s="822"/>
      <c r="D36" s="601" t="s">
        <v>1279</v>
      </c>
      <c r="E36" s="27">
        <v>64</v>
      </c>
      <c r="F36" s="167"/>
      <c r="G36" s="335"/>
    </row>
    <row r="37" spans="1:7" ht="36" customHeight="1">
      <c r="A37" s="802"/>
      <c r="B37" s="805"/>
      <c r="C37" s="822"/>
      <c r="D37" s="601" t="s">
        <v>1280</v>
      </c>
      <c r="E37" s="27">
        <v>10</v>
      </c>
      <c r="F37" s="167"/>
      <c r="G37" s="335"/>
    </row>
    <row r="38" spans="1:7" ht="36" customHeight="1">
      <c r="A38" s="802"/>
      <c r="B38" s="805"/>
      <c r="C38" s="825"/>
      <c r="D38" s="612" t="s">
        <v>1323</v>
      </c>
      <c r="E38" s="27">
        <v>64</v>
      </c>
      <c r="F38" s="167"/>
      <c r="G38" s="335"/>
    </row>
    <row r="39" spans="1:7" ht="36" customHeight="1">
      <c r="A39" s="802"/>
      <c r="B39" s="805"/>
      <c r="C39" s="597" t="s">
        <v>1298</v>
      </c>
      <c r="D39" s="601" t="s">
        <v>1290</v>
      </c>
      <c r="E39" s="27">
        <v>50</v>
      </c>
      <c r="F39" s="167"/>
      <c r="G39" s="335"/>
    </row>
    <row r="40" spans="1:7" ht="36" customHeight="1">
      <c r="A40" s="802"/>
      <c r="B40" s="805"/>
      <c r="C40" s="861" t="s">
        <v>1324</v>
      </c>
      <c r="D40" s="85" t="s">
        <v>1325</v>
      </c>
      <c r="E40" s="29" t="s">
        <v>1326</v>
      </c>
      <c r="F40" s="226"/>
      <c r="G40" s="343"/>
    </row>
    <row r="41" spans="1:7" ht="36" customHeight="1" thickBot="1">
      <c r="A41" s="802"/>
      <c r="B41" s="805"/>
      <c r="C41" s="822"/>
      <c r="D41" s="85" t="s">
        <v>1327</v>
      </c>
      <c r="E41" s="29" t="s">
        <v>1328</v>
      </c>
      <c r="F41" s="226"/>
      <c r="G41" s="343"/>
    </row>
    <row r="42" spans="1:7" ht="36" customHeight="1">
      <c r="A42" s="801">
        <v>43384</v>
      </c>
      <c r="B42" s="804" t="s">
        <v>247</v>
      </c>
      <c r="C42" s="614" t="s">
        <v>1281</v>
      </c>
      <c r="D42" s="615" t="s">
        <v>1282</v>
      </c>
      <c r="E42" s="18">
        <v>150</v>
      </c>
      <c r="F42" s="206" t="s">
        <v>1283</v>
      </c>
      <c r="G42" s="342"/>
    </row>
    <row r="43" spans="1:7" ht="36" customHeight="1">
      <c r="A43" s="802"/>
      <c r="B43" s="805"/>
      <c r="C43" s="613" t="s">
        <v>1331</v>
      </c>
      <c r="D43" s="616" t="s">
        <v>1332</v>
      </c>
      <c r="E43" s="27">
        <v>300</v>
      </c>
      <c r="F43" s="167" t="s">
        <v>1333</v>
      </c>
      <c r="G43" s="335"/>
    </row>
    <row r="44" spans="1:7" ht="36" customHeight="1">
      <c r="A44" s="802"/>
      <c r="B44" s="805"/>
      <c r="C44" s="613" t="s">
        <v>1335</v>
      </c>
      <c r="D44" s="616" t="s">
        <v>1334</v>
      </c>
      <c r="E44" s="27">
        <v>100</v>
      </c>
      <c r="F44" s="167" t="s">
        <v>1336</v>
      </c>
      <c r="G44" s="335"/>
    </row>
    <row r="45" spans="1:7" ht="36" customHeight="1">
      <c r="A45" s="802"/>
      <c r="B45" s="805"/>
      <c r="C45" s="613" t="s">
        <v>1337</v>
      </c>
      <c r="D45" s="616" t="s">
        <v>1338</v>
      </c>
      <c r="E45" s="27">
        <v>100</v>
      </c>
      <c r="F45" s="167"/>
      <c r="G45" s="335"/>
    </row>
    <row r="46" spans="1:7" ht="36" customHeight="1">
      <c r="A46" s="802"/>
      <c r="B46" s="805"/>
      <c r="C46" s="809" t="s">
        <v>1310</v>
      </c>
      <c r="D46" s="616" t="s">
        <v>1311</v>
      </c>
      <c r="E46" s="27">
        <v>50</v>
      </c>
      <c r="F46" s="431" t="s">
        <v>1312</v>
      </c>
      <c r="G46" s="335"/>
    </row>
    <row r="47" spans="1:7" ht="36" customHeight="1">
      <c r="A47" s="802"/>
      <c r="B47" s="805"/>
      <c r="C47" s="809"/>
      <c r="D47" s="616" t="s">
        <v>1316</v>
      </c>
      <c r="E47" s="27">
        <v>50</v>
      </c>
      <c r="F47" s="431" t="s">
        <v>1317</v>
      </c>
      <c r="G47" s="335"/>
    </row>
    <row r="48" spans="1:7" ht="36" customHeight="1" thickBot="1">
      <c r="A48" s="802"/>
      <c r="B48" s="805"/>
      <c r="C48" s="810"/>
      <c r="D48" s="8" t="s">
        <v>1318</v>
      </c>
      <c r="E48" s="24">
        <v>50</v>
      </c>
      <c r="F48" s="623" t="s">
        <v>1319</v>
      </c>
      <c r="G48" s="336"/>
    </row>
    <row r="49" spans="1:7" ht="36" customHeight="1">
      <c r="A49" s="801">
        <v>43385</v>
      </c>
      <c r="B49" s="804" t="s">
        <v>248</v>
      </c>
      <c r="C49" s="822" t="s">
        <v>492</v>
      </c>
      <c r="D49" s="49" t="s">
        <v>1296</v>
      </c>
      <c r="E49" s="124">
        <v>15</v>
      </c>
      <c r="F49" s="49"/>
      <c r="G49" s="346"/>
    </row>
    <row r="50" spans="1:7" ht="36" customHeight="1" thickBot="1">
      <c r="A50" s="802"/>
      <c r="B50" s="805"/>
      <c r="C50" s="822"/>
      <c r="D50" s="146" t="s">
        <v>1329</v>
      </c>
      <c r="E50" s="57">
        <v>300</v>
      </c>
      <c r="F50" s="146"/>
      <c r="G50" s="357"/>
    </row>
    <row r="51" spans="1:7" ht="36" customHeight="1" thickBot="1">
      <c r="A51" s="803"/>
      <c r="B51" s="828"/>
      <c r="C51" s="105" t="s">
        <v>1306</v>
      </c>
      <c r="D51" s="106" t="s">
        <v>1307</v>
      </c>
      <c r="E51" s="63" t="s">
        <v>1308</v>
      </c>
      <c r="F51" s="279" t="s">
        <v>1309</v>
      </c>
      <c r="G51" s="373"/>
    </row>
    <row r="52" spans="1:7" ht="111.75" customHeight="1" thickBot="1">
      <c r="A52" s="798" t="s">
        <v>0</v>
      </c>
      <c r="B52" s="799"/>
      <c r="C52" s="886"/>
      <c r="D52" s="886"/>
      <c r="E52" s="886"/>
      <c r="F52" s="886"/>
      <c r="G52" s="887"/>
    </row>
    <row r="53" spans="1:7" ht="36" customHeight="1">
      <c r="A53" s="801">
        <v>43388</v>
      </c>
      <c r="B53" s="804" t="s">
        <v>1313</v>
      </c>
      <c r="C53" s="619" t="s">
        <v>1314</v>
      </c>
      <c r="D53" s="620" t="s">
        <v>1315</v>
      </c>
      <c r="E53" s="18">
        <v>470</v>
      </c>
      <c r="F53" s="624" t="s">
        <v>1350</v>
      </c>
      <c r="G53" s="342"/>
    </row>
    <row r="54" spans="1:7" ht="36" customHeight="1">
      <c r="A54" s="802"/>
      <c r="B54" s="805"/>
      <c r="C54" s="809" t="s">
        <v>1351</v>
      </c>
      <c r="D54" s="621" t="s">
        <v>1352</v>
      </c>
      <c r="E54" s="27">
        <v>70</v>
      </c>
      <c r="F54" s="625"/>
      <c r="G54" s="335"/>
    </row>
    <row r="55" spans="1:7" ht="36" customHeight="1">
      <c r="A55" s="802"/>
      <c r="B55" s="805"/>
      <c r="C55" s="809"/>
      <c r="D55" s="621" t="s">
        <v>1353</v>
      </c>
      <c r="E55" s="27">
        <v>30</v>
      </c>
      <c r="F55" s="621"/>
      <c r="G55" s="335"/>
    </row>
    <row r="56" spans="1:7" ht="36" customHeight="1">
      <c r="A56" s="802"/>
      <c r="B56" s="805"/>
      <c r="C56" s="617" t="s">
        <v>1281</v>
      </c>
      <c r="D56" s="621" t="s">
        <v>604</v>
      </c>
      <c r="E56" s="27">
        <v>150</v>
      </c>
      <c r="F56" s="167" t="s">
        <v>1283</v>
      </c>
      <c r="G56" s="335"/>
    </row>
    <row r="57" spans="1:7" ht="36" customHeight="1" thickBot="1">
      <c r="A57" s="802"/>
      <c r="B57" s="805"/>
      <c r="C57" s="618" t="s">
        <v>1354</v>
      </c>
      <c r="D57" s="8" t="s">
        <v>1355</v>
      </c>
      <c r="E57" s="24" t="s">
        <v>1356</v>
      </c>
      <c r="F57" s="207"/>
      <c r="G57" s="336"/>
    </row>
    <row r="58" spans="1:7" ht="36" customHeight="1">
      <c r="A58" s="801">
        <v>43389</v>
      </c>
      <c r="B58" s="804" t="s">
        <v>176</v>
      </c>
      <c r="C58" s="833" t="s">
        <v>1345</v>
      </c>
      <c r="D58" s="611" t="s">
        <v>1346</v>
      </c>
      <c r="E58" s="18">
        <v>100</v>
      </c>
      <c r="F58" s="611"/>
      <c r="G58" s="342"/>
    </row>
    <row r="59" spans="1:7" ht="36" customHeight="1">
      <c r="A59" s="802"/>
      <c r="B59" s="805"/>
      <c r="C59" s="825"/>
      <c r="D59" s="146" t="s">
        <v>1347</v>
      </c>
      <c r="E59" s="57">
        <v>5</v>
      </c>
      <c r="F59" s="146"/>
      <c r="G59" s="357"/>
    </row>
    <row r="60" spans="1:7" ht="36" customHeight="1">
      <c r="A60" s="802"/>
      <c r="B60" s="805"/>
      <c r="C60" s="610" t="s">
        <v>758</v>
      </c>
      <c r="D60" s="612" t="s">
        <v>1165</v>
      </c>
      <c r="E60" s="27"/>
      <c r="F60" s="431" t="s">
        <v>1361</v>
      </c>
      <c r="G60" s="357"/>
    </row>
    <row r="61" spans="1:7" ht="36" customHeight="1" thickBot="1">
      <c r="A61" s="803"/>
      <c r="B61" s="828"/>
      <c r="C61" s="52" t="s">
        <v>1357</v>
      </c>
      <c r="D61" s="53" t="s">
        <v>1358</v>
      </c>
      <c r="E61" s="33" t="s">
        <v>1359</v>
      </c>
      <c r="F61" s="262" t="s">
        <v>1360</v>
      </c>
      <c r="G61" s="418"/>
    </row>
    <row r="62" spans="1:7" ht="36" customHeight="1">
      <c r="A62" s="801">
        <v>43390</v>
      </c>
      <c r="B62" s="804" t="s">
        <v>175</v>
      </c>
      <c r="C62" s="824" t="s">
        <v>23</v>
      </c>
      <c r="D62" s="626" t="s">
        <v>341</v>
      </c>
      <c r="E62" s="18">
        <v>220</v>
      </c>
      <c r="F62" s="206" t="s">
        <v>1330</v>
      </c>
      <c r="G62" s="342" t="s">
        <v>1364</v>
      </c>
    </row>
    <row r="63" spans="1:7" ht="36" customHeight="1">
      <c r="A63" s="802"/>
      <c r="B63" s="805"/>
      <c r="C63" s="809"/>
      <c r="D63" s="627" t="s">
        <v>384</v>
      </c>
      <c r="E63" s="27">
        <v>20</v>
      </c>
      <c r="F63" s="167"/>
      <c r="G63" s="335"/>
    </row>
    <row r="64" spans="1:7" ht="36" customHeight="1">
      <c r="A64" s="802"/>
      <c r="B64" s="805"/>
      <c r="C64" s="809"/>
      <c r="D64" s="627" t="s">
        <v>1275</v>
      </c>
      <c r="E64" s="27" t="s">
        <v>50</v>
      </c>
      <c r="F64" s="167"/>
      <c r="G64" s="335"/>
    </row>
    <row r="65" spans="1:7" ht="36" customHeight="1" thickBot="1">
      <c r="A65" s="802"/>
      <c r="B65" s="805"/>
      <c r="C65" s="617" t="s">
        <v>15</v>
      </c>
      <c r="D65" s="621" t="s">
        <v>1348</v>
      </c>
      <c r="E65" s="27">
        <v>50</v>
      </c>
      <c r="F65" s="625" t="s">
        <v>1349</v>
      </c>
      <c r="G65" s="335"/>
    </row>
    <row r="66" spans="1:7" ht="36" customHeight="1">
      <c r="A66" s="801">
        <v>43391</v>
      </c>
      <c r="B66" s="804" t="s">
        <v>247</v>
      </c>
      <c r="C66" s="824" t="s">
        <v>1320</v>
      </c>
      <c r="D66" s="631" t="s">
        <v>1321</v>
      </c>
      <c r="E66" s="18">
        <v>160</v>
      </c>
      <c r="F66" s="631"/>
      <c r="G66" s="342" t="s">
        <v>1373</v>
      </c>
    </row>
    <row r="67" spans="1:7" ht="36" customHeight="1">
      <c r="A67" s="802"/>
      <c r="B67" s="805"/>
      <c r="C67" s="809"/>
      <c r="D67" s="632" t="s">
        <v>1322</v>
      </c>
      <c r="E67" s="27">
        <v>318</v>
      </c>
      <c r="F67" s="632"/>
      <c r="G67" s="335"/>
    </row>
    <row r="68" spans="1:7" ht="36" customHeight="1">
      <c r="A68" s="802"/>
      <c r="B68" s="805"/>
      <c r="C68" s="629" t="s">
        <v>1281</v>
      </c>
      <c r="D68" s="632" t="s">
        <v>604</v>
      </c>
      <c r="E68" s="27">
        <v>150</v>
      </c>
      <c r="F68" s="167" t="s">
        <v>1283</v>
      </c>
      <c r="G68" s="335"/>
    </row>
    <row r="69" spans="1:7" ht="36" customHeight="1" thickBot="1">
      <c r="A69" s="803"/>
      <c r="B69" s="828"/>
      <c r="C69" s="630" t="s">
        <v>1377</v>
      </c>
      <c r="D69" s="8" t="s">
        <v>1378</v>
      </c>
      <c r="E69" s="24">
        <v>100</v>
      </c>
      <c r="F69" s="8"/>
      <c r="G69" s="336"/>
    </row>
    <row r="70" spans="1:7" ht="36" customHeight="1">
      <c r="A70" s="802">
        <v>43392</v>
      </c>
      <c r="B70" s="805" t="s">
        <v>1370</v>
      </c>
      <c r="C70" s="825" t="s">
        <v>33</v>
      </c>
      <c r="D70" s="49" t="s">
        <v>57</v>
      </c>
      <c r="E70" s="124">
        <v>64</v>
      </c>
      <c r="F70" s="628" t="s">
        <v>1340</v>
      </c>
      <c r="G70" s="357"/>
    </row>
    <row r="71" spans="1:7" ht="36" customHeight="1">
      <c r="A71" s="802"/>
      <c r="B71" s="805"/>
      <c r="C71" s="809"/>
      <c r="D71" s="627" t="s">
        <v>484</v>
      </c>
      <c r="E71" s="27">
        <v>64</v>
      </c>
      <c r="F71" s="625" t="s">
        <v>1340</v>
      </c>
      <c r="G71" s="343"/>
    </row>
    <row r="72" spans="1:7" ht="36" customHeight="1">
      <c r="A72" s="802"/>
      <c r="B72" s="805"/>
      <c r="C72" s="809"/>
      <c r="D72" s="627" t="s">
        <v>262</v>
      </c>
      <c r="E72" s="27">
        <v>56</v>
      </c>
      <c r="F72" s="625" t="s">
        <v>1340</v>
      </c>
      <c r="G72" s="343"/>
    </row>
    <row r="73" spans="1:7" ht="36" customHeight="1">
      <c r="A73" s="802"/>
      <c r="B73" s="805"/>
      <c r="C73" s="809"/>
      <c r="D73" s="627" t="s">
        <v>662</v>
      </c>
      <c r="E73" s="27">
        <v>50</v>
      </c>
      <c r="F73" s="625" t="s">
        <v>1339</v>
      </c>
      <c r="G73" s="343"/>
    </row>
    <row r="74" spans="1:7" ht="36" customHeight="1">
      <c r="A74" s="802"/>
      <c r="B74" s="805"/>
      <c r="C74" s="809"/>
      <c r="D74" s="627" t="s">
        <v>1342</v>
      </c>
      <c r="E74" s="27" t="s">
        <v>1341</v>
      </c>
      <c r="F74" s="625" t="s">
        <v>1339</v>
      </c>
      <c r="G74" s="343"/>
    </row>
    <row r="75" spans="1:7" ht="36" customHeight="1">
      <c r="A75" s="802"/>
      <c r="B75" s="805"/>
      <c r="C75" s="809"/>
      <c r="D75" s="632" t="s">
        <v>1381</v>
      </c>
      <c r="E75" s="27" t="s">
        <v>1382</v>
      </c>
      <c r="F75" s="625" t="s">
        <v>1380</v>
      </c>
      <c r="G75" s="343"/>
    </row>
    <row r="76" spans="1:7" ht="36" customHeight="1">
      <c r="A76" s="802"/>
      <c r="B76" s="805"/>
      <c r="C76" s="809"/>
      <c r="D76" s="627" t="s">
        <v>1343</v>
      </c>
      <c r="E76" s="27" t="s">
        <v>1344</v>
      </c>
      <c r="F76" s="625" t="s">
        <v>1339</v>
      </c>
      <c r="G76" s="343"/>
    </row>
    <row r="77" spans="1:7" ht="36" customHeight="1">
      <c r="A77" s="802"/>
      <c r="B77" s="805"/>
      <c r="C77" s="861" t="s">
        <v>1386</v>
      </c>
      <c r="D77" s="637" t="s">
        <v>954</v>
      </c>
      <c r="E77" s="29" t="s">
        <v>1383</v>
      </c>
      <c r="F77" s="643"/>
      <c r="G77" s="343"/>
    </row>
    <row r="78" spans="1:7" ht="36" customHeight="1" thickBot="1">
      <c r="A78" s="802"/>
      <c r="B78" s="805"/>
      <c r="C78" s="822"/>
      <c r="D78" s="85" t="s">
        <v>1384</v>
      </c>
      <c r="E78" s="29" t="s">
        <v>1385</v>
      </c>
      <c r="F78" s="643"/>
      <c r="G78" s="343"/>
    </row>
    <row r="79" spans="1:7" ht="36" customHeight="1" thickBot="1">
      <c r="A79" s="803"/>
      <c r="B79" s="828"/>
      <c r="C79" s="105" t="s">
        <v>1362</v>
      </c>
      <c r="D79" s="106" t="s">
        <v>1358</v>
      </c>
      <c r="E79" s="63" t="s">
        <v>1363</v>
      </c>
      <c r="F79" s="279" t="s">
        <v>1360</v>
      </c>
      <c r="G79" s="373"/>
    </row>
    <row r="80" spans="1:7" ht="114" customHeight="1" thickBot="1">
      <c r="A80" s="798" t="s">
        <v>0</v>
      </c>
      <c r="B80" s="799"/>
      <c r="C80" s="886"/>
      <c r="D80" s="886"/>
      <c r="E80" s="886"/>
      <c r="F80" s="886"/>
      <c r="G80" s="887"/>
    </row>
    <row r="81" spans="1:7" ht="36" customHeight="1">
      <c r="A81" s="801">
        <v>43395</v>
      </c>
      <c r="B81" s="804" t="s">
        <v>1365</v>
      </c>
      <c r="C81" s="824" t="s">
        <v>1367</v>
      </c>
      <c r="D81" s="636" t="s">
        <v>1368</v>
      </c>
      <c r="E81" s="18">
        <v>229</v>
      </c>
      <c r="F81" s="206"/>
      <c r="G81" s="342"/>
    </row>
    <row r="82" spans="1:7" ht="36" customHeight="1">
      <c r="A82" s="802"/>
      <c r="B82" s="805"/>
      <c r="C82" s="809"/>
      <c r="D82" s="637" t="s">
        <v>1376</v>
      </c>
      <c r="E82" s="27">
        <v>26</v>
      </c>
      <c r="F82" s="167"/>
      <c r="G82" s="335"/>
    </row>
    <row r="83" spans="1:7" ht="36" customHeight="1">
      <c r="A83" s="802"/>
      <c r="B83" s="805"/>
      <c r="C83" s="633" t="s">
        <v>181</v>
      </c>
      <c r="D83" s="637" t="s">
        <v>391</v>
      </c>
      <c r="E83" s="27">
        <v>100</v>
      </c>
      <c r="F83" s="167" t="s">
        <v>1379</v>
      </c>
      <c r="G83" s="335"/>
    </row>
    <row r="84" spans="1:7" ht="36" customHeight="1" thickBot="1">
      <c r="A84" s="802"/>
      <c r="B84" s="805"/>
      <c r="C84" s="640" t="s">
        <v>1391</v>
      </c>
      <c r="D84" s="85" t="s">
        <v>1392</v>
      </c>
      <c r="E84" s="29">
        <v>100</v>
      </c>
      <c r="F84" s="226"/>
      <c r="G84" s="343"/>
    </row>
    <row r="85" spans="1:7" ht="36" customHeight="1" thickBot="1">
      <c r="A85" s="803"/>
      <c r="B85" s="828"/>
      <c r="C85" s="105"/>
      <c r="D85" s="106"/>
      <c r="E85" s="63"/>
      <c r="F85" s="279"/>
      <c r="G85" s="373"/>
    </row>
    <row r="86" spans="1:7" ht="36" customHeight="1">
      <c r="A86" s="801">
        <v>43396</v>
      </c>
      <c r="B86" s="804" t="s">
        <v>176</v>
      </c>
      <c r="C86" s="833" t="s">
        <v>1396</v>
      </c>
      <c r="D86" s="636" t="s">
        <v>1397</v>
      </c>
      <c r="E86" s="18">
        <v>100</v>
      </c>
      <c r="F86" s="206"/>
      <c r="G86" s="342"/>
    </row>
    <row r="87" spans="1:7" ht="36" customHeight="1">
      <c r="A87" s="802"/>
      <c r="B87" s="805"/>
      <c r="C87" s="825"/>
      <c r="D87" s="49" t="s">
        <v>1403</v>
      </c>
      <c r="E87" s="124">
        <v>50</v>
      </c>
      <c r="F87" s="258"/>
      <c r="G87" s="346"/>
    </row>
    <row r="88" spans="1:7" ht="36" customHeight="1">
      <c r="A88" s="802"/>
      <c r="B88" s="805"/>
      <c r="C88" s="633" t="s">
        <v>111</v>
      </c>
      <c r="D88" s="637" t="s">
        <v>1387</v>
      </c>
      <c r="E88" s="27">
        <v>50</v>
      </c>
      <c r="F88" s="167" t="s">
        <v>1388</v>
      </c>
      <c r="G88" s="335"/>
    </row>
    <row r="89" spans="1:7" ht="36" customHeight="1">
      <c r="A89" s="802"/>
      <c r="B89" s="805"/>
      <c r="C89" s="648" t="s">
        <v>1371</v>
      </c>
      <c r="D89" s="651" t="s">
        <v>19</v>
      </c>
      <c r="E89" s="27">
        <v>40</v>
      </c>
      <c r="F89" s="655" t="s">
        <v>1399</v>
      </c>
      <c r="G89" s="343"/>
    </row>
    <row r="90" spans="1:7" ht="36" customHeight="1" thickBot="1">
      <c r="A90" s="802"/>
      <c r="B90" s="805"/>
      <c r="C90" s="634"/>
      <c r="D90" s="8"/>
      <c r="E90" s="24"/>
      <c r="F90" s="207"/>
      <c r="G90" s="336"/>
    </row>
    <row r="91" spans="1:7" ht="36" customHeight="1" thickBot="1">
      <c r="A91" s="803"/>
      <c r="B91" s="828"/>
      <c r="C91" s="149" t="s">
        <v>30</v>
      </c>
      <c r="D91" s="150" t="s">
        <v>327</v>
      </c>
      <c r="E91" s="151" t="s">
        <v>328</v>
      </c>
      <c r="F91" s="268" t="s">
        <v>89</v>
      </c>
      <c r="G91" s="397"/>
    </row>
    <row r="92" spans="1:7" ht="36" customHeight="1">
      <c r="A92" s="801">
        <v>43397</v>
      </c>
      <c r="B92" s="804" t="s">
        <v>175</v>
      </c>
      <c r="C92" s="824" t="s">
        <v>1367</v>
      </c>
      <c r="D92" s="650" t="s">
        <v>1368</v>
      </c>
      <c r="E92" s="18">
        <v>85</v>
      </c>
      <c r="F92" s="206"/>
      <c r="G92" s="342"/>
    </row>
    <row r="93" spans="1:7" ht="36" customHeight="1">
      <c r="A93" s="802"/>
      <c r="B93" s="805"/>
      <c r="C93" s="809"/>
      <c r="D93" s="651" t="s">
        <v>1369</v>
      </c>
      <c r="E93" s="27">
        <v>147</v>
      </c>
      <c r="F93" s="167"/>
      <c r="G93" s="335"/>
    </row>
    <row r="94" spans="1:7" ht="36" customHeight="1">
      <c r="A94" s="802"/>
      <c r="B94" s="805"/>
      <c r="C94" s="648" t="s">
        <v>1374</v>
      </c>
      <c r="D94" s="651" t="s">
        <v>1375</v>
      </c>
      <c r="E94" s="27">
        <v>100</v>
      </c>
      <c r="F94" s="167" t="s">
        <v>1402</v>
      </c>
      <c r="G94" s="335"/>
    </row>
    <row r="95" spans="1:7" ht="36" customHeight="1">
      <c r="A95" s="802"/>
      <c r="B95" s="805"/>
      <c r="C95" s="648" t="s">
        <v>1366</v>
      </c>
      <c r="D95" s="651" t="s">
        <v>57</v>
      </c>
      <c r="E95" s="27">
        <v>43</v>
      </c>
      <c r="F95" s="656" t="s">
        <v>1400</v>
      </c>
      <c r="G95" s="335"/>
    </row>
    <row r="96" spans="1:7" ht="36" customHeight="1" thickBot="1">
      <c r="A96" s="802"/>
      <c r="B96" s="805"/>
      <c r="C96" s="649"/>
      <c r="D96" s="8"/>
      <c r="E96" s="24"/>
      <c r="F96" s="207"/>
      <c r="G96" s="336"/>
    </row>
    <row r="97" spans="1:8" ht="36" customHeight="1" thickBot="1">
      <c r="A97" s="803"/>
      <c r="B97" s="828"/>
      <c r="C97" s="105"/>
      <c r="D97" s="106"/>
      <c r="E97" s="63"/>
      <c r="F97" s="279"/>
      <c r="G97" s="373"/>
    </row>
    <row r="98" spans="1:8" ht="36" customHeight="1">
      <c r="A98" s="802">
        <v>43398</v>
      </c>
      <c r="B98" s="805" t="s">
        <v>1405</v>
      </c>
      <c r="C98" s="653" t="s">
        <v>543</v>
      </c>
      <c r="D98" s="49" t="s">
        <v>1372</v>
      </c>
      <c r="E98" s="124">
        <v>50</v>
      </c>
      <c r="F98" s="258" t="s">
        <v>1401</v>
      </c>
      <c r="G98" s="346"/>
      <c r="H98" s="19"/>
    </row>
    <row r="99" spans="1:8" ht="36" customHeight="1">
      <c r="A99" s="802"/>
      <c r="B99" s="805"/>
      <c r="C99" s="861" t="s">
        <v>827</v>
      </c>
      <c r="D99" s="49" t="s">
        <v>1406</v>
      </c>
      <c r="E99" s="124">
        <v>50</v>
      </c>
      <c r="F99" s="258"/>
      <c r="G99" s="357"/>
      <c r="H99" s="19"/>
    </row>
    <row r="100" spans="1:8" ht="36" customHeight="1">
      <c r="A100" s="802"/>
      <c r="B100" s="805"/>
      <c r="C100" s="825"/>
      <c r="D100" s="49" t="s">
        <v>1407</v>
      </c>
      <c r="E100" s="124">
        <v>50</v>
      </c>
      <c r="F100" s="258"/>
      <c r="G100" s="357"/>
      <c r="H100" s="19"/>
    </row>
    <row r="101" spans="1:8" ht="36" customHeight="1">
      <c r="A101" s="802"/>
      <c r="B101" s="805"/>
      <c r="C101" s="652" t="s">
        <v>96</v>
      </c>
      <c r="D101" s="654" t="s">
        <v>930</v>
      </c>
      <c r="E101" s="27" t="s">
        <v>1404</v>
      </c>
      <c r="F101" s="656" t="s">
        <v>1398</v>
      </c>
      <c r="G101" s="343"/>
      <c r="H101" s="19"/>
    </row>
    <row r="102" spans="1:8" ht="36" customHeight="1" thickBot="1">
      <c r="A102" s="802"/>
      <c r="B102" s="805"/>
      <c r="C102" s="649"/>
      <c r="D102" s="8"/>
      <c r="E102" s="24"/>
      <c r="F102" s="207"/>
      <c r="G102" s="336"/>
      <c r="H102" s="19"/>
    </row>
    <row r="103" spans="1:8" ht="36" customHeight="1" thickBot="1">
      <c r="A103" s="803"/>
      <c r="B103" s="828"/>
      <c r="C103" s="42"/>
      <c r="D103" s="40"/>
      <c r="E103" s="36"/>
      <c r="F103" s="264"/>
      <c r="G103" s="390"/>
      <c r="H103" s="19"/>
    </row>
    <row r="104" spans="1:8" ht="36" customHeight="1">
      <c r="A104" s="801">
        <v>43399</v>
      </c>
      <c r="B104" s="804" t="s">
        <v>248</v>
      </c>
      <c r="C104" s="824" t="s">
        <v>1393</v>
      </c>
      <c r="D104" s="641" t="s">
        <v>1394</v>
      </c>
      <c r="E104" s="18">
        <v>305</v>
      </c>
      <c r="F104" s="206"/>
      <c r="G104" s="342"/>
      <c r="H104" s="19"/>
    </row>
    <row r="105" spans="1:8" ht="36" customHeight="1">
      <c r="A105" s="802"/>
      <c r="B105" s="805"/>
      <c r="C105" s="809"/>
      <c r="D105" s="642" t="s">
        <v>1395</v>
      </c>
      <c r="E105" s="27">
        <v>20</v>
      </c>
      <c r="F105" s="167"/>
      <c r="G105" s="335"/>
      <c r="H105" s="19"/>
    </row>
    <row r="106" spans="1:8" ht="36" customHeight="1">
      <c r="A106" s="802"/>
      <c r="B106" s="805"/>
      <c r="C106" s="638"/>
      <c r="D106" s="642"/>
      <c r="E106" s="27"/>
      <c r="F106" s="656"/>
      <c r="G106" s="335"/>
      <c r="H106" s="19"/>
    </row>
    <row r="107" spans="1:8" ht="36" customHeight="1" thickBot="1">
      <c r="A107" s="802"/>
      <c r="B107" s="805"/>
      <c r="C107" s="639"/>
      <c r="D107" s="8"/>
      <c r="E107" s="24"/>
      <c r="F107" s="207"/>
      <c r="G107" s="336"/>
      <c r="H107" s="19"/>
    </row>
    <row r="108" spans="1:8" ht="36" customHeight="1" thickBot="1">
      <c r="A108" s="803"/>
      <c r="B108" s="828"/>
      <c r="C108" s="52"/>
      <c r="D108" s="53"/>
      <c r="E108" s="33"/>
      <c r="F108" s="262"/>
      <c r="G108" s="418"/>
      <c r="H108" s="19"/>
    </row>
    <row r="109" spans="1:8" ht="128.25" customHeight="1" thickBot="1">
      <c r="A109" s="798" t="s">
        <v>0</v>
      </c>
      <c r="B109" s="799"/>
      <c r="C109" s="886"/>
      <c r="D109" s="886"/>
      <c r="E109" s="886"/>
      <c r="F109" s="886"/>
      <c r="G109" s="887"/>
      <c r="H109" s="19"/>
    </row>
    <row r="110" spans="1:8" ht="36" customHeight="1">
      <c r="A110" s="801">
        <v>43402</v>
      </c>
      <c r="B110" s="804" t="s">
        <v>1390</v>
      </c>
      <c r="C110" s="635" t="s">
        <v>1418</v>
      </c>
      <c r="D110" s="636" t="s">
        <v>1419</v>
      </c>
      <c r="E110" s="18" t="s">
        <v>1420</v>
      </c>
      <c r="F110" s="206"/>
      <c r="G110" s="342"/>
      <c r="H110" s="19"/>
    </row>
    <row r="111" spans="1:8" ht="36" customHeight="1" thickBot="1">
      <c r="A111" s="802"/>
      <c r="B111" s="805"/>
      <c r="C111" s="634"/>
      <c r="D111" s="8"/>
      <c r="E111" s="24"/>
      <c r="F111" s="207"/>
      <c r="G111" s="336"/>
      <c r="H111" s="19"/>
    </row>
    <row r="112" spans="1:8" ht="36" customHeight="1" thickBot="1">
      <c r="A112" s="803"/>
      <c r="B112" s="828"/>
      <c r="C112" s="105"/>
      <c r="D112" s="106"/>
      <c r="E112" s="63"/>
      <c r="F112" s="279"/>
      <c r="G112" s="373"/>
      <c r="H112" s="19"/>
    </row>
    <row r="113" spans="1:8" ht="36" customHeight="1">
      <c r="A113" s="801">
        <v>43403</v>
      </c>
      <c r="B113" s="804" t="s">
        <v>176</v>
      </c>
      <c r="C113" s="833" t="s">
        <v>1423</v>
      </c>
      <c r="D113" s="636" t="s">
        <v>1424</v>
      </c>
      <c r="E113" s="18">
        <v>50</v>
      </c>
      <c r="F113" s="206"/>
      <c r="G113" s="342"/>
      <c r="H113" s="19"/>
    </row>
    <row r="114" spans="1:8" ht="36" customHeight="1">
      <c r="A114" s="802"/>
      <c r="B114" s="805"/>
      <c r="C114" s="825"/>
      <c r="D114" s="49" t="s">
        <v>1425</v>
      </c>
      <c r="E114" s="124">
        <v>40</v>
      </c>
      <c r="F114" s="258"/>
      <c r="G114" s="346"/>
      <c r="H114" s="19"/>
    </row>
    <row r="115" spans="1:8" ht="36" customHeight="1" thickBot="1">
      <c r="A115" s="802"/>
      <c r="B115" s="805"/>
      <c r="C115" s="634"/>
      <c r="D115" s="8"/>
      <c r="E115" s="24"/>
      <c r="F115" s="207"/>
      <c r="G115" s="336"/>
      <c r="H115" s="19"/>
    </row>
    <row r="116" spans="1:8" ht="36" customHeight="1" thickBot="1">
      <c r="A116" s="803"/>
      <c r="B116" s="828"/>
      <c r="C116" s="149"/>
      <c r="D116" s="150"/>
      <c r="E116" s="151"/>
      <c r="F116" s="268"/>
      <c r="G116" s="397"/>
      <c r="H116" s="19"/>
    </row>
    <row r="117" spans="1:8" ht="36" customHeight="1">
      <c r="A117" s="801">
        <v>43404</v>
      </c>
      <c r="B117" s="804" t="s">
        <v>175</v>
      </c>
      <c r="C117" s="824" t="s">
        <v>1431</v>
      </c>
      <c r="D117" s="658" t="s">
        <v>1426</v>
      </c>
      <c r="E117" s="18" t="s">
        <v>1427</v>
      </c>
      <c r="F117" s="206"/>
      <c r="G117" s="342"/>
      <c r="H117" s="19"/>
    </row>
    <row r="118" spans="1:8" ht="36" customHeight="1">
      <c r="A118" s="802"/>
      <c r="B118" s="805"/>
      <c r="C118" s="809"/>
      <c r="D118" s="659" t="s">
        <v>1424</v>
      </c>
      <c r="E118" s="27">
        <v>50</v>
      </c>
      <c r="F118" s="167"/>
      <c r="G118" s="335"/>
      <c r="H118" s="19"/>
    </row>
    <row r="119" spans="1:8" ht="36" customHeight="1">
      <c r="A119" s="802"/>
      <c r="B119" s="805"/>
      <c r="C119" s="809"/>
      <c r="D119" s="659" t="s">
        <v>1429</v>
      </c>
      <c r="E119" s="27">
        <v>64</v>
      </c>
      <c r="F119" s="167"/>
      <c r="G119" s="335"/>
      <c r="H119" s="19"/>
    </row>
    <row r="120" spans="1:8" ht="36" customHeight="1">
      <c r="A120" s="802"/>
      <c r="B120" s="805"/>
      <c r="C120" s="809"/>
      <c r="D120" s="659" t="s">
        <v>1430</v>
      </c>
      <c r="E120" s="27">
        <v>64</v>
      </c>
      <c r="F120" s="167"/>
      <c r="G120" s="335"/>
      <c r="H120" s="19"/>
    </row>
    <row r="121" spans="1:8" ht="36" customHeight="1" thickBot="1">
      <c r="A121" s="802"/>
      <c r="B121" s="805"/>
      <c r="C121" s="657" t="s">
        <v>1412</v>
      </c>
      <c r="D121" s="8" t="s">
        <v>1413</v>
      </c>
      <c r="E121" s="24">
        <v>50</v>
      </c>
      <c r="F121" s="207"/>
      <c r="G121" s="336"/>
      <c r="H121" s="19"/>
    </row>
    <row r="122" spans="1:8" ht="36" customHeight="1" thickBot="1">
      <c r="A122" s="803"/>
      <c r="B122" s="828"/>
      <c r="C122" s="42" t="s">
        <v>375</v>
      </c>
      <c r="D122" s="40" t="s">
        <v>376</v>
      </c>
      <c r="E122" s="36" t="s">
        <v>552</v>
      </c>
      <c r="F122" s="264" t="s">
        <v>89</v>
      </c>
      <c r="G122" s="390"/>
      <c r="H122" s="19"/>
    </row>
    <row r="123" spans="1:8" ht="36" customHeight="1">
      <c r="A123" s="801">
        <v>43405</v>
      </c>
      <c r="B123" s="804" t="s">
        <v>247</v>
      </c>
      <c r="C123" s="824" t="s">
        <v>1432</v>
      </c>
      <c r="D123" s="658" t="s">
        <v>1433</v>
      </c>
      <c r="E123" s="18" t="s">
        <v>1434</v>
      </c>
      <c r="F123" s="206"/>
      <c r="G123" s="342"/>
      <c r="H123" s="19"/>
    </row>
    <row r="124" spans="1:8" ht="36" customHeight="1">
      <c r="A124" s="802"/>
      <c r="B124" s="805"/>
      <c r="C124" s="809"/>
      <c r="D124" s="659" t="s">
        <v>1435</v>
      </c>
      <c r="E124" s="27" t="s">
        <v>1436</v>
      </c>
      <c r="F124" s="167"/>
      <c r="G124" s="335"/>
      <c r="H124" s="19"/>
    </row>
    <row r="125" spans="1:8" ht="36" customHeight="1">
      <c r="A125" s="802"/>
      <c r="B125" s="805"/>
      <c r="C125" s="809" t="s">
        <v>15</v>
      </c>
      <c r="D125" s="659" t="s">
        <v>1437</v>
      </c>
      <c r="E125" s="27">
        <v>50</v>
      </c>
      <c r="F125" s="167"/>
      <c r="G125" s="335"/>
      <c r="H125" s="19"/>
    </row>
    <row r="126" spans="1:8" ht="36" customHeight="1">
      <c r="A126" s="802"/>
      <c r="B126" s="805"/>
      <c r="C126" s="809"/>
      <c r="D126" s="659" t="s">
        <v>1438</v>
      </c>
      <c r="E126" s="27">
        <v>30</v>
      </c>
      <c r="F126" s="167"/>
      <c r="G126" s="335"/>
      <c r="H126" s="19"/>
    </row>
    <row r="127" spans="1:8" ht="36" customHeight="1" thickBot="1">
      <c r="A127" s="802"/>
      <c r="B127" s="805"/>
      <c r="C127" s="657"/>
      <c r="D127" s="8"/>
      <c r="E127" s="24"/>
      <c r="F127" s="207"/>
      <c r="G127" s="336"/>
      <c r="H127" s="19"/>
    </row>
    <row r="128" spans="1:8" ht="36" customHeight="1" thickBot="1">
      <c r="A128" s="803"/>
      <c r="B128" s="828"/>
      <c r="C128" s="42"/>
      <c r="D128" s="40"/>
      <c r="E128" s="36"/>
      <c r="F128" s="264"/>
      <c r="G128" s="390"/>
      <c r="H128" s="19"/>
    </row>
    <row r="129" spans="1:8" ht="36" customHeight="1">
      <c r="A129" s="801">
        <v>43406</v>
      </c>
      <c r="B129" s="804" t="s">
        <v>248</v>
      </c>
      <c r="C129" s="824" t="s">
        <v>1414</v>
      </c>
      <c r="D129" s="692" t="s">
        <v>1415</v>
      </c>
      <c r="E129" s="18">
        <v>560</v>
      </c>
      <c r="F129" s="206"/>
      <c r="G129" s="342"/>
      <c r="H129" s="19"/>
    </row>
    <row r="130" spans="1:8" ht="36" customHeight="1">
      <c r="A130" s="802"/>
      <c r="B130" s="805"/>
      <c r="C130" s="809"/>
      <c r="D130" s="693" t="s">
        <v>1416</v>
      </c>
      <c r="E130" s="27">
        <v>80</v>
      </c>
      <c r="F130" s="167"/>
      <c r="G130" s="335"/>
      <c r="H130" s="19"/>
    </row>
    <row r="131" spans="1:8" ht="36" customHeight="1">
      <c r="A131" s="802"/>
      <c r="B131" s="805"/>
      <c r="C131" s="690"/>
      <c r="D131" s="693"/>
      <c r="E131" s="27"/>
      <c r="F131" s="167"/>
      <c r="G131" s="335"/>
      <c r="H131" s="19"/>
    </row>
    <row r="132" spans="1:8" ht="36" customHeight="1">
      <c r="A132" s="802"/>
      <c r="B132" s="805"/>
      <c r="C132" s="690"/>
      <c r="D132" s="693"/>
      <c r="E132" s="27"/>
      <c r="F132" s="167"/>
      <c r="G132" s="335"/>
      <c r="H132" s="19"/>
    </row>
    <row r="133" spans="1:8" ht="36" customHeight="1" thickBot="1">
      <c r="A133" s="802"/>
      <c r="B133" s="805"/>
      <c r="C133" s="691"/>
      <c r="D133" s="8"/>
      <c r="E133" s="24"/>
      <c r="F133" s="207"/>
      <c r="G133" s="336"/>
      <c r="H133" s="19"/>
    </row>
    <row r="134" spans="1:8" ht="36" customHeight="1" thickBot="1">
      <c r="A134" s="803"/>
      <c r="B134" s="828"/>
      <c r="C134" s="52" t="s">
        <v>1408</v>
      </c>
      <c r="D134" s="53" t="s">
        <v>1409</v>
      </c>
      <c r="E134" s="33" t="s">
        <v>1410</v>
      </c>
      <c r="F134" s="262" t="s">
        <v>1411</v>
      </c>
      <c r="G134" s="418"/>
      <c r="H134" s="19"/>
    </row>
  </sheetData>
  <mergeCells count="80">
    <mergeCell ref="C70:C76"/>
    <mergeCell ref="C62:C64"/>
    <mergeCell ref="A92:A97"/>
    <mergeCell ref="B92:B97"/>
    <mergeCell ref="A70:A79"/>
    <mergeCell ref="B70:B79"/>
    <mergeCell ref="C81:C82"/>
    <mergeCell ref="C77:C78"/>
    <mergeCell ref="A98:A103"/>
    <mergeCell ref="B98:B103"/>
    <mergeCell ref="A104:A108"/>
    <mergeCell ref="B104:B108"/>
    <mergeCell ref="A80:G80"/>
    <mergeCell ref="A81:A85"/>
    <mergeCell ref="B81:B85"/>
    <mergeCell ref="A86:A91"/>
    <mergeCell ref="B86:B91"/>
    <mergeCell ref="C92:C93"/>
    <mergeCell ref="C104:C105"/>
    <mergeCell ref="C86:C87"/>
    <mergeCell ref="C99:C100"/>
    <mergeCell ref="A34:A41"/>
    <mergeCell ref="B34:B41"/>
    <mergeCell ref="A42:A48"/>
    <mergeCell ref="B42:B48"/>
    <mergeCell ref="C35:C38"/>
    <mergeCell ref="C40:C41"/>
    <mergeCell ref="C46:C48"/>
    <mergeCell ref="A1:G1"/>
    <mergeCell ref="A2:A8"/>
    <mergeCell ref="B2:B8"/>
    <mergeCell ref="A9:A11"/>
    <mergeCell ref="B9:B11"/>
    <mergeCell ref="C2:C6"/>
    <mergeCell ref="C12:G13"/>
    <mergeCell ref="A24:G24"/>
    <mergeCell ref="A25:A32"/>
    <mergeCell ref="B25:B32"/>
    <mergeCell ref="C33:G33"/>
    <mergeCell ref="A12:A13"/>
    <mergeCell ref="B12:B13"/>
    <mergeCell ref="A14:A19"/>
    <mergeCell ref="B14:B19"/>
    <mergeCell ref="A20:A23"/>
    <mergeCell ref="B20:B23"/>
    <mergeCell ref="C25:C27"/>
    <mergeCell ref="C16:C17"/>
    <mergeCell ref="C14:C15"/>
    <mergeCell ref="C29:C31"/>
    <mergeCell ref="A49:A51"/>
    <mergeCell ref="B49:B51"/>
    <mergeCell ref="C49:C50"/>
    <mergeCell ref="A66:A69"/>
    <mergeCell ref="B66:B69"/>
    <mergeCell ref="A52:G52"/>
    <mergeCell ref="A53:A57"/>
    <mergeCell ref="B53:B57"/>
    <mergeCell ref="C66:C67"/>
    <mergeCell ref="C58:C59"/>
    <mergeCell ref="A58:A61"/>
    <mergeCell ref="B58:B61"/>
    <mergeCell ref="A62:A65"/>
    <mergeCell ref="B62:B65"/>
    <mergeCell ref="C54:C55"/>
    <mergeCell ref="A109:G109"/>
    <mergeCell ref="A110:A112"/>
    <mergeCell ref="B110:B112"/>
    <mergeCell ref="A113:A116"/>
    <mergeCell ref="B113:B116"/>
    <mergeCell ref="C113:C114"/>
    <mergeCell ref="C129:C130"/>
    <mergeCell ref="A117:A122"/>
    <mergeCell ref="B117:B122"/>
    <mergeCell ref="A123:A128"/>
    <mergeCell ref="B123:B128"/>
    <mergeCell ref="A129:A134"/>
    <mergeCell ref="B129:B134"/>
    <mergeCell ref="C117:C120"/>
    <mergeCell ref="C123:C124"/>
    <mergeCell ref="C125:C126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  <rowBreaks count="1" manualBreakCount="1">
    <brk id="23" max="6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view="pageBreakPreview" topLeftCell="A45" zoomScale="71" zoomScaleNormal="87" zoomScaleSheetLayoutView="71" zoomScalePageLayoutView="75" workbookViewId="0">
      <selection activeCell="F57" sqref="F57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19" customWidth="1"/>
    <col min="4" max="4" width="24.125" style="19" customWidth="1"/>
    <col min="5" max="5" width="15.375" style="3" customWidth="1"/>
    <col min="6" max="6" width="25.625" style="3" customWidth="1"/>
    <col min="7" max="7" width="19.5" style="374" customWidth="1"/>
    <col min="8" max="8" width="42.5" style="38" customWidth="1"/>
    <col min="9" max="16384" width="9" style="19"/>
  </cols>
  <sheetData>
    <row r="1" spans="1:8" s="38" customFormat="1" ht="93.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8" s="38" customFormat="1" ht="36" customHeight="1">
      <c r="A2" s="801">
        <v>43409</v>
      </c>
      <c r="B2" s="804" t="s">
        <v>1390</v>
      </c>
      <c r="C2" s="833" t="s">
        <v>1417</v>
      </c>
      <c r="D2" s="636" t="s">
        <v>1446</v>
      </c>
      <c r="E2" s="18">
        <v>166</v>
      </c>
      <c r="F2" s="206"/>
      <c r="G2" s="342"/>
    </row>
    <row r="3" spans="1:8" s="38" customFormat="1" ht="36" customHeight="1" thickBot="1">
      <c r="A3" s="802"/>
      <c r="B3" s="805"/>
      <c r="C3" s="825"/>
      <c r="D3" s="49" t="s">
        <v>1447</v>
      </c>
      <c r="E3" s="124">
        <v>234</v>
      </c>
      <c r="F3" s="258"/>
      <c r="G3" s="346"/>
    </row>
    <row r="4" spans="1:8" s="38" customFormat="1" ht="36" customHeight="1" thickBot="1">
      <c r="A4" s="803"/>
      <c r="B4" s="828"/>
      <c r="C4" s="149"/>
      <c r="D4" s="150"/>
      <c r="E4" s="151"/>
      <c r="F4" s="268"/>
      <c r="G4" s="397"/>
    </row>
    <row r="5" spans="1:8" s="38" customFormat="1" ht="36" customHeight="1">
      <c r="A5" s="801">
        <v>43410</v>
      </c>
      <c r="B5" s="804" t="s">
        <v>176</v>
      </c>
      <c r="C5" s="824" t="s">
        <v>1455</v>
      </c>
      <c r="D5" s="662" t="s">
        <v>1442</v>
      </c>
      <c r="E5" s="18" t="s">
        <v>1443</v>
      </c>
      <c r="F5" s="206" t="s">
        <v>1444</v>
      </c>
      <c r="G5" s="342" t="s">
        <v>1421</v>
      </c>
      <c r="H5" s="38" t="s">
        <v>1422</v>
      </c>
    </row>
    <row r="6" spans="1:8" s="38" customFormat="1" ht="36" customHeight="1">
      <c r="A6" s="802"/>
      <c r="B6" s="805"/>
      <c r="C6" s="809"/>
      <c r="D6" s="663" t="s">
        <v>1445</v>
      </c>
      <c r="E6" s="27">
        <v>100</v>
      </c>
      <c r="F6" s="167"/>
      <c r="G6" s="335"/>
    </row>
    <row r="7" spans="1:8" s="38" customFormat="1" ht="36" customHeight="1">
      <c r="A7" s="802"/>
      <c r="B7" s="805"/>
      <c r="C7" s="660" t="s">
        <v>1451</v>
      </c>
      <c r="D7" s="663" t="s">
        <v>828</v>
      </c>
      <c r="E7" s="27">
        <v>300</v>
      </c>
      <c r="F7" s="167" t="s">
        <v>1452</v>
      </c>
      <c r="G7" s="335"/>
    </row>
    <row r="8" spans="1:8" s="38" customFormat="1" ht="36" customHeight="1" thickBot="1">
      <c r="A8" s="802"/>
      <c r="B8" s="805"/>
      <c r="C8" s="664" t="s">
        <v>311</v>
      </c>
      <c r="D8" s="667" t="s">
        <v>202</v>
      </c>
      <c r="E8" s="27" t="s">
        <v>59</v>
      </c>
      <c r="F8" s="167"/>
      <c r="G8" s="335"/>
    </row>
    <row r="9" spans="1:8" s="38" customFormat="1" ht="36" customHeight="1">
      <c r="A9" s="801">
        <v>43411</v>
      </c>
      <c r="B9" s="804" t="s">
        <v>175</v>
      </c>
      <c r="C9" s="824" t="s">
        <v>1439</v>
      </c>
      <c r="D9" s="666" t="s">
        <v>1448</v>
      </c>
      <c r="E9" s="18">
        <v>100</v>
      </c>
      <c r="F9" s="206"/>
      <c r="G9" s="342"/>
    </row>
    <row r="10" spans="1:8" s="38" customFormat="1" ht="36" customHeight="1">
      <c r="A10" s="802"/>
      <c r="B10" s="805"/>
      <c r="C10" s="809"/>
      <c r="D10" s="667" t="s">
        <v>1449</v>
      </c>
      <c r="E10" s="27" t="s">
        <v>1440</v>
      </c>
      <c r="F10" s="167" t="s">
        <v>1450</v>
      </c>
      <c r="G10" s="335"/>
      <c r="H10" s="38" t="s">
        <v>1441</v>
      </c>
    </row>
    <row r="11" spans="1:8" s="38" customFormat="1" ht="36" customHeight="1">
      <c r="A11" s="802"/>
      <c r="B11" s="805"/>
      <c r="C11" s="664" t="s">
        <v>1465</v>
      </c>
      <c r="D11" s="667" t="s">
        <v>1466</v>
      </c>
      <c r="E11" s="27" t="s">
        <v>1467</v>
      </c>
      <c r="F11" s="167"/>
      <c r="G11" s="335"/>
    </row>
    <row r="12" spans="1:8" s="38" customFormat="1" ht="36" customHeight="1">
      <c r="A12" s="802"/>
      <c r="B12" s="805"/>
      <c r="C12" s="664" t="s">
        <v>1468</v>
      </c>
      <c r="D12" s="667" t="s">
        <v>1469</v>
      </c>
      <c r="E12" s="27">
        <v>200</v>
      </c>
      <c r="F12" s="167"/>
      <c r="G12" s="335"/>
    </row>
    <row r="13" spans="1:8" s="38" customFormat="1" ht="36" customHeight="1" thickBot="1">
      <c r="A13" s="802"/>
      <c r="B13" s="805"/>
      <c r="C13" s="665" t="s">
        <v>1471</v>
      </c>
      <c r="D13" s="8" t="s">
        <v>1472</v>
      </c>
      <c r="E13" s="24">
        <v>100</v>
      </c>
      <c r="F13" s="207"/>
      <c r="G13" s="336"/>
    </row>
    <row r="14" spans="1:8" s="38" customFormat="1" ht="36" customHeight="1" thickBot="1">
      <c r="A14" s="803"/>
      <c r="B14" s="828"/>
      <c r="C14" s="42" t="s">
        <v>1456</v>
      </c>
      <c r="D14" s="40" t="s">
        <v>1458</v>
      </c>
      <c r="E14" s="36" t="s">
        <v>1457</v>
      </c>
      <c r="F14" s="264" t="s">
        <v>1459</v>
      </c>
      <c r="G14" s="390"/>
    </row>
    <row r="15" spans="1:8" s="38" customFormat="1" ht="36" customHeight="1">
      <c r="A15" s="801">
        <v>43412</v>
      </c>
      <c r="B15" s="804" t="s">
        <v>247</v>
      </c>
      <c r="C15" s="668"/>
      <c r="D15" s="662"/>
      <c r="E15" s="18"/>
      <c r="F15" s="206"/>
      <c r="G15" s="342"/>
    </row>
    <row r="16" spans="1:8" s="38" customFormat="1" ht="36" customHeight="1">
      <c r="A16" s="802"/>
      <c r="B16" s="805"/>
      <c r="C16" s="861" t="s">
        <v>495</v>
      </c>
      <c r="D16" s="663" t="s">
        <v>390</v>
      </c>
      <c r="E16" s="27">
        <v>64</v>
      </c>
      <c r="F16" s="167" t="s">
        <v>1428</v>
      </c>
      <c r="G16" s="335"/>
    </row>
    <row r="17" spans="1:8" s="38" customFormat="1" ht="36" customHeight="1">
      <c r="A17" s="802"/>
      <c r="B17" s="805"/>
      <c r="C17" s="822"/>
      <c r="D17" s="663" t="s">
        <v>385</v>
      </c>
      <c r="E17" s="27">
        <v>100</v>
      </c>
      <c r="F17" s="167" t="s">
        <v>1470</v>
      </c>
      <c r="G17" s="335"/>
    </row>
    <row r="18" spans="1:8" s="38" customFormat="1" ht="36" customHeight="1">
      <c r="A18" s="802"/>
      <c r="B18" s="805"/>
      <c r="C18" s="822"/>
      <c r="D18" s="85" t="s">
        <v>1462</v>
      </c>
      <c r="E18" s="29">
        <v>64</v>
      </c>
      <c r="F18" s="226" t="s">
        <v>1461</v>
      </c>
      <c r="G18" s="343"/>
    </row>
    <row r="19" spans="1:8" s="38" customFormat="1" ht="36" customHeight="1">
      <c r="A19" s="802"/>
      <c r="B19" s="805"/>
      <c r="C19" s="825"/>
      <c r="D19" s="85" t="s">
        <v>1463</v>
      </c>
      <c r="E19" s="29">
        <v>32</v>
      </c>
      <c r="F19" s="226" t="s">
        <v>1464</v>
      </c>
      <c r="G19" s="343"/>
    </row>
    <row r="20" spans="1:8" s="38" customFormat="1" ht="36" customHeight="1">
      <c r="A20" s="802"/>
      <c r="B20" s="805"/>
      <c r="C20" s="669" t="s">
        <v>1476</v>
      </c>
      <c r="D20" s="85"/>
      <c r="E20" s="29"/>
      <c r="F20" s="226"/>
      <c r="G20" s="343"/>
    </row>
    <row r="21" spans="1:8" s="38" customFormat="1" ht="36" customHeight="1" thickBot="1">
      <c r="A21" s="802"/>
      <c r="B21" s="805"/>
      <c r="C21" s="661"/>
      <c r="D21" s="8"/>
      <c r="E21" s="24"/>
      <c r="F21" s="207"/>
      <c r="G21" s="336"/>
    </row>
    <row r="22" spans="1:8" s="38" customFormat="1" ht="36" customHeight="1" thickBot="1">
      <c r="A22" s="803"/>
      <c r="B22" s="828"/>
      <c r="C22" s="52"/>
      <c r="D22" s="53"/>
      <c r="E22" s="33"/>
      <c r="F22" s="262"/>
      <c r="G22" s="418"/>
    </row>
    <row r="23" spans="1:8" s="38" customFormat="1" ht="36" customHeight="1">
      <c r="A23" s="801">
        <v>43413</v>
      </c>
      <c r="B23" s="804" t="s">
        <v>248</v>
      </c>
      <c r="C23" s="833" t="s">
        <v>1453</v>
      </c>
      <c r="D23" s="636" t="s">
        <v>1454</v>
      </c>
      <c r="E23" s="18">
        <v>301</v>
      </c>
      <c r="F23" s="206"/>
      <c r="G23" s="342"/>
      <c r="H23" s="38" t="s">
        <v>1460</v>
      </c>
    </row>
    <row r="24" spans="1:8" s="38" customFormat="1" ht="36" customHeight="1">
      <c r="A24" s="802"/>
      <c r="B24" s="805"/>
      <c r="C24" s="825"/>
      <c r="D24" s="49" t="s">
        <v>1447</v>
      </c>
      <c r="E24" s="124">
        <v>208</v>
      </c>
      <c r="F24" s="258"/>
      <c r="G24" s="346"/>
    </row>
    <row r="25" spans="1:8" s="38" customFormat="1" ht="36" customHeight="1" thickBot="1">
      <c r="A25" s="802"/>
      <c r="B25" s="805"/>
      <c r="C25" s="634" t="s">
        <v>1474</v>
      </c>
      <c r="D25" s="8" t="s">
        <v>1475</v>
      </c>
      <c r="E25" s="24" t="s">
        <v>1477</v>
      </c>
      <c r="F25" s="207"/>
      <c r="G25" s="336"/>
    </row>
    <row r="26" spans="1:8" s="38" customFormat="1" ht="36" customHeight="1" thickBot="1">
      <c r="A26" s="803"/>
      <c r="B26" s="828"/>
      <c r="C26" s="105"/>
      <c r="D26" s="106"/>
      <c r="E26" s="63"/>
      <c r="F26" s="279"/>
      <c r="G26" s="373"/>
    </row>
    <row r="27" spans="1:8" ht="114.75" customHeight="1" thickBot="1">
      <c r="A27" s="798" t="s">
        <v>0</v>
      </c>
      <c r="B27" s="799"/>
      <c r="C27" s="886"/>
      <c r="D27" s="886"/>
      <c r="E27" s="886"/>
      <c r="F27" s="886"/>
      <c r="G27" s="887"/>
    </row>
    <row r="28" spans="1:8" ht="36" customHeight="1">
      <c r="A28" s="801">
        <v>43416</v>
      </c>
      <c r="B28" s="804" t="s">
        <v>1473</v>
      </c>
      <c r="C28" s="824" t="s">
        <v>298</v>
      </c>
      <c r="D28" s="671" t="s">
        <v>341</v>
      </c>
      <c r="E28" s="18">
        <v>180</v>
      </c>
      <c r="F28" s="206"/>
      <c r="G28" s="342"/>
    </row>
    <row r="29" spans="1:8" ht="36" customHeight="1">
      <c r="A29" s="802"/>
      <c r="B29" s="805"/>
      <c r="C29" s="809"/>
      <c r="D29" s="672" t="s">
        <v>371</v>
      </c>
      <c r="E29" s="27">
        <v>30</v>
      </c>
      <c r="F29" s="167"/>
      <c r="G29" s="335"/>
    </row>
    <row r="30" spans="1:8" ht="36" customHeight="1">
      <c r="A30" s="802"/>
      <c r="B30" s="805"/>
      <c r="C30" s="809"/>
      <c r="D30" s="672" t="s">
        <v>384</v>
      </c>
      <c r="E30" s="27">
        <v>10</v>
      </c>
      <c r="F30" s="167"/>
      <c r="G30" s="335"/>
    </row>
    <row r="31" spans="1:8" ht="36" customHeight="1">
      <c r="A31" s="802"/>
      <c r="B31" s="805"/>
      <c r="C31" s="809"/>
      <c r="D31" s="672" t="s">
        <v>305</v>
      </c>
      <c r="E31" s="27" t="s">
        <v>147</v>
      </c>
      <c r="F31" s="167"/>
      <c r="G31" s="335"/>
    </row>
    <row r="32" spans="1:8" ht="36" customHeight="1">
      <c r="A32" s="802"/>
      <c r="B32" s="805"/>
      <c r="C32" s="809" t="s">
        <v>1486</v>
      </c>
      <c r="D32" s="672" t="s">
        <v>1487</v>
      </c>
      <c r="E32" s="27" t="s">
        <v>1488</v>
      </c>
      <c r="F32" s="167"/>
      <c r="G32" s="335"/>
    </row>
    <row r="33" spans="1:7" ht="36" customHeight="1">
      <c r="A33" s="802"/>
      <c r="B33" s="805"/>
      <c r="C33" s="809"/>
      <c r="D33" s="672" t="s">
        <v>1489</v>
      </c>
      <c r="E33" s="27">
        <v>10</v>
      </c>
      <c r="F33" s="167"/>
      <c r="G33" s="335"/>
    </row>
    <row r="34" spans="1:7" ht="36" customHeight="1" thickBot="1">
      <c r="A34" s="802"/>
      <c r="B34" s="805"/>
      <c r="C34" s="674" t="s">
        <v>56</v>
      </c>
      <c r="D34" s="85" t="s">
        <v>1490</v>
      </c>
      <c r="E34" s="29">
        <v>100</v>
      </c>
      <c r="F34" s="226"/>
      <c r="G34" s="343"/>
    </row>
    <row r="35" spans="1:7" ht="36" customHeight="1">
      <c r="A35" s="801">
        <v>43386</v>
      </c>
      <c r="B35" s="804" t="s">
        <v>1491</v>
      </c>
      <c r="C35" s="824" t="s">
        <v>48</v>
      </c>
      <c r="D35" s="675" t="s">
        <v>1478</v>
      </c>
      <c r="E35" s="18">
        <v>100</v>
      </c>
      <c r="F35" s="206"/>
      <c r="G35" s="342"/>
    </row>
    <row r="36" spans="1:7" ht="36" customHeight="1">
      <c r="A36" s="802"/>
      <c r="B36" s="805"/>
      <c r="C36" s="809"/>
      <c r="D36" s="676" t="s">
        <v>1479</v>
      </c>
      <c r="E36" s="27">
        <v>5</v>
      </c>
      <c r="F36" s="167"/>
      <c r="G36" s="335"/>
    </row>
    <row r="37" spans="1:7" ht="36" customHeight="1">
      <c r="A37" s="802"/>
      <c r="B37" s="805"/>
      <c r="C37" s="809" t="s">
        <v>663</v>
      </c>
      <c r="D37" s="676" t="s">
        <v>1146</v>
      </c>
      <c r="E37" s="27">
        <v>50</v>
      </c>
      <c r="F37" s="167"/>
      <c r="G37" s="335"/>
    </row>
    <row r="38" spans="1:7" ht="36" customHeight="1">
      <c r="A38" s="802"/>
      <c r="B38" s="805"/>
      <c r="C38" s="809"/>
      <c r="D38" s="676" t="s">
        <v>1494</v>
      </c>
      <c r="E38" s="27">
        <v>50</v>
      </c>
      <c r="F38" s="167"/>
      <c r="G38" s="335"/>
    </row>
    <row r="39" spans="1:7" ht="36" customHeight="1" thickBot="1">
      <c r="A39" s="802"/>
      <c r="B39" s="805"/>
      <c r="C39" s="810"/>
      <c r="D39" s="8" t="s">
        <v>1495</v>
      </c>
      <c r="E39" s="24">
        <v>50</v>
      </c>
      <c r="F39" s="207"/>
      <c r="G39" s="336"/>
    </row>
    <row r="40" spans="1:7" ht="36" customHeight="1" thickBot="1">
      <c r="A40" s="803"/>
      <c r="B40" s="828"/>
      <c r="C40" s="52"/>
      <c r="D40" s="53"/>
      <c r="E40" s="33"/>
      <c r="F40" s="262"/>
      <c r="G40" s="418"/>
    </row>
    <row r="41" spans="1:7" ht="36" customHeight="1">
      <c r="A41" s="801">
        <v>43418</v>
      </c>
      <c r="B41" s="804" t="s">
        <v>175</v>
      </c>
      <c r="C41" s="833" t="s">
        <v>1503</v>
      </c>
      <c r="D41" s="675" t="s">
        <v>1504</v>
      </c>
      <c r="E41" s="18">
        <v>50</v>
      </c>
      <c r="F41" s="206"/>
      <c r="G41" s="342"/>
    </row>
    <row r="42" spans="1:7" ht="36" customHeight="1">
      <c r="A42" s="802"/>
      <c r="B42" s="805"/>
      <c r="C42" s="825"/>
      <c r="D42" s="676" t="s">
        <v>1505</v>
      </c>
      <c r="E42" s="27">
        <v>50</v>
      </c>
      <c r="F42" s="167"/>
      <c r="G42" s="335"/>
    </row>
    <row r="43" spans="1:7" ht="36" customHeight="1" thickBot="1">
      <c r="A43" s="802"/>
      <c r="B43" s="805"/>
      <c r="C43" s="674" t="s">
        <v>1506</v>
      </c>
      <c r="D43" s="85" t="s">
        <v>1507</v>
      </c>
      <c r="E43" s="29">
        <v>50</v>
      </c>
      <c r="F43" s="226"/>
      <c r="G43" s="343"/>
    </row>
    <row r="44" spans="1:7" ht="36" customHeight="1" thickBot="1">
      <c r="A44" s="803"/>
      <c r="B44" s="828"/>
      <c r="C44" s="105"/>
      <c r="D44" s="106"/>
      <c r="E44" s="63"/>
      <c r="F44" s="279"/>
      <c r="G44" s="373"/>
    </row>
    <row r="45" spans="1:7" ht="36" customHeight="1">
      <c r="A45" s="801">
        <v>43419</v>
      </c>
      <c r="B45" s="804" t="s">
        <v>247</v>
      </c>
      <c r="C45" s="682" t="s">
        <v>1492</v>
      </c>
      <c r="D45" s="683" t="s">
        <v>1493</v>
      </c>
      <c r="E45" s="18">
        <v>100</v>
      </c>
      <c r="F45" s="206" t="s">
        <v>1496</v>
      </c>
      <c r="G45" s="342"/>
    </row>
    <row r="46" spans="1:7" ht="36" customHeight="1">
      <c r="A46" s="802"/>
      <c r="B46" s="805"/>
      <c r="C46" s="687" t="s">
        <v>1512</v>
      </c>
      <c r="D46" s="49"/>
      <c r="E46" s="124"/>
      <c r="F46" s="258"/>
      <c r="G46" s="346"/>
    </row>
    <row r="47" spans="1:7" ht="36" customHeight="1">
      <c r="A47" s="802"/>
      <c r="B47" s="805"/>
      <c r="C47" s="685" t="s">
        <v>1514</v>
      </c>
      <c r="D47" s="146" t="s">
        <v>1515</v>
      </c>
      <c r="E47" s="57" t="s">
        <v>1516</v>
      </c>
      <c r="F47" s="356" t="s">
        <v>1517</v>
      </c>
      <c r="G47" s="357"/>
    </row>
    <row r="48" spans="1:7" ht="36" customHeight="1" thickBot="1">
      <c r="A48" s="802"/>
      <c r="B48" s="805"/>
      <c r="C48" s="681"/>
      <c r="D48" s="8"/>
      <c r="E48" s="24"/>
      <c r="F48" s="207"/>
      <c r="G48" s="336"/>
    </row>
    <row r="49" spans="1:7" ht="36" customHeight="1" thickBot="1">
      <c r="A49" s="803"/>
      <c r="B49" s="828"/>
      <c r="C49" s="52" t="s">
        <v>1480</v>
      </c>
      <c r="D49" s="53" t="s">
        <v>1481</v>
      </c>
      <c r="E49" s="33" t="s">
        <v>1482</v>
      </c>
      <c r="F49" s="262" t="s">
        <v>1483</v>
      </c>
      <c r="G49" s="418"/>
    </row>
    <row r="50" spans="1:7" ht="36" customHeight="1">
      <c r="A50" s="801">
        <v>43420</v>
      </c>
      <c r="B50" s="804" t="s">
        <v>248</v>
      </c>
      <c r="C50" s="833" t="s">
        <v>14</v>
      </c>
      <c r="D50" s="671" t="s">
        <v>25</v>
      </c>
      <c r="E50" s="18">
        <v>99</v>
      </c>
      <c r="F50" s="206"/>
      <c r="G50" s="342"/>
    </row>
    <row r="51" spans="1:7" ht="36" customHeight="1">
      <c r="A51" s="802"/>
      <c r="B51" s="805"/>
      <c r="C51" s="825"/>
      <c r="D51" s="672" t="s">
        <v>26</v>
      </c>
      <c r="E51" s="27">
        <v>76</v>
      </c>
      <c r="F51" s="167"/>
      <c r="G51" s="335"/>
    </row>
    <row r="52" spans="1:7" ht="36" customHeight="1">
      <c r="A52" s="802"/>
      <c r="B52" s="805"/>
      <c r="C52" s="861" t="s">
        <v>1508</v>
      </c>
      <c r="D52" s="85" t="s">
        <v>1509</v>
      </c>
      <c r="E52" s="29">
        <v>15</v>
      </c>
      <c r="F52" s="936" t="s">
        <v>1513</v>
      </c>
      <c r="G52" s="343"/>
    </row>
    <row r="53" spans="1:7" ht="33.75" customHeight="1">
      <c r="A53" s="802"/>
      <c r="B53" s="805"/>
      <c r="C53" s="822"/>
      <c r="D53" s="85" t="s">
        <v>1510</v>
      </c>
      <c r="E53" s="29">
        <v>15</v>
      </c>
      <c r="F53" s="939"/>
      <c r="G53" s="343"/>
    </row>
    <row r="54" spans="1:7" ht="36" customHeight="1" thickBot="1">
      <c r="A54" s="802"/>
      <c r="B54" s="805"/>
      <c r="C54" s="823"/>
      <c r="D54" s="8" t="s">
        <v>1511</v>
      </c>
      <c r="E54" s="24">
        <v>20</v>
      </c>
      <c r="F54" s="962"/>
      <c r="G54" s="336"/>
    </row>
    <row r="55" spans="1:7" ht="36" customHeight="1" thickBot="1">
      <c r="A55" s="803"/>
      <c r="B55" s="828"/>
      <c r="C55" s="52" t="s">
        <v>1485</v>
      </c>
      <c r="D55" s="53" t="s">
        <v>1481</v>
      </c>
      <c r="E55" s="33" t="s">
        <v>1484</v>
      </c>
      <c r="F55" s="262" t="s">
        <v>1483</v>
      </c>
      <c r="G55" s="418"/>
    </row>
    <row r="56" spans="1:7" ht="96" customHeight="1" thickBot="1">
      <c r="A56" s="798" t="s">
        <v>0</v>
      </c>
      <c r="B56" s="799"/>
      <c r="C56" s="886"/>
      <c r="D56" s="886"/>
      <c r="E56" s="886"/>
      <c r="F56" s="886"/>
      <c r="G56" s="887"/>
    </row>
    <row r="57" spans="1:7" ht="36" customHeight="1">
      <c r="A57" s="801">
        <v>43423</v>
      </c>
      <c r="B57" s="804" t="s">
        <v>1497</v>
      </c>
      <c r="C57" s="833" t="s">
        <v>617</v>
      </c>
      <c r="D57" s="679" t="s">
        <v>1523</v>
      </c>
      <c r="E57" s="18">
        <v>50</v>
      </c>
      <c r="F57" s="206"/>
      <c r="G57" s="342"/>
    </row>
    <row r="58" spans="1:7" ht="36" customHeight="1">
      <c r="A58" s="802"/>
      <c r="B58" s="805"/>
      <c r="C58" s="822"/>
      <c r="D58" s="49" t="s">
        <v>1527</v>
      </c>
      <c r="E58" s="124">
        <v>50</v>
      </c>
      <c r="F58" s="258"/>
      <c r="G58" s="346"/>
    </row>
    <row r="59" spans="1:7" ht="36" customHeight="1">
      <c r="A59" s="802"/>
      <c r="B59" s="805"/>
      <c r="C59" s="825"/>
      <c r="D59" s="680" t="s">
        <v>1528</v>
      </c>
      <c r="E59" s="27">
        <v>64</v>
      </c>
      <c r="F59" s="167"/>
      <c r="G59" s="335"/>
    </row>
    <row r="60" spans="1:7" ht="36" customHeight="1" thickBot="1">
      <c r="A60" s="802"/>
      <c r="B60" s="805"/>
      <c r="C60" s="678"/>
      <c r="D60" s="8"/>
      <c r="E60" s="24"/>
      <c r="F60" s="207"/>
      <c r="G60" s="336"/>
    </row>
    <row r="61" spans="1:7" ht="36" customHeight="1" thickBot="1">
      <c r="A61" s="803"/>
      <c r="B61" s="828"/>
      <c r="C61" s="42"/>
      <c r="D61" s="40"/>
      <c r="E61" s="36"/>
      <c r="F61" s="264"/>
      <c r="G61" s="390"/>
    </row>
    <row r="62" spans="1:7" ht="36" customHeight="1">
      <c r="A62" s="801">
        <v>43424</v>
      </c>
      <c r="B62" s="804" t="s">
        <v>176</v>
      </c>
      <c r="C62" s="833" t="s">
        <v>1518</v>
      </c>
      <c r="D62" s="688" t="s">
        <v>1520</v>
      </c>
      <c r="E62" s="18">
        <v>30</v>
      </c>
      <c r="F62" s="963" t="s">
        <v>1519</v>
      </c>
      <c r="G62" s="342"/>
    </row>
    <row r="63" spans="1:7" ht="36" customHeight="1">
      <c r="A63" s="802"/>
      <c r="B63" s="805"/>
      <c r="C63" s="822"/>
      <c r="D63" s="49" t="s">
        <v>1522</v>
      </c>
      <c r="E63" s="124">
        <v>50</v>
      </c>
      <c r="F63" s="923"/>
      <c r="G63" s="346"/>
    </row>
    <row r="64" spans="1:7" ht="36" customHeight="1">
      <c r="A64" s="802"/>
      <c r="B64" s="805"/>
      <c r="C64" s="825"/>
      <c r="D64" s="689" t="s">
        <v>1521</v>
      </c>
      <c r="E64" s="27">
        <v>20</v>
      </c>
      <c r="F64" s="924"/>
      <c r="G64" s="335"/>
    </row>
    <row r="65" spans="1:7" ht="36" customHeight="1">
      <c r="A65" s="802"/>
      <c r="B65" s="805"/>
      <c r="C65" s="809" t="s">
        <v>627</v>
      </c>
      <c r="D65" s="689" t="s">
        <v>1500</v>
      </c>
      <c r="E65" s="27">
        <v>200</v>
      </c>
      <c r="F65" s="167"/>
      <c r="G65" s="335"/>
    </row>
    <row r="66" spans="1:7" ht="36" customHeight="1">
      <c r="A66" s="802"/>
      <c r="B66" s="805"/>
      <c r="C66" s="809"/>
      <c r="D66" s="689" t="s">
        <v>390</v>
      </c>
      <c r="E66" s="27">
        <v>50</v>
      </c>
      <c r="F66" s="167"/>
      <c r="G66" s="335"/>
    </row>
    <row r="67" spans="1:7" ht="36" customHeight="1">
      <c r="A67" s="802"/>
      <c r="B67" s="805"/>
      <c r="C67" s="809"/>
      <c r="D67" s="689" t="s">
        <v>1501</v>
      </c>
      <c r="E67" s="27">
        <v>50</v>
      </c>
      <c r="F67" s="167"/>
      <c r="G67" s="335"/>
    </row>
    <row r="68" spans="1:7" ht="36" customHeight="1" thickBot="1">
      <c r="A68" s="802"/>
      <c r="B68" s="805"/>
      <c r="C68" s="684"/>
      <c r="D68" s="8"/>
      <c r="E68" s="24"/>
      <c r="F68" s="207"/>
      <c r="G68" s="336"/>
    </row>
    <row r="69" spans="1:7" ht="36" customHeight="1" thickBot="1">
      <c r="A69" s="803"/>
      <c r="B69" s="828"/>
      <c r="C69" s="52"/>
      <c r="D69" s="53"/>
      <c r="E69" s="33"/>
      <c r="F69" s="262"/>
      <c r="G69" s="418"/>
    </row>
    <row r="70" spans="1:7" ht="36" customHeight="1">
      <c r="A70" s="801">
        <v>43425</v>
      </c>
      <c r="B70" s="804" t="s">
        <v>175</v>
      </c>
      <c r="C70" s="694" t="s">
        <v>1524</v>
      </c>
      <c r="D70" s="695" t="s">
        <v>1526</v>
      </c>
      <c r="E70" s="18">
        <v>150</v>
      </c>
      <c r="F70" s="206" t="s">
        <v>1525</v>
      </c>
      <c r="G70" s="342"/>
    </row>
    <row r="71" spans="1:7" ht="36" customHeight="1">
      <c r="A71" s="802"/>
      <c r="B71" s="805"/>
      <c r="C71" s="677" t="s">
        <v>1529</v>
      </c>
      <c r="D71" s="680" t="s">
        <v>1530</v>
      </c>
      <c r="E71" s="27">
        <v>50</v>
      </c>
      <c r="F71" s="167" t="s">
        <v>1535</v>
      </c>
      <c r="G71" s="335" t="s">
        <v>1531</v>
      </c>
    </row>
    <row r="72" spans="1:7" ht="36" customHeight="1" thickBot="1">
      <c r="A72" s="802"/>
      <c r="B72" s="805"/>
      <c r="C72" s="678"/>
      <c r="D72" s="8"/>
      <c r="E72" s="24"/>
      <c r="F72" s="207"/>
      <c r="G72" s="336"/>
    </row>
    <row r="73" spans="1:7" ht="36" customHeight="1" thickBot="1">
      <c r="A73" s="803"/>
      <c r="B73" s="828"/>
      <c r="C73" s="52"/>
      <c r="D73" s="53"/>
      <c r="E73" s="33"/>
      <c r="F73" s="262"/>
      <c r="G73" s="418"/>
    </row>
    <row r="74" spans="1:7" ht="36" customHeight="1">
      <c r="A74" s="801">
        <v>43426</v>
      </c>
      <c r="B74" s="804" t="s">
        <v>247</v>
      </c>
      <c r="C74" s="686"/>
      <c r="D74" s="688"/>
      <c r="E74" s="18"/>
      <c r="F74" s="206"/>
      <c r="G74" s="342"/>
    </row>
    <row r="75" spans="1:7" ht="36" customHeight="1">
      <c r="A75" s="802"/>
      <c r="B75" s="805"/>
      <c r="C75" s="687"/>
      <c r="D75" s="49"/>
      <c r="E75" s="124"/>
      <c r="F75" s="258"/>
      <c r="G75" s="346"/>
    </row>
    <row r="76" spans="1:7" ht="36" customHeight="1" thickBot="1">
      <c r="A76" s="802"/>
      <c r="B76" s="805"/>
      <c r="C76" s="684"/>
      <c r="D76" s="8"/>
      <c r="E76" s="24"/>
      <c r="F76" s="207"/>
      <c r="G76" s="336"/>
    </row>
    <row r="77" spans="1:7" ht="36" customHeight="1" thickBot="1">
      <c r="A77" s="803"/>
      <c r="B77" s="828"/>
      <c r="C77" s="52"/>
      <c r="D77" s="53"/>
      <c r="E77" s="33"/>
      <c r="F77" s="262"/>
      <c r="G77" s="418"/>
    </row>
    <row r="78" spans="1:7" ht="36" customHeight="1">
      <c r="A78" s="801">
        <v>43427</v>
      </c>
      <c r="B78" s="804" t="s">
        <v>248</v>
      </c>
      <c r="C78" s="833" t="s">
        <v>1498</v>
      </c>
      <c r="D78" s="679" t="s">
        <v>1499</v>
      </c>
      <c r="E78" s="18">
        <v>244</v>
      </c>
      <c r="F78" s="206"/>
      <c r="G78" s="342"/>
    </row>
    <row r="79" spans="1:7" ht="36" customHeight="1">
      <c r="A79" s="802"/>
      <c r="B79" s="805"/>
      <c r="C79" s="825"/>
      <c r="D79" s="680" t="s">
        <v>1502</v>
      </c>
      <c r="E79" s="27">
        <v>167</v>
      </c>
      <c r="F79" s="167"/>
      <c r="G79" s="335"/>
    </row>
    <row r="80" spans="1:7" ht="36" customHeight="1" thickBot="1">
      <c r="A80" s="802"/>
      <c r="B80" s="805"/>
      <c r="C80" s="678"/>
      <c r="D80" s="8"/>
      <c r="E80" s="24"/>
      <c r="F80" s="207"/>
      <c r="G80" s="336"/>
    </row>
    <row r="81" spans="1:8" ht="36" customHeight="1" thickBot="1">
      <c r="A81" s="803"/>
      <c r="B81" s="828"/>
      <c r="C81" s="52"/>
      <c r="D81" s="53"/>
      <c r="E81" s="33"/>
      <c r="F81" s="262"/>
      <c r="G81" s="418"/>
    </row>
    <row r="82" spans="1:8" ht="99.75" customHeight="1" thickBot="1">
      <c r="A82" s="798" t="s">
        <v>1554</v>
      </c>
      <c r="B82" s="799"/>
      <c r="C82" s="886"/>
      <c r="D82" s="886"/>
      <c r="E82" s="886"/>
      <c r="F82" s="886"/>
      <c r="G82" s="887"/>
    </row>
    <row r="83" spans="1:8" ht="36" customHeight="1">
      <c r="A83" s="801">
        <v>43430</v>
      </c>
      <c r="B83" s="804" t="s">
        <v>1538</v>
      </c>
      <c r="C83" s="697" t="s">
        <v>1532</v>
      </c>
      <c r="D83" s="698" t="s">
        <v>1537</v>
      </c>
      <c r="E83" s="18">
        <v>110</v>
      </c>
      <c r="F83" s="206"/>
      <c r="G83" s="342"/>
    </row>
    <row r="84" spans="1:8" ht="36" customHeight="1" thickBot="1">
      <c r="A84" s="802"/>
      <c r="B84" s="805"/>
      <c r="C84" s="702" t="s">
        <v>1533</v>
      </c>
      <c r="D84" s="146" t="s">
        <v>1534</v>
      </c>
      <c r="E84" s="57"/>
      <c r="F84" s="356"/>
      <c r="G84" s="357"/>
    </row>
    <row r="85" spans="1:8" ht="36" customHeight="1">
      <c r="A85" s="801">
        <v>43431</v>
      </c>
      <c r="B85" s="804" t="s">
        <v>176</v>
      </c>
      <c r="C85" s="701" t="s">
        <v>1559</v>
      </c>
      <c r="D85" s="703" t="s">
        <v>1566</v>
      </c>
      <c r="E85" s="18">
        <v>100</v>
      </c>
      <c r="F85" s="206" t="s">
        <v>1567</v>
      </c>
      <c r="G85" s="342" t="s">
        <v>1574</v>
      </c>
    </row>
    <row r="86" spans="1:8" ht="36" customHeight="1">
      <c r="A86" s="802"/>
      <c r="B86" s="805"/>
      <c r="C86" s="699" t="s">
        <v>58</v>
      </c>
      <c r="D86" s="704" t="s">
        <v>1556</v>
      </c>
      <c r="E86" s="27" t="s">
        <v>1547</v>
      </c>
      <c r="F86" s="258"/>
      <c r="G86" s="346"/>
    </row>
    <row r="87" spans="1:8" ht="36" customHeight="1">
      <c r="A87" s="802"/>
      <c r="B87" s="805"/>
      <c r="C87" s="699" t="s">
        <v>1541</v>
      </c>
      <c r="D87" s="704" t="s">
        <v>1542</v>
      </c>
      <c r="E87" s="27" t="s">
        <v>1543</v>
      </c>
      <c r="F87" s="167" t="s">
        <v>1568</v>
      </c>
      <c r="G87" s="335"/>
      <c r="H87" s="38" t="s">
        <v>1544</v>
      </c>
    </row>
    <row r="88" spans="1:8" ht="36" customHeight="1" thickBot="1">
      <c r="A88" s="802"/>
      <c r="B88" s="805"/>
      <c r="C88" s="699"/>
      <c r="D88" s="704"/>
      <c r="E88" s="27"/>
      <c r="F88" s="167"/>
      <c r="G88" s="335"/>
    </row>
    <row r="89" spans="1:8" ht="36" customHeight="1">
      <c r="A89" s="801">
        <v>43432</v>
      </c>
      <c r="B89" s="804" t="s">
        <v>175</v>
      </c>
      <c r="C89" s="833" t="s">
        <v>1549</v>
      </c>
      <c r="D89" s="696" t="s">
        <v>1550</v>
      </c>
      <c r="E89" s="18">
        <v>200</v>
      </c>
      <c r="F89" s="206"/>
      <c r="G89" s="342"/>
    </row>
    <row r="90" spans="1:8" ht="36" customHeight="1">
      <c r="A90" s="802"/>
      <c r="B90" s="805"/>
      <c r="C90" s="825"/>
      <c r="D90" s="49" t="s">
        <v>1552</v>
      </c>
      <c r="E90" s="124" t="s">
        <v>1553</v>
      </c>
      <c r="F90" s="258"/>
      <c r="G90" s="346"/>
    </row>
    <row r="91" spans="1:8" ht="36" customHeight="1">
      <c r="A91" s="802"/>
      <c r="B91" s="805"/>
      <c r="C91" s="964" t="s">
        <v>1555</v>
      </c>
      <c r="D91" s="965"/>
      <c r="E91" s="124" t="s">
        <v>1545</v>
      </c>
      <c r="F91" s="258" t="s">
        <v>1546</v>
      </c>
      <c r="G91" s="346"/>
    </row>
    <row r="92" spans="1:8" ht="36" customHeight="1" thickBot="1">
      <c r="A92" s="802"/>
      <c r="B92" s="805"/>
      <c r="C92" s="715"/>
      <c r="D92" s="85"/>
      <c r="E92" s="29"/>
      <c r="F92" s="226"/>
      <c r="G92" s="343"/>
    </row>
    <row r="93" spans="1:8" ht="36" customHeight="1">
      <c r="A93" s="801">
        <v>43433</v>
      </c>
      <c r="B93" s="804" t="s">
        <v>247</v>
      </c>
      <c r="C93" s="824" t="s">
        <v>111</v>
      </c>
      <c r="D93" s="716" t="s">
        <v>1539</v>
      </c>
      <c r="E93" s="18">
        <v>60</v>
      </c>
      <c r="F93" s="206" t="s">
        <v>1540</v>
      </c>
      <c r="G93" s="342"/>
    </row>
    <row r="94" spans="1:8" ht="36" customHeight="1">
      <c r="A94" s="802"/>
      <c r="B94" s="805"/>
      <c r="C94" s="809"/>
      <c r="D94" s="717" t="s">
        <v>1576</v>
      </c>
      <c r="E94" s="27">
        <v>50</v>
      </c>
      <c r="F94" s="167"/>
      <c r="G94" s="335"/>
    </row>
    <row r="95" spans="1:8" ht="36" customHeight="1">
      <c r="A95" s="802"/>
      <c r="B95" s="805"/>
      <c r="C95" s="809" t="s">
        <v>33</v>
      </c>
      <c r="D95" s="717" t="s">
        <v>1551</v>
      </c>
      <c r="E95" s="27">
        <v>64</v>
      </c>
      <c r="F95" s="167"/>
      <c r="G95" s="335"/>
    </row>
    <row r="96" spans="1:8" ht="36" customHeight="1">
      <c r="A96" s="802"/>
      <c r="B96" s="805"/>
      <c r="C96" s="809"/>
      <c r="D96" s="717" t="s">
        <v>1550</v>
      </c>
      <c r="E96" s="27">
        <v>100</v>
      </c>
      <c r="F96" s="167" t="s">
        <v>1575</v>
      </c>
      <c r="G96" s="335"/>
    </row>
    <row r="97" spans="1:7" ht="36" customHeight="1">
      <c r="A97" s="802"/>
      <c r="B97" s="805"/>
      <c r="C97" s="809"/>
      <c r="D97" s="717" t="s">
        <v>390</v>
      </c>
      <c r="E97" s="27">
        <v>64</v>
      </c>
      <c r="F97" s="167"/>
      <c r="G97" s="335"/>
    </row>
    <row r="98" spans="1:7" ht="36" customHeight="1" thickBot="1">
      <c r="A98" s="802"/>
      <c r="B98" s="805"/>
      <c r="C98" s="713" t="s">
        <v>1593</v>
      </c>
      <c r="D98" s="8" t="s">
        <v>1589</v>
      </c>
      <c r="E98" s="24">
        <v>100</v>
      </c>
      <c r="F98" s="207" t="s">
        <v>1594</v>
      </c>
      <c r="G98" s="336"/>
    </row>
    <row r="99" spans="1:7" ht="36" customHeight="1" thickBot="1">
      <c r="A99" s="803"/>
      <c r="B99" s="828"/>
      <c r="C99" s="42" t="s">
        <v>1456</v>
      </c>
      <c r="D99" s="40" t="s">
        <v>1458</v>
      </c>
      <c r="E99" s="36" t="s">
        <v>1560</v>
      </c>
      <c r="F99" s="264" t="s">
        <v>1561</v>
      </c>
      <c r="G99" s="390"/>
    </row>
    <row r="100" spans="1:7" ht="36" customHeight="1">
      <c r="A100" s="801">
        <v>43434</v>
      </c>
      <c r="B100" s="804" t="s">
        <v>248</v>
      </c>
      <c r="C100" s="824" t="s">
        <v>1548</v>
      </c>
      <c r="D100" s="716" t="s">
        <v>1557</v>
      </c>
      <c r="E100" s="18">
        <v>494</v>
      </c>
      <c r="F100" s="206" t="s">
        <v>1190</v>
      </c>
      <c r="G100" s="342"/>
    </row>
    <row r="101" spans="1:7" ht="36" customHeight="1">
      <c r="A101" s="802"/>
      <c r="B101" s="805"/>
      <c r="C101" s="809"/>
      <c r="D101" s="717" t="s">
        <v>1558</v>
      </c>
      <c r="E101" s="27">
        <v>9</v>
      </c>
      <c r="F101" s="167"/>
      <c r="G101" s="335"/>
    </row>
    <row r="102" spans="1:7" ht="36" customHeight="1" thickBot="1">
      <c r="A102" s="802"/>
      <c r="B102" s="805"/>
      <c r="C102" s="713"/>
      <c r="D102" s="8"/>
      <c r="E102" s="24"/>
      <c r="F102" s="207"/>
      <c r="G102" s="336"/>
    </row>
    <row r="103" spans="1:7" ht="36" customHeight="1" thickBot="1">
      <c r="A103" s="803"/>
      <c r="B103" s="828"/>
      <c r="C103" s="52" t="s">
        <v>1562</v>
      </c>
      <c r="D103" s="53" t="s">
        <v>1563</v>
      </c>
      <c r="E103" s="33" t="s">
        <v>1564</v>
      </c>
      <c r="F103" s="262" t="s">
        <v>1565</v>
      </c>
      <c r="G103" s="418" t="s">
        <v>1578</v>
      </c>
    </row>
  </sheetData>
  <mergeCells count="67">
    <mergeCell ref="A100:A103"/>
    <mergeCell ref="B100:B103"/>
    <mergeCell ref="A82:G82"/>
    <mergeCell ref="A83:A84"/>
    <mergeCell ref="B83:B84"/>
    <mergeCell ref="A85:A88"/>
    <mergeCell ref="B85:B88"/>
    <mergeCell ref="C100:C101"/>
    <mergeCell ref="C89:C90"/>
    <mergeCell ref="C91:D91"/>
    <mergeCell ref="C93:C94"/>
    <mergeCell ref="C95:C97"/>
    <mergeCell ref="A89:A92"/>
    <mergeCell ref="B89:B92"/>
    <mergeCell ref="A93:A99"/>
    <mergeCell ref="B93:B99"/>
    <mergeCell ref="B50:B55"/>
    <mergeCell ref="C50:C51"/>
    <mergeCell ref="A41:A44"/>
    <mergeCell ref="B41:B44"/>
    <mergeCell ref="A45:A49"/>
    <mergeCell ref="B45:B49"/>
    <mergeCell ref="C52:C54"/>
    <mergeCell ref="C57:C59"/>
    <mergeCell ref="C23:C24"/>
    <mergeCell ref="C16:C19"/>
    <mergeCell ref="A1:G1"/>
    <mergeCell ref="A2:A4"/>
    <mergeCell ref="B2:B4"/>
    <mergeCell ref="A5:A8"/>
    <mergeCell ref="B5:B8"/>
    <mergeCell ref="A9:A14"/>
    <mergeCell ref="B9:B14"/>
    <mergeCell ref="C9:C10"/>
    <mergeCell ref="C5:C6"/>
    <mergeCell ref="C2:C3"/>
    <mergeCell ref="C41:C42"/>
    <mergeCell ref="C37:C39"/>
    <mergeCell ref="A50:A55"/>
    <mergeCell ref="A28:A34"/>
    <mergeCell ref="B28:B34"/>
    <mergeCell ref="A35:A40"/>
    <mergeCell ref="B35:B40"/>
    <mergeCell ref="C32:C33"/>
    <mergeCell ref="C35:C36"/>
    <mergeCell ref="C28:C31"/>
    <mergeCell ref="A15:A22"/>
    <mergeCell ref="B15:B22"/>
    <mergeCell ref="A23:A26"/>
    <mergeCell ref="B23:B26"/>
    <mergeCell ref="A27:G27"/>
    <mergeCell ref="F52:F54"/>
    <mergeCell ref="C65:C67"/>
    <mergeCell ref="C62:C64"/>
    <mergeCell ref="F62:F64"/>
    <mergeCell ref="C78:C79"/>
    <mergeCell ref="A56:G56"/>
    <mergeCell ref="A57:A61"/>
    <mergeCell ref="B57:B61"/>
    <mergeCell ref="A62:A69"/>
    <mergeCell ref="B62:B69"/>
    <mergeCell ref="A70:A73"/>
    <mergeCell ref="B70:B73"/>
    <mergeCell ref="A74:A77"/>
    <mergeCell ref="B74:B77"/>
    <mergeCell ref="A78:A81"/>
    <mergeCell ref="B78:B81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  <rowBreaks count="1" manualBreakCount="1">
    <brk id="81" max="6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view="pageBreakPreview" topLeftCell="A84" zoomScale="71" zoomScaleNormal="87" zoomScaleSheetLayoutView="71" zoomScalePageLayoutView="75" workbookViewId="0">
      <selection activeCell="C96" sqref="C96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19" customWidth="1"/>
    <col min="4" max="4" width="24.125" style="19" customWidth="1"/>
    <col min="5" max="5" width="15.375" style="3" customWidth="1"/>
    <col min="6" max="6" width="25.625" style="3" customWidth="1"/>
    <col min="7" max="7" width="19.5" style="374" customWidth="1"/>
    <col min="8" max="8" width="42.5" style="38" customWidth="1"/>
    <col min="9" max="16384" width="9" style="19"/>
  </cols>
  <sheetData>
    <row r="1" spans="1:7" ht="109.5" customHeight="1" thickBot="1">
      <c r="A1" s="798" t="s">
        <v>1554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43437</v>
      </c>
      <c r="B2" s="804" t="s">
        <v>1569</v>
      </c>
      <c r="C2" s="701" t="s">
        <v>1570</v>
      </c>
      <c r="D2" s="703" t="s">
        <v>1571</v>
      </c>
      <c r="E2" s="18" t="s">
        <v>1572</v>
      </c>
      <c r="F2" s="206" t="s">
        <v>1573</v>
      </c>
      <c r="G2" s="342"/>
    </row>
    <row r="3" spans="1:7" s="38" customFormat="1" ht="36" customHeight="1">
      <c r="A3" s="802"/>
      <c r="B3" s="805"/>
      <c r="C3" s="699" t="s">
        <v>1579</v>
      </c>
      <c r="D3" s="704" t="s">
        <v>1580</v>
      </c>
      <c r="E3" s="27">
        <v>100</v>
      </c>
      <c r="F3" s="167"/>
      <c r="G3" s="335"/>
    </row>
    <row r="4" spans="1:7" s="38" customFormat="1" ht="36" customHeight="1" thickBot="1">
      <c r="A4" s="803"/>
      <c r="B4" s="828"/>
      <c r="C4" s="42" t="s">
        <v>1600</v>
      </c>
      <c r="D4" s="40" t="s">
        <v>1601</v>
      </c>
      <c r="E4" s="36" t="s">
        <v>1602</v>
      </c>
      <c r="F4" s="264" t="s">
        <v>1603</v>
      </c>
      <c r="G4" s="390"/>
    </row>
    <row r="5" spans="1:7" ht="36" customHeight="1">
      <c r="A5" s="801">
        <v>43438</v>
      </c>
      <c r="B5" s="804" t="s">
        <v>176</v>
      </c>
      <c r="C5" s="720" t="s">
        <v>1451</v>
      </c>
      <c r="D5" s="721" t="s">
        <v>828</v>
      </c>
      <c r="E5" s="18">
        <v>300</v>
      </c>
      <c r="F5" s="206"/>
      <c r="G5" s="342" t="s">
        <v>1611</v>
      </c>
    </row>
    <row r="6" spans="1:7" ht="36" customHeight="1">
      <c r="A6" s="802"/>
      <c r="B6" s="805"/>
      <c r="C6" s="718" t="s">
        <v>1597</v>
      </c>
      <c r="D6" s="722" t="s">
        <v>1598</v>
      </c>
      <c r="E6" s="27">
        <v>150</v>
      </c>
      <c r="F6" s="167" t="s">
        <v>1599</v>
      </c>
      <c r="G6" s="335"/>
    </row>
    <row r="7" spans="1:7" ht="36" customHeight="1" thickBot="1">
      <c r="A7" s="802"/>
      <c r="B7" s="805"/>
      <c r="C7" s="719"/>
      <c r="D7" s="8"/>
      <c r="E7" s="24"/>
      <c r="F7" s="207"/>
      <c r="G7" s="336"/>
    </row>
    <row r="8" spans="1:7" ht="36" customHeight="1" thickBot="1">
      <c r="A8" s="803"/>
      <c r="B8" s="828"/>
      <c r="C8" s="52"/>
      <c r="D8" s="53"/>
      <c r="E8" s="33"/>
      <c r="F8" s="262"/>
      <c r="G8" s="418"/>
    </row>
    <row r="9" spans="1:7" ht="36" customHeight="1">
      <c r="A9" s="801">
        <v>43439</v>
      </c>
      <c r="B9" s="804" t="s">
        <v>175</v>
      </c>
      <c r="C9" s="833" t="s">
        <v>1581</v>
      </c>
      <c r="D9" s="703" t="s">
        <v>1582</v>
      </c>
      <c r="E9" s="18">
        <v>100</v>
      </c>
      <c r="F9" s="206"/>
      <c r="G9" s="342" t="s">
        <v>1626</v>
      </c>
    </row>
    <row r="10" spans="1:7" ht="36" customHeight="1">
      <c r="A10" s="802"/>
      <c r="B10" s="805"/>
      <c r="C10" s="822"/>
      <c r="D10" s="704" t="s">
        <v>1583</v>
      </c>
      <c r="E10" s="27">
        <v>5</v>
      </c>
      <c r="F10" s="167" t="s">
        <v>1584</v>
      </c>
      <c r="G10" s="335"/>
    </row>
    <row r="11" spans="1:7" ht="36" customHeight="1">
      <c r="A11" s="802"/>
      <c r="B11" s="805"/>
      <c r="C11" s="825"/>
      <c r="D11" s="85" t="s">
        <v>1585</v>
      </c>
      <c r="E11" s="29" t="s">
        <v>1586</v>
      </c>
      <c r="F11" s="226"/>
      <c r="G11" s="343"/>
    </row>
    <row r="12" spans="1:7" ht="36" customHeight="1">
      <c r="A12" s="802"/>
      <c r="B12" s="805"/>
      <c r="C12" s="714" t="s">
        <v>758</v>
      </c>
      <c r="D12" s="85" t="s">
        <v>1590</v>
      </c>
      <c r="E12" s="29" t="s">
        <v>1591</v>
      </c>
      <c r="F12" s="226" t="s">
        <v>1592</v>
      </c>
      <c r="G12" s="343"/>
    </row>
    <row r="13" spans="1:7" ht="36" customHeight="1" thickBot="1">
      <c r="A13" s="802"/>
      <c r="B13" s="805"/>
      <c r="C13" s="700"/>
      <c r="D13" s="8"/>
      <c r="E13" s="24"/>
      <c r="F13" s="207"/>
      <c r="G13" s="336"/>
    </row>
    <row r="14" spans="1:7" ht="36" customHeight="1" thickBot="1">
      <c r="A14" s="803"/>
      <c r="B14" s="828"/>
      <c r="C14" s="42"/>
      <c r="D14" s="40"/>
      <c r="E14" s="36"/>
      <c r="F14" s="264"/>
      <c r="G14" s="390"/>
    </row>
    <row r="15" spans="1:7" ht="36" customHeight="1">
      <c r="A15" s="801">
        <v>43440</v>
      </c>
      <c r="B15" s="804" t="s">
        <v>247</v>
      </c>
      <c r="C15" s="824" t="s">
        <v>1607</v>
      </c>
      <c r="D15" s="735" t="s">
        <v>1608</v>
      </c>
      <c r="E15" s="18">
        <v>150</v>
      </c>
      <c r="F15" s="206" t="s">
        <v>1620</v>
      </c>
      <c r="G15" s="342" t="s">
        <v>1627</v>
      </c>
    </row>
    <row r="16" spans="1:7" ht="36" customHeight="1">
      <c r="A16" s="802"/>
      <c r="B16" s="805"/>
      <c r="C16" s="809"/>
      <c r="D16" s="736" t="s">
        <v>1609</v>
      </c>
      <c r="E16" s="27" t="s">
        <v>1610</v>
      </c>
      <c r="F16" s="167"/>
      <c r="G16" s="335" t="s">
        <v>1628</v>
      </c>
    </row>
    <row r="17" spans="1:7" ht="36" customHeight="1">
      <c r="A17" s="802"/>
      <c r="B17" s="805"/>
      <c r="C17" s="861" t="s">
        <v>33</v>
      </c>
      <c r="D17" s="736" t="s">
        <v>1083</v>
      </c>
      <c r="E17" s="323">
        <v>64</v>
      </c>
      <c r="F17" s="739" t="s">
        <v>1612</v>
      </c>
      <c r="G17" s="335"/>
    </row>
    <row r="18" spans="1:7" ht="36" customHeight="1">
      <c r="A18" s="802"/>
      <c r="B18" s="805"/>
      <c r="C18" s="822"/>
      <c r="D18" s="736" t="s">
        <v>341</v>
      </c>
      <c r="E18" s="27">
        <v>200</v>
      </c>
      <c r="F18" s="738" t="s">
        <v>1613</v>
      </c>
      <c r="G18" s="335"/>
    </row>
    <row r="19" spans="1:7" ht="36" customHeight="1">
      <c r="A19" s="802"/>
      <c r="B19" s="805"/>
      <c r="C19" s="822"/>
      <c r="D19" s="736" t="s">
        <v>386</v>
      </c>
      <c r="E19" s="323">
        <v>64</v>
      </c>
      <c r="F19" s="738" t="s">
        <v>1614</v>
      </c>
      <c r="G19" s="335"/>
    </row>
    <row r="20" spans="1:7" ht="36" customHeight="1">
      <c r="A20" s="802"/>
      <c r="B20" s="805"/>
      <c r="C20" s="822"/>
      <c r="D20" s="736" t="s">
        <v>384</v>
      </c>
      <c r="E20" s="323">
        <v>50</v>
      </c>
      <c r="F20" s="738"/>
      <c r="G20" s="335"/>
    </row>
    <row r="21" spans="1:7" ht="35.25" customHeight="1">
      <c r="A21" s="802"/>
      <c r="B21" s="805"/>
      <c r="C21" s="822"/>
      <c r="D21" s="736" t="s">
        <v>390</v>
      </c>
      <c r="E21" s="323">
        <v>64</v>
      </c>
      <c r="F21" s="738"/>
      <c r="G21" s="335"/>
    </row>
    <row r="22" spans="1:7" ht="35.25" customHeight="1">
      <c r="A22" s="802"/>
      <c r="B22" s="805"/>
      <c r="C22" s="822"/>
      <c r="D22" s="736" t="s">
        <v>1604</v>
      </c>
      <c r="E22" s="27">
        <v>50</v>
      </c>
      <c r="F22" s="737" t="s">
        <v>1615</v>
      </c>
      <c r="G22" s="335"/>
    </row>
    <row r="23" spans="1:7" ht="35.25" customHeight="1">
      <c r="A23" s="802"/>
      <c r="B23" s="805"/>
      <c r="C23" s="822"/>
      <c r="D23" s="736" t="s">
        <v>1605</v>
      </c>
      <c r="E23" s="323" t="s">
        <v>1606</v>
      </c>
      <c r="F23" s="737" t="s">
        <v>1616</v>
      </c>
      <c r="G23" s="335"/>
    </row>
    <row r="24" spans="1:7" ht="35.25" customHeight="1" thickBot="1">
      <c r="A24" s="802"/>
      <c r="B24" s="805"/>
      <c r="C24" s="822"/>
      <c r="D24" s="85" t="s">
        <v>1624</v>
      </c>
      <c r="E24" s="325">
        <v>50</v>
      </c>
      <c r="F24" s="742" t="s">
        <v>1625</v>
      </c>
      <c r="G24" s="343"/>
    </row>
    <row r="25" spans="1:7" ht="36" customHeight="1" thickBot="1">
      <c r="A25" s="803"/>
      <c r="B25" s="828"/>
      <c r="C25" s="105"/>
      <c r="D25" s="106"/>
      <c r="E25" s="63"/>
      <c r="F25" s="279"/>
      <c r="G25" s="373"/>
    </row>
    <row r="26" spans="1:7" ht="36" customHeight="1">
      <c r="A26" s="801">
        <v>43441</v>
      </c>
      <c r="B26" s="804" t="s">
        <v>248</v>
      </c>
      <c r="C26" s="720" t="s">
        <v>1587</v>
      </c>
      <c r="D26" s="721" t="s">
        <v>1596</v>
      </c>
      <c r="E26" s="18">
        <v>490</v>
      </c>
      <c r="F26" s="206"/>
      <c r="G26" s="342"/>
    </row>
    <row r="27" spans="1:7" ht="36" customHeight="1" thickBot="1">
      <c r="A27" s="802"/>
      <c r="B27" s="805"/>
      <c r="C27" s="719"/>
      <c r="D27" s="8"/>
      <c r="E27" s="24"/>
      <c r="F27" s="207"/>
      <c r="G27" s="336"/>
    </row>
    <row r="28" spans="1:7" ht="36" customHeight="1" thickBot="1">
      <c r="A28" s="803"/>
      <c r="B28" s="828"/>
      <c r="C28" s="52"/>
      <c r="D28" s="53"/>
      <c r="E28" s="33"/>
      <c r="F28" s="262"/>
      <c r="G28" s="418"/>
    </row>
    <row r="29" spans="1:7" ht="105" customHeight="1" thickBot="1">
      <c r="A29" s="798" t="s">
        <v>0</v>
      </c>
      <c r="B29" s="799"/>
      <c r="C29" s="886"/>
      <c r="D29" s="886"/>
      <c r="E29" s="886"/>
      <c r="F29" s="886"/>
      <c r="G29" s="887"/>
    </row>
    <row r="30" spans="1:7" ht="36" customHeight="1">
      <c r="A30" s="801">
        <v>43444</v>
      </c>
      <c r="B30" s="804" t="s">
        <v>7</v>
      </c>
      <c r="C30" s="726"/>
      <c r="D30" s="727"/>
      <c r="E30" s="18"/>
      <c r="F30" s="206"/>
      <c r="G30" s="342" t="s">
        <v>1652</v>
      </c>
    </row>
    <row r="31" spans="1:7" ht="36" customHeight="1">
      <c r="A31" s="802"/>
      <c r="B31" s="805"/>
      <c r="C31" s="861" t="s">
        <v>1621</v>
      </c>
      <c r="D31" s="728" t="s">
        <v>1623</v>
      </c>
      <c r="E31" s="27" t="s">
        <v>1622</v>
      </c>
      <c r="F31" s="167"/>
      <c r="G31" s="335" t="s">
        <v>1645</v>
      </c>
    </row>
    <row r="32" spans="1:7" ht="36" customHeight="1">
      <c r="A32" s="802"/>
      <c r="B32" s="805"/>
      <c r="C32" s="825"/>
      <c r="D32" s="85" t="s">
        <v>1629</v>
      </c>
      <c r="E32" s="29" t="s">
        <v>1630</v>
      </c>
      <c r="F32" s="226"/>
      <c r="G32" s="343"/>
    </row>
    <row r="33" spans="1:7" ht="36" customHeight="1" thickBot="1">
      <c r="A33" s="802"/>
      <c r="B33" s="805"/>
      <c r="C33" s="740" t="s">
        <v>1631</v>
      </c>
      <c r="D33" s="85" t="s">
        <v>1632</v>
      </c>
      <c r="E33" s="29" t="s">
        <v>1630</v>
      </c>
      <c r="F33" s="226"/>
      <c r="G33" s="343"/>
    </row>
    <row r="34" spans="1:7" ht="36" customHeight="1" thickBot="1">
      <c r="A34" s="803"/>
      <c r="B34" s="828"/>
      <c r="C34" s="105"/>
      <c r="D34" s="106"/>
      <c r="E34" s="63"/>
      <c r="F34" s="279"/>
      <c r="G34" s="373"/>
    </row>
    <row r="35" spans="1:7" ht="36" customHeight="1">
      <c r="A35" s="801">
        <v>43445</v>
      </c>
      <c r="B35" s="804" t="s">
        <v>176</v>
      </c>
      <c r="C35" s="824" t="s">
        <v>1617</v>
      </c>
      <c r="D35" s="735" t="s">
        <v>1618</v>
      </c>
      <c r="E35" s="18">
        <v>29</v>
      </c>
      <c r="F35" s="206" t="s">
        <v>1659</v>
      </c>
      <c r="G35" s="342"/>
    </row>
    <row r="36" spans="1:7" ht="36" customHeight="1">
      <c r="A36" s="802"/>
      <c r="B36" s="805"/>
      <c r="C36" s="809"/>
      <c r="D36" s="736" t="s">
        <v>1619</v>
      </c>
      <c r="E36" s="27">
        <f>39+2</f>
        <v>41</v>
      </c>
      <c r="F36" s="167"/>
      <c r="G36" s="335"/>
    </row>
    <row r="37" spans="1:7" ht="36" customHeight="1">
      <c r="A37" s="802"/>
      <c r="B37" s="805"/>
      <c r="C37" s="809" t="s">
        <v>1635</v>
      </c>
      <c r="D37" s="741" t="s">
        <v>1636</v>
      </c>
      <c r="E37" s="27">
        <v>100</v>
      </c>
      <c r="F37" s="226"/>
      <c r="G37" s="343"/>
    </row>
    <row r="38" spans="1:7" ht="36" customHeight="1">
      <c r="A38" s="802"/>
      <c r="B38" s="805"/>
      <c r="C38" s="809"/>
      <c r="D38" s="741" t="s">
        <v>68</v>
      </c>
      <c r="E38" s="27" t="s">
        <v>1634</v>
      </c>
      <c r="F38" s="226"/>
      <c r="G38" s="343"/>
    </row>
    <row r="39" spans="1:7" ht="36" customHeight="1">
      <c r="A39" s="802"/>
      <c r="B39" s="805"/>
      <c r="C39" s="809"/>
      <c r="D39" s="741" t="s">
        <v>1637</v>
      </c>
      <c r="E39" s="27" t="s">
        <v>1638</v>
      </c>
      <c r="F39" s="226"/>
      <c r="G39" s="343"/>
    </row>
    <row r="40" spans="1:7" ht="36" customHeight="1" thickBot="1">
      <c r="A40" s="802"/>
      <c r="B40" s="805"/>
      <c r="C40" s="734"/>
      <c r="D40" s="8"/>
      <c r="E40" s="24"/>
      <c r="F40" s="207"/>
      <c r="G40" s="336"/>
    </row>
    <row r="41" spans="1:7" ht="36" customHeight="1" thickBot="1">
      <c r="A41" s="803"/>
      <c r="B41" s="828"/>
      <c r="C41" s="105"/>
      <c r="D41" s="106"/>
      <c r="E41" s="63"/>
      <c r="F41" s="279"/>
      <c r="G41" s="373"/>
    </row>
    <row r="42" spans="1:7" ht="36" customHeight="1">
      <c r="A42" s="801">
        <v>43446</v>
      </c>
      <c r="B42" s="804" t="s">
        <v>175</v>
      </c>
      <c r="C42" s="833" t="s">
        <v>33</v>
      </c>
      <c r="D42" s="744" t="s">
        <v>341</v>
      </c>
      <c r="E42" s="18">
        <v>200</v>
      </c>
      <c r="F42" s="206" t="s">
        <v>1633</v>
      </c>
      <c r="G42" s="342"/>
    </row>
    <row r="43" spans="1:7" ht="36" customHeight="1">
      <c r="A43" s="802"/>
      <c r="B43" s="805"/>
      <c r="C43" s="825"/>
      <c r="D43" s="745" t="s">
        <v>384</v>
      </c>
      <c r="E43" s="27">
        <v>50</v>
      </c>
      <c r="F43" s="746" t="s">
        <v>1615</v>
      </c>
      <c r="G43" s="335"/>
    </row>
    <row r="44" spans="1:7" ht="36" customHeight="1">
      <c r="A44" s="802"/>
      <c r="B44" s="805"/>
      <c r="C44" s="743" t="s">
        <v>1654</v>
      </c>
      <c r="D44" s="745" t="s">
        <v>1655</v>
      </c>
      <c r="E44" s="27">
        <v>100</v>
      </c>
      <c r="F44" s="747"/>
      <c r="G44" s="335"/>
    </row>
    <row r="45" spans="1:7" ht="36" customHeight="1" thickBot="1">
      <c r="A45" s="803"/>
      <c r="B45" s="828"/>
      <c r="C45" s="42"/>
      <c r="D45" s="40"/>
      <c r="E45" s="36"/>
      <c r="F45" s="264"/>
      <c r="G45" s="390"/>
    </row>
    <row r="46" spans="1:7" ht="36" customHeight="1">
      <c r="A46" s="801">
        <v>43447</v>
      </c>
      <c r="B46" s="804" t="s">
        <v>247</v>
      </c>
      <c r="C46" s="750" t="s">
        <v>1658</v>
      </c>
      <c r="D46" s="751" t="s">
        <v>369</v>
      </c>
      <c r="E46" s="18" t="s">
        <v>55</v>
      </c>
      <c r="F46" s="206"/>
      <c r="G46" s="342"/>
    </row>
    <row r="47" spans="1:7" ht="36" customHeight="1" thickBot="1">
      <c r="A47" s="802"/>
      <c r="B47" s="805"/>
      <c r="C47" s="749"/>
      <c r="D47" s="8"/>
      <c r="E47" s="24"/>
      <c r="F47" s="207"/>
      <c r="G47" s="336"/>
    </row>
    <row r="48" spans="1:7" ht="36" customHeight="1" thickBot="1">
      <c r="A48" s="803"/>
      <c r="B48" s="828"/>
      <c r="C48" s="149"/>
      <c r="D48" s="150"/>
      <c r="E48" s="151"/>
      <c r="F48" s="268"/>
      <c r="G48" s="397"/>
    </row>
    <row r="49" spans="1:8" ht="36" customHeight="1">
      <c r="A49" s="801">
        <v>43448</v>
      </c>
      <c r="B49" s="804" t="s">
        <v>248</v>
      </c>
      <c r="C49" s="824" t="s">
        <v>1656</v>
      </c>
      <c r="D49" s="751" t="s">
        <v>1674</v>
      </c>
      <c r="E49" s="18">
        <v>150</v>
      </c>
      <c r="F49" s="206" t="s">
        <v>1671</v>
      </c>
      <c r="G49" s="342"/>
    </row>
    <row r="50" spans="1:8" ht="36" customHeight="1">
      <c r="A50" s="802"/>
      <c r="B50" s="805"/>
      <c r="C50" s="809"/>
      <c r="D50" s="752" t="s">
        <v>1657</v>
      </c>
      <c r="E50" s="27">
        <v>150</v>
      </c>
      <c r="F50" s="167" t="s">
        <v>1671</v>
      </c>
      <c r="G50" s="335"/>
    </row>
    <row r="51" spans="1:8" ht="36" customHeight="1">
      <c r="A51" s="802"/>
      <c r="B51" s="805"/>
      <c r="C51" s="748" t="s">
        <v>543</v>
      </c>
      <c r="D51" s="752" t="s">
        <v>1667</v>
      </c>
      <c r="E51" s="27">
        <v>100</v>
      </c>
      <c r="F51" s="167" t="s">
        <v>1680</v>
      </c>
      <c r="G51" s="335"/>
    </row>
    <row r="52" spans="1:8" ht="36" customHeight="1">
      <c r="A52" s="802"/>
      <c r="B52" s="805"/>
      <c r="C52" s="748" t="s">
        <v>1672</v>
      </c>
      <c r="D52" s="752" t="s">
        <v>109</v>
      </c>
      <c r="E52" s="27" t="s">
        <v>1694</v>
      </c>
      <c r="F52" s="167" t="s">
        <v>1679</v>
      </c>
      <c r="G52" s="335"/>
    </row>
    <row r="53" spans="1:8" ht="36" customHeight="1" thickBot="1">
      <c r="A53" s="802"/>
      <c r="B53" s="805"/>
      <c r="C53" s="749"/>
      <c r="D53" s="8"/>
      <c r="E53" s="24"/>
      <c r="F53" s="207"/>
      <c r="G53" s="336"/>
    </row>
    <row r="54" spans="1:8" ht="36" customHeight="1" thickBot="1">
      <c r="A54" s="802"/>
      <c r="B54" s="805"/>
      <c r="C54" s="52" t="s">
        <v>1647</v>
      </c>
      <c r="D54" s="53" t="s">
        <v>1649</v>
      </c>
      <c r="E54" s="33" t="s">
        <v>1648</v>
      </c>
      <c r="F54" s="262" t="s">
        <v>1650</v>
      </c>
      <c r="G54" s="418"/>
    </row>
    <row r="55" spans="1:8" ht="36" customHeight="1" thickBot="1">
      <c r="A55" s="803"/>
      <c r="B55" s="828"/>
      <c r="C55" s="52" t="s">
        <v>258</v>
      </c>
      <c r="D55" s="53" t="s">
        <v>259</v>
      </c>
      <c r="E55" s="33" t="s">
        <v>1646</v>
      </c>
      <c r="F55" s="262" t="s">
        <v>1651</v>
      </c>
      <c r="G55" s="373"/>
    </row>
    <row r="56" spans="1:8" ht="108" customHeight="1" thickBot="1">
      <c r="A56" s="798" t="s">
        <v>0</v>
      </c>
      <c r="B56" s="799"/>
      <c r="C56" s="886"/>
      <c r="D56" s="886"/>
      <c r="E56" s="886"/>
      <c r="F56" s="886"/>
      <c r="G56" s="887"/>
    </row>
    <row r="57" spans="1:8" ht="36" customHeight="1">
      <c r="A57" s="801">
        <v>43451</v>
      </c>
      <c r="B57" s="804" t="s">
        <v>1660</v>
      </c>
      <c r="C57" s="833" t="s">
        <v>1548</v>
      </c>
      <c r="D57" s="751" t="s">
        <v>1653</v>
      </c>
      <c r="E57" s="18">
        <v>421</v>
      </c>
      <c r="F57" s="206"/>
      <c r="G57" s="342" t="s">
        <v>1681</v>
      </c>
    </row>
    <row r="58" spans="1:8" ht="36" customHeight="1" thickBot="1">
      <c r="A58" s="802"/>
      <c r="B58" s="805"/>
      <c r="C58" s="822"/>
      <c r="D58" s="146" t="s">
        <v>1675</v>
      </c>
      <c r="E58" s="57">
        <v>93</v>
      </c>
      <c r="F58" s="356"/>
      <c r="G58" s="357" t="s">
        <v>1693</v>
      </c>
    </row>
    <row r="59" spans="1:8" ht="36" customHeight="1" thickBot="1">
      <c r="A59" s="803"/>
      <c r="B59" s="828"/>
      <c r="C59" s="105"/>
      <c r="D59" s="106"/>
      <c r="E59" s="63"/>
      <c r="F59" s="279"/>
      <c r="G59" s="373"/>
    </row>
    <row r="60" spans="1:8" ht="36" customHeight="1">
      <c r="A60" s="801">
        <v>43452</v>
      </c>
      <c r="B60" s="804" t="s">
        <v>176</v>
      </c>
      <c r="C60" s="824" t="s">
        <v>1664</v>
      </c>
      <c r="D60" s="751" t="s">
        <v>1665</v>
      </c>
      <c r="E60" s="18">
        <v>77</v>
      </c>
      <c r="F60" s="206"/>
      <c r="G60" s="342"/>
    </row>
    <row r="61" spans="1:8" ht="36" customHeight="1">
      <c r="A61" s="802"/>
      <c r="B61" s="805"/>
      <c r="C61" s="809"/>
      <c r="D61" s="752" t="s">
        <v>1666</v>
      </c>
      <c r="E61" s="27">
        <v>132</v>
      </c>
      <c r="F61" s="167"/>
      <c r="G61" s="335"/>
    </row>
    <row r="62" spans="1:8" ht="36" customHeight="1">
      <c r="A62" s="802"/>
      <c r="B62" s="805"/>
      <c r="C62" s="861" t="s">
        <v>1676</v>
      </c>
      <c r="D62" s="752" t="s">
        <v>1677</v>
      </c>
      <c r="E62" s="27">
        <v>100</v>
      </c>
      <c r="F62" s="167"/>
      <c r="G62" s="335"/>
    </row>
    <row r="63" spans="1:8" ht="36" customHeight="1" thickBot="1">
      <c r="A63" s="802"/>
      <c r="B63" s="805"/>
      <c r="C63" s="825"/>
      <c r="D63" s="85" t="s">
        <v>1678</v>
      </c>
      <c r="E63" s="29">
        <v>5</v>
      </c>
      <c r="F63" s="226"/>
      <c r="G63" s="343"/>
    </row>
    <row r="64" spans="1:8" ht="36" customHeight="1">
      <c r="A64" s="801">
        <v>43453</v>
      </c>
      <c r="B64" s="804" t="s">
        <v>175</v>
      </c>
      <c r="C64" s="755" t="s">
        <v>1661</v>
      </c>
      <c r="D64" s="757" t="s">
        <v>1662</v>
      </c>
      <c r="E64" s="18">
        <v>100</v>
      </c>
      <c r="F64" s="206" t="s">
        <v>1711</v>
      </c>
      <c r="G64" s="342"/>
      <c r="H64" s="38" t="s">
        <v>1663</v>
      </c>
    </row>
    <row r="65" spans="1:7" ht="36" customHeight="1">
      <c r="A65" s="802"/>
      <c r="B65" s="805"/>
      <c r="C65" s="861" t="s">
        <v>56</v>
      </c>
      <c r="D65" s="763" t="s">
        <v>1684</v>
      </c>
      <c r="E65" s="27">
        <v>100</v>
      </c>
      <c r="F65" s="167" t="s">
        <v>95</v>
      </c>
      <c r="G65" s="357"/>
    </row>
    <row r="66" spans="1:7" ht="36" customHeight="1">
      <c r="A66" s="802"/>
      <c r="B66" s="805"/>
      <c r="C66" s="822"/>
      <c r="D66" s="763" t="s">
        <v>1703</v>
      </c>
      <c r="E66" s="7">
        <v>50</v>
      </c>
      <c r="F66" s="770" t="s">
        <v>1704</v>
      </c>
      <c r="G66" s="357"/>
    </row>
    <row r="67" spans="1:7" ht="36" customHeight="1">
      <c r="A67" s="802"/>
      <c r="B67" s="805"/>
      <c r="C67" s="822"/>
      <c r="D67" s="778" t="s">
        <v>433</v>
      </c>
      <c r="E67" s="7">
        <v>50</v>
      </c>
      <c r="F67" s="770" t="s">
        <v>139</v>
      </c>
      <c r="G67" s="357"/>
    </row>
    <row r="68" spans="1:7" ht="36" customHeight="1">
      <c r="A68" s="802"/>
      <c r="B68" s="805"/>
      <c r="C68" s="825"/>
      <c r="D68" s="778" t="s">
        <v>391</v>
      </c>
      <c r="E68" s="7">
        <v>100</v>
      </c>
      <c r="F68" s="770" t="s">
        <v>94</v>
      </c>
      <c r="G68" s="357"/>
    </row>
    <row r="69" spans="1:7" ht="36" customHeight="1" thickBot="1">
      <c r="A69" s="802"/>
      <c r="B69" s="805"/>
      <c r="C69" s="754" t="s">
        <v>1709</v>
      </c>
      <c r="D69" s="8" t="s">
        <v>1710</v>
      </c>
      <c r="E69" s="24">
        <v>200</v>
      </c>
      <c r="F69" s="207"/>
      <c r="G69" s="336"/>
    </row>
    <row r="70" spans="1:7" ht="36" customHeight="1" thickBot="1">
      <c r="A70" s="803"/>
      <c r="B70" s="828"/>
      <c r="C70" s="42"/>
      <c r="D70" s="40"/>
      <c r="E70" s="36"/>
      <c r="F70" s="264"/>
      <c r="G70" s="390"/>
    </row>
    <row r="71" spans="1:7" ht="36" customHeight="1">
      <c r="A71" s="801">
        <v>43454</v>
      </c>
      <c r="B71" s="804" t="s">
        <v>247</v>
      </c>
      <c r="C71" s="755" t="s">
        <v>1673</v>
      </c>
      <c r="D71" s="757" t="s">
        <v>1669</v>
      </c>
      <c r="E71" s="18">
        <v>640</v>
      </c>
      <c r="F71" s="206" t="s">
        <v>1670</v>
      </c>
      <c r="G71" s="342"/>
    </row>
    <row r="72" spans="1:7" ht="36" customHeight="1">
      <c r="A72" s="802"/>
      <c r="B72" s="805"/>
      <c r="C72" s="975" t="s">
        <v>33</v>
      </c>
      <c r="D72" s="625" t="s">
        <v>1690</v>
      </c>
      <c r="E72" s="7">
        <v>30</v>
      </c>
      <c r="F72" s="767" t="s">
        <v>1692</v>
      </c>
      <c r="G72" s="343"/>
    </row>
    <row r="73" spans="1:7" ht="36" customHeight="1">
      <c r="A73" s="802"/>
      <c r="B73" s="805"/>
      <c r="C73" s="975"/>
      <c r="D73" s="625" t="s">
        <v>1668</v>
      </c>
      <c r="E73" s="7">
        <v>30</v>
      </c>
      <c r="F73" s="765"/>
      <c r="G73" s="343"/>
    </row>
    <row r="74" spans="1:7" ht="36" customHeight="1">
      <c r="A74" s="802"/>
      <c r="B74" s="805"/>
      <c r="C74" s="975"/>
      <c r="D74" s="625" t="s">
        <v>371</v>
      </c>
      <c r="E74" s="7">
        <v>50</v>
      </c>
      <c r="F74" s="765"/>
      <c r="G74" s="343"/>
    </row>
    <row r="75" spans="1:7" ht="36" customHeight="1">
      <c r="A75" s="802"/>
      <c r="B75" s="805"/>
      <c r="C75" s="975"/>
      <c r="D75" s="625" t="s">
        <v>1462</v>
      </c>
      <c r="E75" s="7">
        <v>64</v>
      </c>
      <c r="F75" s="766"/>
      <c r="G75" s="343"/>
    </row>
    <row r="76" spans="1:7" ht="36" customHeight="1">
      <c r="A76" s="802"/>
      <c r="B76" s="805"/>
      <c r="C76" s="975"/>
      <c r="D76" s="625" t="s">
        <v>1146</v>
      </c>
      <c r="E76" s="7">
        <v>100</v>
      </c>
      <c r="F76" s="764" t="s">
        <v>1691</v>
      </c>
      <c r="G76" s="343"/>
    </row>
    <row r="77" spans="1:7" ht="36" customHeight="1" thickBot="1">
      <c r="A77" s="802"/>
      <c r="B77" s="805"/>
      <c r="C77" s="768" t="s">
        <v>1281</v>
      </c>
      <c r="D77" s="769" t="s">
        <v>1146</v>
      </c>
      <c r="E77" s="27">
        <v>200</v>
      </c>
      <c r="F77" s="771"/>
      <c r="G77" s="343"/>
    </row>
    <row r="78" spans="1:7" ht="36" customHeight="1" thickBot="1">
      <c r="A78" s="803"/>
      <c r="B78" s="828"/>
      <c r="C78" s="105" t="s">
        <v>375</v>
      </c>
      <c r="D78" s="106" t="s">
        <v>376</v>
      </c>
      <c r="E78" s="63" t="s">
        <v>1697</v>
      </c>
      <c r="F78" s="279" t="s">
        <v>1698</v>
      </c>
      <c r="G78" s="373"/>
    </row>
    <row r="79" spans="1:7" ht="36" customHeight="1">
      <c r="A79" s="801">
        <v>43455</v>
      </c>
      <c r="B79" s="804" t="s">
        <v>248</v>
      </c>
      <c r="C79" s="833" t="s">
        <v>1702</v>
      </c>
      <c r="D79" s="762" t="s">
        <v>25</v>
      </c>
      <c r="E79" s="18">
        <v>138</v>
      </c>
      <c r="F79" s="258"/>
      <c r="G79" s="346"/>
    </row>
    <row r="80" spans="1:7" ht="36" customHeight="1">
      <c r="A80" s="802"/>
      <c r="B80" s="805"/>
      <c r="C80" s="825"/>
      <c r="D80" s="49" t="s">
        <v>1705</v>
      </c>
      <c r="E80" s="124">
        <v>2</v>
      </c>
      <c r="F80" s="258"/>
      <c r="G80" s="346"/>
    </row>
    <row r="81" spans="1:7" ht="36" customHeight="1">
      <c r="A81" s="802"/>
      <c r="B81" s="805"/>
      <c r="C81" s="861" t="s">
        <v>15</v>
      </c>
      <c r="D81" s="49" t="s">
        <v>1727</v>
      </c>
      <c r="E81" s="124">
        <v>50</v>
      </c>
      <c r="F81" s="258"/>
      <c r="G81" s="346"/>
    </row>
    <row r="82" spans="1:7" ht="36" customHeight="1" thickBot="1">
      <c r="A82" s="802"/>
      <c r="B82" s="805"/>
      <c r="C82" s="823"/>
      <c r="D82" s="146" t="s">
        <v>1728</v>
      </c>
      <c r="E82" s="57" t="s">
        <v>1729</v>
      </c>
      <c r="F82" s="356"/>
      <c r="G82" s="357"/>
    </row>
    <row r="83" spans="1:7" ht="36" customHeight="1" thickBot="1">
      <c r="A83" s="803"/>
      <c r="B83" s="828"/>
      <c r="C83" s="105" t="s">
        <v>1699</v>
      </c>
      <c r="D83" s="106" t="s">
        <v>1700</v>
      </c>
      <c r="E83" s="63" t="s">
        <v>1701</v>
      </c>
      <c r="F83" s="279" t="s">
        <v>1698</v>
      </c>
      <c r="G83" s="373"/>
    </row>
    <row r="84" spans="1:7" ht="93.75" customHeight="1" thickBot="1">
      <c r="A84" s="798" t="s">
        <v>0</v>
      </c>
      <c r="B84" s="799"/>
      <c r="C84" s="886"/>
      <c r="D84" s="886"/>
      <c r="E84" s="886"/>
      <c r="F84" s="886"/>
      <c r="G84" s="887"/>
    </row>
    <row r="85" spans="1:7" ht="36" customHeight="1">
      <c r="A85" s="801">
        <v>43458</v>
      </c>
      <c r="B85" s="804" t="s">
        <v>1695</v>
      </c>
      <c r="C85" s="972" t="s">
        <v>1712</v>
      </c>
      <c r="D85" s="624" t="s">
        <v>1718</v>
      </c>
      <c r="E85" s="11">
        <v>60</v>
      </c>
      <c r="F85" s="206"/>
      <c r="G85" s="15"/>
    </row>
    <row r="86" spans="1:7" ht="36" customHeight="1">
      <c r="A86" s="802"/>
      <c r="B86" s="805"/>
      <c r="C86" s="973"/>
      <c r="D86" s="625" t="s">
        <v>1718</v>
      </c>
      <c r="E86" s="7">
        <v>150</v>
      </c>
      <c r="F86" s="258" t="s">
        <v>1730</v>
      </c>
      <c r="G86" s="84"/>
    </row>
    <row r="87" spans="1:7" ht="36" customHeight="1">
      <c r="A87" s="802"/>
      <c r="B87" s="805"/>
      <c r="C87" s="974"/>
      <c r="D87" s="625" t="s">
        <v>1721</v>
      </c>
      <c r="E87" s="7">
        <v>150</v>
      </c>
      <c r="F87" s="258" t="s">
        <v>1730</v>
      </c>
      <c r="G87" s="84"/>
    </row>
    <row r="88" spans="1:7" ht="36" customHeight="1" thickBot="1">
      <c r="A88" s="802"/>
      <c r="B88" s="805"/>
      <c r="C88" s="794"/>
      <c r="D88" s="643"/>
      <c r="E88" s="77"/>
      <c r="F88" s="226"/>
      <c r="G88" s="116"/>
    </row>
    <row r="89" spans="1:7" ht="36" customHeight="1" thickBot="1">
      <c r="A89" s="803"/>
      <c r="B89" s="828"/>
      <c r="C89" s="308"/>
      <c r="D89" s="106"/>
      <c r="E89" s="63"/>
      <c r="F89" s="63"/>
      <c r="G89" s="373"/>
    </row>
    <row r="90" spans="1:7" ht="45.75" customHeight="1">
      <c r="A90" s="801">
        <v>43459</v>
      </c>
      <c r="B90" s="804" t="s">
        <v>176</v>
      </c>
      <c r="C90" s="966" t="s">
        <v>1736</v>
      </c>
      <c r="D90" s="967"/>
      <c r="E90" s="967"/>
      <c r="F90" s="967"/>
      <c r="G90" s="968"/>
    </row>
    <row r="91" spans="1:7" ht="45.75" customHeight="1" thickBot="1">
      <c r="A91" s="803"/>
      <c r="B91" s="828"/>
      <c r="C91" s="969"/>
      <c r="D91" s="970"/>
      <c r="E91" s="970"/>
      <c r="F91" s="970"/>
      <c r="G91" s="971"/>
    </row>
    <row r="92" spans="1:7" ht="36" customHeight="1">
      <c r="A92" s="801">
        <v>43460</v>
      </c>
      <c r="B92" s="804" t="s">
        <v>175</v>
      </c>
      <c r="C92" s="791" t="s">
        <v>1722</v>
      </c>
      <c r="D92" s="792" t="s">
        <v>1566</v>
      </c>
      <c r="E92" s="18">
        <v>72</v>
      </c>
      <c r="F92" s="206" t="s">
        <v>1717</v>
      </c>
      <c r="G92" s="342" t="s">
        <v>1744</v>
      </c>
    </row>
    <row r="93" spans="1:7" ht="36" customHeight="1">
      <c r="A93" s="802"/>
      <c r="B93" s="805"/>
      <c r="C93" s="809" t="s">
        <v>1738</v>
      </c>
      <c r="D93" s="793" t="s">
        <v>1739</v>
      </c>
      <c r="E93" s="27">
        <v>100</v>
      </c>
      <c r="F93" s="167"/>
      <c r="G93" s="335"/>
    </row>
    <row r="94" spans="1:7" ht="36" customHeight="1">
      <c r="A94" s="802"/>
      <c r="B94" s="805"/>
      <c r="C94" s="809"/>
      <c r="D94" s="793" t="s">
        <v>1740</v>
      </c>
      <c r="E94" s="27" t="s">
        <v>1741</v>
      </c>
      <c r="F94" s="167"/>
      <c r="G94" s="335"/>
    </row>
    <row r="95" spans="1:7" ht="36" customHeight="1" thickBot="1">
      <c r="A95" s="802"/>
      <c r="B95" s="805"/>
      <c r="C95" s="790"/>
      <c r="D95" s="8"/>
      <c r="E95" s="24"/>
      <c r="F95" s="207"/>
      <c r="G95" s="336"/>
    </row>
    <row r="96" spans="1:7" ht="36" customHeight="1" thickBot="1">
      <c r="A96" s="803"/>
      <c r="B96" s="828"/>
      <c r="C96" s="787"/>
      <c r="D96" s="53"/>
      <c r="E96" s="33"/>
      <c r="F96" s="33"/>
      <c r="G96" s="418"/>
    </row>
    <row r="97" spans="1:7" ht="36" customHeight="1">
      <c r="A97" s="801">
        <v>43461</v>
      </c>
      <c r="B97" s="804" t="s">
        <v>247</v>
      </c>
      <c r="C97" s="755"/>
      <c r="D97" s="757"/>
      <c r="E97" s="18"/>
      <c r="F97" s="206"/>
      <c r="G97" s="784" t="s">
        <v>1734</v>
      </c>
    </row>
    <row r="98" spans="1:7" ht="36" customHeight="1">
      <c r="A98" s="802"/>
      <c r="B98" s="805"/>
      <c r="C98" s="753"/>
      <c r="D98" s="758"/>
      <c r="E98" s="27"/>
      <c r="F98" s="167"/>
      <c r="G98" s="335"/>
    </row>
    <row r="99" spans="1:7" ht="36" customHeight="1" thickBot="1">
      <c r="A99" s="802"/>
      <c r="B99" s="805"/>
      <c r="C99" s="756"/>
      <c r="D99" s="85"/>
      <c r="E99" s="29"/>
      <c r="F99" s="226"/>
      <c r="G99" s="343"/>
    </row>
    <row r="100" spans="1:7" ht="36" customHeight="1" thickBot="1">
      <c r="A100" s="803"/>
      <c r="B100" s="828"/>
      <c r="C100" s="308"/>
      <c r="D100" s="106"/>
      <c r="E100" s="63"/>
      <c r="F100" s="63"/>
      <c r="G100" s="373"/>
    </row>
    <row r="101" spans="1:7" ht="36" customHeight="1">
      <c r="A101" s="801">
        <v>43462</v>
      </c>
      <c r="B101" s="804" t="s">
        <v>248</v>
      </c>
      <c r="C101" s="755" t="s">
        <v>1696</v>
      </c>
      <c r="D101" s="757" t="s">
        <v>1733</v>
      </c>
      <c r="E101" s="18">
        <v>201</v>
      </c>
      <c r="F101" s="206"/>
      <c r="G101" s="342"/>
    </row>
    <row r="102" spans="1:7" ht="36" customHeight="1">
      <c r="A102" s="802"/>
      <c r="B102" s="805"/>
      <c r="C102" s="753" t="s">
        <v>1737</v>
      </c>
      <c r="D102" s="758" t="s">
        <v>1742</v>
      </c>
      <c r="E102" s="27">
        <v>50</v>
      </c>
      <c r="F102" s="167" t="s">
        <v>1745</v>
      </c>
      <c r="G102" s="335"/>
    </row>
    <row r="103" spans="1:7" ht="36" customHeight="1" thickBot="1">
      <c r="A103" s="802"/>
      <c r="B103" s="805"/>
      <c r="C103" s="756"/>
      <c r="D103" s="85"/>
      <c r="E103" s="29"/>
      <c r="F103" s="226"/>
      <c r="G103" s="343"/>
    </row>
    <row r="104" spans="1:7" ht="36" customHeight="1" thickBot="1">
      <c r="A104" s="803"/>
      <c r="B104" s="828"/>
      <c r="C104" s="308"/>
      <c r="D104" s="106"/>
      <c r="E104" s="63"/>
      <c r="F104" s="63"/>
      <c r="G104" s="373"/>
    </row>
  </sheetData>
  <mergeCells count="62">
    <mergeCell ref="C62:C63"/>
    <mergeCell ref="A57:A59"/>
    <mergeCell ref="B57:B59"/>
    <mergeCell ref="A79:A83"/>
    <mergeCell ref="B79:B83"/>
    <mergeCell ref="A60:A63"/>
    <mergeCell ref="B60:B63"/>
    <mergeCell ref="A64:A70"/>
    <mergeCell ref="B64:B70"/>
    <mergeCell ref="A71:A78"/>
    <mergeCell ref="B71:B78"/>
    <mergeCell ref="C60:C61"/>
    <mergeCell ref="C72:C76"/>
    <mergeCell ref="C65:C68"/>
    <mergeCell ref="C79:C80"/>
    <mergeCell ref="C81:C82"/>
    <mergeCell ref="B15:B25"/>
    <mergeCell ref="A26:A28"/>
    <mergeCell ref="A49:A55"/>
    <mergeCell ref="B49:B55"/>
    <mergeCell ref="A56:G56"/>
    <mergeCell ref="C49:C50"/>
    <mergeCell ref="A42:A45"/>
    <mergeCell ref="B42:B45"/>
    <mergeCell ref="A46:A48"/>
    <mergeCell ref="B46:B48"/>
    <mergeCell ref="A29:G29"/>
    <mergeCell ref="A30:A34"/>
    <mergeCell ref="B30:B34"/>
    <mergeCell ref="A35:A41"/>
    <mergeCell ref="B35:B41"/>
    <mergeCell ref="C31:C32"/>
    <mergeCell ref="C42:C43"/>
    <mergeCell ref="C37:C39"/>
    <mergeCell ref="C35:C36"/>
    <mergeCell ref="C57:C58"/>
    <mergeCell ref="A1:G1"/>
    <mergeCell ref="B26:B28"/>
    <mergeCell ref="A2:A4"/>
    <mergeCell ref="B2:B4"/>
    <mergeCell ref="A5:A8"/>
    <mergeCell ref="B5:B8"/>
    <mergeCell ref="A9:A14"/>
    <mergeCell ref="B9:B14"/>
    <mergeCell ref="C9:C11"/>
    <mergeCell ref="C17:C24"/>
    <mergeCell ref="C15:C16"/>
    <mergeCell ref="A15:A25"/>
    <mergeCell ref="A101:A104"/>
    <mergeCell ref="B101:B104"/>
    <mergeCell ref="A84:G84"/>
    <mergeCell ref="A85:A89"/>
    <mergeCell ref="B85:B89"/>
    <mergeCell ref="A90:A91"/>
    <mergeCell ref="B90:B91"/>
    <mergeCell ref="C90:G91"/>
    <mergeCell ref="A92:A96"/>
    <mergeCell ref="B92:B96"/>
    <mergeCell ref="A97:A100"/>
    <mergeCell ref="B97:B100"/>
    <mergeCell ref="C85:C87"/>
    <mergeCell ref="C93:C94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tabSelected="1" view="pageBreakPreview" zoomScale="71" zoomScaleNormal="87" zoomScaleSheetLayoutView="71" zoomScalePageLayoutView="75" workbookViewId="0">
      <selection activeCell="D13" sqref="D13:D14"/>
    </sheetView>
  </sheetViews>
  <sheetFormatPr defaultRowHeight="36" customHeight="1"/>
  <cols>
    <col min="1" max="1" width="12.5" style="1" customWidth="1"/>
    <col min="2" max="2" width="8.5" style="2" customWidth="1"/>
    <col min="3" max="3" width="17.875" style="19" customWidth="1"/>
    <col min="4" max="4" width="24.125" style="19" customWidth="1"/>
    <col min="5" max="5" width="15.375" style="3" customWidth="1"/>
    <col min="6" max="6" width="25.625" style="3" customWidth="1"/>
    <col min="7" max="7" width="19.5" style="374" customWidth="1"/>
    <col min="8" max="8" width="42.5" style="38" customWidth="1"/>
    <col min="9" max="16384" width="9" style="19"/>
  </cols>
  <sheetData>
    <row r="1" spans="1:7" s="38" customFormat="1" ht="93.75" customHeight="1" thickBot="1">
      <c r="A1" s="798" t="s">
        <v>0</v>
      </c>
      <c r="B1" s="799"/>
      <c r="C1" s="886"/>
      <c r="D1" s="886"/>
      <c r="E1" s="886"/>
      <c r="F1" s="886"/>
      <c r="G1" s="887"/>
    </row>
    <row r="2" spans="1:7" s="38" customFormat="1" ht="36" customHeight="1">
      <c r="A2" s="801">
        <v>43465</v>
      </c>
      <c r="B2" s="804" t="s">
        <v>7</v>
      </c>
      <c r="C2" s="785"/>
      <c r="D2" s="624"/>
      <c r="E2" s="11"/>
      <c r="F2" s="206"/>
      <c r="G2" s="15"/>
    </row>
    <row r="3" spans="1:7" s="38" customFormat="1" ht="36" customHeight="1">
      <c r="A3" s="802"/>
      <c r="B3" s="805"/>
      <c r="C3" s="786"/>
      <c r="D3" s="625"/>
      <c r="E3" s="7"/>
      <c r="F3" s="167"/>
      <c r="G3" s="108"/>
    </row>
    <row r="4" spans="1:7" s="38" customFormat="1" ht="36" customHeight="1" thickBot="1">
      <c r="A4" s="802"/>
      <c r="B4" s="805"/>
      <c r="C4" s="773"/>
      <c r="D4" s="8"/>
      <c r="E4" s="24"/>
      <c r="F4" s="207"/>
      <c r="G4" s="336"/>
    </row>
    <row r="5" spans="1:7" s="38" customFormat="1" ht="36" customHeight="1" thickBot="1">
      <c r="A5" s="803"/>
      <c r="B5" s="828"/>
      <c r="C5" s="308"/>
      <c r="D5" s="106"/>
      <c r="E5" s="63"/>
      <c r="F5" s="63"/>
      <c r="G5" s="373"/>
    </row>
    <row r="6" spans="1:7" s="38" customFormat="1" ht="36" customHeight="1">
      <c r="A6" s="801">
        <v>43101</v>
      </c>
      <c r="B6" s="844" t="s">
        <v>176</v>
      </c>
      <c r="C6" s="966" t="s">
        <v>1772</v>
      </c>
      <c r="D6" s="967"/>
      <c r="E6" s="967"/>
      <c r="F6" s="967"/>
      <c r="G6" s="968"/>
    </row>
    <row r="7" spans="1:7" s="38" customFormat="1" ht="47.25" customHeight="1" thickBot="1">
      <c r="A7" s="803"/>
      <c r="B7" s="806"/>
      <c r="C7" s="976"/>
      <c r="D7" s="977"/>
      <c r="E7" s="977"/>
      <c r="F7" s="977"/>
      <c r="G7" s="978"/>
    </row>
    <row r="8" spans="1:7" s="38" customFormat="1" ht="36" customHeight="1">
      <c r="A8" s="801">
        <v>43102</v>
      </c>
      <c r="B8" s="804" t="s">
        <v>175</v>
      </c>
      <c r="C8" s="774" t="s">
        <v>1746</v>
      </c>
      <c r="D8" s="777" t="s">
        <v>1747</v>
      </c>
      <c r="E8" s="18" t="s">
        <v>1748</v>
      </c>
      <c r="F8" s="206" t="s">
        <v>1749</v>
      </c>
      <c r="G8" s="342"/>
    </row>
    <row r="9" spans="1:7" s="38" customFormat="1" ht="36" customHeight="1">
      <c r="A9" s="802"/>
      <c r="B9" s="805"/>
      <c r="C9" s="776" t="s">
        <v>1769</v>
      </c>
      <c r="D9" s="49" t="s">
        <v>1771</v>
      </c>
      <c r="E9" s="124" t="s">
        <v>1770</v>
      </c>
      <c r="F9" s="258"/>
      <c r="G9" s="346"/>
    </row>
    <row r="10" spans="1:7" s="38" customFormat="1" ht="36" customHeight="1">
      <c r="A10" s="802"/>
      <c r="B10" s="805"/>
      <c r="C10" s="772" t="s">
        <v>1786</v>
      </c>
      <c r="D10" s="778" t="s">
        <v>1787</v>
      </c>
      <c r="E10" s="27">
        <v>200</v>
      </c>
      <c r="F10" s="167"/>
      <c r="G10" s="335"/>
    </row>
    <row r="11" spans="1:7" s="38" customFormat="1" ht="36" customHeight="1" thickBot="1">
      <c r="A11" s="802"/>
      <c r="B11" s="805"/>
      <c r="C11" s="775"/>
      <c r="D11" s="85"/>
      <c r="E11" s="29"/>
      <c r="F11" s="226"/>
      <c r="G11" s="343"/>
    </row>
    <row r="12" spans="1:7" s="38" customFormat="1" ht="36" customHeight="1" thickBot="1">
      <c r="A12" s="803"/>
      <c r="B12" s="828"/>
      <c r="C12" s="316"/>
      <c r="D12" s="150"/>
      <c r="E12" s="151"/>
      <c r="F12" s="151"/>
      <c r="G12" s="397"/>
    </row>
    <row r="13" spans="1:7" s="38" customFormat="1" ht="36" customHeight="1">
      <c r="A13" s="801">
        <v>43103</v>
      </c>
      <c r="B13" s="804" t="s">
        <v>247</v>
      </c>
      <c r="C13" s="824" t="s">
        <v>1775</v>
      </c>
      <c r="D13" s="624" t="s">
        <v>1776</v>
      </c>
      <c r="E13" s="11">
        <v>150</v>
      </c>
      <c r="F13" s="206" t="s">
        <v>1780</v>
      </c>
      <c r="G13" s="784"/>
    </row>
    <row r="14" spans="1:7" s="38" customFormat="1" ht="36" customHeight="1">
      <c r="A14" s="802"/>
      <c r="B14" s="805"/>
      <c r="C14" s="809"/>
      <c r="D14" s="625" t="s">
        <v>1777</v>
      </c>
      <c r="E14" s="7">
        <v>40</v>
      </c>
      <c r="F14" s="167"/>
      <c r="G14" s="797"/>
    </row>
    <row r="15" spans="1:7" s="38" customFormat="1" ht="36" customHeight="1">
      <c r="A15" s="802"/>
      <c r="B15" s="805"/>
      <c r="C15" s="809"/>
      <c r="D15" s="625" t="s">
        <v>1778</v>
      </c>
      <c r="E15" s="7">
        <v>20</v>
      </c>
      <c r="F15" s="167"/>
      <c r="G15" s="797"/>
    </row>
    <row r="16" spans="1:7" s="38" customFormat="1" ht="36" customHeight="1">
      <c r="A16" s="802"/>
      <c r="B16" s="805"/>
      <c r="C16" s="809"/>
      <c r="D16" s="625" t="s">
        <v>1779</v>
      </c>
      <c r="E16" s="7" t="s">
        <v>50</v>
      </c>
      <c r="F16" s="167"/>
      <c r="G16" s="335"/>
    </row>
    <row r="17" spans="1:7" s="38" customFormat="1" ht="36" customHeight="1">
      <c r="A17" s="802"/>
      <c r="B17" s="805"/>
      <c r="C17" s="809" t="s">
        <v>33</v>
      </c>
      <c r="D17" s="625" t="s">
        <v>390</v>
      </c>
      <c r="E17" s="7">
        <v>64</v>
      </c>
      <c r="F17" s="167"/>
      <c r="G17" s="335"/>
    </row>
    <row r="18" spans="1:7" s="38" customFormat="1" ht="36" customHeight="1">
      <c r="A18" s="802"/>
      <c r="B18" s="805"/>
      <c r="C18" s="809"/>
      <c r="D18" s="625" t="s">
        <v>386</v>
      </c>
      <c r="E18" s="7">
        <v>64</v>
      </c>
      <c r="F18" s="167"/>
      <c r="G18" s="335"/>
    </row>
    <row r="19" spans="1:7" s="38" customFormat="1" ht="36" customHeight="1">
      <c r="A19" s="802"/>
      <c r="B19" s="805"/>
      <c r="C19" s="809"/>
      <c r="D19" s="625" t="s">
        <v>1668</v>
      </c>
      <c r="E19" s="7">
        <v>30</v>
      </c>
      <c r="F19" s="167" t="s">
        <v>1768</v>
      </c>
      <c r="G19" s="335"/>
    </row>
    <row r="20" spans="1:7" s="38" customFormat="1" ht="36" customHeight="1">
      <c r="A20" s="802"/>
      <c r="B20" s="805"/>
      <c r="C20" s="809"/>
      <c r="D20" s="625" t="s">
        <v>1767</v>
      </c>
      <c r="E20" s="7" t="s">
        <v>1214</v>
      </c>
      <c r="F20" s="167"/>
      <c r="G20" s="335"/>
    </row>
    <row r="21" spans="1:7" s="38" customFormat="1" ht="36" customHeight="1" thickBot="1">
      <c r="A21" s="802"/>
      <c r="B21" s="805"/>
      <c r="C21" s="795"/>
      <c r="D21" s="8"/>
      <c r="E21" s="24"/>
      <c r="F21" s="207"/>
      <c r="G21" s="336"/>
    </row>
    <row r="22" spans="1:7" s="38" customFormat="1" ht="36" customHeight="1" thickBot="1">
      <c r="A22" s="803"/>
      <c r="B22" s="828"/>
      <c r="C22" s="787"/>
      <c r="D22" s="53"/>
      <c r="E22" s="33"/>
      <c r="F22" s="33"/>
      <c r="G22" s="418"/>
    </row>
    <row r="23" spans="1:7" s="38" customFormat="1" ht="36" customHeight="1">
      <c r="A23" s="801">
        <v>43104</v>
      </c>
      <c r="B23" s="804" t="s">
        <v>248</v>
      </c>
      <c r="C23" s="833" t="s">
        <v>14</v>
      </c>
      <c r="D23" s="777" t="s">
        <v>1719</v>
      </c>
      <c r="E23" s="18">
        <v>33</v>
      </c>
      <c r="F23" s="206"/>
      <c r="G23" s="342"/>
    </row>
    <row r="24" spans="1:7" s="38" customFormat="1" ht="36" customHeight="1">
      <c r="A24" s="802"/>
      <c r="B24" s="805"/>
      <c r="C24" s="825"/>
      <c r="D24" s="778" t="s">
        <v>1720</v>
      </c>
      <c r="E24" s="27">
        <v>159</v>
      </c>
      <c r="F24" s="167"/>
      <c r="G24" s="335"/>
    </row>
    <row r="25" spans="1:7" s="38" customFormat="1" ht="36" customHeight="1" thickBot="1">
      <c r="A25" s="802"/>
      <c r="B25" s="805"/>
      <c r="C25" s="775" t="s">
        <v>1788</v>
      </c>
      <c r="D25" s="85" t="s">
        <v>1789</v>
      </c>
      <c r="E25" s="29" t="s">
        <v>1790</v>
      </c>
      <c r="F25" s="226"/>
      <c r="G25" s="343"/>
    </row>
    <row r="26" spans="1:7" s="38" customFormat="1" ht="36" customHeight="1" thickBot="1">
      <c r="A26" s="803"/>
      <c r="B26" s="828"/>
      <c r="C26" s="308"/>
      <c r="D26" s="106"/>
      <c r="E26" s="63"/>
      <c r="F26" s="63"/>
      <c r="G26" s="373"/>
    </row>
    <row r="27" spans="1:7" ht="108" customHeight="1" thickBot="1">
      <c r="A27" s="798" t="s">
        <v>0</v>
      </c>
      <c r="B27" s="799"/>
      <c r="C27" s="886"/>
      <c r="D27" s="886"/>
      <c r="E27" s="886"/>
      <c r="F27" s="886"/>
      <c r="G27" s="887"/>
    </row>
    <row r="28" spans="1:7" ht="36" customHeight="1">
      <c r="A28" s="801">
        <v>43107</v>
      </c>
      <c r="B28" s="804" t="s">
        <v>1723</v>
      </c>
      <c r="C28" s="780"/>
      <c r="D28" s="782"/>
      <c r="E28" s="18"/>
      <c r="F28" s="206"/>
      <c r="G28" s="342"/>
    </row>
    <row r="29" spans="1:7" ht="36" customHeight="1">
      <c r="A29" s="802"/>
      <c r="B29" s="805"/>
      <c r="C29" s="796"/>
      <c r="D29" s="49"/>
      <c r="E29" s="124"/>
      <c r="F29" s="258"/>
      <c r="G29" s="346"/>
    </row>
    <row r="30" spans="1:7" ht="36" customHeight="1">
      <c r="A30" s="802"/>
      <c r="B30" s="805"/>
      <c r="C30" s="796"/>
      <c r="D30" s="49"/>
      <c r="E30" s="124"/>
      <c r="F30" s="258"/>
      <c r="G30" s="346"/>
    </row>
    <row r="31" spans="1:7" ht="36" customHeight="1">
      <c r="A31" s="802"/>
      <c r="B31" s="805"/>
      <c r="C31" s="779"/>
      <c r="D31" s="783"/>
      <c r="E31" s="27"/>
      <c r="F31" s="167"/>
      <c r="G31" s="335"/>
    </row>
    <row r="32" spans="1:7" ht="36" customHeight="1" thickBot="1">
      <c r="A32" s="802"/>
      <c r="B32" s="805"/>
      <c r="C32" s="781"/>
      <c r="D32" s="85"/>
      <c r="E32" s="29"/>
      <c r="F32" s="226"/>
      <c r="G32" s="343"/>
    </row>
    <row r="33" spans="1:7" ht="36" customHeight="1" thickBot="1">
      <c r="A33" s="803"/>
      <c r="B33" s="828"/>
      <c r="C33" s="308"/>
      <c r="D33" s="106"/>
      <c r="E33" s="63"/>
      <c r="F33" s="63"/>
      <c r="G33" s="373"/>
    </row>
    <row r="34" spans="1:7" ht="36" customHeight="1">
      <c r="A34" s="801">
        <v>43108</v>
      </c>
      <c r="B34" s="804" t="s">
        <v>176</v>
      </c>
      <c r="C34" s="780"/>
      <c r="D34" s="782"/>
      <c r="E34" s="18"/>
      <c r="F34" s="206"/>
      <c r="G34" s="342"/>
    </row>
    <row r="35" spans="1:7" ht="36" customHeight="1">
      <c r="A35" s="802"/>
      <c r="B35" s="805"/>
      <c r="C35" s="779"/>
      <c r="D35" s="783"/>
      <c r="E35" s="27"/>
      <c r="F35" s="167"/>
      <c r="G35" s="335"/>
    </row>
    <row r="36" spans="1:7" ht="36" customHeight="1" thickBot="1">
      <c r="A36" s="802"/>
      <c r="B36" s="805"/>
      <c r="C36" s="781"/>
      <c r="D36" s="85"/>
      <c r="E36" s="29"/>
      <c r="F36" s="226"/>
      <c r="G36" s="343"/>
    </row>
    <row r="37" spans="1:7" ht="36" customHeight="1" thickBot="1">
      <c r="A37" s="803"/>
      <c r="B37" s="828"/>
      <c r="C37" s="308"/>
      <c r="D37" s="106"/>
      <c r="E37" s="63"/>
      <c r="F37" s="63"/>
      <c r="G37" s="373"/>
    </row>
    <row r="38" spans="1:7" ht="36" customHeight="1">
      <c r="A38" s="801">
        <v>43109</v>
      </c>
      <c r="B38" s="804" t="s">
        <v>175</v>
      </c>
      <c r="C38" s="780"/>
      <c r="D38" s="782"/>
      <c r="E38" s="18"/>
      <c r="F38" s="206"/>
      <c r="G38" s="342"/>
    </row>
    <row r="39" spans="1:7" ht="36" customHeight="1">
      <c r="A39" s="802"/>
      <c r="B39" s="805"/>
      <c r="C39" s="779"/>
      <c r="D39" s="783"/>
      <c r="E39" s="27"/>
      <c r="F39" s="167"/>
      <c r="G39" s="335"/>
    </row>
    <row r="40" spans="1:7" ht="36" customHeight="1" thickBot="1">
      <c r="A40" s="802"/>
      <c r="B40" s="805"/>
      <c r="C40" s="781"/>
      <c r="D40" s="85"/>
      <c r="E40" s="29"/>
      <c r="F40" s="226"/>
      <c r="G40" s="343"/>
    </row>
    <row r="41" spans="1:7" ht="36" customHeight="1" thickBot="1">
      <c r="A41" s="803"/>
      <c r="B41" s="828"/>
      <c r="C41" s="308"/>
      <c r="D41" s="106"/>
      <c r="E41" s="63"/>
      <c r="F41" s="63"/>
      <c r="G41" s="373"/>
    </row>
    <row r="42" spans="1:7" ht="36" customHeight="1">
      <c r="A42" s="801">
        <v>43110</v>
      </c>
      <c r="B42" s="804" t="s">
        <v>247</v>
      </c>
      <c r="C42" s="788" t="s">
        <v>1414</v>
      </c>
      <c r="D42" s="789" t="s">
        <v>1735</v>
      </c>
      <c r="E42" s="18">
        <v>720</v>
      </c>
      <c r="F42" s="206" t="s">
        <v>1758</v>
      </c>
      <c r="G42" s="342"/>
    </row>
    <row r="43" spans="1:7" ht="36" customHeight="1">
      <c r="A43" s="802"/>
      <c r="B43" s="805"/>
      <c r="C43" s="779"/>
      <c r="D43" s="783"/>
      <c r="E43" s="27"/>
      <c r="F43" s="167"/>
      <c r="G43" s="335"/>
    </row>
    <row r="44" spans="1:7" ht="36" customHeight="1" thickBot="1">
      <c r="A44" s="802"/>
      <c r="B44" s="805"/>
      <c r="C44" s="781"/>
      <c r="D44" s="85"/>
      <c r="E44" s="29"/>
      <c r="F44" s="226"/>
      <c r="G44" s="343"/>
    </row>
    <row r="45" spans="1:7" ht="36" customHeight="1" thickBot="1">
      <c r="A45" s="803"/>
      <c r="B45" s="828"/>
      <c r="C45" s="308"/>
      <c r="D45" s="106"/>
      <c r="E45" s="63"/>
      <c r="F45" s="63"/>
      <c r="G45" s="373"/>
    </row>
    <row r="46" spans="1:7" ht="36" customHeight="1">
      <c r="A46" s="801">
        <v>43111</v>
      </c>
      <c r="B46" s="804" t="s">
        <v>248</v>
      </c>
      <c r="C46" s="780" t="s">
        <v>1759</v>
      </c>
      <c r="D46" s="782" t="s">
        <v>1760</v>
      </c>
      <c r="E46" s="18"/>
      <c r="F46" s="206"/>
      <c r="G46" s="342"/>
    </row>
    <row r="47" spans="1:7" ht="36" customHeight="1">
      <c r="A47" s="802"/>
      <c r="B47" s="805"/>
      <c r="C47" s="779"/>
      <c r="D47" s="783"/>
      <c r="E47" s="27"/>
      <c r="F47" s="167"/>
      <c r="G47" s="335"/>
    </row>
    <row r="48" spans="1:7" ht="36" customHeight="1" thickBot="1">
      <c r="A48" s="802"/>
      <c r="B48" s="805"/>
      <c r="C48" s="781"/>
      <c r="D48" s="85"/>
      <c r="E48" s="29"/>
      <c r="F48" s="226"/>
      <c r="G48" s="343"/>
    </row>
    <row r="49" spans="1:7" ht="36" customHeight="1" thickBot="1">
      <c r="A49" s="803"/>
      <c r="B49" s="828"/>
      <c r="C49" s="308"/>
      <c r="D49" s="106"/>
      <c r="E49" s="63"/>
      <c r="F49" s="63"/>
      <c r="G49" s="373"/>
    </row>
    <row r="50" spans="1:7" ht="107.25" customHeight="1" thickBot="1">
      <c r="A50" s="798" t="s">
        <v>0</v>
      </c>
      <c r="B50" s="799"/>
      <c r="C50" s="886"/>
      <c r="D50" s="886"/>
      <c r="E50" s="886"/>
      <c r="F50" s="886"/>
      <c r="G50" s="887"/>
    </row>
    <row r="51" spans="1:7" ht="36" customHeight="1">
      <c r="A51" s="801">
        <v>43114</v>
      </c>
      <c r="B51" s="804" t="s">
        <v>1723</v>
      </c>
      <c r="C51" s="780"/>
      <c r="D51" s="782"/>
      <c r="E51" s="18"/>
      <c r="F51" s="206"/>
      <c r="G51" s="342"/>
    </row>
    <row r="52" spans="1:7" ht="36" customHeight="1">
      <c r="A52" s="802"/>
      <c r="B52" s="805"/>
      <c r="C52" s="779"/>
      <c r="D52" s="783"/>
      <c r="E52" s="27"/>
      <c r="F52" s="167"/>
      <c r="G52" s="335"/>
    </row>
    <row r="53" spans="1:7" ht="36" customHeight="1" thickBot="1">
      <c r="A53" s="802"/>
      <c r="B53" s="805"/>
      <c r="C53" s="781"/>
      <c r="D53" s="85"/>
      <c r="E53" s="29"/>
      <c r="F53" s="226"/>
      <c r="G53" s="343"/>
    </row>
    <row r="54" spans="1:7" ht="36" customHeight="1" thickBot="1">
      <c r="A54" s="803"/>
      <c r="B54" s="828"/>
      <c r="C54" s="308"/>
      <c r="D54" s="106"/>
      <c r="E54" s="63"/>
      <c r="F54" s="63"/>
      <c r="G54" s="373"/>
    </row>
    <row r="55" spans="1:7" ht="36" customHeight="1">
      <c r="A55" s="801">
        <v>43115</v>
      </c>
      <c r="B55" s="804" t="s">
        <v>176</v>
      </c>
      <c r="C55" s="780" t="s">
        <v>1724</v>
      </c>
      <c r="D55" s="782" t="s">
        <v>1725</v>
      </c>
      <c r="E55" s="18">
        <v>264</v>
      </c>
      <c r="F55" s="206" t="s">
        <v>1726</v>
      </c>
      <c r="G55" s="342"/>
    </row>
    <row r="56" spans="1:7" ht="36" customHeight="1">
      <c r="A56" s="802"/>
      <c r="B56" s="805"/>
      <c r="C56" s="779"/>
      <c r="D56" s="783"/>
      <c r="E56" s="27"/>
      <c r="F56" s="167"/>
      <c r="G56" s="335"/>
    </row>
    <row r="57" spans="1:7" ht="36" customHeight="1" thickBot="1">
      <c r="A57" s="802"/>
      <c r="B57" s="805"/>
      <c r="C57" s="781"/>
      <c r="D57" s="85"/>
      <c r="E57" s="29"/>
      <c r="F57" s="226"/>
      <c r="G57" s="343"/>
    </row>
    <row r="58" spans="1:7" ht="36" customHeight="1" thickBot="1">
      <c r="A58" s="803"/>
      <c r="B58" s="828"/>
      <c r="C58" s="308"/>
      <c r="D58" s="106"/>
      <c r="E58" s="63"/>
      <c r="F58" s="63"/>
      <c r="G58" s="373"/>
    </row>
    <row r="59" spans="1:7" ht="36" customHeight="1">
      <c r="A59" s="801">
        <v>43116</v>
      </c>
      <c r="B59" s="804" t="s">
        <v>175</v>
      </c>
      <c r="C59" s="780"/>
      <c r="D59" s="782"/>
      <c r="E59" s="18"/>
      <c r="F59" s="206"/>
      <c r="G59" s="342"/>
    </row>
    <row r="60" spans="1:7" ht="36" customHeight="1">
      <c r="A60" s="802"/>
      <c r="B60" s="805"/>
      <c r="C60" s="779"/>
      <c r="D60" s="783"/>
      <c r="E60" s="27"/>
      <c r="F60" s="167"/>
      <c r="G60" s="335"/>
    </row>
    <row r="61" spans="1:7" ht="36" customHeight="1" thickBot="1">
      <c r="A61" s="802"/>
      <c r="B61" s="805"/>
      <c r="C61" s="781"/>
      <c r="D61" s="85"/>
      <c r="E61" s="29"/>
      <c r="F61" s="226"/>
      <c r="G61" s="343"/>
    </row>
    <row r="62" spans="1:7" ht="36" customHeight="1" thickBot="1">
      <c r="A62" s="803"/>
      <c r="B62" s="828"/>
      <c r="C62" s="308"/>
      <c r="D62" s="106"/>
      <c r="E62" s="63"/>
      <c r="F62" s="63"/>
      <c r="G62" s="373"/>
    </row>
    <row r="63" spans="1:7" ht="36" customHeight="1">
      <c r="A63" s="801">
        <v>43117</v>
      </c>
      <c r="B63" s="804" t="s">
        <v>247</v>
      </c>
      <c r="C63" s="780"/>
      <c r="D63" s="782"/>
      <c r="E63" s="18"/>
      <c r="F63" s="206"/>
      <c r="G63" s="342"/>
    </row>
    <row r="64" spans="1:7" ht="36" customHeight="1">
      <c r="A64" s="802"/>
      <c r="B64" s="805"/>
      <c r="C64" s="779"/>
      <c r="D64" s="783"/>
      <c r="E64" s="27"/>
      <c r="F64" s="167"/>
      <c r="G64" s="335"/>
    </row>
    <row r="65" spans="1:7" ht="36" customHeight="1" thickBot="1">
      <c r="A65" s="802"/>
      <c r="B65" s="805"/>
      <c r="C65" s="781"/>
      <c r="D65" s="85"/>
      <c r="E65" s="29"/>
      <c r="F65" s="226"/>
      <c r="G65" s="343"/>
    </row>
    <row r="66" spans="1:7" ht="36" customHeight="1" thickBot="1">
      <c r="A66" s="803"/>
      <c r="B66" s="828"/>
      <c r="C66" s="308"/>
      <c r="D66" s="106"/>
      <c r="E66" s="63"/>
      <c r="F66" s="63"/>
      <c r="G66" s="373"/>
    </row>
    <row r="67" spans="1:7" ht="36" customHeight="1">
      <c r="A67" s="801">
        <v>43118</v>
      </c>
      <c r="B67" s="804" t="s">
        <v>248</v>
      </c>
      <c r="C67" s="780"/>
      <c r="D67" s="782"/>
      <c r="E67" s="18"/>
      <c r="F67" s="206"/>
      <c r="G67" s="342"/>
    </row>
    <row r="68" spans="1:7" ht="36" customHeight="1">
      <c r="A68" s="802"/>
      <c r="B68" s="805"/>
      <c r="C68" s="779"/>
      <c r="D68" s="783"/>
      <c r="E68" s="27"/>
      <c r="F68" s="167"/>
      <c r="G68" s="335"/>
    </row>
    <row r="69" spans="1:7" ht="36" customHeight="1" thickBot="1">
      <c r="A69" s="802"/>
      <c r="B69" s="805"/>
      <c r="C69" s="781"/>
      <c r="D69" s="85"/>
      <c r="E69" s="29"/>
      <c r="F69" s="226"/>
      <c r="G69" s="343"/>
    </row>
    <row r="70" spans="1:7" ht="36" customHeight="1" thickBot="1">
      <c r="A70" s="803"/>
      <c r="B70" s="828"/>
      <c r="C70" s="308"/>
      <c r="D70" s="106"/>
      <c r="E70" s="63"/>
      <c r="F70" s="63"/>
      <c r="G70" s="373"/>
    </row>
  </sheetData>
  <mergeCells count="37">
    <mergeCell ref="A1:G1"/>
    <mergeCell ref="A2:A5"/>
    <mergeCell ref="B2:B5"/>
    <mergeCell ref="A27:G27"/>
    <mergeCell ref="A28:A33"/>
    <mergeCell ref="B28:B33"/>
    <mergeCell ref="A23:A26"/>
    <mergeCell ref="B23:B26"/>
    <mergeCell ref="A6:A7"/>
    <mergeCell ref="B6:B7"/>
    <mergeCell ref="C6:G7"/>
    <mergeCell ref="A8:A12"/>
    <mergeCell ref="C23:C24"/>
    <mergeCell ref="B8:B12"/>
    <mergeCell ref="A13:A22"/>
    <mergeCell ref="B13:B22"/>
    <mergeCell ref="A67:A70"/>
    <mergeCell ref="B67:B70"/>
    <mergeCell ref="A55:A58"/>
    <mergeCell ref="B55:B58"/>
    <mergeCell ref="A59:A62"/>
    <mergeCell ref="B59:B62"/>
    <mergeCell ref="A63:A66"/>
    <mergeCell ref="B63:B66"/>
    <mergeCell ref="C13:C16"/>
    <mergeCell ref="A46:A49"/>
    <mergeCell ref="B46:B49"/>
    <mergeCell ref="A50:G50"/>
    <mergeCell ref="A51:A54"/>
    <mergeCell ref="B51:B54"/>
    <mergeCell ref="A42:A45"/>
    <mergeCell ref="B42:B45"/>
    <mergeCell ref="A34:A37"/>
    <mergeCell ref="A38:A41"/>
    <mergeCell ref="B38:B41"/>
    <mergeCell ref="B34:B37"/>
    <mergeCell ref="C17:C20"/>
  </mergeCells>
  <phoneticPr fontId="1" type="noConversion"/>
  <printOptions horizontalCentered="1" verticalCentered="1"/>
  <pageMargins left="0.15748031496062992" right="0.15748031496062992" top="0.15748031496062992" bottom="0.15748031496062992" header="0.11811023622047245" footer="0.31496062992125984"/>
  <pageSetup paperSize="9" scale="72" fitToHeight="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Normal="100" workbookViewId="0">
      <selection activeCell="G13" sqref="G13"/>
    </sheetView>
  </sheetViews>
  <sheetFormatPr defaultRowHeight="16.5"/>
  <cols>
    <col min="1" max="1" width="11" style="484" customWidth="1"/>
    <col min="2" max="2" width="16.625" style="485" customWidth="1"/>
    <col min="3" max="3" width="15.875" style="483" customWidth="1"/>
    <col min="4" max="5" width="13.625" style="483" customWidth="1"/>
    <col min="6" max="6" width="17.375" customWidth="1"/>
    <col min="7" max="7" width="15.5" customWidth="1"/>
  </cols>
  <sheetData>
    <row r="1" spans="1:7" ht="45" customHeight="1" thickBot="1">
      <c r="A1" s="979" t="s">
        <v>1019</v>
      </c>
      <c r="B1" s="980"/>
      <c r="C1" s="980"/>
      <c r="D1" s="979" t="s">
        <v>1389</v>
      </c>
      <c r="E1" s="980"/>
      <c r="F1" s="981"/>
    </row>
    <row r="2" spans="1:7" s="168" customFormat="1" ht="33" customHeight="1" thickBot="1">
      <c r="A2" s="488" t="s">
        <v>420</v>
      </c>
      <c r="B2" s="491" t="s">
        <v>25</v>
      </c>
      <c r="C2" s="490" t="s">
        <v>1018</v>
      </c>
      <c r="D2" s="488" t="s">
        <v>420</v>
      </c>
      <c r="E2" s="489" t="s">
        <v>25</v>
      </c>
      <c r="F2" s="490" t="s">
        <v>1018</v>
      </c>
    </row>
    <row r="3" spans="1:7" s="670" customFormat="1" ht="33" customHeight="1">
      <c r="A3" s="486">
        <v>43462</v>
      </c>
      <c r="B3" s="482">
        <f>7+6+2+144+35+1+6</f>
        <v>201</v>
      </c>
      <c r="C3" s="487"/>
      <c r="D3" s="486">
        <v>43104</v>
      </c>
      <c r="E3" s="482"/>
      <c r="F3" s="482">
        <v>160</v>
      </c>
    </row>
    <row r="4" spans="1:7" s="673" customFormat="1" ht="33" customHeight="1">
      <c r="A4" s="486">
        <v>43104</v>
      </c>
      <c r="B4" s="482">
        <f>32+186+1</f>
        <v>219</v>
      </c>
      <c r="C4" s="487">
        <f>158+1</f>
        <v>159</v>
      </c>
      <c r="D4" s="486">
        <v>43110</v>
      </c>
      <c r="E4" s="482">
        <v>560</v>
      </c>
      <c r="F4" s="482">
        <v>160</v>
      </c>
      <c r="G4" s="673" t="s">
        <v>1757</v>
      </c>
    </row>
    <row r="5" spans="1:7" s="673" customFormat="1" ht="33" customHeight="1">
      <c r="A5" s="486">
        <v>43111</v>
      </c>
      <c r="B5" s="482">
        <f>201+33+5</f>
        <v>239</v>
      </c>
      <c r="C5" s="487"/>
      <c r="D5" s="486"/>
      <c r="E5" s="482"/>
      <c r="F5" s="482"/>
    </row>
    <row r="6" spans="1:7" s="622" customFormat="1" ht="30" customHeight="1">
      <c r="A6" s="486">
        <v>43118</v>
      </c>
      <c r="B6" s="482">
        <v>7</v>
      </c>
      <c r="C6" s="487"/>
      <c r="D6" s="486"/>
      <c r="E6" s="482"/>
      <c r="F6" s="482"/>
    </row>
    <row r="7" spans="1:7" s="673" customFormat="1" ht="30" customHeight="1">
      <c r="A7" s="486"/>
      <c r="B7" s="482"/>
      <c r="C7" s="487"/>
      <c r="D7" s="486"/>
      <c r="E7" s="482"/>
      <c r="F7" s="482"/>
    </row>
    <row r="8" spans="1:7" s="609" customFormat="1" ht="30" customHeight="1">
      <c r="A8" s="486"/>
      <c r="B8" s="482"/>
      <c r="C8" s="487"/>
      <c r="D8" s="486"/>
      <c r="E8" s="482"/>
      <c r="F8" s="482"/>
    </row>
    <row r="9" spans="1:7" s="609" customFormat="1" ht="30" customHeight="1">
      <c r="A9" s="486"/>
      <c r="B9" s="482"/>
      <c r="C9" s="487"/>
      <c r="D9" s="486"/>
      <c r="E9" s="482"/>
      <c r="F9" s="482"/>
    </row>
    <row r="10" spans="1:7" s="168" customFormat="1" ht="30" customHeight="1">
      <c r="A10" s="486"/>
      <c r="B10" s="482"/>
      <c r="C10" s="487"/>
      <c r="D10" s="486"/>
      <c r="E10" s="482"/>
      <c r="F10" s="482"/>
    </row>
    <row r="11" spans="1:7" ht="29.25" customHeight="1" thickBot="1">
      <c r="A11" s="495"/>
      <c r="B11" s="560"/>
      <c r="C11" s="496"/>
      <c r="D11" s="495"/>
      <c r="E11" s="497"/>
      <c r="F11" s="497"/>
    </row>
    <row r="12" spans="1:7" ht="29.25" customHeight="1" thickTop="1" thickBot="1">
      <c r="A12" s="492" t="s">
        <v>1020</v>
      </c>
      <c r="B12" s="493">
        <f>SUM(B3:B11)</f>
        <v>666</v>
      </c>
      <c r="C12" s="493">
        <f>SUM(C3:C11)</f>
        <v>159</v>
      </c>
      <c r="D12" s="492" t="s">
        <v>1020</v>
      </c>
      <c r="E12" s="494">
        <f>SUM(E3:E11)</f>
        <v>560</v>
      </c>
      <c r="F12" s="494">
        <f>SUM(F4:F11)</f>
        <v>160</v>
      </c>
    </row>
    <row r="13" spans="1:7" ht="29.25" customHeight="1" thickBot="1">
      <c r="A13" s="488"/>
      <c r="B13" s="644"/>
      <c r="C13" s="645"/>
      <c r="D13" s="644" t="s">
        <v>1027</v>
      </c>
      <c r="E13" s="646">
        <f>SUM(B12-E12)</f>
        <v>106</v>
      </c>
      <c r="F13" s="647">
        <f>SUM(C12-F12)</f>
        <v>-1</v>
      </c>
    </row>
    <row r="14" spans="1:7" ht="23.25" customHeight="1">
      <c r="C14" s="527"/>
      <c r="D14" s="483" t="s">
        <v>1756</v>
      </c>
      <c r="E14" s="483">
        <v>560</v>
      </c>
      <c r="F14">
        <v>160</v>
      </c>
    </row>
    <row r="15" spans="1:7">
      <c r="D15" s="483" t="s">
        <v>1077</v>
      </c>
      <c r="E15" s="523">
        <f>SUM(E13-E14)</f>
        <v>-454</v>
      </c>
      <c r="F15" s="523">
        <f>SUM(F13-F14)</f>
        <v>-161</v>
      </c>
    </row>
  </sheetData>
  <mergeCells count="2">
    <mergeCell ref="A1:C1"/>
    <mergeCell ref="D1:F1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12" zoomScaleNormal="100" workbookViewId="0">
      <selection activeCell="C30" sqref="C30"/>
    </sheetView>
  </sheetViews>
  <sheetFormatPr defaultRowHeight="23.25" customHeight="1"/>
  <cols>
    <col min="1" max="1" width="8.875" style="707" customWidth="1"/>
    <col min="2" max="2" width="16.625" style="725" customWidth="1"/>
    <col min="3" max="3" width="18.625" style="708" customWidth="1"/>
    <col min="4" max="4" width="17.125" style="710" customWidth="1"/>
    <col min="5" max="5" width="14.375" style="710" customWidth="1"/>
    <col min="6" max="6" width="13.875" style="705" customWidth="1"/>
    <col min="7" max="16384" width="9" style="705"/>
  </cols>
  <sheetData>
    <row r="1" spans="1:6" ht="35.25" customHeight="1">
      <c r="A1" s="982" t="s">
        <v>1595</v>
      </c>
      <c r="B1" s="982"/>
      <c r="C1" s="982"/>
      <c r="D1" s="982"/>
      <c r="E1" s="982"/>
    </row>
    <row r="2" spans="1:6" s="186" customFormat="1" ht="23.25" customHeight="1">
      <c r="A2" s="711" t="s">
        <v>1271</v>
      </c>
      <c r="B2" s="724" t="s">
        <v>1270</v>
      </c>
      <c r="C2" s="197" t="s">
        <v>1269</v>
      </c>
      <c r="D2" s="197" t="s">
        <v>4</v>
      </c>
      <c r="E2" s="197" t="s">
        <v>1536</v>
      </c>
      <c r="F2" s="197" t="s">
        <v>1588</v>
      </c>
    </row>
    <row r="3" spans="1:6" s="733" customFormat="1" ht="23.25" customHeight="1">
      <c r="A3" s="729">
        <v>43441</v>
      </c>
      <c r="B3" s="730" t="s">
        <v>1641</v>
      </c>
      <c r="C3" s="706" t="s">
        <v>1640</v>
      </c>
      <c r="D3" s="731">
        <v>165</v>
      </c>
      <c r="E3" s="729">
        <v>43453</v>
      </c>
      <c r="F3" s="732" t="s">
        <v>1639</v>
      </c>
    </row>
    <row r="4" spans="1:6" s="733" customFormat="1" ht="23.25" customHeight="1">
      <c r="A4" s="729">
        <v>43441</v>
      </c>
      <c r="B4" s="730" t="s">
        <v>1641</v>
      </c>
      <c r="C4" s="706" t="s">
        <v>1642</v>
      </c>
      <c r="D4" s="731" t="s">
        <v>1643</v>
      </c>
      <c r="E4" s="729">
        <v>43453</v>
      </c>
      <c r="F4" s="732" t="s">
        <v>1644</v>
      </c>
    </row>
    <row r="5" spans="1:6" s="733" customFormat="1" ht="23.25" customHeight="1">
      <c r="A5" s="729">
        <v>43448</v>
      </c>
      <c r="B5" s="730" t="s">
        <v>1281</v>
      </c>
      <c r="C5" s="706" t="s">
        <v>1685</v>
      </c>
      <c r="D5" s="731">
        <v>100</v>
      </c>
      <c r="E5" s="729">
        <v>43455</v>
      </c>
      <c r="F5" s="732" t="s">
        <v>1686</v>
      </c>
    </row>
    <row r="6" spans="1:6" s="733" customFormat="1" ht="23.25" customHeight="1">
      <c r="A6" s="729">
        <v>43448</v>
      </c>
      <c r="B6" s="730" t="s">
        <v>1687</v>
      </c>
      <c r="C6" s="706" t="s">
        <v>1688</v>
      </c>
      <c r="D6" s="731">
        <v>159</v>
      </c>
      <c r="E6" s="729">
        <v>43104</v>
      </c>
      <c r="F6" s="732"/>
    </row>
    <row r="7" spans="1:6" s="733" customFormat="1" ht="23.25" customHeight="1">
      <c r="A7" s="729">
        <v>43448</v>
      </c>
      <c r="B7" s="730" t="s">
        <v>1687</v>
      </c>
      <c r="C7" s="706" t="s">
        <v>1689</v>
      </c>
      <c r="D7" s="731">
        <v>106</v>
      </c>
      <c r="E7" s="729">
        <v>43104</v>
      </c>
      <c r="F7" s="732"/>
    </row>
    <row r="8" spans="1:6" s="733" customFormat="1" ht="23.25" customHeight="1">
      <c r="A8" s="729">
        <v>43452</v>
      </c>
      <c r="B8" s="730" t="s">
        <v>1706</v>
      </c>
      <c r="C8" s="706" t="s">
        <v>1707</v>
      </c>
      <c r="D8" s="731">
        <v>50</v>
      </c>
      <c r="E8" s="729">
        <v>43455</v>
      </c>
      <c r="F8" s="732" t="s">
        <v>1708</v>
      </c>
    </row>
    <row r="9" spans="1:6" s="733" customFormat="1" ht="23.25" customHeight="1">
      <c r="A9" s="729">
        <v>43453</v>
      </c>
      <c r="B9" s="730" t="s">
        <v>1712</v>
      </c>
      <c r="C9" s="706" t="s">
        <v>1713</v>
      </c>
      <c r="D9" s="731">
        <v>60</v>
      </c>
      <c r="E9" s="729">
        <v>43458</v>
      </c>
      <c r="F9" s="732"/>
    </row>
    <row r="10" spans="1:6" s="733" customFormat="1" ht="23.25" customHeight="1">
      <c r="A10" s="729">
        <v>43453</v>
      </c>
      <c r="B10" s="730" t="s">
        <v>1716</v>
      </c>
      <c r="C10" s="706" t="s">
        <v>1714</v>
      </c>
      <c r="D10" s="731">
        <v>150</v>
      </c>
      <c r="E10" s="729">
        <v>43103</v>
      </c>
      <c r="F10" s="732"/>
    </row>
    <row r="11" spans="1:6" s="733" customFormat="1" ht="23.25" customHeight="1">
      <c r="A11" s="729">
        <v>43453</v>
      </c>
      <c r="B11" s="730" t="s">
        <v>1716</v>
      </c>
      <c r="C11" s="706" t="s">
        <v>1715</v>
      </c>
      <c r="D11" s="731">
        <v>150</v>
      </c>
      <c r="E11" s="729">
        <v>43103</v>
      </c>
      <c r="F11" s="732"/>
    </row>
    <row r="12" spans="1:6" s="733" customFormat="1" ht="23.25" customHeight="1">
      <c r="A12" s="729">
        <v>43455</v>
      </c>
      <c r="B12" s="730" t="s">
        <v>1731</v>
      </c>
      <c r="C12" s="706" t="s">
        <v>1732</v>
      </c>
      <c r="D12" s="731">
        <f>144+2+6</f>
        <v>152</v>
      </c>
      <c r="E12" s="729">
        <v>43462</v>
      </c>
      <c r="F12" s="732"/>
    </row>
    <row r="13" spans="1:6" s="733" customFormat="1" ht="23.25" customHeight="1">
      <c r="A13" s="729">
        <v>43455</v>
      </c>
      <c r="B13" s="730" t="s">
        <v>1731</v>
      </c>
      <c r="C13" s="706" t="s">
        <v>1732</v>
      </c>
      <c r="D13" s="731">
        <f>186+201</f>
        <v>387</v>
      </c>
      <c r="E13" s="729">
        <v>43104</v>
      </c>
      <c r="F13" s="732"/>
    </row>
    <row r="14" spans="1:6" s="733" customFormat="1" ht="23.25" customHeight="1">
      <c r="A14" s="729">
        <v>43458</v>
      </c>
      <c r="B14" s="730" t="s">
        <v>1737</v>
      </c>
      <c r="C14" s="706" t="s">
        <v>1743</v>
      </c>
      <c r="D14" s="731">
        <v>50</v>
      </c>
      <c r="E14" s="729">
        <v>43462</v>
      </c>
      <c r="F14" s="732"/>
    </row>
    <row r="15" spans="1:6" s="733" customFormat="1" ht="23.25" customHeight="1">
      <c r="A15" s="729">
        <v>43460</v>
      </c>
      <c r="B15" s="730" t="s">
        <v>1750</v>
      </c>
      <c r="C15" s="706" t="s">
        <v>1751</v>
      </c>
      <c r="D15" s="731">
        <v>150</v>
      </c>
      <c r="E15" s="729">
        <v>43104</v>
      </c>
      <c r="F15" s="732"/>
    </row>
    <row r="16" spans="1:6" s="733" customFormat="1" ht="23.25" customHeight="1">
      <c r="A16" s="729">
        <v>43460</v>
      </c>
      <c r="B16" s="730" t="s">
        <v>1752</v>
      </c>
      <c r="C16" s="706" t="s">
        <v>1753</v>
      </c>
      <c r="D16" s="731" t="s">
        <v>1754</v>
      </c>
      <c r="E16" s="729">
        <v>43102</v>
      </c>
      <c r="F16" s="732" t="s">
        <v>1755</v>
      </c>
    </row>
    <row r="17" spans="1:6" s="733" customFormat="1" ht="23.25" customHeight="1">
      <c r="A17" s="729">
        <v>43461</v>
      </c>
      <c r="B17" s="730" t="s">
        <v>1761</v>
      </c>
      <c r="C17" s="706" t="s">
        <v>1762</v>
      </c>
      <c r="D17" s="731">
        <v>64</v>
      </c>
      <c r="E17" s="729">
        <v>43103</v>
      </c>
      <c r="F17" s="732"/>
    </row>
    <row r="18" spans="1:6" s="733" customFormat="1" ht="23.25" customHeight="1">
      <c r="A18" s="729">
        <v>43461</v>
      </c>
      <c r="B18" s="730" t="s">
        <v>1763</v>
      </c>
      <c r="C18" s="706" t="s">
        <v>1764</v>
      </c>
      <c r="D18" s="731">
        <v>64</v>
      </c>
      <c r="E18" s="729">
        <v>43103</v>
      </c>
      <c r="F18" s="732"/>
    </row>
    <row r="19" spans="1:6" s="733" customFormat="1" ht="23.25" customHeight="1">
      <c r="A19" s="729">
        <v>43461</v>
      </c>
      <c r="B19" s="730" t="s">
        <v>1763</v>
      </c>
      <c r="C19" s="706" t="s">
        <v>1765</v>
      </c>
      <c r="D19" s="731">
        <v>30</v>
      </c>
      <c r="E19" s="729">
        <v>43103</v>
      </c>
      <c r="F19" s="732" t="s">
        <v>1766</v>
      </c>
    </row>
    <row r="20" spans="1:6" s="733" customFormat="1" ht="23.25" customHeight="1">
      <c r="A20" s="729">
        <v>43461</v>
      </c>
      <c r="B20" s="730" t="s">
        <v>1763</v>
      </c>
      <c r="C20" s="706" t="s">
        <v>1767</v>
      </c>
      <c r="D20" s="731">
        <v>21</v>
      </c>
      <c r="E20" s="729">
        <v>43103</v>
      </c>
      <c r="F20" s="732"/>
    </row>
    <row r="21" spans="1:6" s="733" customFormat="1" ht="23.25" customHeight="1">
      <c r="A21" s="729">
        <v>43462</v>
      </c>
      <c r="B21" s="730" t="s">
        <v>1773</v>
      </c>
      <c r="C21" s="706" t="s">
        <v>1774</v>
      </c>
      <c r="D21" s="731">
        <v>150</v>
      </c>
      <c r="E21" s="729">
        <v>43103</v>
      </c>
      <c r="F21" s="732"/>
    </row>
    <row r="22" spans="1:6" s="733" customFormat="1" ht="23.25" customHeight="1">
      <c r="A22" s="729">
        <v>43462</v>
      </c>
      <c r="B22" s="730" t="s">
        <v>1773</v>
      </c>
      <c r="C22" s="706" t="s">
        <v>1781</v>
      </c>
      <c r="D22" s="731">
        <v>40</v>
      </c>
      <c r="E22" s="729">
        <v>43103</v>
      </c>
      <c r="F22" s="732"/>
    </row>
    <row r="23" spans="1:6" s="733" customFormat="1" ht="23.25" customHeight="1">
      <c r="A23" s="729">
        <v>43462</v>
      </c>
      <c r="B23" s="730" t="s">
        <v>1773</v>
      </c>
      <c r="C23" s="706" t="s">
        <v>1782</v>
      </c>
      <c r="D23" s="731">
        <v>20</v>
      </c>
      <c r="E23" s="729">
        <v>43103</v>
      </c>
      <c r="F23" s="732"/>
    </row>
    <row r="24" spans="1:6" s="733" customFormat="1" ht="23.25" customHeight="1">
      <c r="A24" s="729">
        <v>43462</v>
      </c>
      <c r="B24" s="730" t="s">
        <v>1783</v>
      </c>
      <c r="C24" s="706" t="s">
        <v>1784</v>
      </c>
      <c r="D24" s="731" t="s">
        <v>1785</v>
      </c>
      <c r="E24" s="729">
        <v>43103</v>
      </c>
      <c r="F24" s="732"/>
    </row>
    <row r="25" spans="1:6" s="733" customFormat="1" ht="23.25" customHeight="1">
      <c r="A25" s="729"/>
      <c r="B25" s="730"/>
      <c r="C25" s="706"/>
      <c r="D25" s="731"/>
      <c r="E25" s="729"/>
      <c r="F25" s="732"/>
    </row>
    <row r="26" spans="1:6" s="733" customFormat="1" ht="23.25" customHeight="1">
      <c r="A26" s="729"/>
      <c r="B26" s="730"/>
      <c r="C26" s="706"/>
      <c r="D26" s="731"/>
      <c r="E26" s="729"/>
      <c r="F26" s="732"/>
    </row>
    <row r="27" spans="1:6" s="733" customFormat="1" ht="23.25" customHeight="1">
      <c r="A27" s="729"/>
      <c r="B27" s="730"/>
      <c r="C27" s="706"/>
      <c r="D27" s="731"/>
      <c r="E27" s="729"/>
      <c r="F27" s="732"/>
    </row>
    <row r="28" spans="1:6" ht="23.25" customHeight="1">
      <c r="A28" s="711"/>
      <c r="B28" s="724"/>
      <c r="C28" s="706"/>
      <c r="D28" s="712"/>
      <c r="E28" s="712"/>
      <c r="F28" s="723"/>
    </row>
    <row r="29" spans="1:6" ht="23.25" customHeight="1">
      <c r="D29" s="709"/>
    </row>
  </sheetData>
  <autoFilter ref="A2:F2"/>
  <mergeCells count="1">
    <mergeCell ref="A1:E1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zoomScaleNormal="100" workbookViewId="0">
      <selection activeCell="C3" sqref="C3"/>
    </sheetView>
  </sheetViews>
  <sheetFormatPr defaultRowHeight="16.5"/>
  <cols>
    <col min="1" max="1" width="17.125" style="484" customWidth="1"/>
    <col min="2" max="2" width="22.125" style="484" customWidth="1"/>
    <col min="3" max="3" width="16.625" style="485" customWidth="1"/>
    <col min="4" max="4" width="10.5" style="483" customWidth="1"/>
  </cols>
  <sheetData>
    <row r="1" spans="1:4" ht="45" customHeight="1" thickBot="1">
      <c r="A1" s="979" t="s">
        <v>1293</v>
      </c>
      <c r="B1" s="980"/>
      <c r="C1" s="604"/>
      <c r="D1" s="603"/>
    </row>
    <row r="2" spans="1:4" s="168" customFormat="1" ht="33" customHeight="1" thickBot="1">
      <c r="A2" s="488" t="s">
        <v>1269</v>
      </c>
      <c r="B2" s="490" t="s">
        <v>1682</v>
      </c>
      <c r="C2" s="490" t="s">
        <v>1577</v>
      </c>
    </row>
    <row r="3" spans="1:4" s="168" customFormat="1" ht="33" customHeight="1">
      <c r="A3" s="759" t="s">
        <v>848</v>
      </c>
      <c r="B3" s="760">
        <f>76-40</f>
        <v>36</v>
      </c>
      <c r="C3" s="760"/>
      <c r="D3" s="761" t="s">
        <v>1683</v>
      </c>
    </row>
    <row r="4" spans="1:4" s="168" customFormat="1" ht="30" customHeight="1">
      <c r="A4" s="486" t="s">
        <v>1294</v>
      </c>
      <c r="B4" s="487">
        <f>112-10</f>
        <v>102</v>
      </c>
      <c r="C4" s="487"/>
    </row>
    <row r="5" spans="1:4" s="168" customFormat="1" ht="30" customHeight="1">
      <c r="A5" s="486" t="s">
        <v>1297</v>
      </c>
      <c r="B5" s="487">
        <v>21</v>
      </c>
      <c r="C5" s="487"/>
    </row>
    <row r="6" spans="1:4" s="168" customFormat="1" ht="30" customHeight="1">
      <c r="A6" s="486" t="s">
        <v>1295</v>
      </c>
      <c r="B6" s="487">
        <f>137-5</f>
        <v>132</v>
      </c>
      <c r="C6" s="487"/>
    </row>
    <row r="7" spans="1:4" s="168" customFormat="1" ht="30" customHeight="1">
      <c r="A7" s="486"/>
      <c r="B7" s="487"/>
      <c r="C7" s="487"/>
    </row>
    <row r="8" spans="1:4" s="168" customFormat="1" ht="30" customHeight="1">
      <c r="A8" s="486"/>
      <c r="B8" s="487"/>
      <c r="C8" s="487"/>
    </row>
    <row r="9" spans="1:4" ht="29.25" customHeight="1">
      <c r="A9" s="486"/>
      <c r="B9" s="487"/>
      <c r="C9" s="487"/>
      <c r="D9"/>
    </row>
    <row r="10" spans="1:4" ht="29.25" customHeight="1">
      <c r="A10" s="486"/>
      <c r="B10" s="487"/>
      <c r="C10" s="487"/>
      <c r="D10"/>
    </row>
    <row r="11" spans="1:4" ht="29.25" customHeight="1">
      <c r="A11" s="486"/>
      <c r="B11" s="487"/>
      <c r="C11" s="487"/>
      <c r="D11"/>
    </row>
    <row r="12" spans="1:4" ht="29.25" customHeight="1">
      <c r="A12" s="486"/>
      <c r="B12" s="487"/>
      <c r="C12" s="487"/>
      <c r="D12"/>
    </row>
    <row r="13" spans="1:4" ht="29.25" customHeight="1">
      <c r="A13" s="486"/>
      <c r="B13" s="487"/>
      <c r="C13" s="487"/>
      <c r="D13"/>
    </row>
    <row r="14" spans="1:4" ht="29.25" customHeight="1" thickBot="1">
      <c r="A14" s="495"/>
      <c r="B14" s="496"/>
      <c r="C14" s="496"/>
      <c r="D14"/>
    </row>
    <row r="15" spans="1:4" ht="29.25" customHeight="1" thickTop="1" thickBot="1">
      <c r="A15" s="492" t="s">
        <v>1020</v>
      </c>
      <c r="B15" s="494">
        <f>SUM(B3:B14)</f>
        <v>291</v>
      </c>
      <c r="C15" s="494"/>
      <c r="D15"/>
    </row>
    <row r="16" spans="1:4" ht="29.25" customHeight="1">
      <c r="D16" s="527"/>
    </row>
  </sheetData>
  <mergeCells count="1">
    <mergeCell ref="A1:B1"/>
  </mergeCells>
  <phoneticPr fontId="1" type="noConversion"/>
  <pageMargins left="0.7" right="0.7" top="0.75" bottom="0.75" header="0.3" footer="0.3"/>
  <pageSetup paperSize="9" scale="8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8"/>
  <sheetViews>
    <sheetView zoomScaleNormal="100" workbookViewId="0">
      <selection activeCell="E16" sqref="E16"/>
    </sheetView>
  </sheetViews>
  <sheetFormatPr defaultRowHeight="16.5"/>
  <cols>
    <col min="1" max="1" width="7" style="170" customWidth="1"/>
    <col min="2" max="2" width="9.875" style="180" customWidth="1"/>
    <col min="3" max="3" width="16.625" customWidth="1"/>
    <col min="4" max="4" width="15.5" customWidth="1"/>
    <col min="5" max="5" width="10.125" customWidth="1"/>
    <col min="6" max="6" width="17.375" customWidth="1"/>
    <col min="7" max="7" width="14.75" customWidth="1"/>
  </cols>
  <sheetData>
    <row r="2" spans="1:8" ht="45" customHeight="1">
      <c r="A2" s="983" t="s">
        <v>464</v>
      </c>
      <c r="B2" s="984"/>
      <c r="C2" s="984"/>
      <c r="D2" s="984"/>
      <c r="E2" s="984"/>
      <c r="F2" s="271"/>
    </row>
    <row r="3" spans="1:8" s="186" customFormat="1" ht="29.25" customHeight="1">
      <c r="A3" s="183" t="s">
        <v>467</v>
      </c>
      <c r="B3" s="184" t="s">
        <v>468</v>
      </c>
      <c r="C3" s="182" t="s">
        <v>465</v>
      </c>
      <c r="D3" s="182" t="s">
        <v>469</v>
      </c>
      <c r="E3" s="185" t="s">
        <v>474</v>
      </c>
      <c r="F3" s="185" t="s">
        <v>564</v>
      </c>
      <c r="G3" s="197" t="s">
        <v>473</v>
      </c>
    </row>
    <row r="4" spans="1:8" ht="29.25" customHeight="1">
      <c r="A4" s="169">
        <v>43152</v>
      </c>
      <c r="B4" s="181">
        <v>429000</v>
      </c>
      <c r="C4" s="178" t="s">
        <v>466</v>
      </c>
      <c r="D4" s="187">
        <v>18000</v>
      </c>
      <c r="E4" s="167">
        <v>1240</v>
      </c>
      <c r="F4" s="272">
        <f>SUM(D4*E4)</f>
        <v>22320000</v>
      </c>
      <c r="G4" s="198">
        <f>SUM(D4*E4)*1.1</f>
        <v>24552000.000000004</v>
      </c>
      <c r="H4" t="s">
        <v>488</v>
      </c>
    </row>
    <row r="5" spans="1:8" ht="29.25" customHeight="1">
      <c r="A5" s="169">
        <v>43185</v>
      </c>
      <c r="B5" s="181">
        <v>330000</v>
      </c>
      <c r="C5" s="178" t="s">
        <v>470</v>
      </c>
      <c r="D5" s="187">
        <v>11000</v>
      </c>
      <c r="E5" s="167">
        <v>1240</v>
      </c>
      <c r="F5" s="272">
        <f t="shared" ref="F5" si="0">SUM(D5*E5)</f>
        <v>13640000</v>
      </c>
      <c r="G5" s="198">
        <f>SUM(D5*E5)*1.1</f>
        <v>15004000.000000002</v>
      </c>
      <c r="H5" t="s">
        <v>488</v>
      </c>
    </row>
    <row r="6" spans="1:8" ht="29.25" customHeight="1">
      <c r="A6" s="169"/>
      <c r="B6" s="181">
        <f>SUM(B4:B5)</f>
        <v>759000</v>
      </c>
      <c r="C6" s="178"/>
      <c r="D6" s="194">
        <f>SUM(D4:D5)</f>
        <v>29000</v>
      </c>
      <c r="E6" s="167"/>
      <c r="F6" s="272">
        <f>SUM(F4:F5)</f>
        <v>35960000</v>
      </c>
      <c r="G6" s="198">
        <f>SUM(G4:G5)</f>
        <v>39556000.000000007</v>
      </c>
    </row>
    <row r="7" spans="1:8" ht="29.25" customHeight="1">
      <c r="A7" s="188"/>
      <c r="B7" s="189"/>
      <c r="C7" s="190"/>
      <c r="D7" s="195"/>
      <c r="E7" s="192"/>
      <c r="F7" s="192"/>
      <c r="G7" s="200"/>
    </row>
    <row r="8" spans="1:8" s="193" customFormat="1" ht="29.25" customHeight="1">
      <c r="A8" s="188"/>
      <c r="B8" s="189"/>
      <c r="C8" s="199" t="s">
        <v>475</v>
      </c>
      <c r="D8" s="195">
        <f>SUM(G6)</f>
        <v>39556000.000000007</v>
      </c>
      <c r="E8" s="196"/>
      <c r="F8" s="196"/>
    </row>
    <row r="9" spans="1:8" s="193" customFormat="1" ht="29.25" customHeight="1">
      <c r="A9" s="188"/>
      <c r="B9" s="189"/>
      <c r="C9" s="191" t="s">
        <v>476</v>
      </c>
      <c r="D9" s="195">
        <f>SUM(B6)</f>
        <v>759000</v>
      </c>
      <c r="E9" s="273">
        <v>0.5</v>
      </c>
      <c r="F9" s="274">
        <f>SUM(D9*E9)</f>
        <v>379500</v>
      </c>
      <c r="G9" s="275"/>
    </row>
    <row r="10" spans="1:8" s="193" customFormat="1" ht="29.25" customHeight="1">
      <c r="A10" s="188"/>
      <c r="B10" s="189"/>
      <c r="C10" s="191" t="s">
        <v>477</v>
      </c>
      <c r="D10" s="195">
        <f>SUM(D8:D9)</f>
        <v>40315000.000000007</v>
      </c>
      <c r="E10" s="192"/>
      <c r="F10" s="192"/>
    </row>
    <row r="11" spans="1:8" s="193" customFormat="1" ht="29.25" customHeight="1">
      <c r="A11" s="188"/>
      <c r="B11" s="189"/>
      <c r="C11" s="190"/>
      <c r="D11" s="191"/>
      <c r="E11" s="192"/>
      <c r="F11" s="192"/>
    </row>
    <row r="12" spans="1:8" s="193" customFormat="1" ht="29.25" customHeight="1">
      <c r="A12" s="985" t="s">
        <v>471</v>
      </c>
      <c r="B12" s="986"/>
      <c r="C12" s="986"/>
      <c r="D12" s="986"/>
      <c r="E12" s="986"/>
      <c r="F12" s="257"/>
    </row>
    <row r="13" spans="1:8" s="193" customFormat="1" ht="29.25" customHeight="1">
      <c r="A13" s="986" t="s">
        <v>472</v>
      </c>
      <c r="B13" s="986"/>
      <c r="C13" s="986"/>
      <c r="D13" s="986"/>
      <c r="E13" s="986"/>
      <c r="F13" s="257"/>
    </row>
    <row r="14" spans="1:8" s="193" customFormat="1" ht="29.25" customHeight="1">
      <c r="A14" s="188"/>
      <c r="B14" s="189"/>
      <c r="C14" s="190"/>
      <c r="D14" s="190"/>
      <c r="E14" s="192"/>
      <c r="F14" s="192"/>
    </row>
    <row r="15" spans="1:8" s="193" customFormat="1" ht="29.25" customHeight="1">
      <c r="A15" s="188"/>
      <c r="B15" s="189"/>
      <c r="C15" s="190"/>
      <c r="D15" s="190"/>
      <c r="E15" s="192"/>
      <c r="F15" s="192"/>
    </row>
    <row r="16" spans="1:8" s="193" customFormat="1" ht="29.25" customHeight="1">
      <c r="A16" s="188"/>
      <c r="B16" s="189"/>
      <c r="C16" s="190"/>
      <c r="D16" s="190"/>
      <c r="E16" s="192"/>
      <c r="F16" s="192"/>
    </row>
    <row r="17" spans="1:6" s="193" customFormat="1" ht="29.25" customHeight="1">
      <c r="A17" s="188"/>
      <c r="B17" s="189"/>
      <c r="C17" s="190"/>
      <c r="D17" s="190"/>
      <c r="E17" s="192"/>
      <c r="F17" s="192"/>
    </row>
    <row r="18" spans="1:6" s="193" customFormat="1" ht="29.25" customHeight="1">
      <c r="A18" s="188"/>
      <c r="B18" s="189"/>
      <c r="C18" s="190"/>
      <c r="D18" s="190"/>
      <c r="E18" s="192"/>
      <c r="F18" s="192"/>
    </row>
  </sheetData>
  <mergeCells count="3">
    <mergeCell ref="A2:E2"/>
    <mergeCell ref="A12:E12"/>
    <mergeCell ref="A13:E13"/>
  </mergeCells>
  <phoneticPr fontId="1" type="noConversion"/>
  <pageMargins left="0.7" right="0.7" top="0.75" bottom="0.75" header="0.3" footer="0.3"/>
  <pageSetup paperSize="9" scale="88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4" sqref="G34"/>
    </sheetView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이름이 지정된 범위</vt:lpstr>
      </vt:variant>
      <vt:variant>
        <vt:i4>14</vt:i4>
      </vt:variant>
    </vt:vector>
  </HeadingPairs>
  <TitlesOfParts>
    <vt:vector size="32" baseType="lpstr">
      <vt:lpstr>201801</vt:lpstr>
      <vt:lpstr>201802</vt:lpstr>
      <vt:lpstr>201803</vt:lpstr>
      <vt:lpstr>201804</vt:lpstr>
      <vt:lpstr>201805</vt:lpstr>
      <vt:lpstr>201806</vt:lpstr>
      <vt:lpstr>201807</vt:lpstr>
      <vt:lpstr>201808</vt:lpstr>
      <vt:lpstr>201809</vt:lpstr>
      <vt:lpstr>201810</vt:lpstr>
      <vt:lpstr>201811</vt:lpstr>
      <vt:lpstr>201812</vt:lpstr>
      <vt:lpstr>201901</vt:lpstr>
      <vt:lpstr>삼성</vt:lpstr>
      <vt:lpstr>발주</vt:lpstr>
      <vt:lpstr>금융재고</vt:lpstr>
      <vt:lpstr>원료반품</vt:lpstr>
      <vt:lpstr>Sheet2</vt:lpstr>
      <vt:lpstr>'201801'!Print_Area</vt:lpstr>
      <vt:lpstr>'201802'!Print_Area</vt:lpstr>
      <vt:lpstr>'201803'!Print_Area</vt:lpstr>
      <vt:lpstr>'201804'!Print_Area</vt:lpstr>
      <vt:lpstr>'201805'!Print_Area</vt:lpstr>
      <vt:lpstr>'201806'!Print_Area</vt:lpstr>
      <vt:lpstr>'201807'!Print_Area</vt:lpstr>
      <vt:lpstr>'201808'!Print_Area</vt:lpstr>
      <vt:lpstr>'201809'!Print_Area</vt:lpstr>
      <vt:lpstr>'201810'!Print_Area</vt:lpstr>
      <vt:lpstr>'201811'!Print_Area</vt:lpstr>
      <vt:lpstr>'201812'!Print_Area</vt:lpstr>
      <vt:lpstr>'201901'!Print_Area</vt:lpstr>
      <vt:lpstr>발주!Print_Area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Owner</cp:lastModifiedBy>
  <cp:lastPrinted>2018-12-27T03:18:20Z</cp:lastPrinted>
  <dcterms:created xsi:type="dcterms:W3CDTF">2012-02-10T09:18:27Z</dcterms:created>
  <dcterms:modified xsi:type="dcterms:W3CDTF">2019-01-02T00:51:33Z</dcterms:modified>
</cp:coreProperties>
</file>