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서류\납품일정\"/>
    </mc:Choice>
  </mc:AlternateContent>
  <bookViews>
    <workbookView xWindow="0" yWindow="0" windowWidth="28800" windowHeight="12285" tabRatio="960" activeTab="13"/>
  </bookViews>
  <sheets>
    <sheet name="2022.12" sheetId="24" r:id="rId1"/>
    <sheet name="2023.01" sheetId="25" r:id="rId2"/>
    <sheet name="2023.03" sheetId="26" r:id="rId3"/>
    <sheet name="2023.04" sheetId="27" r:id="rId4"/>
    <sheet name="2023.05" sheetId="30" r:id="rId5"/>
    <sheet name="2023.06" sheetId="31" r:id="rId6"/>
    <sheet name="2023.07" sheetId="32" r:id="rId7"/>
    <sheet name="2023.08" sheetId="33" r:id="rId8"/>
    <sheet name="2023.09" sheetId="34" r:id="rId9"/>
    <sheet name="2023.10" sheetId="35" r:id="rId10"/>
    <sheet name="2023.11" sheetId="36" r:id="rId11"/>
    <sheet name="2023.12" sheetId="37" r:id="rId12"/>
    <sheet name="2024.01" sheetId="38" r:id="rId13"/>
    <sheet name="2024.02" sheetId="39" r:id="rId14"/>
    <sheet name="삼성" sheetId="28" r:id="rId15"/>
    <sheet name="대납 주소" sheetId="29" r:id="rId16"/>
    <sheet name="삼성 지도" sheetId="16" r:id="rId17"/>
    <sheet name="빈 서식" sheetId="9" r:id="rId18"/>
    <sheet name="유진pe" sheetId="5" r:id="rId19"/>
    <sheet name="수입품" sheetId="6" r:id="rId20"/>
    <sheet name="정기결제" sheetId="7" r:id="rId21"/>
    <sheet name="파레트 사이즈" sheetId="8" r:id="rId22"/>
    <sheet name="Sheet2" sheetId="11" r:id="rId23"/>
    <sheet name="Sheet4" sheetId="17" r:id="rId24"/>
    <sheet name="Sheet5" sheetId="19" r:id="rId25"/>
  </sheets>
  <definedNames>
    <definedName name="_xlnm._FilterDatabase" localSheetId="20" hidden="1">정기결제!$A$2:$F$24</definedName>
    <definedName name="_xlnm.Print_Area" localSheetId="0">'2022.12'!#REF!</definedName>
    <definedName name="_xlnm.Print_Area" localSheetId="1">'2023.01'!#REF!</definedName>
    <definedName name="_xlnm.Print_Area" localSheetId="2">'2023.03'!#REF!</definedName>
    <definedName name="_xlnm.Print_Area" localSheetId="3">'2023.04'!#REF!</definedName>
    <definedName name="_xlnm.Print_Area" localSheetId="4">'2023.05'!#REF!</definedName>
    <definedName name="_xlnm.Print_Area" localSheetId="5">'2023.06'!#REF!</definedName>
    <definedName name="_xlnm.Print_Area" localSheetId="6">'2023.07'!#REF!</definedName>
    <definedName name="_xlnm.Print_Area" localSheetId="7">'2023.08'!#REF!</definedName>
    <definedName name="_xlnm.Print_Area" localSheetId="8">'2023.09'!#REF!</definedName>
    <definedName name="_xlnm.Print_Area" localSheetId="9">'2023.10'!#REF!</definedName>
    <definedName name="_xlnm.Print_Area" localSheetId="10">'2023.11'!#REF!</definedName>
    <definedName name="_xlnm.Print_Area" localSheetId="11">'2023.12'!#REF!</definedName>
    <definedName name="_xlnm.Print_Area" localSheetId="12">'2024.01'!#REF!</definedName>
    <definedName name="_xlnm.Print_Area" localSheetId="13">'2024.02'!#REF!</definedName>
    <definedName name="_xlnm.Print_Area" localSheetId="15">'대납 주소'!$A$1:$Q$32</definedName>
    <definedName name="_xlnm.Print_Area" localSheetId="17">'빈 서식'!#REF!</definedName>
  </definedNames>
  <calcPr calcId="162913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28" l="1"/>
  <c r="C4" i="28"/>
  <c r="I3" i="28"/>
  <c r="H3" i="28"/>
  <c r="E6" i="28" l="1"/>
  <c r="I5" i="28" l="1"/>
  <c r="C5" i="28"/>
  <c r="H4" i="28" l="1"/>
  <c r="F6" i="28" l="1"/>
  <c r="D6" i="28"/>
  <c r="B6" i="28"/>
  <c r="H5" i="28" l="1"/>
  <c r="I6" i="28" l="1"/>
  <c r="C6" i="28"/>
  <c r="H6" i="28" l="1"/>
  <c r="K18" i="28" l="1"/>
  <c r="J18" i="28"/>
  <c r="G18" i="28"/>
  <c r="F18" i="28"/>
  <c r="E18" i="28"/>
  <c r="H17" i="28"/>
  <c r="H16" i="28"/>
  <c r="H15" i="28"/>
  <c r="H14" i="28"/>
  <c r="H13" i="28"/>
  <c r="H12" i="28"/>
  <c r="H11" i="28"/>
  <c r="H10" i="28"/>
  <c r="H9" i="28"/>
  <c r="H8" i="28"/>
  <c r="H7" i="28"/>
  <c r="D18" i="28"/>
  <c r="B18" i="28"/>
  <c r="H18" i="28" l="1"/>
  <c r="C18" i="28"/>
  <c r="E21" i="19" l="1"/>
  <c r="D24" i="19"/>
  <c r="F4" i="11" l="1"/>
  <c r="F3" i="11"/>
  <c r="E3" i="11"/>
  <c r="D3" i="11"/>
  <c r="F2" i="11"/>
  <c r="E2" i="11"/>
  <c r="D2" i="11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F24" i="7"/>
  <c r="E24" i="7"/>
  <c r="D24" i="7"/>
  <c r="F23" i="7"/>
  <c r="F22" i="7"/>
  <c r="F21" i="7"/>
  <c r="F20" i="7"/>
  <c r="F19" i="7"/>
  <c r="F18" i="7"/>
  <c r="F17" i="7"/>
  <c r="F16" i="7"/>
  <c r="F15" i="7"/>
  <c r="F14" i="7"/>
  <c r="F13" i="7"/>
  <c r="F12" i="7"/>
  <c r="D12" i="7"/>
  <c r="F11" i="7"/>
  <c r="F10" i="7"/>
  <c r="F9" i="7"/>
  <c r="F8" i="7"/>
  <c r="F7" i="7"/>
  <c r="F6" i="7"/>
  <c r="F5" i="7"/>
  <c r="F4" i="7"/>
  <c r="F3" i="7"/>
  <c r="F32" i="6"/>
  <c r="C32" i="6"/>
  <c r="C3" i="6"/>
  <c r="F32" i="5"/>
  <c r="C32" i="5"/>
</calcChain>
</file>

<file path=xl/sharedStrings.xml><?xml version="1.0" encoding="utf-8"?>
<sst xmlns="http://schemas.openxmlformats.org/spreadsheetml/2006/main" count="9907" uniqueCount="7170">
  <si>
    <t>금</t>
    <phoneticPr fontId="8" type="noConversion"/>
  </si>
  <si>
    <t>목</t>
    <phoneticPr fontId="8" type="noConversion"/>
  </si>
  <si>
    <t>수</t>
    <phoneticPr fontId="8" type="noConversion"/>
  </si>
  <si>
    <t>화</t>
    <phoneticPr fontId="8" type="noConversion"/>
  </si>
  <si>
    <t>월</t>
    <phoneticPr fontId="8" type="noConversion"/>
  </si>
  <si>
    <t>납   품   일   정</t>
  </si>
  <si>
    <t>18*21친환경</t>
  </si>
  <si>
    <t>동원팩</t>
    <phoneticPr fontId="8" type="noConversion"/>
  </si>
  <si>
    <t>20박스</t>
    <phoneticPr fontId="8" type="noConversion"/>
  </si>
  <si>
    <t>경인팩</t>
    <phoneticPr fontId="8" type="noConversion"/>
  </si>
  <si>
    <t>대신택배착불</t>
    <phoneticPr fontId="8" type="noConversion"/>
  </si>
  <si>
    <t>신광포장</t>
    <phoneticPr fontId="8" type="noConversion"/>
  </si>
  <si>
    <t>삼성</t>
  </si>
  <si>
    <t>대상산업</t>
    <phoneticPr fontId="8" type="noConversion"/>
  </si>
  <si>
    <t>PE28*2백</t>
    <phoneticPr fontId="8" type="noConversion"/>
  </si>
  <si>
    <t>화</t>
    <phoneticPr fontId="8" type="noConversion"/>
  </si>
  <si>
    <t>서울포장</t>
    <phoneticPr fontId="8" type="noConversion"/>
  </si>
  <si>
    <t>동방포장</t>
    <phoneticPr fontId="8" type="noConversion"/>
  </si>
  <si>
    <t>로젠택배</t>
  </si>
  <si>
    <t>POWER박스</t>
  </si>
  <si>
    <t>PE28*2백</t>
  </si>
  <si>
    <t>주신산업</t>
  </si>
  <si>
    <t>2박스</t>
  </si>
  <si>
    <t>POWER박스</t>
    <phoneticPr fontId="8" type="noConversion"/>
  </si>
  <si>
    <t>비와이패키지</t>
    <phoneticPr fontId="8" type="noConversion"/>
  </si>
  <si>
    <t>보우팩</t>
    <phoneticPr fontId="8" type="noConversion"/>
  </si>
  <si>
    <t>kic박스</t>
    <phoneticPr fontId="8" type="noConversion"/>
  </si>
  <si>
    <t>에그조아</t>
    <phoneticPr fontId="8" type="noConversion"/>
  </si>
  <si>
    <t>PE50*5백</t>
  </si>
  <si>
    <t>200롤</t>
  </si>
  <si>
    <t>파워엠팩</t>
    <phoneticPr fontId="8" type="noConversion"/>
  </si>
  <si>
    <t>금</t>
    <phoneticPr fontId="8" type="noConversion"/>
  </si>
  <si>
    <t>수</t>
    <phoneticPr fontId="8" type="noConversion"/>
  </si>
  <si>
    <t>토</t>
    <phoneticPr fontId="8" type="noConversion"/>
  </si>
  <si>
    <t>우진에이씨티 대신화물 안성가천지점</t>
  </si>
  <si>
    <t>15,000개</t>
  </si>
  <si>
    <t>동원피앤아이</t>
    <phoneticPr fontId="8" type="noConversion"/>
  </si>
  <si>
    <t>로젠택배착불</t>
  </si>
  <si>
    <t>kic박스</t>
  </si>
  <si>
    <t>10박스</t>
  </si>
  <si>
    <t>15*10황(0.65T)</t>
  </si>
  <si>
    <t>20박스</t>
  </si>
  <si>
    <t>대원포장기계</t>
  </si>
  <si>
    <t>PE28*6백</t>
  </si>
  <si>
    <t>한국삼공 익산공장 (전북 익산시 낭산면 산단구평길 125-22 (낭산면 구평리 1540)) / 010-4919-0006 -택배비 청구</t>
  </si>
  <si>
    <t>대신택배</t>
  </si>
  <si>
    <t>한국삼공</t>
  </si>
  <si>
    <t>48롤</t>
  </si>
  <si>
    <t>15*10투명(0.8T)</t>
  </si>
  <si>
    <t>신광포장</t>
  </si>
  <si>
    <t>삼성종합포장</t>
    <phoneticPr fontId="8" type="noConversion"/>
  </si>
  <si>
    <t>대일상사</t>
  </si>
  <si>
    <t>피피클립</t>
  </si>
  <si>
    <t>디알젬</t>
  </si>
  <si>
    <t>50박스</t>
  </si>
  <si>
    <t>12*10황(0.65T)</t>
  </si>
  <si>
    <t>금산포장</t>
  </si>
  <si>
    <t>128롤</t>
  </si>
  <si>
    <t>방문출고</t>
  </si>
  <si>
    <t>신대한판지</t>
    <phoneticPr fontId="8" type="noConversion"/>
  </si>
  <si>
    <t>삼보팩</t>
    <phoneticPr fontId="8" type="noConversion"/>
  </si>
  <si>
    <t>6*10백</t>
  </si>
  <si>
    <t>100롤</t>
  </si>
  <si>
    <t>지방합화차</t>
  </si>
  <si>
    <t>제일산업안성</t>
  </si>
  <si>
    <t>30롤</t>
  </si>
  <si>
    <t>15*13황</t>
  </si>
  <si>
    <t>12*12.5황</t>
  </si>
  <si>
    <t>50롤</t>
  </si>
  <si>
    <t>강원농협</t>
    <phoneticPr fontId="8" type="noConversion"/>
  </si>
  <si>
    <t>금산포장</t>
    <phoneticPr fontId="8" type="noConversion"/>
  </si>
  <si>
    <t>합동포장</t>
    <phoneticPr fontId="8" type="noConversion"/>
  </si>
  <si>
    <t>24박스</t>
  </si>
  <si>
    <t>1박스</t>
  </si>
  <si>
    <t>한남포장</t>
  </si>
  <si>
    <t>PP클립</t>
  </si>
  <si>
    <t>한차에 8파레트 적재가능</t>
  </si>
  <si>
    <t>8롤이상만 파렛트로</t>
  </si>
  <si>
    <t>1빠 32~36롤</t>
  </si>
  <si>
    <t>날짜1주일전</t>
  </si>
  <si>
    <t>파렛트수</t>
  </si>
  <si>
    <t>부족수량</t>
  </si>
  <si>
    <t>계</t>
  </si>
  <si>
    <t>합계</t>
    <phoneticPr fontId="8" type="noConversion"/>
  </si>
  <si>
    <t>납품예정</t>
  </si>
  <si>
    <t>재고</t>
    <phoneticPr fontId="8" type="noConversion"/>
  </si>
  <si>
    <t>유진산업</t>
    <phoneticPr fontId="8" type="noConversion"/>
  </si>
  <si>
    <t>경인팩 박스</t>
    <phoneticPr fontId="8" type="noConversion"/>
  </si>
  <si>
    <t>업체명</t>
    <phoneticPr fontId="8" type="noConversion"/>
  </si>
  <si>
    <t>날짜</t>
    <phoneticPr fontId="8" type="noConversion"/>
  </si>
  <si>
    <t>동원팩 제외</t>
    <phoneticPr fontId="8" type="noConversion"/>
  </si>
  <si>
    <t>PE28*2백</t>
    <phoneticPr fontId="8" type="noConversion"/>
  </si>
  <si>
    <t>마도종합상사</t>
    <phoneticPr fontId="8" type="noConversion"/>
  </si>
  <si>
    <t>전주삼신</t>
    <phoneticPr fontId="8" type="noConversion"/>
  </si>
  <si>
    <t>서윤상사</t>
    <phoneticPr fontId="8" type="noConversion"/>
  </si>
  <si>
    <t>한가람농산</t>
    <phoneticPr fontId="8" type="noConversion"/>
  </si>
  <si>
    <t>그린포장</t>
    <phoneticPr fontId="8" type="noConversion"/>
  </si>
  <si>
    <t>수입</t>
    <phoneticPr fontId="8" type="noConversion"/>
  </si>
  <si>
    <t>익월말초</t>
    <phoneticPr fontId="8" type="noConversion"/>
  </si>
  <si>
    <t>호성수출포장</t>
    <phoneticPr fontId="8" type="noConversion"/>
  </si>
  <si>
    <t>익월말</t>
    <phoneticPr fontId="8" type="noConversion"/>
  </si>
  <si>
    <t>에이스팩</t>
    <phoneticPr fontId="8" type="noConversion"/>
  </si>
  <si>
    <t>라바인터</t>
    <phoneticPr fontId="8" type="noConversion"/>
  </si>
  <si>
    <t>한서포장</t>
    <phoneticPr fontId="8" type="noConversion"/>
  </si>
  <si>
    <t>프럼파스트</t>
    <phoneticPr fontId="8" type="noConversion"/>
  </si>
  <si>
    <t>자강</t>
    <phoneticPr fontId="8" type="noConversion"/>
  </si>
  <si>
    <t>제일포장(김해)</t>
    <phoneticPr fontId="8" type="noConversion"/>
  </si>
  <si>
    <t>유일포장</t>
    <phoneticPr fontId="8" type="noConversion"/>
  </si>
  <si>
    <t>엘로이산업</t>
    <phoneticPr fontId="8" type="noConversion"/>
  </si>
  <si>
    <t>아이마켓</t>
    <phoneticPr fontId="8" type="noConversion"/>
  </si>
  <si>
    <t>신우교역</t>
    <phoneticPr fontId="8" type="noConversion"/>
  </si>
  <si>
    <t>성은지관</t>
    <phoneticPr fontId="8" type="noConversion"/>
  </si>
  <si>
    <t>대영포장</t>
    <phoneticPr fontId="8" type="noConversion"/>
  </si>
  <si>
    <t>광림파워팩</t>
    <phoneticPr fontId="8" type="noConversion"/>
  </si>
  <si>
    <t>건건이</t>
    <phoneticPr fontId="8" type="noConversion"/>
  </si>
  <si>
    <t>한국유니콤</t>
    <phoneticPr fontId="8" type="noConversion"/>
  </si>
  <si>
    <t>90일</t>
    <phoneticPr fontId="8" type="noConversion"/>
  </si>
  <si>
    <t>제일산업(안성)</t>
    <phoneticPr fontId="8" type="noConversion"/>
  </si>
  <si>
    <t>삼신</t>
    <phoneticPr fontId="8" type="noConversion"/>
  </si>
  <si>
    <t>70일</t>
    <phoneticPr fontId="8" type="noConversion"/>
  </si>
  <si>
    <t>60일</t>
    <phoneticPr fontId="8" type="noConversion"/>
  </si>
  <si>
    <t>에이펙스</t>
    <phoneticPr fontId="8" type="noConversion"/>
  </si>
  <si>
    <t>45일</t>
    <phoneticPr fontId="8" type="noConversion"/>
  </si>
  <si>
    <t>40일</t>
    <phoneticPr fontId="8" type="noConversion"/>
  </si>
  <si>
    <t>어음</t>
    <phoneticPr fontId="8" type="noConversion"/>
  </si>
  <si>
    <t>미수 정리-6월말</t>
    <phoneticPr fontId="8" type="noConversion"/>
  </si>
  <si>
    <t>`</t>
    <phoneticPr fontId="8" type="noConversion"/>
  </si>
  <si>
    <t>남은금액</t>
    <phoneticPr fontId="8" type="noConversion"/>
  </si>
  <si>
    <t>입금된 금액</t>
    <phoneticPr fontId="8" type="noConversion"/>
  </si>
  <si>
    <t>금액</t>
    <phoneticPr fontId="8" type="noConversion"/>
  </si>
  <si>
    <t>결제일</t>
    <phoneticPr fontId="8" type="noConversion"/>
  </si>
  <si>
    <t>번호</t>
    <phoneticPr fontId="8" type="noConversion"/>
  </si>
  <si>
    <t>6월말 결제예정 업체</t>
    <phoneticPr fontId="8" type="noConversion"/>
  </si>
  <si>
    <t>*팔레트 작업은 12롤이상 부터 가능함</t>
    <phoneticPr fontId="8" type="noConversion"/>
  </si>
  <si>
    <r>
      <t xml:space="preserve">무조건 </t>
    </r>
    <r>
      <rPr>
        <sz val="11"/>
        <color rgb="FF000000"/>
        <rFont val="맑은 고딕"/>
        <family val="3"/>
        <charset val="129"/>
      </rPr>
      <t>4개씩 쌓음</t>
    </r>
    <phoneticPr fontId="8" type="noConversion"/>
  </si>
  <si>
    <t>제품 높이 : 롤당 200</t>
    <phoneticPr fontId="8" type="noConversion"/>
  </si>
  <si>
    <r>
      <t>1</t>
    </r>
    <r>
      <rPr>
        <sz val="11"/>
        <color rgb="FF000000"/>
        <rFont val="맑은 고딕"/>
        <family val="3"/>
        <charset val="129"/>
      </rPr>
      <t>100*1100*120(파레트사이즈)</t>
    </r>
    <phoneticPr fontId="8" type="noConversion"/>
  </si>
  <si>
    <t>높이(MM)</t>
    <phoneticPr fontId="8" type="noConversion"/>
  </si>
  <si>
    <t>세로(MM)</t>
    <phoneticPr fontId="8" type="noConversion"/>
  </si>
  <si>
    <t>가로(MM)</t>
    <phoneticPr fontId="8" type="noConversion"/>
  </si>
  <si>
    <t>롤 수</t>
    <phoneticPr fontId="8" type="noConversion"/>
  </si>
  <si>
    <t>팔레트 사이즈</t>
    <phoneticPr fontId="8" type="noConversion"/>
  </si>
  <si>
    <t>010-8795-7480</t>
  </si>
  <si>
    <t>1동(산남동)</t>
  </si>
  <si>
    <t>010-8840-4485</t>
  </si>
  <si>
    <t>운임 착불</t>
  </si>
  <si>
    <t>삼보팩</t>
  </si>
  <si>
    <t>28번길 120(정왕동,1마101,102)</t>
  </si>
  <si>
    <t xml:space="preserve">경기도 시흥시 공단1대로 </t>
  </si>
  <si>
    <t>010-9224-0268</t>
  </si>
  <si>
    <t>031-766-2101</t>
  </si>
  <si>
    <t xml:space="preserve">(수산동 203-6) </t>
    <phoneticPr fontId="8" type="noConversion"/>
  </si>
  <si>
    <t>호구포로625번길5, 8</t>
  </si>
  <si>
    <t>김포대로2004번길 48</t>
  </si>
  <si>
    <t>파코팩(PACO PACK)</t>
  </si>
  <si>
    <t>쌍봉로382-6</t>
  </si>
  <si>
    <t>010-8811-7208</t>
  </si>
  <si>
    <t>033-764-6605</t>
  </si>
  <si>
    <t>서신(주)</t>
  </si>
  <si>
    <t>동부순환로 389-5(봉산동)</t>
  </si>
  <si>
    <t>010-3729-8258</t>
  </si>
  <si>
    <t>인천 남동구 앵고개로 523(고잔동)</t>
  </si>
  <si>
    <t>070-8884-7389</t>
  </si>
  <si>
    <t>대성2농장</t>
  </si>
  <si>
    <t>010-3223-6620</t>
  </si>
  <si>
    <t>성우세탁</t>
  </si>
  <si>
    <t>031-867-8870</t>
  </si>
  <si>
    <t>031-721-1113</t>
  </si>
  <si>
    <t>010-4425-5892</t>
  </si>
  <si>
    <t xml:space="preserve">라바인터네셔널 </t>
  </si>
  <si>
    <t xml:space="preserve">경기 광주시 곤지암읍 삼합리 447-1 </t>
  </si>
  <si>
    <t>010-3919-5020</t>
  </si>
  <si>
    <t>power박스</t>
  </si>
  <si>
    <t>15*10황(0.8T)</t>
  </si>
  <si>
    <t>우선산업</t>
  </si>
  <si>
    <t>한남포장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</si>
  <si>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</si>
  <si>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</si>
  <si>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</si>
  <si>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010-3774-8263</t>
  </si>
  <si>
    <t>10박스</t>
    <phoneticPr fontId="3" type="noConversion"/>
  </si>
  <si>
    <t>64롤</t>
    <phoneticPr fontId="3" type="noConversion"/>
  </si>
  <si>
    <t>50롤</t>
    <phoneticPr fontId="3" type="noConversion"/>
  </si>
  <si>
    <t>지방합화차</t>
    <phoneticPr fontId="3" type="noConversion"/>
  </si>
  <si>
    <t>다오</t>
    <phoneticPr fontId="3" type="noConversion"/>
  </si>
  <si>
    <t>경인산업</t>
    <phoneticPr fontId="3" type="noConversion"/>
  </si>
  <si>
    <t>12*10황(0.75T)</t>
    <phoneticPr fontId="3" type="noConversion"/>
  </si>
  <si>
    <t>김규현</t>
    <phoneticPr fontId="3" type="noConversion"/>
  </si>
  <si>
    <t>18*10황</t>
    <phoneticPr fontId="3" type="noConversion"/>
  </si>
  <si>
    <t>128롤</t>
    <phoneticPr fontId="3" type="noConversion"/>
  </si>
  <si>
    <t>제이케이머티리얼즈</t>
    <phoneticPr fontId="3" type="noConversion"/>
  </si>
  <si>
    <t>주신산업</t>
    <phoneticPr fontId="3" type="noConversion"/>
  </si>
  <si>
    <t>동원팩</t>
    <phoneticPr fontId="3" type="noConversion"/>
  </si>
  <si>
    <t>10롤</t>
    <phoneticPr fontId="3" type="noConversion"/>
  </si>
  <si>
    <t>12*10황(0.8T)</t>
    <phoneticPr fontId="3" type="noConversion"/>
  </si>
  <si>
    <t>신대한판지</t>
    <phoneticPr fontId="3" type="noConversion"/>
  </si>
  <si>
    <t>9*9.5백</t>
    <phoneticPr fontId="3" type="noConversion"/>
  </si>
  <si>
    <t>50롤</t>
    <phoneticPr fontId="3" type="noConversion"/>
  </si>
  <si>
    <t>경인팩</t>
    <phoneticPr fontId="3" type="noConversion"/>
  </si>
  <si>
    <t>6*10백</t>
    <phoneticPr fontId="3" type="noConversion"/>
  </si>
  <si>
    <t>256롤</t>
    <phoneticPr fontId="3" type="noConversion"/>
  </si>
  <si>
    <t>kic박스</t>
    <phoneticPr fontId="3" type="noConversion"/>
  </si>
  <si>
    <t>20박스</t>
    <phoneticPr fontId="3" type="noConversion"/>
  </si>
  <si>
    <t>9*10황</t>
    <phoneticPr fontId="3" type="noConversion"/>
  </si>
  <si>
    <t>대신택배</t>
    <phoneticPr fontId="3" type="noConversion"/>
  </si>
  <si>
    <t>20롤</t>
  </si>
  <si>
    <t>삼성</t>
    <phoneticPr fontId="3" type="noConversion"/>
  </si>
  <si>
    <t>18*21친환경</t>
    <phoneticPr fontId="3" type="noConversion"/>
  </si>
  <si>
    <t>오비아이</t>
  </si>
  <si>
    <t>200롤</t>
    <phoneticPr fontId="3" type="noConversion"/>
  </si>
  <si>
    <t>18*21투명</t>
    <phoneticPr fontId="3" type="noConversion"/>
  </si>
  <si>
    <t>1롤</t>
    <phoneticPr fontId="3" type="noConversion"/>
  </si>
  <si>
    <t>에이스팩</t>
    <phoneticPr fontId="3" type="noConversion"/>
  </si>
  <si>
    <t>20롤</t>
    <phoneticPr fontId="3" type="noConversion"/>
  </si>
  <si>
    <t>코미팜</t>
    <phoneticPr fontId="3" type="noConversion"/>
  </si>
  <si>
    <t>15*10황(0.8T)</t>
    <phoneticPr fontId="3" type="noConversion"/>
  </si>
  <si>
    <t>삼원산업</t>
    <phoneticPr fontId="3" type="noConversion"/>
  </si>
  <si>
    <t>100롤</t>
    <phoneticPr fontId="3" type="noConversion"/>
  </si>
  <si>
    <t>PE28*2백</t>
    <phoneticPr fontId="3" type="noConversion"/>
  </si>
  <si>
    <t>30박스</t>
    <phoneticPr fontId="3" type="noConversion"/>
  </si>
  <si>
    <t>112롤</t>
    <phoneticPr fontId="3" type="noConversion"/>
  </si>
  <si>
    <t>PE28*6백</t>
    <phoneticPr fontId="3" type="noConversion"/>
  </si>
  <si>
    <t>PE50*6백</t>
    <phoneticPr fontId="3" type="noConversion"/>
  </si>
  <si>
    <t>합동포장</t>
    <phoneticPr fontId="3" type="noConversion"/>
  </si>
  <si>
    <t>12*12.5황</t>
    <phoneticPr fontId="3" type="noConversion"/>
  </si>
  <si>
    <t>30롤</t>
    <phoneticPr fontId="3" type="noConversion"/>
  </si>
  <si>
    <t>50박스</t>
    <phoneticPr fontId="3" type="noConversion"/>
  </si>
  <si>
    <t>15*10청(0.65T)</t>
    <phoneticPr fontId="3" type="noConversion"/>
  </si>
  <si>
    <t>영화수출포장</t>
    <phoneticPr fontId="3" type="noConversion"/>
  </si>
  <si>
    <t>PE50*5백</t>
    <phoneticPr fontId="3" type="noConversion"/>
  </si>
  <si>
    <t>5박스</t>
    <phoneticPr fontId="3" type="noConversion"/>
  </si>
  <si>
    <t>남동서로113번길 31</t>
  </si>
  <si>
    <t>대성씨앤씨</t>
    <phoneticPr fontId="3" type="noConversion"/>
  </si>
  <si>
    <t>PE28*2청</t>
    <phoneticPr fontId="3" type="noConversion"/>
  </si>
  <si>
    <t>1박스</t>
    <phoneticPr fontId="3" type="noConversion"/>
  </si>
  <si>
    <t>로젠택배</t>
    <phoneticPr fontId="3" type="noConversion"/>
  </si>
  <si>
    <t>로젠택배착불</t>
    <phoneticPr fontId="3" type="noConversion"/>
  </si>
  <si>
    <t>신광포장</t>
    <phoneticPr fontId="3" type="noConversion"/>
  </si>
  <si>
    <t>김해제일포장</t>
    <phoneticPr fontId="3" type="noConversion"/>
  </si>
  <si>
    <t>100박스</t>
    <phoneticPr fontId="3" type="noConversion"/>
  </si>
  <si>
    <t>power박스</t>
    <phoneticPr fontId="3" type="noConversion"/>
  </si>
  <si>
    <t>12*10백(0.75T)</t>
    <phoneticPr fontId="3" type="noConversion"/>
  </si>
  <si>
    <t>15*10황(0.65T)</t>
    <phoneticPr fontId="3" type="noConversion"/>
  </si>
  <si>
    <t>진송팩</t>
    <phoneticPr fontId="3" type="noConversion"/>
  </si>
  <si>
    <t>18*21친환경</t>
    <phoneticPr fontId="3" type="noConversion"/>
  </si>
  <si>
    <t>100롤</t>
    <phoneticPr fontId="3" type="noConversion"/>
  </si>
  <si>
    <t>70롤</t>
    <phoneticPr fontId="3" type="noConversion"/>
  </si>
  <si>
    <t>PE28*2황</t>
    <phoneticPr fontId="3" type="noConversion"/>
  </si>
  <si>
    <t>6*10백</t>
    <phoneticPr fontId="3" type="noConversion"/>
  </si>
  <si>
    <t>64롤</t>
    <phoneticPr fontId="3" type="noConversion"/>
  </si>
  <si>
    <t>용차</t>
    <phoneticPr fontId="3" type="noConversion"/>
  </si>
  <si>
    <t>010-8786-7336</t>
  </si>
  <si>
    <t>팔레트</t>
    <phoneticPr fontId="3" type="noConversion"/>
  </si>
  <si>
    <t>광림포장기계</t>
    <phoneticPr fontId="3" type="noConversion"/>
  </si>
  <si>
    <t>120롤</t>
    <phoneticPr fontId="3" type="noConversion"/>
  </si>
  <si>
    <t>경인팩</t>
    <phoneticPr fontId="3" type="noConversion"/>
  </si>
  <si>
    <t>삼화인쇄</t>
    <phoneticPr fontId="3" type="noConversion"/>
  </si>
  <si>
    <t>10.5*10투명</t>
    <phoneticPr fontId="3" type="noConversion"/>
  </si>
  <si>
    <t>제책4층</t>
    <phoneticPr fontId="3" type="noConversion"/>
  </si>
  <si>
    <t>50롤</t>
    <phoneticPr fontId="3" type="noConversion"/>
  </si>
  <si>
    <t>신광포장</t>
    <phoneticPr fontId="3" type="noConversion"/>
  </si>
  <si>
    <t>방문출고</t>
    <phoneticPr fontId="3" type="noConversion"/>
  </si>
  <si>
    <t>12*10황(0.65T)</t>
    <phoneticPr fontId="3" type="noConversion"/>
  </si>
  <si>
    <t>주신산업</t>
    <phoneticPr fontId="3" type="noConversion"/>
  </si>
  <si>
    <t>48롤</t>
    <phoneticPr fontId="3" type="noConversion"/>
  </si>
  <si>
    <t>서흥포장</t>
    <phoneticPr fontId="3" type="noConversion"/>
  </si>
  <si>
    <t>랩15*500*400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</si>
  <si>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</si>
  <si>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</si>
  <si>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</si>
  <si>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6*10황</t>
    <phoneticPr fontId="3" type="noConversion"/>
  </si>
  <si>
    <t>12*10황(0.75T)</t>
    <phoneticPr fontId="3" type="noConversion"/>
  </si>
  <si>
    <t>보우팩</t>
    <phoneticPr fontId="3" type="noConversion"/>
  </si>
  <si>
    <t>15*10황(0.8T)</t>
    <phoneticPr fontId="3" type="noConversion"/>
  </si>
  <si>
    <t>금산포장</t>
    <phoneticPr fontId="3" type="noConversion"/>
  </si>
  <si>
    <t>오후</t>
    <phoneticPr fontId="3" type="noConversion"/>
  </si>
  <si>
    <t>한남포장</t>
    <phoneticPr fontId="3" type="noConversion"/>
  </si>
  <si>
    <t>12*9.5황</t>
    <phoneticPr fontId="3" type="noConversion"/>
  </si>
  <si>
    <t>12*10황</t>
    <phoneticPr fontId="3" type="noConversion"/>
  </si>
  <si>
    <t>경인팩</t>
    <phoneticPr fontId="3" type="noConversion"/>
  </si>
  <si>
    <t>10박스</t>
    <phoneticPr fontId="3" type="noConversion"/>
  </si>
  <si>
    <t>능안로 265번길 25-15</t>
  </si>
  <si>
    <t>50롤</t>
    <phoneticPr fontId="3" type="noConversion"/>
  </si>
  <si>
    <t>100롤</t>
    <phoneticPr fontId="3" type="noConversion"/>
  </si>
  <si>
    <t>PE28*6백</t>
    <phoneticPr fontId="3" type="noConversion"/>
  </si>
  <si>
    <t>김규현</t>
    <phoneticPr fontId="3" type="noConversion"/>
  </si>
  <si>
    <t>35박스</t>
    <phoneticPr fontId="3" type="noConversion"/>
  </si>
  <si>
    <t>40박스</t>
    <phoneticPr fontId="3" type="noConversion"/>
  </si>
  <si>
    <t>파워엠팩</t>
    <phoneticPr fontId="3" type="noConversion"/>
  </si>
  <si>
    <t>kic박스 / KPP빨강</t>
  </si>
  <si>
    <t>20"(오전10시)</t>
    <phoneticPr fontId="3" type="noConversion"/>
  </si>
  <si>
    <t>28박스</t>
    <phoneticPr fontId="3" type="noConversion"/>
  </si>
  <si>
    <t>금성칼라팩</t>
    <phoneticPr fontId="3" type="noConversion"/>
  </si>
  <si>
    <t>kic박스</t>
    <phoneticPr fontId="3" type="noConversion"/>
  </si>
  <si>
    <t>로젠택배</t>
    <phoneticPr fontId="3" type="noConversion"/>
  </si>
  <si>
    <t>PE28*2백(24kg)</t>
    <phoneticPr fontId="3" type="noConversion"/>
  </si>
  <si>
    <t>파워팩</t>
    <phoneticPr fontId="3" type="noConversion"/>
  </si>
  <si>
    <t>신광포장</t>
    <phoneticPr fontId="3" type="noConversion"/>
  </si>
  <si>
    <t>15*10황</t>
    <phoneticPr fontId="3" type="noConversion"/>
  </si>
  <si>
    <t>40롤</t>
    <phoneticPr fontId="3" type="noConversion"/>
  </si>
  <si>
    <t>32박스</t>
    <phoneticPr fontId="3" type="noConversion"/>
  </si>
  <si>
    <t>10박스</t>
    <phoneticPr fontId="3" type="noConversion"/>
  </si>
  <si>
    <t>56롤</t>
    <phoneticPr fontId="3" type="noConversion"/>
  </si>
  <si>
    <t>전원농장</t>
  </si>
  <si>
    <t>㈜네이쳐앤휴먼지피</t>
    <phoneticPr fontId="3" type="noConversion"/>
  </si>
  <si>
    <t>010-5490-1926</t>
    <phoneticPr fontId="3" type="noConversion"/>
  </si>
  <si>
    <t>남양주시 진접읍</t>
  </si>
  <si>
    <t>경복대로198번길14-7</t>
  </si>
  <si>
    <t>031-529-3885</t>
  </si>
  <si>
    <t>동원팩</t>
    <phoneticPr fontId="3" type="noConversion"/>
  </si>
  <si>
    <t>50롤</t>
    <phoneticPr fontId="3" type="noConversion"/>
  </si>
  <si>
    <t>3박스</t>
    <phoneticPr fontId="3" type="noConversion"/>
  </si>
  <si>
    <t>PE28*6백</t>
    <phoneticPr fontId="3" type="noConversion"/>
  </si>
  <si>
    <t>PE28*2녹</t>
    <phoneticPr fontId="3" type="noConversion"/>
  </si>
  <si>
    <t>방문출고</t>
    <phoneticPr fontId="3" type="noConversion"/>
  </si>
  <si>
    <t>PE28*2백</t>
    <phoneticPr fontId="3" type="noConversion"/>
  </si>
  <si>
    <t>power박스</t>
    <phoneticPr fontId="3" type="noConversion"/>
  </si>
  <si>
    <t>삼원포장산업</t>
    <phoneticPr fontId="3" type="noConversion"/>
  </si>
  <si>
    <t>1박스</t>
    <phoneticPr fontId="3" type="noConversion"/>
  </si>
  <si>
    <t>대성씨앤씨</t>
    <phoneticPr fontId="3" type="noConversion"/>
  </si>
  <si>
    <t>7*10백</t>
    <phoneticPr fontId="3" type="noConversion"/>
  </si>
  <si>
    <t>랩20*500*1400</t>
    <phoneticPr fontId="3" type="noConversion"/>
  </si>
  <si>
    <t>50박스</t>
    <phoneticPr fontId="3" type="noConversion"/>
  </si>
  <si>
    <t>12박스</t>
    <phoneticPr fontId="3" type="noConversion"/>
  </si>
  <si>
    <t>파워엠팩</t>
    <phoneticPr fontId="3" type="noConversion"/>
  </si>
  <si>
    <t>6*10백</t>
    <phoneticPr fontId="3" type="noConversion"/>
  </si>
  <si>
    <t>144롤</t>
    <phoneticPr fontId="3" type="noConversion"/>
  </si>
  <si>
    <t>100롤</t>
    <phoneticPr fontId="3" type="noConversion"/>
  </si>
  <si>
    <t>14*10황</t>
    <phoneticPr fontId="3" type="noConversion"/>
  </si>
  <si>
    <t>kic박스</t>
    <phoneticPr fontId="3" type="noConversion"/>
  </si>
  <si>
    <t>대신택배착불</t>
    <phoneticPr fontId="3" type="noConversion"/>
  </si>
  <si>
    <t>경인팩</t>
    <phoneticPr fontId="3" type="noConversion"/>
  </si>
  <si>
    <t>96박스</t>
    <phoneticPr fontId="3" type="noConversion"/>
  </si>
  <si>
    <t>20박스</t>
    <phoneticPr fontId="3" type="noConversion"/>
  </si>
  <si>
    <t>168롤</t>
    <phoneticPr fontId="3" type="noConversion"/>
  </si>
  <si>
    <t>300롤</t>
    <phoneticPr fontId="3" type="noConversion"/>
  </si>
  <si>
    <t>인상</t>
    <phoneticPr fontId="3" type="noConversion"/>
  </si>
  <si>
    <t>14*10적</t>
    <phoneticPr fontId="3" type="noConversion"/>
  </si>
  <si>
    <t>51롤</t>
    <phoneticPr fontId="3" type="noConversion"/>
  </si>
  <si>
    <t>경동택배</t>
    <phoneticPr fontId="3" type="noConversion"/>
  </si>
  <si>
    <t>에이스팩</t>
    <phoneticPr fontId="3" type="noConversion"/>
  </si>
  <si>
    <t>랩25*500*1400</t>
    <phoneticPr fontId="3" type="noConversion"/>
  </si>
  <si>
    <t>9*13투명</t>
    <phoneticPr fontId="3" type="noConversion"/>
  </si>
  <si>
    <t>지방합화차</t>
    <phoneticPr fontId="3" type="noConversion"/>
  </si>
  <si>
    <t>동원피앤아이</t>
    <phoneticPr fontId="3" type="noConversion"/>
  </si>
  <si>
    <t>대신화물착불</t>
    <phoneticPr fontId="3" type="noConversion"/>
  </si>
  <si>
    <t>에이원코리아</t>
    <phoneticPr fontId="3" type="noConversion"/>
  </si>
  <si>
    <t>12*12황</t>
    <phoneticPr fontId="3" type="noConversion"/>
  </si>
  <si>
    <t>150롤</t>
    <phoneticPr fontId="3" type="noConversion"/>
  </si>
  <si>
    <t>24박스</t>
    <phoneticPr fontId="3" type="noConversion"/>
  </si>
  <si>
    <t>9*10황(0.75T)</t>
  </si>
  <si>
    <t>40롤</t>
  </si>
  <si>
    <t>아주파레트 반납</t>
    <phoneticPr fontId="3" type="noConversion"/>
  </si>
  <si>
    <t>방문출고</t>
    <phoneticPr fontId="3" type="noConversion"/>
  </si>
  <si>
    <t>오전1착</t>
    <phoneticPr fontId="3" type="noConversion"/>
  </si>
  <si>
    <t>파란밴딩</t>
    <phoneticPr fontId="3" type="noConversion"/>
  </si>
  <si>
    <t>56롤</t>
    <phoneticPr fontId="3" type="noConversion"/>
  </si>
  <si>
    <t>파워엠팩</t>
    <phoneticPr fontId="3" type="noConversion"/>
  </si>
  <si>
    <t>10.5*12투명</t>
    <phoneticPr fontId="3" type="noConversion"/>
  </si>
  <si>
    <t>64롤</t>
    <phoneticPr fontId="3" type="noConversion"/>
  </si>
  <si>
    <t>40롤</t>
    <phoneticPr fontId="3" type="noConversion"/>
  </si>
  <si>
    <t>발송 : 경인팩</t>
  </si>
  <si>
    <t>발송 : 진송팩</t>
  </si>
  <si>
    <t>발송 : 해성수출포장</t>
  </si>
  <si>
    <t>발송 : 에이스팩</t>
  </si>
  <si>
    <t>발송 : 가론종합상사</t>
  </si>
  <si>
    <t>경주법주</t>
    <phoneticPr fontId="3" type="noConversion"/>
  </si>
  <si>
    <t>주신산업</t>
    <phoneticPr fontId="3" type="noConversion"/>
  </si>
  <si>
    <t>32박스</t>
    <phoneticPr fontId="3" type="noConversion"/>
  </si>
  <si>
    <t>용차</t>
    <phoneticPr fontId="3" type="noConversion"/>
  </si>
  <si>
    <t>9*10황(0.75T)</t>
    <phoneticPr fontId="3" type="noConversion"/>
  </si>
  <si>
    <t>64박스</t>
    <phoneticPr fontId="3" type="noConversion"/>
  </si>
  <si>
    <t>대원포장기계</t>
    <phoneticPr fontId="3" type="noConversion"/>
  </si>
  <si>
    <t>10박스</t>
    <phoneticPr fontId="3" type="noConversion"/>
  </si>
  <si>
    <t>경인산업</t>
    <phoneticPr fontId="3" type="noConversion"/>
  </si>
  <si>
    <t>10.5*10투명(0.75T)</t>
    <phoneticPr fontId="3" type="noConversion"/>
  </si>
  <si>
    <t>192롤</t>
    <phoneticPr fontId="3" type="noConversion"/>
  </si>
  <si>
    <t>대구한국포장</t>
    <phoneticPr fontId="3" type="noConversion"/>
  </si>
  <si>
    <t>6*10백(0.65T)</t>
    <phoneticPr fontId="3" type="noConversion"/>
  </si>
  <si>
    <t>은색밴딩</t>
    <phoneticPr fontId="3" type="noConversion"/>
  </si>
  <si>
    <t>로젠택배</t>
    <phoneticPr fontId="3" type="noConversion"/>
  </si>
  <si>
    <t>미국박스</t>
    <phoneticPr fontId="3" type="noConversion"/>
  </si>
  <si>
    <t>35박스</t>
    <phoneticPr fontId="3" type="noConversion"/>
  </si>
  <si>
    <t>12*10백(0.75T)</t>
    <phoneticPr fontId="3" type="noConversion"/>
  </si>
  <si>
    <t>10롤</t>
    <phoneticPr fontId="3" type="noConversion"/>
  </si>
  <si>
    <t>50롤</t>
    <phoneticPr fontId="3" type="noConversion"/>
  </si>
  <si>
    <t>체암로499-38</t>
  </si>
  <si>
    <t>010-9789-7569</t>
  </si>
  <si>
    <t>랩20*500*1400</t>
  </si>
  <si>
    <t>256롤</t>
  </si>
  <si>
    <t>40"(오후3시)</t>
    <phoneticPr fontId="3" type="noConversion"/>
  </si>
  <si>
    <t>2롤</t>
    <phoneticPr fontId="3" type="noConversion"/>
  </si>
  <si>
    <t>PE28*2황</t>
    <phoneticPr fontId="3" type="noConversion"/>
  </si>
  <si>
    <t>광주천일포장</t>
    <phoneticPr fontId="3" type="noConversion"/>
  </si>
  <si>
    <t>삼성</t>
    <phoneticPr fontId="3" type="noConversion"/>
  </si>
  <si>
    <t>18*21친환경</t>
    <phoneticPr fontId="3" type="noConversion"/>
  </si>
  <si>
    <t>100박스</t>
  </si>
  <si>
    <t>앤더슨</t>
    <phoneticPr fontId="3" type="noConversion"/>
  </si>
  <si>
    <t>수작업</t>
    <phoneticPr fontId="3" type="noConversion"/>
  </si>
  <si>
    <t>20.4톤</t>
    <phoneticPr fontId="3" type="noConversion"/>
  </si>
  <si>
    <t>9*10황</t>
    <phoneticPr fontId="3" type="noConversion"/>
  </si>
  <si>
    <t>크린토피아</t>
    <phoneticPr fontId="3" type="noConversion"/>
  </si>
  <si>
    <t>010-8912-2026</t>
  </si>
  <si>
    <t>1대</t>
    <phoneticPr fontId="3" type="noConversion"/>
  </si>
  <si>
    <t>32롤</t>
    <phoneticPr fontId="3" type="noConversion"/>
  </si>
  <si>
    <t>59롤</t>
    <phoneticPr fontId="3" type="noConversion"/>
  </si>
  <si>
    <t>세화종합상사</t>
    <phoneticPr fontId="3" type="noConversion"/>
  </si>
  <si>
    <t>2박스</t>
    <phoneticPr fontId="3" type="noConversion"/>
  </si>
  <si>
    <t>KIC박스</t>
    <phoneticPr fontId="3" type="noConversion"/>
  </si>
  <si>
    <t>12*10황</t>
    <phoneticPr fontId="3" type="noConversion"/>
  </si>
  <si>
    <t>50박스</t>
    <phoneticPr fontId="3" type="noConversion"/>
  </si>
  <si>
    <t>7*10백(0.5T)</t>
    <phoneticPr fontId="3" type="noConversion"/>
  </si>
  <si>
    <t xml:space="preserve">세탁공작소 파주지점  </t>
    <phoneticPr fontId="3" type="noConversion"/>
  </si>
  <si>
    <t>010-6272-5433</t>
  </si>
  <si>
    <t>6롤</t>
    <phoneticPr fontId="3" type="noConversion"/>
  </si>
  <si>
    <t>동원팩</t>
  </si>
  <si>
    <t>kic박스</t>
    <phoneticPr fontId="3" type="noConversion"/>
  </si>
  <si>
    <t>상일교역</t>
    <phoneticPr fontId="3" type="noConversion"/>
  </si>
  <si>
    <t>팔레트</t>
    <phoneticPr fontId="3" type="noConversion"/>
  </si>
  <si>
    <t>비와이패키지</t>
  </si>
  <si>
    <t>7*10백(0.5T)</t>
  </si>
  <si>
    <t>8*10백</t>
    <phoneticPr fontId="3" type="noConversion"/>
  </si>
  <si>
    <t>2롤1묶음</t>
    <phoneticPr fontId="3" type="noConversion"/>
  </si>
  <si>
    <t>고림포장</t>
    <phoneticPr fontId="3" type="noConversion"/>
  </si>
  <si>
    <t>128롤</t>
    <phoneticPr fontId="3" type="noConversion"/>
  </si>
  <si>
    <t>대상산업</t>
    <phoneticPr fontId="3" type="noConversion"/>
  </si>
  <si>
    <t>스피드랩직납</t>
    <phoneticPr fontId="3" type="noConversion"/>
  </si>
  <si>
    <t>수입품</t>
    <phoneticPr fontId="3" type="noConversion"/>
  </si>
  <si>
    <t>우선산업</t>
    <phoneticPr fontId="3" type="noConversion"/>
  </si>
  <si>
    <t>PE50*5백</t>
    <phoneticPr fontId="3" type="noConversion"/>
  </si>
  <si>
    <t>일산</t>
    <phoneticPr fontId="3" type="noConversion"/>
  </si>
  <si>
    <t>삼성종합포장</t>
    <phoneticPr fontId="3" type="noConversion"/>
  </si>
  <si>
    <t>진송팩</t>
    <phoneticPr fontId="3" type="noConversion"/>
  </si>
  <si>
    <t>김포계란알마니㈜</t>
    <phoneticPr fontId="3" type="noConversion"/>
  </si>
  <si>
    <t>용차</t>
  </si>
  <si>
    <t>무지박스</t>
    <phoneticPr fontId="3" type="noConversion"/>
  </si>
  <si>
    <t>유일</t>
    <phoneticPr fontId="3" type="noConversion"/>
  </si>
  <si>
    <t>16박스</t>
    <phoneticPr fontId="3" type="noConversion"/>
  </si>
  <si>
    <t>224롤</t>
    <phoneticPr fontId="3" type="noConversion"/>
  </si>
  <si>
    <t>신대한판지</t>
    <phoneticPr fontId="3" type="noConversion"/>
  </si>
  <si>
    <t>지방합화차 착불</t>
    <phoneticPr fontId="3" type="noConversion"/>
  </si>
  <si>
    <t>010-6437-7406</t>
  </si>
  <si>
    <t>12*10청(0.75T)</t>
    <phoneticPr fontId="3" type="noConversion"/>
  </si>
  <si>
    <t>삼신</t>
    <phoneticPr fontId="3" type="noConversion"/>
  </si>
  <si>
    <t>15*10황(0.8T)</t>
    <phoneticPr fontId="3" type="noConversion"/>
  </si>
  <si>
    <t>15롤</t>
    <phoneticPr fontId="3" type="noConversion"/>
  </si>
  <si>
    <t>88롤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</si>
  <si>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</si>
  <si>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</si>
  <si>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</si>
  <si>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보우팩</t>
    <phoneticPr fontId="3" type="noConversion"/>
  </si>
  <si>
    <t>6*10적</t>
    <phoneticPr fontId="3" type="noConversion"/>
  </si>
  <si>
    <t>DHF인쇄밴드</t>
    <phoneticPr fontId="3" type="noConversion"/>
  </si>
  <si>
    <t>강원농협</t>
    <phoneticPr fontId="3" type="noConversion"/>
  </si>
  <si>
    <t>14*10백</t>
    <phoneticPr fontId="3" type="noConversion"/>
  </si>
  <si>
    <t>28박스</t>
    <phoneticPr fontId="3" type="noConversion"/>
  </si>
  <si>
    <t>pp재생원료(og)</t>
    <phoneticPr fontId="3" type="noConversion"/>
  </si>
  <si>
    <t>운송비</t>
    <phoneticPr fontId="3" type="noConversion"/>
  </si>
  <si>
    <t>단가</t>
    <phoneticPr fontId="3" type="noConversion"/>
  </si>
  <si>
    <t>수량</t>
    <phoneticPr fontId="3" type="noConversion"/>
  </si>
  <si>
    <t>공급가액</t>
    <phoneticPr fontId="3" type="noConversion"/>
  </si>
  <si>
    <t>세액</t>
    <phoneticPr fontId="3" type="noConversion"/>
  </si>
  <si>
    <t>합계금액</t>
    <phoneticPr fontId="3" type="noConversion"/>
  </si>
  <si>
    <t>15박스</t>
    <phoneticPr fontId="3" type="noConversion"/>
  </si>
  <si>
    <t>25박스</t>
    <phoneticPr fontId="3" type="noConversion"/>
  </si>
  <si>
    <t>랩25*500*300</t>
    <phoneticPr fontId="3" type="noConversion"/>
  </si>
  <si>
    <t>장하동 63-1</t>
  </si>
  <si>
    <t>010-9053-1278 </t>
  </si>
  <si>
    <t>파코팩</t>
    <phoneticPr fontId="3" type="noConversion"/>
  </si>
  <si>
    <t>032-815-1587</t>
  </si>
  <si>
    <t>15mm*10kg 황색</t>
    <phoneticPr fontId="3" type="noConversion"/>
  </si>
  <si>
    <t>10.5*10청</t>
    <phoneticPr fontId="3" type="noConversion"/>
  </si>
  <si>
    <t>PE28*2청</t>
    <phoneticPr fontId="3" type="noConversion"/>
  </si>
  <si>
    <t>결속기용 PE끈</t>
    <phoneticPr fontId="3" type="noConversion"/>
  </si>
  <si>
    <t>PE28*2적</t>
    <phoneticPr fontId="3" type="noConversion"/>
  </si>
  <si>
    <t>청아판지팩</t>
  </si>
  <si>
    <t>8박스</t>
  </si>
  <si>
    <t>전주삼신산업</t>
    <phoneticPr fontId="3" type="noConversion"/>
  </si>
  <si>
    <t>PE(6kg*4roll)-10박스</t>
  </si>
  <si>
    <t>삼원산업</t>
    <phoneticPr fontId="3" type="noConversion"/>
  </si>
  <si>
    <t>광림포장기계</t>
    <phoneticPr fontId="3" type="noConversion"/>
  </si>
  <si>
    <t>12*10백(0.75T)</t>
    <phoneticPr fontId="3" type="noConversion"/>
  </si>
  <si>
    <t>경인팩</t>
  </si>
  <si>
    <t>광주천일포장</t>
  </si>
  <si>
    <t>호성수출포장</t>
    <phoneticPr fontId="3" type="noConversion"/>
  </si>
  <si>
    <t>대성씨앤씨</t>
    <phoneticPr fontId="3" type="noConversion"/>
  </si>
  <si>
    <t>14*10보라</t>
    <phoneticPr fontId="3" type="noConversion"/>
  </si>
  <si>
    <t>14*10빨강</t>
    <phoneticPr fontId="3" type="noConversion"/>
  </si>
  <si>
    <t>031-575-0887</t>
  </si>
  <si>
    <t>1공장</t>
    <phoneticPr fontId="3" type="noConversion"/>
  </si>
  <si>
    <t>오전</t>
    <phoneticPr fontId="3" type="noConversion"/>
  </si>
  <si>
    <t>40"(오후1시)</t>
    <phoneticPr fontId="3" type="noConversion"/>
  </si>
  <si>
    <t>18*15투명</t>
    <phoneticPr fontId="3" type="noConversion"/>
  </si>
  <si>
    <t>PE50*6백</t>
    <phoneticPr fontId="3" type="noConversion"/>
  </si>
  <si>
    <t>경성포장 032-578-6053</t>
  </si>
  <si>
    <t>12*10검정(0.75T)</t>
    <phoneticPr fontId="3" type="noConversion"/>
  </si>
  <si>
    <t>알엘비</t>
    <phoneticPr fontId="3" type="noConversion"/>
  </si>
  <si>
    <t>12*10백(0.8T)</t>
    <phoneticPr fontId="3" type="noConversion"/>
  </si>
  <si>
    <t>PE28*2황</t>
  </si>
  <si>
    <t>5롤</t>
    <phoneticPr fontId="3" type="noConversion"/>
  </si>
  <si>
    <t>14박스</t>
    <phoneticPr fontId="3" type="noConversion"/>
  </si>
  <si>
    <t>대신택배착불</t>
  </si>
  <si>
    <t>대신화물착불</t>
  </si>
  <si>
    <t>랩 15*500*400</t>
    <phoneticPr fontId="3" type="noConversion"/>
  </si>
  <si>
    <t>4박스</t>
    <phoneticPr fontId="3" type="noConversion"/>
  </si>
  <si>
    <t>power박스</t>
    <phoneticPr fontId="3" type="noConversion"/>
  </si>
  <si>
    <t>신광포장기계</t>
    <phoneticPr fontId="3" type="noConversion"/>
  </si>
  <si>
    <t>PE28*2백(24kg)</t>
    <phoneticPr fontId="3" type="noConversion"/>
  </si>
  <si>
    <t>12*10황(0.85T)</t>
    <phoneticPr fontId="3" type="noConversion"/>
  </si>
  <si>
    <t>가야읍 함안대로 751</t>
  </si>
  <si>
    <t>055-585-1088</t>
  </si>
  <si>
    <t>010-8539-2446</t>
  </si>
  <si>
    <t>민희에그드림</t>
  </si>
  <si>
    <t>동은경실장님</t>
  </si>
  <si>
    <t>12*9.5황</t>
  </si>
  <si>
    <t>15*10백(0.65T)</t>
    <phoneticPr fontId="3" type="noConversion"/>
  </si>
  <si>
    <t>삼보팩</t>
    <phoneticPr fontId="3" type="noConversion"/>
  </si>
  <si>
    <t>14*10주황</t>
    <phoneticPr fontId="3" type="noConversion"/>
  </si>
  <si>
    <t>대한종합포장</t>
    <phoneticPr fontId="3" type="noConversion"/>
  </si>
  <si>
    <t>8박스</t>
    <phoneticPr fontId="3" type="noConversion"/>
  </si>
  <si>
    <t>010-8969-6221</t>
  </si>
  <si>
    <t>6*10백</t>
    <phoneticPr fontId="3" type="noConversion"/>
  </si>
  <si>
    <t>50롤</t>
    <phoneticPr fontId="3" type="noConversion"/>
  </si>
  <si>
    <t>대신택배</t>
    <phoneticPr fontId="3" type="noConversion"/>
  </si>
  <si>
    <t>한국유니콤</t>
    <phoneticPr fontId="3" type="noConversion"/>
  </si>
  <si>
    <t>서흥포장</t>
    <phoneticPr fontId="3" type="noConversion"/>
  </si>
  <si>
    <t>10박스</t>
    <phoneticPr fontId="3" type="noConversion"/>
  </si>
  <si>
    <t>파워엠팩</t>
    <phoneticPr fontId="3" type="noConversion"/>
  </si>
  <si>
    <t>12*10백(0.75T)</t>
    <phoneticPr fontId="3" type="noConversion"/>
  </si>
  <si>
    <t>200롤</t>
    <phoneticPr fontId="3" type="noConversion"/>
  </si>
  <si>
    <t>용차</t>
    <phoneticPr fontId="3" type="noConversion"/>
  </si>
  <si>
    <t>5박스</t>
    <phoneticPr fontId="3" type="noConversion"/>
  </si>
  <si>
    <t>신광포장</t>
    <phoneticPr fontId="3" type="noConversion"/>
  </si>
  <si>
    <t>1대</t>
    <phoneticPr fontId="3" type="noConversion"/>
  </si>
  <si>
    <t>삼성</t>
    <phoneticPr fontId="3" type="noConversion"/>
  </si>
  <si>
    <t>18*21친환경</t>
    <phoneticPr fontId="3" type="noConversion"/>
  </si>
  <si>
    <t>69롤</t>
    <phoneticPr fontId="3" type="noConversion"/>
  </si>
  <si>
    <t>256롤</t>
    <phoneticPr fontId="3" type="noConversion"/>
  </si>
  <si>
    <t>36박스</t>
    <phoneticPr fontId="3" type="noConversion"/>
  </si>
  <si>
    <t>70박스</t>
    <phoneticPr fontId="3" type="noConversion"/>
  </si>
  <si>
    <t>대구한국포장
지방합화차</t>
    <phoneticPr fontId="3" type="noConversion"/>
  </si>
  <si>
    <t>파워엠팩</t>
    <phoneticPr fontId="3" type="noConversion"/>
  </si>
  <si>
    <t>12*10청(0.75T)</t>
    <phoneticPr fontId="3" type="noConversion"/>
  </si>
  <si>
    <t>방문출고</t>
    <phoneticPr fontId="3" type="noConversion"/>
  </si>
  <si>
    <t>PE28*6백</t>
    <phoneticPr fontId="3" type="noConversion"/>
  </si>
  <si>
    <t>1롤</t>
    <phoneticPr fontId="3" type="noConversion"/>
  </si>
  <si>
    <t>20"(저녁7시)</t>
    <phoneticPr fontId="3" type="noConversion"/>
  </si>
  <si>
    <t>수남로 266번길 26</t>
  </si>
  <si>
    <t>강원농협연합포장재가공사업소</t>
  </si>
  <si>
    <t>033-344-5121</t>
  </si>
  <si>
    <t>010-9425-4806</t>
  </si>
  <si>
    <t>87롤</t>
  </si>
  <si>
    <t>56롤</t>
    <phoneticPr fontId="3" type="noConversion"/>
  </si>
  <si>
    <t>224롤</t>
    <phoneticPr fontId="3" type="noConversion"/>
  </si>
  <si>
    <t>kic박스</t>
    <phoneticPr fontId="3" type="noConversion"/>
  </si>
  <si>
    <t>12*10황(0.8T)</t>
    <phoneticPr fontId="3" type="noConversion"/>
  </si>
  <si>
    <t>2400원</t>
    <phoneticPr fontId="3" type="noConversion"/>
  </si>
  <si>
    <t>지방합화차</t>
    <phoneticPr fontId="3" type="noConversion"/>
  </si>
  <si>
    <t>박이누 010-2062-2217</t>
  </si>
  <si>
    <t xml:space="preserve">대상주식회사 </t>
  </si>
  <si>
    <t>20"(오전10시)</t>
    <phoneticPr fontId="3" type="noConversion"/>
  </si>
  <si>
    <t>타이거팩</t>
    <phoneticPr fontId="3" type="noConversion"/>
  </si>
  <si>
    <t>가골식품</t>
    <phoneticPr fontId="3" type="noConversion"/>
  </si>
  <si>
    <t>김해제일포장</t>
    <phoneticPr fontId="3" type="noConversion"/>
  </si>
  <si>
    <t>인천 강화군 선원면 신정리 475-1</t>
  </si>
  <si>
    <t>아벨농장귀하</t>
  </si>
  <si>
    <t>032-934-9886</t>
  </si>
  <si>
    <t>010-2390-5509</t>
  </si>
  <si>
    <t>KPP초록(1300)</t>
  </si>
  <si>
    <t>PE50*4.7백</t>
  </si>
  <si>
    <t>180롤</t>
    <phoneticPr fontId="3" type="noConversion"/>
  </si>
  <si>
    <t>12*10백(0.75T)</t>
    <phoneticPr fontId="3" type="noConversion"/>
  </si>
  <si>
    <t>45박스</t>
    <phoneticPr fontId="3" type="noConversion"/>
  </si>
  <si>
    <t>팔레트</t>
    <phoneticPr fontId="3" type="noConversion"/>
  </si>
  <si>
    <t>032-811-6671</t>
  </si>
  <si>
    <t>KPP빨강</t>
    <phoneticPr fontId="3" type="noConversion"/>
  </si>
  <si>
    <t>오비아이</t>
    <phoneticPr fontId="3" type="noConversion"/>
  </si>
  <si>
    <t>올에이치</t>
    <phoneticPr fontId="3" type="noConversion"/>
  </si>
  <si>
    <t>안양우체국</t>
    <phoneticPr fontId="3" type="noConversion"/>
  </si>
  <si>
    <t>6*10황</t>
    <phoneticPr fontId="3" type="noConversion"/>
  </si>
  <si>
    <t>14*10파랑</t>
    <phoneticPr fontId="3" type="noConversion"/>
  </si>
  <si>
    <t>청정원 거창</t>
    <phoneticPr fontId="3" type="noConversion"/>
  </si>
  <si>
    <t>청정원 순창</t>
    <phoneticPr fontId="3" type="noConversion"/>
  </si>
  <si>
    <t>대구한국포장
지방합화차 착불</t>
    <phoneticPr fontId="3" type="noConversion"/>
  </si>
  <si>
    <t>청주시 서원구 현도면 죽암리 416</t>
  </si>
  <si>
    <t>15*10수축/투명</t>
  </si>
  <si>
    <t>31롤</t>
    <phoneticPr fontId="3" type="noConversion"/>
  </si>
  <si>
    <t>하영종합상사</t>
    <phoneticPr fontId="3" type="noConversion"/>
  </si>
  <si>
    <t>145롤</t>
    <phoneticPr fontId="3" type="noConversion"/>
  </si>
  <si>
    <t>대신화물</t>
    <phoneticPr fontId="3" type="noConversion"/>
  </si>
  <si>
    <t>대신화물대구달성 화원지점 착불</t>
  </si>
  <si>
    <t>나무파레트</t>
    <phoneticPr fontId="3" type="noConversion"/>
  </si>
  <si>
    <t>010-3773-0410</t>
  </si>
  <si>
    <t>㈜미코</t>
  </si>
  <si>
    <t>민건이에이</t>
    <phoneticPr fontId="3" type="noConversion"/>
  </si>
  <si>
    <t>무지패드</t>
    <phoneticPr fontId="3" type="noConversion"/>
  </si>
  <si>
    <t>12*12황(0.75T)</t>
    <phoneticPr fontId="3" type="noConversion"/>
  </si>
  <si>
    <t>JH글로벌</t>
    <phoneticPr fontId="3" type="noConversion"/>
  </si>
  <si>
    <t>그린웰푸드</t>
    <phoneticPr fontId="3" type="noConversion"/>
  </si>
  <si>
    <t>3600원/kg</t>
    <phoneticPr fontId="3" type="noConversion"/>
  </si>
  <si>
    <t>power박스</t>
    <phoneticPr fontId="3" type="noConversion"/>
  </si>
  <si>
    <t>53롤</t>
    <phoneticPr fontId="3" type="noConversion"/>
  </si>
  <si>
    <t>경인두채영농</t>
    <phoneticPr fontId="3" type="noConversion"/>
  </si>
  <si>
    <t>102롤</t>
    <phoneticPr fontId="3" type="noConversion"/>
  </si>
  <si>
    <t>7*10백</t>
    <phoneticPr fontId="3" type="noConversion"/>
  </si>
  <si>
    <t>제일산업(안성)</t>
    <phoneticPr fontId="3" type="noConversion"/>
  </si>
  <si>
    <t>같이</t>
    <phoneticPr fontId="3" type="noConversion"/>
  </si>
  <si>
    <t>충청북도 진천군 덕산면 신척산단5로 196 (덕산면, (주)견지포장) 견지포장 김법준 010-4555-0979</t>
    <phoneticPr fontId="3" type="noConversion"/>
  </si>
  <si>
    <t>54롤</t>
    <phoneticPr fontId="3" type="noConversion"/>
  </si>
  <si>
    <t>우선산업</t>
    <phoneticPr fontId="3" type="noConversion"/>
  </si>
  <si>
    <t>PE50*4.7백</t>
    <phoneticPr fontId="3" type="noConversion"/>
  </si>
  <si>
    <t>10개</t>
    <phoneticPr fontId="3" type="noConversion"/>
  </si>
  <si>
    <t>임승진 연차</t>
    <phoneticPr fontId="3" type="noConversion"/>
  </si>
  <si>
    <t>2100원</t>
    <phoneticPr fontId="3" type="noConversion"/>
  </si>
  <si>
    <t>15*10투명(0.8T)</t>
    <phoneticPr fontId="3" type="noConversion"/>
  </si>
  <si>
    <t>12*10투명(0.75T)</t>
    <phoneticPr fontId="3" type="noConversion"/>
  </si>
  <si>
    <t>불량교환</t>
    <phoneticPr fontId="3" type="noConversion"/>
  </si>
  <si>
    <t>1동(산남동)</t>
    <phoneticPr fontId="3" type="noConversion"/>
  </si>
  <si>
    <t>나무파렛트</t>
    <phoneticPr fontId="3" type="noConversion"/>
  </si>
  <si>
    <t>랩20*500*350</t>
    <phoneticPr fontId="3" type="noConversion"/>
  </si>
  <si>
    <t>010-3663-9325</t>
  </si>
  <si>
    <t>디알젬</t>
    <phoneticPr fontId="3" type="noConversion"/>
  </si>
  <si>
    <t>광림포장</t>
    <phoneticPr fontId="3" type="noConversion"/>
  </si>
  <si>
    <t>오전 1착</t>
    <phoneticPr fontId="3" type="noConversion"/>
  </si>
  <si>
    <t>9*10투명(0.75T)</t>
    <phoneticPr fontId="3" type="noConversion"/>
  </si>
  <si>
    <t>PE50*5황</t>
  </si>
  <si>
    <t>11박스</t>
    <phoneticPr fontId="3" type="noConversion"/>
  </si>
  <si>
    <t>전주삼신산업</t>
  </si>
  <si>
    <t>15*10검정</t>
    <phoneticPr fontId="3" type="noConversion"/>
  </si>
  <si>
    <t>신우교역</t>
    <phoneticPr fontId="3" type="noConversion"/>
  </si>
  <si>
    <t>한국스미더스</t>
    <phoneticPr fontId="3" type="noConversion"/>
  </si>
  <si>
    <t>4박스</t>
  </si>
  <si>
    <t>미국박스</t>
  </si>
  <si>
    <t>전표는 50박스</t>
    <phoneticPr fontId="3" type="noConversion"/>
  </si>
  <si>
    <t>동방포장기자재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</si>
  <si>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</si>
  <si>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</si>
  <si>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</si>
  <si>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</si>
  <si>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삼성</t>
    <phoneticPr fontId="3" type="noConversion"/>
  </si>
  <si>
    <t>391롤</t>
    <phoneticPr fontId="3" type="noConversion"/>
  </si>
  <si>
    <t>6*10백</t>
    <phoneticPr fontId="3" type="noConversion"/>
  </si>
  <si>
    <t>12롤</t>
    <phoneticPr fontId="3" type="noConversion"/>
  </si>
  <si>
    <t>파워팩</t>
    <phoneticPr fontId="3" type="noConversion"/>
  </si>
  <si>
    <t>수작업</t>
    <phoneticPr fontId="3" type="noConversion"/>
  </si>
  <si>
    <t>8.9톤</t>
    <phoneticPr fontId="3" type="noConversion"/>
  </si>
  <si>
    <t>경인팩</t>
    <phoneticPr fontId="3" type="noConversion"/>
  </si>
  <si>
    <t>96박스</t>
    <phoneticPr fontId="3" type="noConversion"/>
  </si>
  <si>
    <t>280롤</t>
    <phoneticPr fontId="3" type="noConversion"/>
  </si>
  <si>
    <t>51박스</t>
    <phoneticPr fontId="3" type="noConversion"/>
  </si>
  <si>
    <t>합동포장</t>
    <phoneticPr fontId="3" type="noConversion"/>
  </si>
  <si>
    <t>12*12.5황</t>
    <phoneticPr fontId="3" type="noConversion"/>
  </si>
  <si>
    <t>150롤</t>
    <phoneticPr fontId="3" type="noConversion"/>
  </si>
  <si>
    <t>15*13황</t>
    <phoneticPr fontId="3" type="noConversion"/>
  </si>
  <si>
    <t>20롤</t>
    <phoneticPr fontId="3" type="noConversion"/>
  </si>
  <si>
    <t>30롤</t>
    <phoneticPr fontId="3" type="noConversion"/>
  </si>
  <si>
    <t>보우팩</t>
    <phoneticPr fontId="3" type="noConversion"/>
  </si>
  <si>
    <t>6*10백</t>
    <phoneticPr fontId="3" type="noConversion"/>
  </si>
  <si>
    <t>200롤</t>
    <phoneticPr fontId="3" type="noConversion"/>
  </si>
  <si>
    <t>파란밴딩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</si>
  <si>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</si>
  <si>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</si>
  <si>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</si>
  <si>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</si>
  <si>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</si>
  <si>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</si>
  <si>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</si>
  <si>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광신수출포장</t>
    <phoneticPr fontId="3" type="noConversion"/>
  </si>
  <si>
    <t>7*10백</t>
    <phoneticPr fontId="3" type="noConversion"/>
  </si>
  <si>
    <t>100롤(0.5T)</t>
    <phoneticPr fontId="3" type="noConversion"/>
  </si>
  <si>
    <t>방문출고</t>
    <phoneticPr fontId="3" type="noConversion"/>
  </si>
  <si>
    <t>356롤</t>
    <phoneticPr fontId="3" type="noConversion"/>
  </si>
  <si>
    <t>낙원포장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</si>
  <si>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</si>
  <si>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</si>
  <si>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</si>
  <si>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안일농장</t>
    <phoneticPr fontId="3" type="noConversion"/>
  </si>
  <si>
    <t>대신택배</t>
    <phoneticPr fontId="3" type="noConversion"/>
  </si>
  <si>
    <t>경기도 연천군 연천읍 동막리 331-8  안일농장  031-834-2036 / 010-6250-0008</t>
    <phoneticPr fontId="3" type="noConversion"/>
  </si>
  <si>
    <t>삼성</t>
    <phoneticPr fontId="3" type="noConversion"/>
  </si>
  <si>
    <t>15*10황(솔표인쇄밴드)</t>
    <phoneticPr fontId="3" type="noConversion"/>
  </si>
  <si>
    <t>정명인쇄사</t>
    <phoneticPr fontId="3" type="noConversion"/>
  </si>
  <si>
    <t>12*10황(0.8T)</t>
    <phoneticPr fontId="3" type="noConversion"/>
  </si>
  <si>
    <t>2롤</t>
    <phoneticPr fontId="3" type="noConversion"/>
  </si>
  <si>
    <t>대신택배착불</t>
    <phoneticPr fontId="3" type="noConversion"/>
  </si>
  <si>
    <t>2롤1묶음</t>
  </si>
  <si>
    <t>12*10황(0.8T)</t>
    <phoneticPr fontId="3" type="noConversion"/>
  </si>
  <si>
    <t>200롤</t>
    <phoneticPr fontId="3" type="noConversion"/>
  </si>
  <si>
    <t>15*10황(0.8T)</t>
    <phoneticPr fontId="3" type="noConversion"/>
  </si>
  <si>
    <t>100롤</t>
    <phoneticPr fontId="3" type="noConversion"/>
  </si>
  <si>
    <t>신광포장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</si>
  <si>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</si>
  <si>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</si>
  <si>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</si>
  <si>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착한유통</t>
    <phoneticPr fontId="3" type="noConversion"/>
  </si>
  <si>
    <t>용차</t>
    <phoneticPr fontId="3" type="noConversion"/>
  </si>
  <si>
    <t>PE28*6백</t>
    <phoneticPr fontId="3" type="noConversion"/>
  </si>
  <si>
    <t>10박스</t>
    <phoneticPr fontId="3" type="noConversion"/>
  </si>
  <si>
    <t>5박스</t>
    <phoneticPr fontId="3" type="noConversion"/>
  </si>
  <si>
    <t>경기도 하남시 하남대로654번길24-12(천현동) 착한유통  031-791-2450</t>
    <phoneticPr fontId="3" type="noConversion"/>
  </si>
  <si>
    <t>031-791-2450</t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</si>
  <si>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</si>
  <si>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</si>
  <si>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</si>
  <si>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</si>
  <si>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전주삼신산업</t>
    <phoneticPr fontId="3" type="noConversion"/>
  </si>
  <si>
    <t>5박스</t>
    <phoneticPr fontId="3" type="noConversion"/>
  </si>
  <si>
    <t>로젠택배</t>
    <phoneticPr fontId="3" type="noConversion"/>
  </si>
  <si>
    <t>대한종합포장</t>
    <phoneticPr fontId="3" type="noConversion"/>
  </si>
  <si>
    <t>랩20*500*1400</t>
    <phoneticPr fontId="3" type="noConversion"/>
  </si>
  <si>
    <t>40박스</t>
    <phoneticPr fontId="3" type="noConversion"/>
  </si>
  <si>
    <t>랩15*500*400</t>
    <phoneticPr fontId="3" type="noConversion"/>
  </si>
  <si>
    <t>10박스</t>
    <phoneticPr fontId="3" type="noConversion"/>
  </si>
  <si>
    <t>12*10백(0.8T)</t>
    <phoneticPr fontId="3" type="noConversion"/>
  </si>
  <si>
    <t>30롤</t>
    <phoneticPr fontId="3" type="noConversion"/>
  </si>
  <si>
    <t>나눔푸드</t>
    <phoneticPr fontId="3" type="noConversion"/>
  </si>
  <si>
    <t>15*10백(0.65t)</t>
    <phoneticPr fontId="3" type="noConversion"/>
  </si>
  <si>
    <t>대신택배착불</t>
    <phoneticPr fontId="3" type="noConversion"/>
  </si>
  <si>
    <t>6롤</t>
    <phoneticPr fontId="3" type="noConversion"/>
  </si>
  <si>
    <t>2롤씩 3묶음</t>
    <phoneticPr fontId="3" type="noConversion"/>
  </si>
  <si>
    <t>9*10황</t>
    <phoneticPr fontId="3" type="noConversion"/>
  </si>
  <si>
    <t>3롤</t>
    <phoneticPr fontId="3" type="noConversion"/>
  </si>
  <si>
    <t>보우팩</t>
    <phoneticPr fontId="3" type="noConversion"/>
  </si>
  <si>
    <t>납품은 광림으로</t>
    <phoneticPr fontId="3" type="noConversion"/>
  </si>
  <si>
    <t>6*12.5백</t>
    <phoneticPr fontId="3" type="noConversion"/>
  </si>
  <si>
    <t>640롤</t>
    <phoneticPr fontId="3" type="noConversion"/>
  </si>
  <si>
    <t>신광포장</t>
    <phoneticPr fontId="3" type="noConversion"/>
  </si>
  <si>
    <t>대상산업</t>
    <phoneticPr fontId="3" type="noConversion"/>
  </si>
  <si>
    <t>PE28*6백</t>
    <phoneticPr fontId="3" type="noConversion"/>
  </si>
  <si>
    <t>10박스</t>
    <phoneticPr fontId="3" type="noConversion"/>
  </si>
  <si>
    <t>PE28*2백(24kg)</t>
    <phoneticPr fontId="3" type="noConversion"/>
  </si>
  <si>
    <t>20박스</t>
    <phoneticPr fontId="3" type="noConversion"/>
  </si>
  <si>
    <t>12*9.5황</t>
    <phoneticPr fontId="3" type="noConversion"/>
  </si>
  <si>
    <t>20롤</t>
    <phoneticPr fontId="3" type="noConversion"/>
  </si>
  <si>
    <t>방문출고</t>
    <phoneticPr fontId="3" type="noConversion"/>
  </si>
  <si>
    <t>12*10황</t>
    <phoneticPr fontId="3" type="noConversion"/>
  </si>
  <si>
    <t>kic박스</t>
    <phoneticPr fontId="3" type="noConversion"/>
  </si>
  <si>
    <t>68롤</t>
    <phoneticPr fontId="3" type="noConversion"/>
  </si>
  <si>
    <t>신한포장</t>
    <phoneticPr fontId="3" type="noConversion"/>
  </si>
  <si>
    <t>50박스</t>
    <phoneticPr fontId="3" type="noConversion"/>
  </si>
  <si>
    <t>삼영피앤텍</t>
    <phoneticPr fontId="3" type="noConversion"/>
  </si>
  <si>
    <t>2박스</t>
    <phoneticPr fontId="3" type="noConversion"/>
  </si>
  <si>
    <t>김해제일포장</t>
    <phoneticPr fontId="3" type="noConversion"/>
  </si>
  <si>
    <t>지방합화차</t>
    <phoneticPr fontId="3" type="noConversion"/>
  </si>
  <si>
    <t>경남 김해시 한림면 김해대로 916번길 40-78 태화산업</t>
  </si>
  <si>
    <t>전주삼신산업</t>
    <phoneticPr fontId="3" type="noConversion"/>
  </si>
  <si>
    <t>6*10백</t>
    <phoneticPr fontId="3" type="noConversion"/>
  </si>
  <si>
    <t>48롤</t>
    <phoneticPr fontId="3" type="noConversion"/>
  </si>
  <si>
    <t>4박스</t>
    <phoneticPr fontId="3" type="noConversion"/>
  </si>
  <si>
    <t>대신택배</t>
    <phoneticPr fontId="3" type="noConversion"/>
  </si>
  <si>
    <t>power박스</t>
    <phoneticPr fontId="3" type="noConversion"/>
  </si>
  <si>
    <t>42롤</t>
    <phoneticPr fontId="3" type="noConversion"/>
  </si>
  <si>
    <t>오전일찍</t>
    <phoneticPr fontId="3" type="noConversion"/>
  </si>
  <si>
    <t>용차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</si>
  <si>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</si>
  <si>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</si>
  <si>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</si>
  <si>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</si>
  <si>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오후</t>
    <phoneticPr fontId="3" type="noConversion"/>
  </si>
  <si>
    <t>오전</t>
    <phoneticPr fontId="3" type="noConversion"/>
  </si>
  <si>
    <t>12*10황(0.65T)</t>
    <phoneticPr fontId="3" type="noConversion"/>
  </si>
  <si>
    <t>50롤</t>
    <phoneticPr fontId="3" type="noConversion"/>
  </si>
  <si>
    <t>25박스</t>
    <phoneticPr fontId="3" type="noConversion"/>
  </si>
  <si>
    <t>5박스</t>
    <phoneticPr fontId="3" type="noConversion"/>
  </si>
  <si>
    <t>15*10황(0.65T)</t>
    <phoneticPr fontId="3" type="noConversion"/>
  </si>
  <si>
    <t>PE28*6백</t>
    <phoneticPr fontId="3" type="noConversion"/>
  </si>
  <si>
    <t>kic박스/낱개3롤 맞교환</t>
    <phoneticPr fontId="3" type="noConversion"/>
  </si>
  <si>
    <t>피피클립</t>
    <phoneticPr fontId="3" type="noConversion"/>
  </si>
  <si>
    <t>10000개</t>
    <phoneticPr fontId="3" type="noConversion"/>
  </si>
  <si>
    <t>용차</t>
    <phoneticPr fontId="3" type="noConversion"/>
  </si>
  <si>
    <t>찬란유통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</si>
  <si>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</si>
  <si>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</si>
  <si>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</si>
  <si>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</si>
  <si>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나무파렛트</t>
    <phoneticPr fontId="3" type="noConversion"/>
  </si>
  <si>
    <t>삼성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</si>
  <si>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</si>
  <si>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</si>
  <si>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</si>
  <si>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</si>
  <si>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동원팩</t>
    <phoneticPr fontId="3" type="noConversion"/>
  </si>
  <si>
    <t>12*10황(0.8T)</t>
    <phoneticPr fontId="3" type="noConversion"/>
  </si>
  <si>
    <t>2롤</t>
    <phoneticPr fontId="3" type="noConversion"/>
  </si>
  <si>
    <t>대신택배착불</t>
    <phoneticPr fontId="3" type="noConversion"/>
  </si>
  <si>
    <t>충남 서산시 부석면 강수1길 221-8 장순수 010-8822-4557</t>
    <phoneticPr fontId="3" type="noConversion"/>
  </si>
  <si>
    <t>2롤1묶음</t>
    <phoneticPr fontId="3" type="noConversion"/>
  </si>
  <si>
    <t>신광포장</t>
    <phoneticPr fontId="3" type="noConversion"/>
  </si>
  <si>
    <t>30롤</t>
    <phoneticPr fontId="3" type="noConversion"/>
  </si>
  <si>
    <t>30롤</t>
    <phoneticPr fontId="3" type="noConversion"/>
  </si>
  <si>
    <t>경북 구미시 산호대로 116-59  디알젬(구미공장)  070-8894-6815</t>
    <phoneticPr fontId="3" type="noConversion"/>
  </si>
  <si>
    <t>전주삼신산업</t>
    <phoneticPr fontId="3" type="noConversion"/>
  </si>
  <si>
    <t>대신택배</t>
    <phoneticPr fontId="3" type="noConversion"/>
  </si>
  <si>
    <t>24박스</t>
    <phoneticPr fontId="3" type="noConversion"/>
  </si>
  <si>
    <t>30박스</t>
    <phoneticPr fontId="3" type="noConversion"/>
  </si>
  <si>
    <t>200롤</t>
    <phoneticPr fontId="3" type="noConversion"/>
  </si>
  <si>
    <t>292롤</t>
    <phoneticPr fontId="3" type="noConversion"/>
  </si>
  <si>
    <t>삼성방문신청</t>
    <phoneticPr fontId="3" type="noConversion"/>
  </si>
  <si>
    <t>동원피앤아이</t>
    <phoneticPr fontId="3" type="noConversion"/>
  </si>
  <si>
    <t>PE50*5백</t>
    <phoneticPr fontId="3" type="noConversion"/>
  </si>
  <si>
    <t>스트롱패드</t>
  </si>
  <si>
    <t>4700매</t>
  </si>
  <si>
    <t>40박스</t>
    <phoneticPr fontId="3" type="noConversion"/>
  </si>
  <si>
    <t>60박스</t>
    <phoneticPr fontId="3" type="noConversion"/>
  </si>
  <si>
    <t>20"(오후1시)</t>
    <phoneticPr fontId="3" type="noConversion"/>
  </si>
  <si>
    <t>민건 이에이</t>
    <phoneticPr fontId="3" type="noConversion"/>
  </si>
  <si>
    <t>12*10백(0.8T)</t>
    <phoneticPr fontId="3" type="noConversion"/>
  </si>
  <si>
    <t>오전</t>
    <phoneticPr fontId="3" type="noConversion"/>
  </si>
  <si>
    <t>금산포장</t>
    <phoneticPr fontId="3" type="noConversion"/>
  </si>
  <si>
    <t>12*12.5투명</t>
    <phoneticPr fontId="3" type="noConversion"/>
  </si>
  <si>
    <t>10롤</t>
    <phoneticPr fontId="3" type="noConversion"/>
  </si>
  <si>
    <t>방문출고</t>
    <phoneticPr fontId="3" type="noConversion"/>
  </si>
  <si>
    <t>대신택배</t>
    <phoneticPr fontId="3" type="noConversion"/>
  </si>
  <si>
    <t>50롤</t>
    <phoneticPr fontId="3" type="noConversion"/>
  </si>
  <si>
    <t>12*9.5황</t>
    <phoneticPr fontId="3" type="noConversion"/>
  </si>
  <si>
    <t>동원팩</t>
    <phoneticPr fontId="3" type="noConversion"/>
  </si>
  <si>
    <t>6*10백</t>
    <phoneticPr fontId="3" type="noConversion"/>
  </si>
  <si>
    <t>8롤</t>
    <phoneticPr fontId="3" type="noConversion"/>
  </si>
  <si>
    <t>2롤씩4묶음</t>
    <phoneticPr fontId="3" type="noConversion"/>
  </si>
  <si>
    <t>대신택배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</si>
  <si>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</si>
  <si>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</si>
  <si>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</si>
  <si>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91롤</t>
    <phoneticPr fontId="3" type="noConversion"/>
  </si>
  <si>
    <t>110롤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</si>
  <si>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</si>
  <si>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</si>
  <si>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</si>
  <si>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일회용플라스틱파렛트</t>
    <phoneticPr fontId="3" type="noConversion"/>
  </si>
  <si>
    <t>영주</t>
    <phoneticPr fontId="3" type="noConversion"/>
  </si>
  <si>
    <t>영주 / 지방합화차</t>
    <phoneticPr fontId="3" type="noConversion"/>
  </si>
  <si>
    <t>PE17*2백</t>
    <phoneticPr fontId="3" type="noConversion"/>
  </si>
  <si>
    <t>5박스</t>
    <phoneticPr fontId="3" type="noConversion"/>
  </si>
  <si>
    <t>로젠택배</t>
    <phoneticPr fontId="3" type="noConversion"/>
  </si>
  <si>
    <t>경남 양산시 소주로 90-17 010-8775-8063김유빈</t>
    <phoneticPr fontId="3" type="noConversion"/>
  </si>
  <si>
    <t>경인팩</t>
    <phoneticPr fontId="3" type="noConversion"/>
  </si>
  <si>
    <t>탐스텍</t>
    <phoneticPr fontId="3" type="noConversion"/>
  </si>
  <si>
    <t>팔레트</t>
    <phoneticPr fontId="3" type="noConversion"/>
  </si>
  <si>
    <t>5톤</t>
    <phoneticPr fontId="3" type="noConversion"/>
  </si>
  <si>
    <t>LCL(오전11시)</t>
    <phoneticPr fontId="3" type="noConversion"/>
  </si>
  <si>
    <t>동원팩</t>
    <phoneticPr fontId="3" type="noConversion"/>
  </si>
  <si>
    <t>50롤</t>
    <phoneticPr fontId="3" type="noConversion"/>
  </si>
  <si>
    <t>5박스</t>
    <phoneticPr fontId="3" type="noConversion"/>
  </si>
  <si>
    <t>방문출고</t>
    <phoneticPr fontId="3" type="noConversion"/>
  </si>
  <si>
    <t>파워엠팩</t>
    <phoneticPr fontId="3" type="noConversion"/>
  </si>
  <si>
    <t>9*11은회색</t>
    <phoneticPr fontId="3" type="noConversion"/>
  </si>
  <si>
    <t>128롤</t>
    <phoneticPr fontId="3" type="noConversion"/>
  </si>
  <si>
    <t>동원팩</t>
    <phoneticPr fontId="3" type="noConversion"/>
  </si>
  <si>
    <t>3박스</t>
    <phoneticPr fontId="3" type="noConversion"/>
  </si>
  <si>
    <t>로젠택배</t>
    <phoneticPr fontId="3" type="noConversion"/>
  </si>
  <si>
    <t>충북 충주시 매남이길 283  충주오알농장 010-5485-2473</t>
    <phoneticPr fontId="3" type="noConversion"/>
  </si>
  <si>
    <t>6*10백</t>
    <phoneticPr fontId="3" type="noConversion"/>
  </si>
  <si>
    <t>50롤</t>
    <phoneticPr fontId="3" type="noConversion"/>
  </si>
  <si>
    <t>용차</t>
    <phoneticPr fontId="3" type="noConversion"/>
  </si>
  <si>
    <t>56롤</t>
    <phoneticPr fontId="3" type="noConversion"/>
  </si>
  <si>
    <t>대신택배</t>
    <phoneticPr fontId="3" type="noConversion"/>
  </si>
  <si>
    <t>경기도 광주시 도척면 다람로36번길93-29 (궁평리)  황금알 010-3741-8711</t>
    <phoneticPr fontId="3" type="noConversion"/>
  </si>
  <si>
    <t>평화축산/일회용프라스틱파레트</t>
    <phoneticPr fontId="3" type="noConversion"/>
  </si>
  <si>
    <t>황금알/나무파레트</t>
    <phoneticPr fontId="3" type="noConversion"/>
  </si>
  <si>
    <t>하이게이트</t>
    <phoneticPr fontId="3" type="noConversion"/>
  </si>
  <si>
    <t>수작업</t>
    <phoneticPr fontId="3" type="noConversion"/>
  </si>
  <si>
    <t>21톤</t>
    <phoneticPr fontId="3" type="noConversion"/>
  </si>
  <si>
    <t>40"(오후1시)</t>
    <phoneticPr fontId="3" type="noConversion"/>
  </si>
  <si>
    <t>타이거팩</t>
    <phoneticPr fontId="3" type="noConversion"/>
  </si>
  <si>
    <t>수작업</t>
    <phoneticPr fontId="3" type="noConversion"/>
  </si>
  <si>
    <t>19톤</t>
    <phoneticPr fontId="3" type="noConversion"/>
  </si>
  <si>
    <t>40"(오후1시)</t>
    <phoneticPr fontId="3" type="noConversion"/>
  </si>
  <si>
    <t>6*10백(0.60T)</t>
    <phoneticPr fontId="3" type="noConversion"/>
  </si>
  <si>
    <t>경기도 광주시 곤지암읍 광여로862번길35-20  평화축산  031-761-1521</t>
    <phoneticPr fontId="3" type="noConversion"/>
  </si>
  <si>
    <t>진송팩</t>
    <phoneticPr fontId="3" type="noConversion"/>
  </si>
  <si>
    <t>20박스</t>
    <phoneticPr fontId="3" type="noConversion"/>
  </si>
  <si>
    <t>용차착불</t>
    <phoneticPr fontId="3" type="noConversion"/>
  </si>
  <si>
    <t>PE28*6백</t>
    <phoneticPr fontId="3" type="noConversion"/>
  </si>
  <si>
    <t>크린토피아</t>
    <phoneticPr fontId="3" type="noConversion"/>
  </si>
  <si>
    <t>20박스</t>
    <phoneticPr fontId="3" type="noConversion"/>
  </si>
  <si>
    <t>삼원산업</t>
    <phoneticPr fontId="3" type="noConversion"/>
  </si>
  <si>
    <t>100롤</t>
    <phoneticPr fontId="3" type="noConversion"/>
  </si>
  <si>
    <t>50롤</t>
    <phoneticPr fontId="3" type="noConversion"/>
  </si>
  <si>
    <t>12*12투명</t>
    <phoneticPr fontId="3" type="noConversion"/>
  </si>
  <si>
    <t>50롤</t>
    <phoneticPr fontId="3" type="noConversion"/>
  </si>
  <si>
    <t>12*12황(0.75T)</t>
    <phoneticPr fontId="3" type="noConversion"/>
  </si>
  <si>
    <t>15*10황(0.8T)</t>
    <phoneticPr fontId="3" type="noConversion"/>
  </si>
  <si>
    <t>9*9.2황(0.6T)</t>
    <phoneticPr fontId="3" type="noConversion"/>
  </si>
  <si>
    <t>해성수출포장</t>
    <phoneticPr fontId="3" type="noConversion"/>
  </si>
  <si>
    <t>10박스</t>
    <phoneticPr fontId="3" type="noConversion"/>
  </si>
  <si>
    <t>power박스</t>
    <phoneticPr fontId="3" type="noConversion"/>
  </si>
  <si>
    <t>용차</t>
    <phoneticPr fontId="3" type="noConversion"/>
  </si>
  <si>
    <t>경기도 파주시 월롱면 엘지로386번길 116 피텍코리아 010-8840-4485</t>
    <phoneticPr fontId="3" type="noConversion"/>
  </si>
  <si>
    <t>합동포장</t>
    <phoneticPr fontId="3" type="noConversion"/>
  </si>
  <si>
    <t>15*10청(0.65T)</t>
    <phoneticPr fontId="3" type="noConversion"/>
  </si>
  <si>
    <t>10롤</t>
    <phoneticPr fontId="3" type="noConversion"/>
  </si>
  <si>
    <t>60박스</t>
  </si>
  <si>
    <t>경인팩</t>
    <phoneticPr fontId="3" type="noConversion"/>
  </si>
  <si>
    <t>6*10백</t>
    <phoneticPr fontId="3" type="noConversion"/>
  </si>
  <si>
    <t>삼성</t>
    <phoneticPr fontId="3" type="noConversion"/>
  </si>
  <si>
    <t>18*21친환경</t>
    <phoneticPr fontId="3" type="noConversion"/>
  </si>
  <si>
    <t>254롤</t>
    <phoneticPr fontId="3" type="noConversion"/>
  </si>
  <si>
    <t>385롤</t>
    <phoneticPr fontId="3" type="noConversion"/>
  </si>
  <si>
    <t>80롤</t>
  </si>
  <si>
    <t>광림포장</t>
    <phoneticPr fontId="3" type="noConversion"/>
  </si>
  <si>
    <t>15*10황</t>
    <phoneticPr fontId="3" type="noConversion"/>
  </si>
  <si>
    <t>64롤</t>
    <phoneticPr fontId="3" type="noConversion"/>
  </si>
  <si>
    <t>광림포장</t>
    <phoneticPr fontId="3" type="noConversion"/>
  </si>
  <si>
    <t>336롤</t>
    <phoneticPr fontId="3" type="noConversion"/>
  </si>
  <si>
    <t>24박스</t>
    <phoneticPr fontId="3" type="noConversion"/>
  </si>
  <si>
    <t>오전</t>
    <phoneticPr fontId="3" type="noConversion"/>
  </si>
  <si>
    <t>용차</t>
    <phoneticPr fontId="3" type="noConversion"/>
  </si>
  <si>
    <t>20롤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</si>
  <si>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</si>
  <si>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</si>
  <si>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</si>
  <si>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</si>
  <si>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10박스</t>
    <phoneticPr fontId="3" type="noConversion"/>
  </si>
  <si>
    <t>방문출고</t>
    <phoneticPr fontId="3" type="noConversion"/>
  </si>
  <si>
    <t>삼보팩</t>
    <phoneticPr fontId="3" type="noConversion"/>
  </si>
  <si>
    <t>파렛트밴딩기</t>
    <phoneticPr fontId="3" type="noConversion"/>
  </si>
  <si>
    <t>1대</t>
    <phoneticPr fontId="3" type="noConversion"/>
  </si>
  <si>
    <t>15*10황(0.8t)</t>
    <phoneticPr fontId="3" type="noConversion"/>
  </si>
  <si>
    <t>20롤</t>
    <phoneticPr fontId="3" type="noConversion"/>
  </si>
  <si>
    <t>김규현</t>
    <phoneticPr fontId="3" type="noConversion"/>
  </si>
  <si>
    <t>자강</t>
    <phoneticPr fontId="3" type="noConversion"/>
  </si>
  <si>
    <t>18*10(황)</t>
    <phoneticPr fontId="3" type="noConversion"/>
  </si>
  <si>
    <t>128롤</t>
    <phoneticPr fontId="3" type="noConversion"/>
  </si>
  <si>
    <t>kpp빨강</t>
    <phoneticPr fontId="3" type="noConversion"/>
  </si>
  <si>
    <t>용차</t>
    <phoneticPr fontId="3" type="noConversion"/>
  </si>
  <si>
    <t>금산포장</t>
    <phoneticPr fontId="3" type="noConversion"/>
  </si>
  <si>
    <t>오전</t>
    <phoneticPr fontId="3" type="noConversion"/>
  </si>
  <si>
    <t>5박스</t>
    <phoneticPr fontId="3" type="noConversion"/>
  </si>
  <si>
    <t>kic박스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</si>
  <si>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</si>
  <si>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</si>
  <si>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</si>
  <si>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</si>
  <si>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남양주시 오남읍 오남리 622-1(믿음제일교회 옆)  전원팜 031-575-0887</t>
    <phoneticPr fontId="3" type="noConversion"/>
  </si>
  <si>
    <t>동원팩</t>
    <phoneticPr fontId="3" type="noConversion"/>
  </si>
  <si>
    <t>20박스</t>
    <phoneticPr fontId="3" type="noConversion"/>
  </si>
  <si>
    <t>25박스</t>
    <phoneticPr fontId="3" type="noConversion"/>
  </si>
  <si>
    <t>방문출고</t>
    <phoneticPr fontId="3" type="noConversion"/>
  </si>
  <si>
    <t>6*10백</t>
    <phoneticPr fontId="3" type="noConversion"/>
  </si>
  <si>
    <t>50롤</t>
    <phoneticPr fontId="3" type="noConversion"/>
  </si>
  <si>
    <t>전표는 25롤(25롤 교환)</t>
    <phoneticPr fontId="3" type="noConversion"/>
  </si>
  <si>
    <t>신광포장</t>
    <phoneticPr fontId="3" type="noConversion"/>
  </si>
  <si>
    <t>PE28*6백</t>
    <phoneticPr fontId="3" type="noConversion"/>
  </si>
  <si>
    <t>5박스</t>
    <phoneticPr fontId="3" type="noConversion"/>
  </si>
  <si>
    <t>10박스</t>
    <phoneticPr fontId="3" type="noConversion"/>
  </si>
  <si>
    <t>50롤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</si>
  <si>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</si>
  <si>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</si>
  <si>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</si>
  <si>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</si>
  <si>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12*10황(0.65T)</t>
    <phoneticPr fontId="3" type="noConversion"/>
  </si>
  <si>
    <t>대신택배</t>
    <phoneticPr fontId="3" type="noConversion"/>
  </si>
  <si>
    <t>power박스</t>
    <phoneticPr fontId="3" type="noConversion"/>
  </si>
  <si>
    <t>kic박스</t>
    <phoneticPr fontId="3" type="noConversion"/>
  </si>
  <si>
    <t>82박스</t>
    <phoneticPr fontId="3" type="noConversion"/>
  </si>
  <si>
    <t>15*10백(0.65T)</t>
    <phoneticPr fontId="3" type="noConversion"/>
  </si>
  <si>
    <t>120롤</t>
    <phoneticPr fontId="3" type="noConversion"/>
  </si>
  <si>
    <t>12*12.5황</t>
    <phoneticPr fontId="3" type="noConversion"/>
  </si>
  <si>
    <t>15롤</t>
    <phoneticPr fontId="3" type="noConversion"/>
  </si>
  <si>
    <t>10박스</t>
    <phoneticPr fontId="3" type="noConversion"/>
  </si>
  <si>
    <t>PE28*2백(24kg)</t>
    <phoneticPr fontId="3" type="noConversion"/>
  </si>
  <si>
    <t>PE28*6백</t>
    <phoneticPr fontId="3" type="noConversion"/>
  </si>
  <si>
    <t>20박스</t>
    <phoneticPr fontId="3" type="noConversion"/>
  </si>
  <si>
    <t>경인팩</t>
    <phoneticPr fontId="3" type="noConversion"/>
  </si>
  <si>
    <t>224롤</t>
    <phoneticPr fontId="3" type="noConversion"/>
  </si>
  <si>
    <t>96박스</t>
    <phoneticPr fontId="3" type="noConversion"/>
  </si>
  <si>
    <t>크린토피아/2박스 교체</t>
    <phoneticPr fontId="3" type="noConversion"/>
  </si>
  <si>
    <t>펀치볼</t>
    <phoneticPr fontId="3" type="noConversion"/>
  </si>
  <si>
    <t>수작업</t>
    <phoneticPr fontId="3" type="noConversion"/>
  </si>
  <si>
    <t>14.5톤</t>
    <phoneticPr fontId="3" type="noConversion"/>
  </si>
  <si>
    <t>15박스</t>
    <phoneticPr fontId="3" type="noConversion"/>
  </si>
  <si>
    <t>20박스</t>
    <phoneticPr fontId="3" type="noConversion"/>
  </si>
  <si>
    <t>방문출고</t>
    <phoneticPr fontId="3" type="noConversion"/>
  </si>
  <si>
    <t>동원팩</t>
    <phoneticPr fontId="3" type="noConversion"/>
  </si>
  <si>
    <t>9시전에 도착</t>
    <phoneticPr fontId="3" type="noConversion"/>
  </si>
  <si>
    <t>아주파레트 반납및렌탈</t>
    <phoneticPr fontId="3" type="noConversion"/>
  </si>
  <si>
    <t>PE28*2백</t>
    <phoneticPr fontId="3" type="noConversion"/>
  </si>
  <si>
    <t>241롤</t>
    <phoneticPr fontId="3" type="noConversion"/>
  </si>
  <si>
    <t>141롤</t>
    <phoneticPr fontId="3" type="noConversion"/>
  </si>
  <si>
    <t>PE28*2청</t>
    <phoneticPr fontId="3" type="noConversion"/>
  </si>
  <si>
    <t>PE28*2녹</t>
    <phoneticPr fontId="3" type="noConversion"/>
  </si>
  <si>
    <t>1박스</t>
    <phoneticPr fontId="3" type="noConversion"/>
  </si>
  <si>
    <t>1박스</t>
    <phoneticPr fontId="3" type="noConversion"/>
  </si>
  <si>
    <t>로젠택배</t>
    <phoneticPr fontId="3" type="noConversion"/>
  </si>
  <si>
    <t>10박스</t>
    <phoneticPr fontId="3" type="noConversion"/>
  </si>
  <si>
    <t>색갈 안 좋은거</t>
  </si>
  <si>
    <t>kg당 -500원</t>
    <phoneticPr fontId="3" type="noConversion"/>
  </si>
  <si>
    <t>한남포장</t>
    <phoneticPr fontId="3" type="noConversion"/>
  </si>
  <si>
    <t>PE28*2청</t>
    <phoneticPr fontId="3" type="noConversion"/>
  </si>
  <si>
    <t>10박스</t>
    <phoneticPr fontId="3" type="noConversion"/>
  </si>
  <si>
    <t>방문출고</t>
    <phoneticPr fontId="3" type="noConversion"/>
  </si>
  <si>
    <t>6*10백</t>
    <phoneticPr fontId="3" type="noConversion"/>
  </si>
  <si>
    <t>정상품</t>
    <phoneticPr fontId="3" type="noConversion"/>
  </si>
  <si>
    <t>10롤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</si>
  <si>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</si>
  <si>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</si>
  <si>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</si>
  <si>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충청북도 진천군 덕산면 신척산단5로 196 (덕산면, (주)견지포장) 견지포장 김법준 010-4555-0979</t>
    <phoneticPr fontId="3" type="noConversion"/>
  </si>
  <si>
    <t>12*10백(0.8T)</t>
    <phoneticPr fontId="3" type="noConversion"/>
  </si>
  <si>
    <t>64롤</t>
    <phoneticPr fontId="3" type="noConversion"/>
  </si>
  <si>
    <t>2대</t>
    <phoneticPr fontId="3" type="noConversion"/>
  </si>
  <si>
    <t>11*3000투명</t>
    <phoneticPr fontId="3" type="noConversion"/>
  </si>
  <si>
    <t>10롤</t>
    <phoneticPr fontId="3" type="noConversion"/>
  </si>
  <si>
    <t>내수</t>
    <phoneticPr fontId="3" type="noConversion"/>
  </si>
  <si>
    <t>15*10투명(수축밴드)</t>
    <phoneticPr fontId="3" type="noConversion"/>
  </si>
  <si>
    <t>서울상사</t>
    <phoneticPr fontId="3" type="noConversion"/>
  </si>
  <si>
    <t>2070원</t>
    <phoneticPr fontId="3" type="noConversion"/>
  </si>
  <si>
    <t>세움패키지</t>
    <phoneticPr fontId="3" type="noConversion"/>
  </si>
  <si>
    <t>6*10백</t>
    <phoneticPr fontId="3" type="noConversion"/>
  </si>
  <si>
    <t>50롤</t>
    <phoneticPr fontId="3" type="noConversion"/>
  </si>
  <si>
    <t>용차</t>
    <phoneticPr fontId="3" type="noConversion"/>
  </si>
  <si>
    <t>선불청구</t>
    <phoneticPr fontId="3" type="noConversion"/>
  </si>
  <si>
    <t>방문신청</t>
    <phoneticPr fontId="3" type="noConversion"/>
  </si>
  <si>
    <t>6*10백</t>
    <phoneticPr fontId="3" type="noConversion"/>
  </si>
  <si>
    <t>50롤</t>
    <phoneticPr fontId="3" type="noConversion"/>
  </si>
  <si>
    <t>PE28*2황</t>
    <phoneticPr fontId="3" type="noConversion"/>
  </si>
  <si>
    <t>PE28*6백</t>
    <phoneticPr fontId="3" type="noConversion"/>
  </si>
  <si>
    <t>15박스</t>
    <phoneticPr fontId="3" type="noConversion"/>
  </si>
  <si>
    <t>5박스</t>
    <phoneticPr fontId="3" type="noConversion"/>
  </si>
  <si>
    <t>20박스</t>
    <phoneticPr fontId="3" type="noConversion"/>
  </si>
  <si>
    <t>동원팩</t>
    <phoneticPr fontId="3" type="noConversion"/>
  </si>
  <si>
    <t>전표47롤, 3롤반품</t>
    <phoneticPr fontId="3" type="noConversion"/>
  </si>
  <si>
    <t>오전</t>
    <phoneticPr fontId="3" type="noConversion"/>
  </si>
  <si>
    <t>오후</t>
    <phoneticPr fontId="3" type="noConversion"/>
  </si>
  <si>
    <t>WCP</t>
    <phoneticPr fontId="3" type="noConversion"/>
  </si>
  <si>
    <t>수작업</t>
    <phoneticPr fontId="3" type="noConversion"/>
  </si>
  <si>
    <t>14.7톤</t>
    <phoneticPr fontId="3" type="noConversion"/>
  </si>
  <si>
    <t>40"(오후1시)</t>
    <phoneticPr fontId="3" type="noConversion"/>
  </si>
  <si>
    <t>바오</t>
    <phoneticPr fontId="3" type="noConversion"/>
  </si>
  <si>
    <t>2박스</t>
    <phoneticPr fontId="3" type="noConversion"/>
  </si>
  <si>
    <t>kic박스</t>
    <phoneticPr fontId="3" type="noConversion"/>
  </si>
  <si>
    <t>로젠택배</t>
    <phoneticPr fontId="3" type="noConversion"/>
  </si>
  <si>
    <t>삼성</t>
    <phoneticPr fontId="3" type="noConversion"/>
  </si>
  <si>
    <t>삼성</t>
    <phoneticPr fontId="3" type="noConversion"/>
  </si>
  <si>
    <t>전표는 12/29</t>
    <phoneticPr fontId="3" type="noConversion"/>
  </si>
  <si>
    <t>대성씨앤씨</t>
    <phoneticPr fontId="3" type="noConversion"/>
  </si>
  <si>
    <t>20*500*1400</t>
    <phoneticPr fontId="3" type="noConversion"/>
  </si>
  <si>
    <t>50박스</t>
    <phoneticPr fontId="3" type="noConversion"/>
  </si>
  <si>
    <t>1공장</t>
    <phoneticPr fontId="3" type="noConversion"/>
  </si>
  <si>
    <t xml:space="preserve">1/2일 </t>
    <phoneticPr fontId="3" type="noConversion"/>
  </si>
  <si>
    <t>보우팩</t>
    <phoneticPr fontId="3" type="noConversion"/>
  </si>
  <si>
    <t>9*10적</t>
    <phoneticPr fontId="3" type="noConversion"/>
  </si>
  <si>
    <t>48롤</t>
    <phoneticPr fontId="3" type="noConversion"/>
  </si>
  <si>
    <t>6*10백</t>
    <phoneticPr fontId="3" type="noConversion"/>
  </si>
  <si>
    <t>200롤</t>
    <phoneticPr fontId="3" type="noConversion"/>
  </si>
  <si>
    <t>파란밴딩</t>
    <phoneticPr fontId="3" type="noConversion"/>
  </si>
  <si>
    <t>오전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</si>
  <si>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</si>
  <si>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</si>
  <si>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</si>
  <si>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서신</t>
    <phoneticPr fontId="3" type="noConversion"/>
  </si>
  <si>
    <t>대신택배</t>
    <phoneticPr fontId="3" type="noConversion"/>
  </si>
  <si>
    <t>강원도 원주시 동부순환로 389-5(봉산동) (주)서신 033-764-6605 / 010-8969-6221</t>
    <phoneticPr fontId="3" type="noConversion"/>
  </si>
  <si>
    <t>신광포장</t>
    <phoneticPr fontId="3" type="noConversion"/>
  </si>
  <si>
    <t>15*12황(0.65T)</t>
    <phoneticPr fontId="3" type="noConversion"/>
  </si>
  <si>
    <t>50롤</t>
    <phoneticPr fontId="3" type="noConversion"/>
  </si>
  <si>
    <t>50롤</t>
    <phoneticPr fontId="3" type="noConversion"/>
  </si>
  <si>
    <t>18*21친환경</t>
    <phoneticPr fontId="3" type="noConversion"/>
  </si>
  <si>
    <t>207롤</t>
    <phoneticPr fontId="3" type="noConversion"/>
  </si>
  <si>
    <t>178롤</t>
    <phoneticPr fontId="3" type="noConversion"/>
  </si>
  <si>
    <t>18*21친환경</t>
    <phoneticPr fontId="3" type="noConversion"/>
  </si>
  <si>
    <t>147롤</t>
    <phoneticPr fontId="3" type="noConversion"/>
  </si>
  <si>
    <t>100롤</t>
    <phoneticPr fontId="3" type="noConversion"/>
  </si>
  <si>
    <t>18*21황</t>
    <phoneticPr fontId="3" type="noConversion"/>
  </si>
  <si>
    <t>삼성</t>
    <phoneticPr fontId="3" type="noConversion"/>
  </si>
  <si>
    <t>247롤</t>
    <phoneticPr fontId="3" type="noConversion"/>
  </si>
  <si>
    <t>삼성</t>
    <phoneticPr fontId="3" type="noConversion"/>
  </si>
  <si>
    <t>3롤</t>
    <phoneticPr fontId="3" type="noConversion"/>
  </si>
  <si>
    <t>디에스아이</t>
  </si>
  <si>
    <t>합동포장</t>
    <phoneticPr fontId="3" type="noConversion"/>
  </si>
  <si>
    <t>12*12.5황</t>
    <phoneticPr fontId="3" type="noConversion"/>
  </si>
  <si>
    <t>15*13황</t>
    <phoneticPr fontId="3" type="noConversion"/>
  </si>
  <si>
    <t>20롤</t>
    <phoneticPr fontId="3" type="noConversion"/>
  </si>
  <si>
    <t>30롤</t>
    <phoneticPr fontId="3" type="noConversion"/>
  </si>
  <si>
    <t>12*12.5투명</t>
    <phoneticPr fontId="3" type="noConversion"/>
  </si>
  <si>
    <t>20롤</t>
    <phoneticPr fontId="3" type="noConversion"/>
  </si>
  <si>
    <t>40박스</t>
    <phoneticPr fontId="3" type="noConversion"/>
  </si>
  <si>
    <t>임승진 연차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</si>
  <si>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</si>
  <si>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</si>
  <si>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</si>
  <si>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경기도 평택시 통복동 66-1번지  나라유통  010-3295-5230</t>
    <phoneticPr fontId="3" type="noConversion"/>
  </si>
  <si>
    <t>동원피앤아이</t>
    <phoneticPr fontId="3" type="noConversion"/>
  </si>
  <si>
    <t>60박스</t>
    <phoneticPr fontId="3" type="noConversion"/>
  </si>
  <si>
    <t>명세서 1/2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</si>
  <si>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</si>
  <si>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</si>
  <si>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</si>
  <si>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</si>
  <si>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주신산업</t>
    <phoneticPr fontId="3" type="noConversion"/>
  </si>
  <si>
    <t>경기도 포천시 가산면 유교로 34-10 (가산면) 박희철  010-4769-3101</t>
    <phoneticPr fontId="3" type="noConversion"/>
  </si>
  <si>
    <t>신광포장</t>
    <phoneticPr fontId="3" type="noConversion"/>
  </si>
  <si>
    <t>15*10황(0.65T)</t>
    <phoneticPr fontId="3" type="noConversion"/>
  </si>
  <si>
    <t>12*10황(0.65T)</t>
    <phoneticPr fontId="3" type="noConversion"/>
  </si>
  <si>
    <t>50롤</t>
    <phoneticPr fontId="3" type="noConversion"/>
  </si>
  <si>
    <t>50롤</t>
    <phoneticPr fontId="3" type="noConversion"/>
  </si>
  <si>
    <t>20박스</t>
    <phoneticPr fontId="3" type="noConversion"/>
  </si>
  <si>
    <t>kic박스</t>
    <phoneticPr fontId="3" type="noConversion"/>
  </si>
  <si>
    <t>128롤</t>
    <phoneticPr fontId="3" type="noConversion"/>
  </si>
  <si>
    <t>오후상차 수오전9시 하차</t>
    <phoneticPr fontId="3" type="noConversion"/>
  </si>
  <si>
    <t>광림포장</t>
    <phoneticPr fontId="3" type="noConversion"/>
  </si>
  <si>
    <t>9*9.2황(0.6T)</t>
    <phoneticPr fontId="3" type="noConversion"/>
  </si>
  <si>
    <t>192롤</t>
    <phoneticPr fontId="3" type="noConversion"/>
  </si>
  <si>
    <t>9*10황(0.75T)</t>
    <phoneticPr fontId="3" type="noConversion"/>
  </si>
  <si>
    <t>12*10황</t>
    <phoneticPr fontId="3" type="noConversion"/>
  </si>
  <si>
    <t>64롤</t>
    <phoneticPr fontId="3" type="noConversion"/>
  </si>
  <si>
    <t>12*10황(0.65T)</t>
    <phoneticPr fontId="3" type="noConversion"/>
  </si>
  <si>
    <t>30롤</t>
    <phoneticPr fontId="3" type="noConversion"/>
  </si>
  <si>
    <t>빨간밴딩, 패드갈이</t>
    <phoneticPr fontId="3" type="noConversion"/>
  </si>
  <si>
    <t>오후</t>
    <phoneticPr fontId="3" type="noConversion"/>
  </si>
  <si>
    <t>오전</t>
    <phoneticPr fontId="3" type="noConversion"/>
  </si>
  <si>
    <t>오후</t>
    <phoneticPr fontId="3" type="noConversion"/>
  </si>
  <si>
    <t>정명인쇄사 택배비 7,000원 무임(12월 과납)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</si>
  <si>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</si>
  <si>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</si>
  <si>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</si>
  <si>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</si>
  <si>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전북 익산시 함열읍 석매리 1210-13  명승양계  010-2988-0358</t>
    <phoneticPr fontId="3" type="noConversion"/>
  </si>
  <si>
    <t>170롤</t>
    <phoneticPr fontId="3" type="noConversion"/>
  </si>
  <si>
    <t>동원팩</t>
    <phoneticPr fontId="3" type="noConversion"/>
  </si>
  <si>
    <t>20박스</t>
    <phoneticPr fontId="3" type="noConversion"/>
  </si>
  <si>
    <t>12*10황(0.8t)</t>
    <phoneticPr fontId="3" type="noConversion"/>
  </si>
  <si>
    <t>5롤</t>
    <phoneticPr fontId="3" type="noConversion"/>
  </si>
  <si>
    <t>방문출고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</si>
  <si>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</si>
  <si>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</si>
  <si>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</si>
  <si>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김규현</t>
    <phoneticPr fontId="3" type="noConversion"/>
  </si>
  <si>
    <t>1880원</t>
    <phoneticPr fontId="3" type="noConversion"/>
  </si>
  <si>
    <t>128롤</t>
    <phoneticPr fontId="3" type="noConversion"/>
  </si>
  <si>
    <t>청주시 서원구 현도면 죽암리 416(항상)</t>
    <phoneticPr fontId="3" type="noConversion"/>
  </si>
  <si>
    <t>kic박스</t>
    <phoneticPr fontId="3" type="noConversion"/>
  </si>
  <si>
    <t>동원팩</t>
    <phoneticPr fontId="3" type="noConversion"/>
  </si>
  <si>
    <t>6*10백</t>
    <phoneticPr fontId="3" type="noConversion"/>
  </si>
  <si>
    <t>48롤</t>
    <phoneticPr fontId="3" type="noConversion"/>
  </si>
  <si>
    <t>나무파렛트</t>
    <phoneticPr fontId="3" type="noConversion"/>
  </si>
  <si>
    <t>용차선불후 청구</t>
    <phoneticPr fontId="3" type="noConversion"/>
  </si>
  <si>
    <t>태광피앤에스</t>
    <phoneticPr fontId="3" type="noConversion"/>
  </si>
  <si>
    <t>36롤</t>
    <phoneticPr fontId="3" type="noConversion"/>
  </si>
  <si>
    <t>대신택배</t>
    <phoneticPr fontId="3" type="noConversion"/>
  </si>
  <si>
    <t>12*9 인쇄밴드</t>
    <phoneticPr fontId="3" type="noConversion"/>
  </si>
  <si>
    <t>로젠택배</t>
    <phoneticPr fontId="3" type="noConversion"/>
  </si>
  <si>
    <t>신광포장기계(부산)</t>
    <phoneticPr fontId="3" type="noConversion"/>
  </si>
  <si>
    <t>PE28*2백(24kg)</t>
    <phoneticPr fontId="3" type="noConversion"/>
  </si>
  <si>
    <t>5박스</t>
    <phoneticPr fontId="3" type="noConversion"/>
  </si>
  <si>
    <t>황금농장</t>
    <phoneticPr fontId="3" type="noConversion"/>
  </si>
  <si>
    <t>로젠택배</t>
    <phoneticPr fontId="3" type="noConversion"/>
  </si>
  <si>
    <t>5박스</t>
    <phoneticPr fontId="3" type="noConversion"/>
  </si>
  <si>
    <t>신광포장</t>
    <phoneticPr fontId="3" type="noConversion"/>
  </si>
  <si>
    <t>알엘비</t>
    <phoneticPr fontId="3" type="noConversion"/>
  </si>
  <si>
    <t>팔레트</t>
    <phoneticPr fontId="3" type="noConversion"/>
  </si>
  <si>
    <t>20"(오후1시)</t>
    <phoneticPr fontId="3" type="noConversion"/>
  </si>
  <si>
    <t>9*10투명(0.75T)</t>
    <phoneticPr fontId="3" type="noConversion"/>
  </si>
  <si>
    <t>40롤</t>
    <phoneticPr fontId="3" type="noConversion"/>
  </si>
  <si>
    <t>PE28*2백</t>
    <phoneticPr fontId="3" type="noConversion"/>
  </si>
  <si>
    <t>PE28*2백</t>
    <phoneticPr fontId="3" type="noConversion"/>
  </si>
  <si>
    <t>12*10녹(0.8T)</t>
    <phoneticPr fontId="3" type="noConversion"/>
  </si>
  <si>
    <t>64롤</t>
    <phoneticPr fontId="3" type="noConversion"/>
  </si>
  <si>
    <t>63롤</t>
    <phoneticPr fontId="3" type="noConversion"/>
  </si>
  <si>
    <t>9*9.5백</t>
    <phoneticPr fontId="3" type="noConversion"/>
  </si>
  <si>
    <t>신대한판지</t>
    <phoneticPr fontId="3" type="noConversion"/>
  </si>
  <si>
    <t>삼성</t>
    <phoneticPr fontId="3" type="noConversion"/>
  </si>
  <si>
    <t>삼성</t>
    <phoneticPr fontId="3" type="noConversion"/>
  </si>
  <si>
    <t>진송팩</t>
    <phoneticPr fontId="3" type="noConversion"/>
  </si>
  <si>
    <t>PE28*6백</t>
    <phoneticPr fontId="3" type="noConversion"/>
  </si>
  <si>
    <t>16박스</t>
    <phoneticPr fontId="3" type="noConversion"/>
  </si>
  <si>
    <t>파레트포장</t>
    <phoneticPr fontId="3" type="noConversion"/>
  </si>
  <si>
    <t>충남 천안시 서북구 성거읍 천홍리 316-9  ㈜삼보제이케이  010-9905-1095</t>
    <phoneticPr fontId="3" type="noConversion"/>
  </si>
  <si>
    <t>동원팩</t>
    <phoneticPr fontId="3" type="noConversion"/>
  </si>
  <si>
    <t>PE28*2청</t>
    <phoneticPr fontId="3" type="noConversion"/>
  </si>
  <si>
    <t>2박스</t>
    <phoneticPr fontId="3" type="noConversion"/>
  </si>
  <si>
    <t>로젠택배</t>
    <phoneticPr fontId="3" type="noConversion"/>
  </si>
  <si>
    <t>남양주시 화도읍 답내리94-2  상현축산 010 6366 4614</t>
    <phoneticPr fontId="3" type="noConversion"/>
  </si>
  <si>
    <t>용차</t>
    <phoneticPr fontId="3" type="noConversion"/>
  </si>
  <si>
    <t>제일산업(안성)</t>
    <phoneticPr fontId="3" type="noConversion"/>
  </si>
  <si>
    <t>PE50*5백</t>
    <phoneticPr fontId="3" type="noConversion"/>
  </si>
  <si>
    <t>75박스</t>
    <phoneticPr fontId="3" type="noConversion"/>
  </si>
  <si>
    <t>전주삼신산업</t>
    <phoneticPr fontId="3" type="noConversion"/>
  </si>
  <si>
    <t>20박스</t>
    <phoneticPr fontId="3" type="noConversion"/>
  </si>
  <si>
    <t>7*10백</t>
    <phoneticPr fontId="3" type="noConversion"/>
  </si>
  <si>
    <t>10롤</t>
    <phoneticPr fontId="3" type="noConversion"/>
  </si>
  <si>
    <t>대신택배</t>
    <phoneticPr fontId="3" type="noConversion"/>
  </si>
  <si>
    <t>POWER박스</t>
    <phoneticPr fontId="3" type="noConversion"/>
  </si>
  <si>
    <t>경인팩</t>
    <phoneticPr fontId="3" type="noConversion"/>
  </si>
  <si>
    <t>6*10(백)</t>
    <phoneticPr fontId="3" type="noConversion"/>
  </si>
  <si>
    <t>56롤</t>
    <phoneticPr fontId="3" type="noConversion"/>
  </si>
  <si>
    <t>용차</t>
    <phoneticPr fontId="3" type="noConversion"/>
  </si>
  <si>
    <t>일회용플라스틱 팔레트</t>
    <phoneticPr fontId="3" type="noConversion"/>
  </si>
  <si>
    <t>프라스틱 버클</t>
    <phoneticPr fontId="3" type="noConversion"/>
  </si>
  <si>
    <t>3박스</t>
    <phoneticPr fontId="3" type="noConversion"/>
  </si>
  <si>
    <t>대신택배</t>
    <phoneticPr fontId="3" type="noConversion"/>
  </si>
  <si>
    <t>용차</t>
    <phoneticPr fontId="3" type="noConversion"/>
  </si>
  <si>
    <t>낙원포장</t>
    <phoneticPr fontId="3" type="noConversion"/>
  </si>
  <si>
    <t>PE28*2백</t>
    <phoneticPr fontId="3" type="noConversion"/>
  </si>
  <si>
    <t>24박스</t>
    <phoneticPr fontId="3" type="noConversion"/>
  </si>
  <si>
    <t>power박스</t>
    <phoneticPr fontId="3" type="noConversion"/>
  </si>
  <si>
    <t>대신택배</t>
    <phoneticPr fontId="3" type="noConversion"/>
  </si>
  <si>
    <t>삼신</t>
  </si>
  <si>
    <t>6*10황</t>
    <phoneticPr fontId="3" type="noConversion"/>
  </si>
  <si>
    <t>100롤</t>
    <phoneticPr fontId="3" type="noConversion"/>
  </si>
  <si>
    <t>파워엠팩</t>
    <phoneticPr fontId="3" type="noConversion"/>
  </si>
  <si>
    <t>삼성</t>
    <phoneticPr fontId="3" type="noConversion"/>
  </si>
  <si>
    <t>98롤</t>
    <phoneticPr fontId="3" type="noConversion"/>
  </si>
  <si>
    <t>64박스</t>
    <phoneticPr fontId="3" type="noConversion"/>
  </si>
  <si>
    <t>경인팩</t>
    <phoneticPr fontId="3" type="noConversion"/>
  </si>
  <si>
    <t>112롤</t>
    <phoneticPr fontId="3" type="noConversion"/>
  </si>
  <si>
    <t>26박스</t>
    <phoneticPr fontId="3" type="noConversion"/>
  </si>
  <si>
    <t>11mm 샘플</t>
    <phoneticPr fontId="3" type="noConversion"/>
  </si>
  <si>
    <t>10롤</t>
    <phoneticPr fontId="3" type="noConversion"/>
  </si>
  <si>
    <t>230롤</t>
  </si>
  <si>
    <t>18*21친환경</t>
    <phoneticPr fontId="3" type="noConversion"/>
  </si>
  <si>
    <t>133롤</t>
    <phoneticPr fontId="3" type="noConversion"/>
  </si>
  <si>
    <t>18*21황</t>
    <phoneticPr fontId="3" type="noConversion"/>
  </si>
  <si>
    <t>100롤</t>
    <phoneticPr fontId="3" type="noConversion"/>
  </si>
  <si>
    <t>271롤</t>
    <phoneticPr fontId="3" type="noConversion"/>
  </si>
  <si>
    <t>삼성 재고 확인</t>
    <phoneticPr fontId="3" type="noConversion"/>
  </si>
  <si>
    <t>삼성</t>
    <phoneticPr fontId="3" type="noConversion"/>
  </si>
  <si>
    <t>18*21친환경</t>
    <phoneticPr fontId="3" type="noConversion"/>
  </si>
  <si>
    <t>151롤</t>
    <phoneticPr fontId="3" type="noConversion"/>
  </si>
  <si>
    <t>삼성</t>
    <phoneticPr fontId="3" type="noConversion"/>
  </si>
  <si>
    <t>256롤</t>
    <phoneticPr fontId="3" type="noConversion"/>
  </si>
  <si>
    <t>26롤</t>
    <phoneticPr fontId="3" type="noConversion"/>
  </si>
  <si>
    <t>동원팩</t>
    <phoneticPr fontId="3" type="noConversion"/>
  </si>
  <si>
    <t>6*10백</t>
    <phoneticPr fontId="3" type="noConversion"/>
  </si>
  <si>
    <t>10롤</t>
    <phoneticPr fontId="3" type="noConversion"/>
  </si>
  <si>
    <t>2롤5묶음</t>
    <phoneticPr fontId="3" type="noConversion"/>
  </si>
  <si>
    <t>대신택배</t>
    <phoneticPr fontId="3" type="noConversion"/>
  </si>
  <si>
    <t>강릉시 구정면 학산리 35-27 강릉 왕도매유통 010-9116-3021</t>
    <phoneticPr fontId="3" type="noConversion"/>
  </si>
  <si>
    <t>동원팩</t>
    <phoneticPr fontId="3" type="noConversion"/>
  </si>
  <si>
    <t>신광포장</t>
    <phoneticPr fontId="3" type="noConversion"/>
  </si>
  <si>
    <t>50롤</t>
    <phoneticPr fontId="3" type="noConversion"/>
  </si>
  <si>
    <t>20박스</t>
    <phoneticPr fontId="3" type="noConversion"/>
  </si>
  <si>
    <t>12*10황(0.65T)</t>
    <phoneticPr fontId="3" type="noConversion"/>
  </si>
  <si>
    <t>224롤</t>
    <phoneticPr fontId="3" type="noConversion"/>
  </si>
  <si>
    <t>1박스</t>
    <phoneticPr fontId="3" type="noConversion"/>
  </si>
  <si>
    <t>경기도 파주시 광탄면 보광로 1336-15 (광탄면) 원흥피앤피 김혜선 010-4982-7932</t>
    <phoneticPr fontId="3" type="noConversion"/>
  </si>
  <si>
    <t>알엘비</t>
    <phoneticPr fontId="3" type="noConversion"/>
  </si>
  <si>
    <t>팔레트</t>
    <phoneticPr fontId="3" type="noConversion"/>
  </si>
  <si>
    <t>8.5톤</t>
    <phoneticPr fontId="3" type="noConversion"/>
  </si>
  <si>
    <t>40"(오후1시)</t>
    <phoneticPr fontId="3" type="noConversion"/>
  </si>
  <si>
    <t>신광포장</t>
    <phoneticPr fontId="3" type="noConversion"/>
  </si>
  <si>
    <t>15*10투명(0.8T)</t>
    <phoneticPr fontId="3" type="noConversion"/>
  </si>
  <si>
    <t>한국삼공</t>
    <phoneticPr fontId="3" type="noConversion"/>
  </si>
  <si>
    <t>48롤</t>
    <phoneticPr fontId="3" type="noConversion"/>
  </si>
  <si>
    <t>대신택배</t>
    <phoneticPr fontId="3" type="noConversion"/>
  </si>
  <si>
    <t>파코팩</t>
    <phoneticPr fontId="3" type="noConversion"/>
  </si>
  <si>
    <t>36박스</t>
    <phoneticPr fontId="3" type="noConversion"/>
  </si>
  <si>
    <t>나무파렛트/power박스</t>
    <phoneticPr fontId="3" type="noConversion"/>
  </si>
  <si>
    <t>방문출고</t>
    <phoneticPr fontId="3" type="noConversion"/>
  </si>
  <si>
    <t>PE28*2백</t>
    <phoneticPr fontId="3" type="noConversion"/>
  </si>
  <si>
    <t>PE28*2청</t>
    <phoneticPr fontId="3" type="noConversion"/>
  </si>
  <si>
    <t>20박스</t>
    <phoneticPr fontId="3" type="noConversion"/>
  </si>
  <si>
    <t>같이</t>
    <phoneticPr fontId="3" type="noConversion"/>
  </si>
  <si>
    <t>토빅스</t>
    <phoneticPr fontId="3" type="noConversion"/>
  </si>
  <si>
    <t>PE28*6백</t>
    <phoneticPr fontId="3" type="noConversion"/>
  </si>
  <si>
    <t>25박스</t>
    <phoneticPr fontId="3" type="noConversion"/>
  </si>
  <si>
    <t>25박스</t>
    <phoneticPr fontId="3" type="noConversion"/>
  </si>
  <si>
    <t>6*10백</t>
    <phoneticPr fontId="3" type="noConversion"/>
  </si>
  <si>
    <t>40롤</t>
    <phoneticPr fontId="3" type="noConversion"/>
  </si>
  <si>
    <t>13롤</t>
    <phoneticPr fontId="3" type="noConversion"/>
  </si>
  <si>
    <t>12*10황(0.8T)</t>
    <phoneticPr fontId="3" type="noConversion"/>
  </si>
  <si>
    <t>신광포장</t>
    <phoneticPr fontId="3" type="noConversion"/>
  </si>
  <si>
    <t>12*10황(0.65T)</t>
    <phoneticPr fontId="3" type="noConversion"/>
  </si>
  <si>
    <t>50롤</t>
    <phoneticPr fontId="3" type="noConversion"/>
  </si>
  <si>
    <t>15*10황(0.65T)</t>
    <phoneticPr fontId="3" type="noConversion"/>
  </si>
  <si>
    <t>PE28*2백</t>
    <phoneticPr fontId="3" type="noConversion"/>
  </si>
  <si>
    <t>PE28*2청</t>
    <phoneticPr fontId="3" type="noConversion"/>
  </si>
  <si>
    <t>50롤</t>
    <phoneticPr fontId="3" type="noConversion"/>
  </si>
  <si>
    <t>15박스</t>
    <phoneticPr fontId="3" type="noConversion"/>
  </si>
  <si>
    <t>김해제일포장</t>
    <phoneticPr fontId="3" type="noConversion"/>
  </si>
  <si>
    <t>PE28*2녹</t>
    <phoneticPr fontId="3" type="noConversion"/>
  </si>
  <si>
    <t>50박스</t>
    <phoneticPr fontId="3" type="noConversion"/>
  </si>
  <si>
    <t>6박스</t>
    <phoneticPr fontId="3" type="noConversion"/>
  </si>
  <si>
    <t>지방합화차</t>
    <phoneticPr fontId="3" type="noConversion"/>
  </si>
  <si>
    <t>한길포장</t>
    <phoneticPr fontId="3" type="noConversion"/>
  </si>
  <si>
    <t>12*10황(0.75T)</t>
    <phoneticPr fontId="3" type="noConversion"/>
  </si>
  <si>
    <t>12*10청(0.75T)</t>
    <phoneticPr fontId="3" type="noConversion"/>
  </si>
  <si>
    <t>144롤</t>
    <phoneticPr fontId="3" type="noConversion"/>
  </si>
  <si>
    <t>72롤</t>
    <phoneticPr fontId="3" type="noConversion"/>
  </si>
  <si>
    <t>김규현</t>
    <phoneticPr fontId="3" type="noConversion"/>
  </si>
  <si>
    <t>임승진 연차</t>
    <phoneticPr fontId="3" type="noConversion"/>
  </si>
  <si>
    <t>100롤</t>
    <phoneticPr fontId="3" type="noConversion"/>
  </si>
  <si>
    <t>용차</t>
    <phoneticPr fontId="3" type="noConversion"/>
  </si>
  <si>
    <t>민건이에이</t>
    <phoneticPr fontId="3" type="noConversion"/>
  </si>
  <si>
    <t>12*10백(0.85T)</t>
    <phoneticPr fontId="3" type="noConversion"/>
  </si>
  <si>
    <t>12*8.5백(0.8T)</t>
    <phoneticPr fontId="3" type="noConversion"/>
  </si>
  <si>
    <t>15*10황(0.75T)</t>
    <phoneticPr fontId="3" type="noConversion"/>
  </si>
  <si>
    <t>72롤</t>
    <phoneticPr fontId="3" type="noConversion"/>
  </si>
  <si>
    <t>동원팩</t>
    <phoneticPr fontId="3" type="noConversion"/>
  </si>
  <si>
    <t>15박스</t>
    <phoneticPr fontId="3" type="noConversion"/>
  </si>
  <si>
    <t>우선산업</t>
    <phoneticPr fontId="3" type="noConversion"/>
  </si>
  <si>
    <t>PE50*4.7백</t>
    <phoneticPr fontId="3" type="noConversion"/>
  </si>
  <si>
    <t>100박스</t>
    <phoneticPr fontId="3" type="noConversion"/>
  </si>
  <si>
    <t>100롤</t>
    <phoneticPr fontId="3" type="noConversion"/>
  </si>
  <si>
    <t>무지패드/패드갈이</t>
    <phoneticPr fontId="3" type="noConversion"/>
  </si>
  <si>
    <t>방문출고</t>
    <phoneticPr fontId="3" type="noConversion"/>
  </si>
  <si>
    <t>오전</t>
    <phoneticPr fontId="3" type="noConversion"/>
  </si>
  <si>
    <t>강원농협</t>
    <phoneticPr fontId="3" type="noConversion"/>
  </si>
  <si>
    <t>12*12.5황</t>
    <phoneticPr fontId="3" type="noConversion"/>
  </si>
  <si>
    <t>PE28*2백</t>
    <phoneticPr fontId="3" type="noConversion"/>
  </si>
  <si>
    <t>power박스</t>
    <phoneticPr fontId="3" type="noConversion"/>
  </si>
  <si>
    <t>파코팩</t>
    <phoneticPr fontId="3" type="noConversion"/>
  </si>
  <si>
    <t>778롤</t>
    <phoneticPr fontId="3" type="noConversion"/>
  </si>
  <si>
    <t>16*10황</t>
    <phoneticPr fontId="3" type="noConversion"/>
  </si>
  <si>
    <t>8롤</t>
    <phoneticPr fontId="3" type="noConversion"/>
  </si>
  <si>
    <t>PE28*2황</t>
    <phoneticPr fontId="3" type="noConversion"/>
  </si>
  <si>
    <t>10박스</t>
    <phoneticPr fontId="3" type="noConversion"/>
  </si>
  <si>
    <t>2박스</t>
    <phoneticPr fontId="3" type="noConversion"/>
  </si>
  <si>
    <t>방문출고</t>
    <phoneticPr fontId="3" type="noConversion"/>
  </si>
  <si>
    <t>kic박스</t>
    <phoneticPr fontId="3" type="noConversion"/>
  </si>
  <si>
    <t>광림포장기게</t>
    <phoneticPr fontId="3" type="noConversion"/>
  </si>
  <si>
    <t>6*10황(0.75T)</t>
    <phoneticPr fontId="3" type="noConversion"/>
  </si>
  <si>
    <t>12*12.5황</t>
    <phoneticPr fontId="3" type="noConversion"/>
  </si>
  <si>
    <t>12*10황</t>
    <phoneticPr fontId="3" type="noConversion"/>
  </si>
  <si>
    <t>12*12.5투명</t>
    <phoneticPr fontId="3" type="noConversion"/>
  </si>
  <si>
    <t>40롤</t>
    <phoneticPr fontId="3" type="noConversion"/>
  </si>
  <si>
    <t>64롤</t>
    <phoneticPr fontId="3" type="noConversion"/>
  </si>
  <si>
    <t>40롤</t>
    <phoneticPr fontId="3" type="noConversion"/>
  </si>
  <si>
    <t>노란끼X</t>
    <phoneticPr fontId="3" type="noConversion"/>
  </si>
  <si>
    <t>합동포장</t>
    <phoneticPr fontId="3" type="noConversion"/>
  </si>
  <si>
    <t>12*12.5황</t>
    <phoneticPr fontId="3" type="noConversion"/>
  </si>
  <si>
    <t>15*13황</t>
    <phoneticPr fontId="3" type="noConversion"/>
  </si>
  <si>
    <t>PE28*2백</t>
    <phoneticPr fontId="3" type="noConversion"/>
  </si>
  <si>
    <t>50박스</t>
    <phoneticPr fontId="3" type="noConversion"/>
  </si>
  <si>
    <t>20롤</t>
    <phoneticPr fontId="3" type="noConversion"/>
  </si>
  <si>
    <t>170롤</t>
    <phoneticPr fontId="3" type="noConversion"/>
  </si>
  <si>
    <t>kic박스</t>
    <phoneticPr fontId="3" type="noConversion"/>
  </si>
  <si>
    <t>파워엠팩</t>
    <phoneticPr fontId="3" type="noConversion"/>
  </si>
  <si>
    <t>6*10백</t>
    <phoneticPr fontId="3" type="noConversion"/>
  </si>
  <si>
    <t>랩 20*1400</t>
    <phoneticPr fontId="3" type="noConversion"/>
  </si>
  <si>
    <t>6*10백</t>
    <phoneticPr fontId="3" type="noConversion"/>
  </si>
  <si>
    <t>PE28*6백</t>
    <phoneticPr fontId="3" type="noConversion"/>
  </si>
  <si>
    <t>64박스</t>
    <phoneticPr fontId="3" type="noConversion"/>
  </si>
  <si>
    <t>28박스</t>
    <phoneticPr fontId="3" type="noConversion"/>
  </si>
  <si>
    <t>280롤</t>
    <phoneticPr fontId="3" type="noConversion"/>
  </si>
  <si>
    <t>방문출고</t>
    <phoneticPr fontId="3" type="noConversion"/>
  </si>
  <si>
    <t>로젠택배착불</t>
    <phoneticPr fontId="3" type="noConversion"/>
  </si>
  <si>
    <t>pet 19mm*1T*780M</t>
    <phoneticPr fontId="3" type="noConversion"/>
  </si>
  <si>
    <t>6*10백</t>
    <phoneticPr fontId="3" type="noConversion"/>
  </si>
  <si>
    <t>300롤</t>
    <phoneticPr fontId="3" type="noConversion"/>
  </si>
  <si>
    <t>파란밴딩</t>
    <phoneticPr fontId="3" type="noConversion"/>
  </si>
  <si>
    <t>신대한판지</t>
    <phoneticPr fontId="3" type="noConversion"/>
  </si>
  <si>
    <t>12*10녹(0.8T)</t>
    <phoneticPr fontId="3" type="noConversion"/>
  </si>
  <si>
    <t>66롤</t>
    <phoneticPr fontId="3" type="noConversion"/>
  </si>
  <si>
    <t>63롤</t>
    <phoneticPr fontId="3" type="noConversion"/>
  </si>
  <si>
    <t>PE28*2녹</t>
    <phoneticPr fontId="3" type="noConversion"/>
  </si>
  <si>
    <t>10박스</t>
    <phoneticPr fontId="3" type="noConversion"/>
  </si>
  <si>
    <t>4박스</t>
    <phoneticPr fontId="3" type="noConversion"/>
  </si>
  <si>
    <t>전표4월</t>
    <phoneticPr fontId="3" type="noConversion"/>
  </si>
  <si>
    <t>서울상사</t>
    <phoneticPr fontId="3" type="noConversion"/>
  </si>
  <si>
    <t>12*10황(0.8T)</t>
    <phoneticPr fontId="3" type="noConversion"/>
  </si>
  <si>
    <t>150롤</t>
    <phoneticPr fontId="3" type="noConversion"/>
  </si>
  <si>
    <t>나무파레트</t>
    <phoneticPr fontId="3" type="noConversion"/>
  </si>
  <si>
    <t>서흥포장</t>
    <phoneticPr fontId="3" type="noConversion"/>
  </si>
  <si>
    <t>12*10황(0.8T)</t>
    <phoneticPr fontId="3" type="noConversion"/>
  </si>
  <si>
    <t>랩15*500*400</t>
    <phoneticPr fontId="3" type="noConversion"/>
  </si>
  <si>
    <t>경인팩</t>
    <phoneticPr fontId="3" type="noConversion"/>
  </si>
  <si>
    <t>PE28*2벡</t>
    <phoneticPr fontId="3" type="noConversion"/>
  </si>
  <si>
    <t>3박스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</si>
  <si>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</si>
  <si>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</si>
  <si>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</si>
  <si>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더담패키지</t>
    <phoneticPr fontId="3" type="noConversion"/>
  </si>
  <si>
    <t>PE28*2백</t>
    <phoneticPr fontId="3" type="noConversion"/>
  </si>
  <si>
    <t>랩 입고</t>
    <phoneticPr fontId="3" type="noConversion"/>
  </si>
  <si>
    <t>고림포장</t>
    <phoneticPr fontId="3" type="noConversion"/>
  </si>
  <si>
    <t>동관</t>
    <phoneticPr fontId="3" type="noConversion"/>
  </si>
  <si>
    <t>대흥수출포장</t>
    <phoneticPr fontId="3" type="noConversion"/>
  </si>
  <si>
    <t>40박스</t>
    <phoneticPr fontId="3" type="noConversion"/>
  </si>
  <si>
    <t>power박스</t>
    <phoneticPr fontId="3" type="noConversion"/>
  </si>
  <si>
    <t>10박스</t>
    <phoneticPr fontId="3" type="noConversion"/>
  </si>
  <si>
    <t>오전</t>
    <phoneticPr fontId="3" type="noConversion"/>
  </si>
  <si>
    <t>2시</t>
    <phoneticPr fontId="3" type="noConversion"/>
  </si>
  <si>
    <t>1롤 샘플</t>
    <phoneticPr fontId="3" type="noConversion"/>
  </si>
  <si>
    <t>삼원산업 반품분</t>
    <phoneticPr fontId="3" type="noConversion"/>
  </si>
  <si>
    <t>18*21친환경</t>
    <phoneticPr fontId="3" type="noConversion"/>
  </si>
  <si>
    <t>6*10백</t>
    <phoneticPr fontId="3" type="noConversion"/>
  </si>
  <si>
    <t>30박스</t>
    <phoneticPr fontId="3" type="noConversion"/>
  </si>
  <si>
    <t>낙원포장</t>
    <phoneticPr fontId="3" type="noConversion"/>
  </si>
  <si>
    <t>640롤</t>
    <phoneticPr fontId="3" type="noConversion"/>
  </si>
  <si>
    <t>10.5*10투명</t>
    <phoneticPr fontId="3" type="noConversion"/>
  </si>
  <si>
    <t>100롤</t>
    <phoneticPr fontId="3" type="noConversion"/>
  </si>
  <si>
    <t>PE28*6백</t>
    <phoneticPr fontId="3" type="noConversion"/>
  </si>
  <si>
    <t>24박스</t>
    <phoneticPr fontId="3" type="noConversion"/>
  </si>
  <si>
    <t>제주런드리</t>
    <phoneticPr fontId="3" type="noConversion"/>
  </si>
  <si>
    <t>대신택배착불</t>
    <phoneticPr fontId="3" type="noConversion"/>
  </si>
  <si>
    <t>동원팩</t>
    <phoneticPr fontId="3" type="noConversion"/>
  </si>
  <si>
    <t>PE28*2황</t>
    <phoneticPr fontId="3" type="noConversion"/>
  </si>
  <si>
    <t>20롤</t>
    <phoneticPr fontId="3" type="noConversion"/>
  </si>
  <si>
    <t>9박스</t>
    <phoneticPr fontId="3" type="noConversion"/>
  </si>
  <si>
    <t>오전방문출고</t>
    <phoneticPr fontId="3" type="noConversion"/>
  </si>
  <si>
    <t>파워엠팩</t>
    <phoneticPr fontId="3" type="noConversion"/>
  </si>
  <si>
    <t>전주삼신산업</t>
    <phoneticPr fontId="3" type="noConversion"/>
  </si>
  <si>
    <t>대상산업</t>
    <phoneticPr fontId="3" type="noConversion"/>
  </si>
  <si>
    <t>9*11은회색</t>
    <phoneticPr fontId="3" type="noConversion"/>
  </si>
  <si>
    <t>15*10황(0.65T)</t>
    <phoneticPr fontId="3" type="noConversion"/>
  </si>
  <si>
    <t>지방합화차</t>
    <phoneticPr fontId="3" type="noConversion"/>
  </si>
  <si>
    <t>5롤</t>
    <phoneticPr fontId="3" type="noConversion"/>
  </si>
  <si>
    <t>10롤</t>
    <phoneticPr fontId="3" type="noConversion"/>
  </si>
  <si>
    <t>power박스</t>
    <phoneticPr fontId="3" type="noConversion"/>
  </si>
  <si>
    <t>10박스</t>
    <phoneticPr fontId="3" type="noConversion"/>
  </si>
  <si>
    <t>대신택배</t>
    <phoneticPr fontId="3" type="noConversion"/>
  </si>
  <si>
    <t>고림포장</t>
    <phoneticPr fontId="3" type="noConversion"/>
  </si>
  <si>
    <t>4롤</t>
    <phoneticPr fontId="3" type="noConversion"/>
  </si>
  <si>
    <t>대신택배</t>
    <phoneticPr fontId="3" type="noConversion"/>
  </si>
  <si>
    <t>경인팩</t>
    <phoneticPr fontId="3" type="noConversion"/>
  </si>
  <si>
    <t>59롤</t>
    <phoneticPr fontId="3" type="noConversion"/>
  </si>
  <si>
    <t>32박스</t>
    <phoneticPr fontId="3" type="noConversion"/>
  </si>
  <si>
    <t>4박스</t>
    <phoneticPr fontId="3" type="noConversion"/>
  </si>
  <si>
    <t>35박스</t>
    <phoneticPr fontId="3" type="noConversion"/>
  </si>
  <si>
    <t>PE28*2백</t>
    <phoneticPr fontId="3" type="noConversion"/>
  </si>
  <si>
    <t>PE28*2청</t>
    <phoneticPr fontId="3" type="noConversion"/>
  </si>
  <si>
    <t>PE28*2백(24kg)</t>
    <phoneticPr fontId="3" type="noConversion"/>
  </si>
  <si>
    <t>power박스</t>
    <phoneticPr fontId="3" type="noConversion"/>
  </si>
  <si>
    <t>PE28*2백</t>
    <phoneticPr fontId="3" type="noConversion"/>
  </si>
  <si>
    <t>72롤</t>
    <phoneticPr fontId="3" type="noConversion"/>
  </si>
  <si>
    <t>power박스</t>
    <phoneticPr fontId="3" type="noConversion"/>
  </si>
  <si>
    <t>삼성종합포장</t>
    <phoneticPr fontId="3" type="noConversion"/>
  </si>
  <si>
    <t>kic박스</t>
    <phoneticPr fontId="3" type="noConversion"/>
  </si>
  <si>
    <t>동서포장</t>
    <phoneticPr fontId="3" type="noConversion"/>
  </si>
  <si>
    <t>5박스</t>
    <phoneticPr fontId="3" type="noConversion"/>
  </si>
  <si>
    <t>삼영피앤텍</t>
    <phoneticPr fontId="3" type="noConversion"/>
  </si>
  <si>
    <t>2박스</t>
    <phoneticPr fontId="3" type="noConversion"/>
  </si>
  <si>
    <t>kic박스</t>
    <phoneticPr fontId="3" type="noConversion"/>
  </si>
  <si>
    <t>로젠택배</t>
    <phoneticPr fontId="3" type="noConversion"/>
  </si>
  <si>
    <t>48롤</t>
    <phoneticPr fontId="3" type="noConversion"/>
  </si>
  <si>
    <t>한국삼공</t>
    <phoneticPr fontId="3" type="noConversion"/>
  </si>
  <si>
    <t>삼성</t>
    <phoneticPr fontId="3" type="noConversion"/>
  </si>
  <si>
    <t>18*21친환경</t>
    <phoneticPr fontId="3" type="noConversion"/>
  </si>
  <si>
    <t>181롤</t>
    <phoneticPr fontId="3" type="noConversion"/>
  </si>
  <si>
    <t>6*10백</t>
    <phoneticPr fontId="3" type="noConversion"/>
  </si>
  <si>
    <t>224롤</t>
    <phoneticPr fontId="3" type="noConversion"/>
  </si>
  <si>
    <t>경인산업</t>
    <phoneticPr fontId="3" type="noConversion"/>
  </si>
  <si>
    <t>12*10황(0.8T)</t>
    <phoneticPr fontId="3" type="noConversion"/>
  </si>
  <si>
    <t>1롤</t>
    <phoneticPr fontId="3" type="noConversion"/>
  </si>
  <si>
    <t>주신산업</t>
    <phoneticPr fontId="3" type="noConversion"/>
  </si>
  <si>
    <t>PE28*2백</t>
    <phoneticPr fontId="3" type="noConversion"/>
  </si>
  <si>
    <t>1박스</t>
    <phoneticPr fontId="3" type="noConversion"/>
  </si>
  <si>
    <t>수작업</t>
    <phoneticPr fontId="3" type="noConversion"/>
  </si>
  <si>
    <t>19.6톤</t>
    <phoneticPr fontId="3" type="noConversion"/>
  </si>
  <si>
    <t>40"(오전9시30분)</t>
    <phoneticPr fontId="3" type="noConversion"/>
  </si>
  <si>
    <t>6*10백</t>
    <phoneticPr fontId="3" type="noConversion"/>
  </si>
  <si>
    <t>400롤</t>
    <phoneticPr fontId="3" type="noConversion"/>
  </si>
  <si>
    <t>전표에 -54롤</t>
    <phoneticPr fontId="3" type="noConversion"/>
  </si>
  <si>
    <t>대한불소</t>
    <phoneticPr fontId="3" type="noConversion"/>
  </si>
  <si>
    <t>15*10은(0.75T)</t>
    <phoneticPr fontId="3" type="noConversion"/>
  </si>
  <si>
    <t>파워엠팩</t>
    <phoneticPr fontId="3" type="noConversion"/>
  </si>
  <si>
    <t>12*10백(0.8T)</t>
    <phoneticPr fontId="3" type="noConversion"/>
  </si>
  <si>
    <t>60롤</t>
    <phoneticPr fontId="3" type="noConversion"/>
  </si>
  <si>
    <t>경인팩</t>
    <phoneticPr fontId="3" type="noConversion"/>
  </si>
  <si>
    <t>PE28*6백</t>
    <phoneticPr fontId="3" type="noConversion"/>
  </si>
  <si>
    <t>10박스</t>
    <phoneticPr fontId="3" type="noConversion"/>
  </si>
  <si>
    <t>용차</t>
    <phoneticPr fontId="3" type="noConversion"/>
  </si>
  <si>
    <t>56롤</t>
    <phoneticPr fontId="3" type="noConversion"/>
  </si>
  <si>
    <t>6*10백</t>
    <phoneticPr fontId="3" type="noConversion"/>
  </si>
  <si>
    <t>동원피앤아이</t>
    <phoneticPr fontId="3" type="noConversion"/>
  </si>
  <si>
    <t>플라스틱버클</t>
    <phoneticPr fontId="3" type="noConversion"/>
  </si>
  <si>
    <t>5000개</t>
    <phoneticPr fontId="3" type="noConversion"/>
  </si>
  <si>
    <t>6*10황</t>
    <phoneticPr fontId="3" type="noConversion"/>
  </si>
  <si>
    <t>400롤</t>
    <phoneticPr fontId="3" type="noConversion"/>
  </si>
  <si>
    <t>오전일찍</t>
    <phoneticPr fontId="3" type="noConversion"/>
  </si>
  <si>
    <t>200롤</t>
    <phoneticPr fontId="3" type="noConversion"/>
  </si>
  <si>
    <t>용차</t>
    <phoneticPr fontId="3" type="noConversion"/>
  </si>
  <si>
    <t>25박스</t>
    <phoneticPr fontId="3" type="noConversion"/>
  </si>
  <si>
    <t>25박스</t>
    <phoneticPr fontId="3" type="noConversion"/>
  </si>
  <si>
    <t>4박스</t>
    <phoneticPr fontId="3" type="noConversion"/>
  </si>
  <si>
    <t>색깔 안좋은거</t>
    <phoneticPr fontId="3" type="noConversion"/>
  </si>
  <si>
    <t>삼성</t>
    <phoneticPr fontId="3" type="noConversion"/>
  </si>
  <si>
    <t>18*21친환경</t>
    <phoneticPr fontId="3" type="noConversion"/>
  </si>
  <si>
    <t>451롤</t>
    <phoneticPr fontId="3" type="noConversion"/>
  </si>
  <si>
    <t>7*10백</t>
    <phoneticPr fontId="3" type="noConversion"/>
  </si>
  <si>
    <t>128롤</t>
    <phoneticPr fontId="3" type="noConversion"/>
  </si>
  <si>
    <t>경인팩</t>
    <phoneticPr fontId="3" type="noConversion"/>
  </si>
  <si>
    <t>96박스</t>
    <phoneticPr fontId="3" type="noConversion"/>
  </si>
  <si>
    <t>20박스</t>
    <phoneticPr fontId="3" type="noConversion"/>
  </si>
  <si>
    <t>신광포장</t>
    <phoneticPr fontId="3" type="noConversion"/>
  </si>
  <si>
    <t>15*12황</t>
    <phoneticPr fontId="3" type="noConversion"/>
  </si>
  <si>
    <t>15*10황(0.65T)</t>
    <phoneticPr fontId="3" type="noConversion"/>
  </si>
  <si>
    <t>12mm B품</t>
    <phoneticPr fontId="3" type="noConversion"/>
  </si>
  <si>
    <t>12*9.5황</t>
    <phoneticPr fontId="3" type="noConversion"/>
  </si>
  <si>
    <t>100롤</t>
    <phoneticPr fontId="3" type="noConversion"/>
  </si>
  <si>
    <t>50롤</t>
    <phoneticPr fontId="3" type="noConversion"/>
  </si>
  <si>
    <t>20롤</t>
    <phoneticPr fontId="3" type="noConversion"/>
  </si>
  <si>
    <t>한주</t>
    <phoneticPr fontId="3" type="noConversion"/>
  </si>
  <si>
    <t>1008롤</t>
    <phoneticPr fontId="3" type="noConversion"/>
  </si>
  <si>
    <t>40"(오후2시)</t>
    <phoneticPr fontId="3" type="noConversion"/>
  </si>
  <si>
    <t>수작업</t>
    <phoneticPr fontId="3" type="noConversion"/>
  </si>
  <si>
    <t>8.4톤</t>
    <phoneticPr fontId="3" type="noConversion"/>
  </si>
  <si>
    <t>삼성</t>
    <phoneticPr fontId="3" type="noConversion"/>
  </si>
  <si>
    <t>18*21친환경</t>
    <phoneticPr fontId="3" type="noConversion"/>
  </si>
  <si>
    <t>11롤</t>
    <phoneticPr fontId="3" type="noConversion"/>
  </si>
  <si>
    <t>광림포장기게</t>
    <phoneticPr fontId="3" type="noConversion"/>
  </si>
  <si>
    <t>15*13황</t>
    <phoneticPr fontId="3" type="noConversion"/>
  </si>
  <si>
    <t>PE28*2백(24kg)</t>
    <phoneticPr fontId="3" type="noConversion"/>
  </si>
  <si>
    <t>64롤</t>
    <phoneticPr fontId="3" type="noConversion"/>
  </si>
  <si>
    <t>40롤</t>
    <phoneticPr fontId="3" type="noConversion"/>
  </si>
  <si>
    <t>28박스</t>
    <phoneticPr fontId="3" type="noConversion"/>
  </si>
  <si>
    <t>power박스</t>
    <phoneticPr fontId="3" type="noConversion"/>
  </si>
  <si>
    <t>로젠택배착불</t>
    <phoneticPr fontId="3" type="noConversion"/>
  </si>
  <si>
    <t>보우팩</t>
    <phoneticPr fontId="3" type="noConversion"/>
  </si>
  <si>
    <t>광주천일포장</t>
    <phoneticPr fontId="3" type="noConversion"/>
  </si>
  <si>
    <t>신광포장</t>
    <phoneticPr fontId="3" type="noConversion"/>
  </si>
  <si>
    <t>12*10황(0.65T)</t>
    <phoneticPr fontId="3" type="noConversion"/>
  </si>
  <si>
    <t>15*10황(0.65T)</t>
    <phoneticPr fontId="3" type="noConversion"/>
  </si>
  <si>
    <t>아주파레트 반납</t>
    <phoneticPr fontId="3" type="noConversion"/>
  </si>
  <si>
    <t>대한종합포장</t>
    <phoneticPr fontId="3" type="noConversion"/>
  </si>
  <si>
    <t>경인팩</t>
    <phoneticPr fontId="3" type="noConversion"/>
  </si>
  <si>
    <t>56롤</t>
    <phoneticPr fontId="3" type="noConversion"/>
  </si>
  <si>
    <t>용차</t>
    <phoneticPr fontId="3" type="noConversion"/>
  </si>
  <si>
    <t>48박스</t>
    <phoneticPr fontId="3" type="noConversion"/>
  </si>
  <si>
    <t>256롤</t>
    <phoneticPr fontId="3" type="noConversion"/>
  </si>
  <si>
    <t>5롤</t>
    <phoneticPr fontId="3" type="noConversion"/>
  </si>
  <si>
    <t>청색15박스와 교환</t>
    <phoneticPr fontId="3" type="noConversion"/>
  </si>
  <si>
    <t>방문출고</t>
    <phoneticPr fontId="3" type="noConversion"/>
  </si>
  <si>
    <t>전표는50박스</t>
    <phoneticPr fontId="3" type="noConversion"/>
  </si>
  <si>
    <t>9*10황(0.75T)</t>
    <phoneticPr fontId="3" type="noConversion"/>
  </si>
  <si>
    <t>12*12.5황(0.75T)</t>
    <phoneticPr fontId="3" type="noConversion"/>
  </si>
  <si>
    <t>마도종합상사</t>
    <phoneticPr fontId="3" type="noConversion"/>
  </si>
  <si>
    <t>PE28*2백</t>
    <phoneticPr fontId="3" type="noConversion"/>
  </si>
  <si>
    <t>1박스</t>
    <phoneticPr fontId="3" type="noConversion"/>
  </si>
  <si>
    <t>진송팩</t>
    <phoneticPr fontId="3" type="noConversion"/>
  </si>
  <si>
    <t>PE28*6백</t>
    <phoneticPr fontId="3" type="noConversion"/>
  </si>
  <si>
    <t>6*10백</t>
    <phoneticPr fontId="3" type="noConversion"/>
  </si>
  <si>
    <t>PE28*2백</t>
    <phoneticPr fontId="3" type="noConversion"/>
  </si>
  <si>
    <t>56롤</t>
    <phoneticPr fontId="3" type="noConversion"/>
  </si>
  <si>
    <t>플라스틱파레트/대일계란/용인</t>
    <phoneticPr fontId="3" type="noConversion"/>
  </si>
  <si>
    <t>플라스틱파레트/알마트/서울</t>
    <phoneticPr fontId="3" type="noConversion"/>
  </si>
  <si>
    <t>경인팩</t>
    <phoneticPr fontId="3" type="noConversion"/>
  </si>
  <si>
    <t>10박스</t>
    <phoneticPr fontId="3" type="noConversion"/>
  </si>
  <si>
    <t>김포 하성</t>
    <phoneticPr fontId="3" type="noConversion"/>
  </si>
  <si>
    <t>용차</t>
    <phoneticPr fontId="3" type="noConversion"/>
  </si>
  <si>
    <t>동원팩</t>
    <phoneticPr fontId="3" type="noConversion"/>
  </si>
  <si>
    <t>35롤</t>
    <phoneticPr fontId="3" type="noConversion"/>
  </si>
  <si>
    <t>10박스</t>
    <phoneticPr fontId="3" type="noConversion"/>
  </si>
  <si>
    <t>한남포장</t>
    <phoneticPr fontId="3" type="noConversion"/>
  </si>
  <si>
    <t>일산</t>
    <phoneticPr fontId="3" type="noConversion"/>
  </si>
  <si>
    <t>김규현 오전9시30분</t>
    <phoneticPr fontId="3" type="noConversion"/>
  </si>
  <si>
    <t>제일산업안성</t>
    <phoneticPr fontId="3" type="noConversion"/>
  </si>
  <si>
    <t>PE50*5백</t>
    <phoneticPr fontId="3" type="noConversion"/>
  </si>
  <si>
    <t>명재상사</t>
    <phoneticPr fontId="3" type="noConversion"/>
  </si>
  <si>
    <t>6*10백</t>
    <phoneticPr fontId="3" type="noConversion"/>
  </si>
  <si>
    <t>12*10황(0.65T)</t>
    <phoneticPr fontId="3" type="noConversion"/>
  </si>
  <si>
    <t>나무파레트</t>
    <phoneticPr fontId="3" type="noConversion"/>
  </si>
  <si>
    <t>삼성발주현황</t>
    <phoneticPr fontId="8" type="noConversion"/>
  </si>
  <si>
    <t>포장수량</t>
    <phoneticPr fontId="8" type="noConversion"/>
  </si>
  <si>
    <t>18*21투명
(13)</t>
    <phoneticPr fontId="8" type="noConversion"/>
  </si>
  <si>
    <t>18*21친환경
(421)</t>
    <phoneticPr fontId="8" type="noConversion"/>
  </si>
  <si>
    <t>18*15투명
(3)</t>
    <phoneticPr fontId="8" type="noConversion"/>
  </si>
  <si>
    <t>18*21황
(1)</t>
    <phoneticPr fontId="8" type="noConversion"/>
  </si>
  <si>
    <t>합계</t>
    <phoneticPr fontId="8" type="noConversion"/>
  </si>
  <si>
    <t>수량</t>
    <phoneticPr fontId="8" type="noConversion"/>
  </si>
  <si>
    <t>팔레트</t>
    <phoneticPr fontId="8" type="noConversion"/>
  </si>
  <si>
    <t>낱개</t>
    <phoneticPr fontId="8" type="noConversion"/>
  </si>
  <si>
    <t>합계</t>
    <phoneticPr fontId="8" type="noConversion"/>
  </si>
  <si>
    <t>합계</t>
    <phoneticPr fontId="8" type="noConversion"/>
  </si>
  <si>
    <r>
      <t xml:space="preserve"> </t>
    </r>
    <r>
      <rPr>
        <sz val="11"/>
        <color rgb="FF000000"/>
        <rFont val="맑은 고딕"/>
        <family val="3"/>
        <charset val="129"/>
      </rPr>
      <t>36*8=288</t>
    </r>
    <phoneticPr fontId="8" type="noConversion"/>
  </si>
  <si>
    <r>
      <t>3</t>
    </r>
    <r>
      <rPr>
        <sz val="11"/>
        <color rgb="FF000000"/>
        <rFont val="맑은 고딕"/>
        <family val="3"/>
        <charset val="129"/>
      </rPr>
      <t>6*16=576</t>
    </r>
    <phoneticPr fontId="8" type="noConversion"/>
  </si>
  <si>
    <t>광주시 광산구 비아로 151</t>
    <phoneticPr fontId="8" type="noConversion"/>
  </si>
  <si>
    <t xml:space="preserve">김해시 한림면 </t>
    <phoneticPr fontId="8" type="noConversion"/>
  </si>
  <si>
    <t>2층 (비아동)  천일포장</t>
    <phoneticPr fontId="8" type="noConversion"/>
  </si>
  <si>
    <t>김해대로 916번길 40-78</t>
    <phoneticPr fontId="8" type="noConversion"/>
  </si>
  <si>
    <t>062-956-1154</t>
    <phoneticPr fontId="8" type="noConversion"/>
  </si>
  <si>
    <t>(병동리 996-4) 태화산업</t>
    <phoneticPr fontId="8" type="noConversion"/>
  </si>
  <si>
    <t>010-3625-2456</t>
    <phoneticPr fontId="8" type="noConversion"/>
  </si>
  <si>
    <t>010-3590-5377</t>
    <phoneticPr fontId="8" type="noConversion"/>
  </si>
  <si>
    <t>6*10백 256롤</t>
    <phoneticPr fontId="3" type="noConversion"/>
  </si>
  <si>
    <t>※ 하차시간 꼭 협의</t>
    <phoneticPr fontId="8" type="noConversion"/>
  </si>
  <si>
    <t>#28*2 백  52박스</t>
    <phoneticPr fontId="3" type="noConversion"/>
  </si>
  <si>
    <t>#28*6 백  12박스</t>
    <phoneticPr fontId="3" type="noConversion"/>
  </si>
  <si>
    <t>발송 : 케이아이씨</t>
    <phoneticPr fontId="3" type="noConversion"/>
  </si>
  <si>
    <t xml:space="preserve">경기도 고양시 일산동구 </t>
    <phoneticPr fontId="8" type="noConversion"/>
  </si>
  <si>
    <t xml:space="preserve">대구 달성군 다사읍 </t>
    <phoneticPr fontId="8" type="noConversion"/>
  </si>
  <si>
    <t>장항동 612-24 (노천길 37-1)</t>
    <phoneticPr fontId="8" type="noConversion"/>
  </si>
  <si>
    <t>세천리 1603-10</t>
    <phoneticPr fontId="8" type="noConversion"/>
  </si>
  <si>
    <t xml:space="preserve">월드피에이디 </t>
    <phoneticPr fontId="8" type="noConversion"/>
  </si>
  <si>
    <t>한국포장기계</t>
    <phoneticPr fontId="8" type="noConversion"/>
  </si>
  <si>
    <t>031-906-8531</t>
    <phoneticPr fontId="8" type="noConversion"/>
  </si>
  <si>
    <t>12mm*9.5kg 황색</t>
    <phoneticPr fontId="3" type="noConversion"/>
  </si>
  <si>
    <t>발송 : 경인팩</t>
    <phoneticPr fontId="8" type="noConversion"/>
  </si>
  <si>
    <t>100롤</t>
    <phoneticPr fontId="3" type="noConversion"/>
  </si>
  <si>
    <t>* 운임 착불*</t>
    <phoneticPr fontId="8" type="noConversion"/>
  </si>
  <si>
    <t>발송 : 한남포장</t>
    <phoneticPr fontId="8" type="noConversion"/>
  </si>
  <si>
    <t xml:space="preserve">용인시 처인구 백암면 가좌리96 </t>
    <phoneticPr fontId="8" type="noConversion"/>
  </si>
  <si>
    <t>드림</t>
    <phoneticPr fontId="8" type="noConversion"/>
  </si>
  <si>
    <t>장정은 대표님</t>
    <phoneticPr fontId="8" type="noConversion"/>
  </si>
  <si>
    <t>경기도 파주시 연다산동 46-2</t>
    <phoneticPr fontId="8" type="noConversion"/>
  </si>
  <si>
    <t xml:space="preserve">경기도 안성시 공도읍 </t>
    <phoneticPr fontId="8" type="noConversion"/>
  </si>
  <si>
    <t>㈜토빅스 파주공장</t>
    <phoneticPr fontId="8" type="noConversion"/>
  </si>
  <si>
    <t>자재 담당자</t>
    <phoneticPr fontId="8" type="noConversion"/>
  </si>
  <si>
    <t>010-5290-8143</t>
    <phoneticPr fontId="8" type="noConversion"/>
  </si>
  <si>
    <t>충남 천안시 서북구 성거읍</t>
    <phoneticPr fontId="3" type="noConversion"/>
  </si>
  <si>
    <t>마당재길 28</t>
    <phoneticPr fontId="3" type="noConversion"/>
  </si>
  <si>
    <t>발송 : 진송팩</t>
    <phoneticPr fontId="8" type="noConversion"/>
  </si>
  <si>
    <t>041-522-8636 / 010-3588-9371</t>
    <phoneticPr fontId="3" type="noConversion"/>
  </si>
  <si>
    <t>PE28*2 백색 5박스(24kg)</t>
    <phoneticPr fontId="3" type="noConversion"/>
  </si>
  <si>
    <t>경기도 양주시 남면 삼육사로 270</t>
    <phoneticPr fontId="8" type="noConversion"/>
  </si>
  <si>
    <t>발송 : 대상산업</t>
    <phoneticPr fontId="8" type="noConversion"/>
  </si>
  <si>
    <t>부영판지</t>
    <phoneticPr fontId="3" type="noConversion"/>
  </si>
  <si>
    <t xml:space="preserve">경기 시흥시 정왕동 </t>
    <phoneticPr fontId="8" type="noConversion"/>
  </si>
  <si>
    <t>12mm*10kg 백색</t>
    <phoneticPr fontId="3" type="noConversion"/>
  </si>
  <si>
    <t xml:space="preserve">봉우순환로 23-10 </t>
    <phoneticPr fontId="8" type="noConversion"/>
  </si>
  <si>
    <t>50롤</t>
    <phoneticPr fontId="3" type="noConversion"/>
  </si>
  <si>
    <t>010-8998-6740</t>
    <phoneticPr fontId="8" type="noConversion"/>
  </si>
  <si>
    <t>경기도 광주시 오포읍</t>
    <phoneticPr fontId="8" type="noConversion"/>
  </si>
  <si>
    <t>회안대로 77-35</t>
    <phoneticPr fontId="8" type="noConversion"/>
  </si>
  <si>
    <t>12mm*10kg 백색 10롤</t>
    <phoneticPr fontId="3" type="noConversion"/>
  </si>
  <si>
    <t>찬란유통</t>
    <phoneticPr fontId="8" type="noConversion"/>
  </si>
  <si>
    <t>발송 : 동원팩</t>
    <phoneticPr fontId="3" type="noConversion"/>
  </si>
  <si>
    <t>PP 6mm*10kg 백색</t>
    <phoneticPr fontId="3" type="noConversion"/>
  </si>
  <si>
    <t>64롤</t>
    <phoneticPr fontId="3" type="noConversion"/>
  </si>
  <si>
    <t xml:space="preserve">인천 남동구 논현동 434-10 </t>
    <phoneticPr fontId="8" type="noConversion"/>
  </si>
  <si>
    <t xml:space="preserve">광명산업 </t>
    <phoneticPr fontId="8" type="noConversion"/>
  </si>
  <si>
    <t>고양시 일산서구 가좌로14-11</t>
    <phoneticPr fontId="8" type="noConversion"/>
  </si>
  <si>
    <t xml:space="preserve">경복계란 </t>
    <phoneticPr fontId="8" type="noConversion"/>
  </si>
  <si>
    <t xml:space="preserve">강원도 원주시 </t>
    <phoneticPr fontId="8" type="noConversion"/>
  </si>
  <si>
    <t xml:space="preserve">충남 천안시 입장면 </t>
    <phoneticPr fontId="8" type="noConversion"/>
  </si>
  <si>
    <t xml:space="preserve">용정리 196-4 </t>
    <phoneticPr fontId="8" type="noConversion"/>
  </si>
  <si>
    <t xml:space="preserve">한국스미더스 오아시스 </t>
    <phoneticPr fontId="8" type="noConversion"/>
  </si>
  <si>
    <t>PP6mm - 112롤 (2팔레트)</t>
    <phoneticPr fontId="8" type="noConversion"/>
  </si>
  <si>
    <t>PP밴드</t>
    <phoneticPr fontId="3" type="noConversion"/>
  </si>
  <si>
    <t xml:space="preserve">12mm*10kg 황색 </t>
    <phoneticPr fontId="3" type="noConversion"/>
  </si>
  <si>
    <t>발송 : 신우교역</t>
    <phoneticPr fontId="8" type="noConversion"/>
  </si>
  <si>
    <t xml:space="preserve">전북 익산시 오산면 </t>
    <phoneticPr fontId="8" type="noConversion"/>
  </si>
  <si>
    <t xml:space="preserve">경기도 화성시 우정읍 </t>
    <phoneticPr fontId="8" type="noConversion"/>
  </si>
  <si>
    <t xml:space="preserve">항쟁로139 </t>
    <phoneticPr fontId="8" type="noConversion"/>
  </si>
  <si>
    <t>은성영농조합법인 은성축산</t>
    <phoneticPr fontId="8" type="noConversion"/>
  </si>
  <si>
    <t>031-351-5610</t>
    <phoneticPr fontId="8" type="noConversion"/>
  </si>
  <si>
    <t xml:space="preserve">경기도 김포시 통진읍 </t>
    <phoneticPr fontId="8" type="noConversion"/>
  </si>
  <si>
    <t xml:space="preserve">인천광역시 남동구  </t>
    <phoneticPr fontId="8" type="noConversion"/>
  </si>
  <si>
    <t>유일화학</t>
    <phoneticPr fontId="8" type="noConversion"/>
  </si>
  <si>
    <t>031-983-4283</t>
    <phoneticPr fontId="8" type="noConversion"/>
  </si>
  <si>
    <t>에그나누리</t>
    <phoneticPr fontId="8" type="noConversion"/>
  </si>
  <si>
    <t xml:space="preserve">경기도 광명시 </t>
    <phoneticPr fontId="8" type="noConversion"/>
  </si>
  <si>
    <t>032-505-7376</t>
    <phoneticPr fontId="8" type="noConversion"/>
  </si>
  <si>
    <t>가학로 97-11 (가학동)</t>
    <phoneticPr fontId="8" type="noConversion"/>
  </si>
  <si>
    <t>한결유통</t>
    <phoneticPr fontId="8" type="noConversion"/>
  </si>
  <si>
    <t>010-8786-7336</t>
    <phoneticPr fontId="8" type="noConversion"/>
  </si>
  <si>
    <t xml:space="preserve">울산시 북구 진장동 </t>
    <phoneticPr fontId="8" type="noConversion"/>
  </si>
  <si>
    <t>PE 2kg*10롤 백색</t>
    <phoneticPr fontId="3" type="noConversion"/>
  </si>
  <si>
    <t>1박스</t>
    <phoneticPr fontId="3" type="noConversion"/>
  </si>
  <si>
    <t>경동택배</t>
    <phoneticPr fontId="8" type="noConversion"/>
  </si>
  <si>
    <t>받는분:태형 최정득사장님</t>
    <phoneticPr fontId="8" type="noConversion"/>
  </si>
  <si>
    <t>010-3574-4999</t>
    <phoneticPr fontId="8" type="noConversion"/>
  </si>
  <si>
    <t>02-2664-3010</t>
    <phoneticPr fontId="8" type="noConversion"/>
  </si>
  <si>
    <t xml:space="preserve">㈜토빅스 파주공장 </t>
    <phoneticPr fontId="8" type="noConversion"/>
  </si>
  <si>
    <t xml:space="preserve">경기 광주 오포읍 </t>
    <phoneticPr fontId="8" type="noConversion"/>
  </si>
  <si>
    <t xml:space="preserve">매산리 629-28  </t>
    <phoneticPr fontId="8" type="noConversion"/>
  </si>
  <si>
    <t xml:space="preserve">알찬영농  </t>
    <phoneticPr fontId="8" type="noConversion"/>
  </si>
  <si>
    <t xml:space="preserve">신당새터2길 71 (신당동)  </t>
    <phoneticPr fontId="8" type="noConversion"/>
  </si>
  <si>
    <t>다온앤팜</t>
    <phoneticPr fontId="8" type="noConversion"/>
  </si>
  <si>
    <t>경기도 안성시 미양면</t>
    <phoneticPr fontId="8" type="noConversion"/>
  </si>
  <si>
    <t xml:space="preserve">서미로 452-56  </t>
    <phoneticPr fontId="8" type="noConversion"/>
  </si>
  <si>
    <t xml:space="preserve">한미팜  </t>
    <phoneticPr fontId="8" type="noConversion"/>
  </si>
  <si>
    <t xml:space="preserve">6mm*10kg 백색 </t>
    <phoneticPr fontId="3" type="noConversion"/>
  </si>
  <si>
    <t>56롤</t>
    <phoneticPr fontId="3" type="noConversion"/>
  </si>
  <si>
    <t xml:space="preserve">경기도 파주시 월롱면 </t>
    <phoneticPr fontId="8" type="noConversion"/>
  </si>
  <si>
    <t xml:space="preserve">엘지로 386번길 116 </t>
    <phoneticPr fontId="8" type="noConversion"/>
  </si>
  <si>
    <t xml:space="preserve">피텍코리아 </t>
    <phoneticPr fontId="8" type="noConversion"/>
  </si>
  <si>
    <t>남영판지 조종민부장님</t>
    <phoneticPr fontId="3" type="noConversion"/>
  </si>
  <si>
    <t>010-9004-7764</t>
    <phoneticPr fontId="3" type="noConversion"/>
  </si>
  <si>
    <t>결속기용PE끈</t>
    <phoneticPr fontId="3" type="noConversion"/>
  </si>
  <si>
    <t>28mm*2kg 백색</t>
    <phoneticPr fontId="3" type="noConversion"/>
  </si>
  <si>
    <t>10박스</t>
    <phoneticPr fontId="3" type="noConversion"/>
  </si>
  <si>
    <t xml:space="preserve">경기도 파주시 산남로127, </t>
    <phoneticPr fontId="8" type="noConversion"/>
  </si>
  <si>
    <t>낙원포장</t>
    <phoneticPr fontId="8" type="noConversion"/>
  </si>
  <si>
    <t>031-908-1372  </t>
    <phoneticPr fontId="8" type="noConversion"/>
  </si>
  <si>
    <t>010-5378-4108  </t>
    <phoneticPr fontId="8" type="noConversion"/>
  </si>
  <si>
    <t xml:space="preserve">공릉천로 124(사리현동)  </t>
    <phoneticPr fontId="8" type="noConversion"/>
  </si>
  <si>
    <t xml:space="preserve">하이얀컴퍼니 </t>
    <phoneticPr fontId="8" type="noConversion"/>
  </si>
  <si>
    <t xml:space="preserve">031-527-8263 </t>
    <phoneticPr fontId="3" type="noConversion"/>
  </si>
  <si>
    <t>경기도 시흥시 경제로17</t>
    <phoneticPr fontId="3" type="noConversion"/>
  </si>
  <si>
    <t>(정왕동)</t>
    <phoneticPr fontId="3" type="noConversion"/>
  </si>
  <si>
    <t>코미팜</t>
    <phoneticPr fontId="3" type="noConversion"/>
  </si>
  <si>
    <t xml:space="preserve">인천광역시 남동구 </t>
    <phoneticPr fontId="3" type="noConversion"/>
  </si>
  <si>
    <t>이현욱님</t>
    <phoneticPr fontId="3" type="noConversion"/>
  </si>
  <si>
    <t>010-6760-2896</t>
    <phoneticPr fontId="3" type="noConversion"/>
  </si>
  <si>
    <t>배지병 이사님</t>
    <phoneticPr fontId="3" type="noConversion"/>
  </si>
  <si>
    <t>010-7448-5446</t>
    <phoneticPr fontId="3" type="noConversion"/>
  </si>
  <si>
    <t xml:space="preserve">경기도 광명시 </t>
    <phoneticPr fontId="3" type="noConversion"/>
  </si>
  <si>
    <t xml:space="preserve">가학로 97-11(가학동) </t>
    <phoneticPr fontId="3" type="noConversion"/>
  </si>
  <si>
    <t xml:space="preserve">한결유통 </t>
    <phoneticPr fontId="3" type="noConversion"/>
  </si>
  <si>
    <t xml:space="preserve">경기도 파주시 조리읍 </t>
    <phoneticPr fontId="3" type="noConversion"/>
  </si>
  <si>
    <t xml:space="preserve">하이얀이엔피  </t>
    <phoneticPr fontId="3" type="noConversion"/>
  </si>
  <si>
    <t>김포시 승가로 76번길 126(풍무동)</t>
    <phoneticPr fontId="3" type="noConversion"/>
  </si>
  <si>
    <t>010-2377-0494</t>
    <phoneticPr fontId="3" type="noConversion"/>
  </si>
  <si>
    <t>흥진정밀</t>
    <phoneticPr fontId="3" type="noConversion"/>
  </si>
  <si>
    <t>031-986-2351</t>
  </si>
  <si>
    <t>PE24kg(6kg*4roll)-10박스</t>
    <phoneticPr fontId="3" type="noConversion"/>
  </si>
  <si>
    <t>경기도 화성시 마도면</t>
    <phoneticPr fontId="3" type="noConversion"/>
  </si>
  <si>
    <t>송정동길 38-24</t>
    <phoneticPr fontId="3" type="noConversion"/>
  </si>
  <si>
    <t>권수길 공장장님</t>
    <phoneticPr fontId="3" type="noConversion"/>
  </si>
  <si>
    <t xml:space="preserve">경기도 용인시 처인구 </t>
    <phoneticPr fontId="3" type="noConversion"/>
  </si>
  <si>
    <t xml:space="preserve">알마트  </t>
    <phoneticPr fontId="3" type="noConversion"/>
  </si>
  <si>
    <t xml:space="preserve">모현읍 갈담리 274-52 </t>
    <phoneticPr fontId="3" type="noConversion"/>
  </si>
  <si>
    <t xml:space="preserve">대일계란 </t>
    <phoneticPr fontId="3" type="noConversion"/>
  </si>
  <si>
    <t>02-418-4566</t>
    <phoneticPr fontId="3" type="noConversion"/>
  </si>
  <si>
    <t>031-322-2261</t>
    <phoneticPr fontId="3" type="noConversion"/>
  </si>
  <si>
    <t>발송 : 경인팩</t>
    <phoneticPr fontId="3" type="noConversion"/>
  </si>
  <si>
    <t>충북 음성군 원남면</t>
    <phoneticPr fontId="3" type="noConversion"/>
  </si>
  <si>
    <t xml:space="preserve">전남 나주시 문평면 </t>
    <phoneticPr fontId="3" type="noConversion"/>
  </si>
  <si>
    <t>상경로 424-28</t>
    <phoneticPr fontId="3" type="noConversion"/>
  </si>
  <si>
    <t>대진첨단소재㈜</t>
    <phoneticPr fontId="3" type="noConversion"/>
  </si>
  <si>
    <t xml:space="preserve">나산농장  </t>
    <phoneticPr fontId="3" type="noConversion"/>
  </si>
  <si>
    <t>010-6374-4909</t>
    <phoneticPr fontId="3" type="noConversion"/>
  </si>
  <si>
    <t>발송 : 라이커스</t>
    <phoneticPr fontId="3" type="noConversion"/>
  </si>
  <si>
    <t>기업단지로 122-31(용두리453-5)</t>
    <phoneticPr fontId="3" type="noConversion"/>
  </si>
  <si>
    <t xml:space="preserve">능안로 290-9, A, B동  </t>
    <phoneticPr fontId="3" type="noConversion"/>
  </si>
  <si>
    <t>크린토피아</t>
    <phoneticPr fontId="8" type="noConversion"/>
  </si>
  <si>
    <t xml:space="preserve">백문교팀장님 </t>
    <phoneticPr fontId="3" type="noConversion"/>
  </si>
  <si>
    <t>28mm*6kg 백색</t>
    <phoneticPr fontId="3" type="noConversion"/>
  </si>
  <si>
    <t>82박스</t>
    <phoneticPr fontId="3" type="noConversion"/>
  </si>
  <si>
    <t>(2박스 교환)</t>
    <phoneticPr fontId="3" type="noConversion"/>
  </si>
  <si>
    <t xml:space="preserve">경기도 광주시 초월읍 </t>
    <phoneticPr fontId="3" type="noConversion"/>
  </si>
  <si>
    <t xml:space="preserve">경기도 김포시 홍도평로 </t>
    <phoneticPr fontId="3" type="noConversion"/>
  </si>
  <si>
    <t xml:space="preserve">도평리50  </t>
    <phoneticPr fontId="3" type="noConversion"/>
  </si>
  <si>
    <t>81-45(걸포동)</t>
    <phoneticPr fontId="3" type="noConversion"/>
  </si>
  <si>
    <t xml:space="preserve">마베스코리아 </t>
    <phoneticPr fontId="3" type="noConversion"/>
  </si>
  <si>
    <t>`</t>
    <phoneticPr fontId="3" type="noConversion"/>
  </si>
  <si>
    <t>010-3294-0052</t>
    <phoneticPr fontId="3" type="noConversion"/>
  </si>
  <si>
    <t>12mm*10kg 황색(0.8T)</t>
    <phoneticPr fontId="3" type="noConversion"/>
  </si>
  <si>
    <t>60롤</t>
    <phoneticPr fontId="3" type="noConversion"/>
  </si>
  <si>
    <t>발송 : 라바인터내셔널</t>
    <phoneticPr fontId="3" type="noConversion"/>
  </si>
  <si>
    <t xml:space="preserve">경기도 안산시 상록구 </t>
    <phoneticPr fontId="3" type="noConversion"/>
  </si>
  <si>
    <t>인천시 남동구 호구포로50</t>
    <phoneticPr fontId="3" type="noConversion"/>
  </si>
  <si>
    <t>엘아이센터 702호</t>
    <phoneticPr fontId="3" type="noConversion"/>
  </si>
  <si>
    <t>010-5326-9525</t>
    <phoneticPr fontId="3" type="noConversion"/>
  </si>
  <si>
    <t>6mm*10kg 백색</t>
    <phoneticPr fontId="3" type="noConversion"/>
  </si>
  <si>
    <t xml:space="preserve">인천 남동구 고잔동 730-3 </t>
    <phoneticPr fontId="3" type="noConversion"/>
  </si>
  <si>
    <t>10롤</t>
    <phoneticPr fontId="3" type="noConversion"/>
  </si>
  <si>
    <t xml:space="preserve">피앤알 </t>
    <phoneticPr fontId="3" type="noConversion"/>
  </si>
  <si>
    <t xml:space="preserve">인천시 남동구 </t>
    <phoneticPr fontId="3" type="noConversion"/>
  </si>
  <si>
    <t xml:space="preserve">앵고개로490번길 151(고잔동) </t>
    <phoneticPr fontId="3" type="noConversion"/>
  </si>
  <si>
    <t>50mm*6kg 백색</t>
    <phoneticPr fontId="3" type="noConversion"/>
  </si>
  <si>
    <t>50박스</t>
    <phoneticPr fontId="3" type="noConversion"/>
  </si>
  <si>
    <t xml:space="preserve">전원팜   </t>
    <phoneticPr fontId="3" type="noConversion"/>
  </si>
  <si>
    <t>도착지</t>
    <phoneticPr fontId="3" type="noConversion"/>
  </si>
  <si>
    <t>강원도 횡성군 우천면 하대길 25</t>
    <phoneticPr fontId="3" type="noConversion"/>
  </si>
  <si>
    <t>(우항리 679-2)</t>
    <phoneticPr fontId="3" type="noConversion"/>
  </si>
  <si>
    <t>동횡성농협</t>
    <phoneticPr fontId="3" type="noConversion"/>
  </si>
  <si>
    <t>정재용 과장대리님</t>
    <phoneticPr fontId="3" type="noConversion"/>
  </si>
  <si>
    <t xml:space="preserve">경상남도 함안군 </t>
    <phoneticPr fontId="3" type="noConversion"/>
  </si>
  <si>
    <t>033-345-9007</t>
    <phoneticPr fontId="3" type="noConversion"/>
  </si>
  <si>
    <t>010-7346-3306</t>
    <phoneticPr fontId="3" type="noConversion"/>
  </si>
  <si>
    <t>112롤</t>
    <phoneticPr fontId="3" type="noConversion"/>
  </si>
  <si>
    <t>충청남도 홍성군 금마면</t>
    <phoneticPr fontId="3" type="noConversion"/>
  </si>
  <si>
    <t>금북로 39</t>
    <phoneticPr fontId="3" type="noConversion"/>
  </si>
  <si>
    <t xml:space="preserve">강원도 횡성군 우천면 </t>
    <phoneticPr fontId="3" type="noConversion"/>
  </si>
  <si>
    <t xml:space="preserve">청송  </t>
    <phoneticPr fontId="3" type="noConversion"/>
  </si>
  <si>
    <t>010-5022-4194</t>
    <phoneticPr fontId="3" type="noConversion"/>
  </si>
  <si>
    <t>12mm*12.5kg 황색</t>
    <phoneticPr fontId="3" type="noConversion"/>
  </si>
  <si>
    <t>발송 : 보우팩</t>
    <phoneticPr fontId="8" type="noConversion"/>
  </si>
  <si>
    <t>발송 : 케이아이씨</t>
    <phoneticPr fontId="8" type="noConversion"/>
  </si>
  <si>
    <t xml:space="preserve">경남 거창군 가조면 </t>
    <phoneticPr fontId="3" type="noConversion"/>
  </si>
  <si>
    <t xml:space="preserve">에그플러스  </t>
    <phoneticPr fontId="3" type="noConversion"/>
  </si>
  <si>
    <t xml:space="preserve">석강3길 127 </t>
    <phoneticPr fontId="3" type="noConversion"/>
  </si>
  <si>
    <t xml:space="preserve">031-535-0300  </t>
    <phoneticPr fontId="3" type="noConversion"/>
  </si>
  <si>
    <t>김규배 010-4082-2682</t>
    <phoneticPr fontId="3" type="noConversion"/>
  </si>
  <si>
    <t>14mm*10kg 백색 56롤</t>
    <phoneticPr fontId="3" type="noConversion"/>
  </si>
  <si>
    <t>발송 : 파워엠팩</t>
    <phoneticPr fontId="3" type="noConversion"/>
  </si>
  <si>
    <t>택배 선불</t>
    <phoneticPr fontId="3" type="noConversion"/>
  </si>
  <si>
    <t xml:space="preserve">경기도 김포시 양촌읍 </t>
    <phoneticPr fontId="3" type="noConversion"/>
  </si>
  <si>
    <t xml:space="preserve">학운산단2로 53-15 </t>
    <phoneticPr fontId="3" type="noConversion"/>
  </si>
  <si>
    <t xml:space="preserve">말표산업 </t>
    <phoneticPr fontId="3" type="noConversion"/>
  </si>
  <si>
    <t xml:space="preserve">경기도 파주시 문산읍  </t>
    <phoneticPr fontId="3" type="noConversion"/>
  </si>
  <si>
    <t>㈜올에이치</t>
    <phoneticPr fontId="3" type="noConversion"/>
  </si>
  <si>
    <t xml:space="preserve">운천리 81-33 </t>
    <phoneticPr fontId="3" type="noConversion"/>
  </si>
  <si>
    <t>15mm*13kg 노랑  60롤</t>
    <phoneticPr fontId="3" type="noConversion"/>
  </si>
  <si>
    <t>발송 : 광림포장기계</t>
    <phoneticPr fontId="8" type="noConversion"/>
  </si>
  <si>
    <t>031-790-4141</t>
    <phoneticPr fontId="3" type="noConversion"/>
  </si>
  <si>
    <t xml:space="preserve">경기도 파주시 산남로127, </t>
    <phoneticPr fontId="3" type="noConversion"/>
  </si>
  <si>
    <t>031-908-1372  </t>
    <phoneticPr fontId="3" type="noConversion"/>
  </si>
  <si>
    <t>010-5378-4108  </t>
    <phoneticPr fontId="3" type="noConversion"/>
  </si>
  <si>
    <t>PE28mm*2kg 청색</t>
    <phoneticPr fontId="3" type="noConversion"/>
  </si>
  <si>
    <t>경기도 시흥시 계수동 227-2</t>
    <phoneticPr fontId="3" type="noConversion"/>
  </si>
  <si>
    <t>장원식품</t>
    <phoneticPr fontId="3" type="noConversion"/>
  </si>
  <si>
    <t>9mm*10kg 황색</t>
    <phoneticPr fontId="3" type="noConversion"/>
  </si>
  <si>
    <t>30롤</t>
    <phoneticPr fontId="3" type="noConversion"/>
  </si>
  <si>
    <t>천안시 서북구 성거읍</t>
    <phoneticPr fontId="3" type="noConversion"/>
  </si>
  <si>
    <t>모전2길 47-16</t>
    <phoneticPr fontId="3" type="noConversion"/>
  </si>
  <si>
    <t xml:space="preserve">인천광역시 남동구 논현동 434-10 </t>
    <phoneticPr fontId="3" type="noConversion"/>
  </si>
  <si>
    <t xml:space="preserve">대전충남양계농협 </t>
    <phoneticPr fontId="3" type="noConversion"/>
  </si>
  <si>
    <t>광명산업</t>
    <phoneticPr fontId="3" type="noConversion"/>
  </si>
  <si>
    <t>010-2410-8501</t>
    <phoneticPr fontId="3" type="noConversion"/>
  </si>
  <si>
    <t>010-7184-3141</t>
    <phoneticPr fontId="3" type="noConversion"/>
  </si>
  <si>
    <t>15*10청색(0.6T)</t>
    <phoneticPr fontId="3" type="noConversion"/>
  </si>
  <si>
    <t>20롤</t>
    <phoneticPr fontId="3" type="noConversion"/>
  </si>
  <si>
    <t>발송 : 신광포장기계</t>
    <phoneticPr fontId="8" type="noConversion"/>
  </si>
  <si>
    <t>경기도 하남시 덕풍동 762번지</t>
    <phoneticPr fontId="3" type="noConversion"/>
  </si>
  <si>
    <t xml:space="preserve">경기도 하남시 </t>
    <phoneticPr fontId="3" type="noConversion"/>
  </si>
  <si>
    <t>아이데코 B106~B110호</t>
    <phoneticPr fontId="3" type="noConversion"/>
  </si>
  <si>
    <t xml:space="preserve">하남대로654번길24-12(천현동) </t>
    <phoneticPr fontId="3" type="noConversion"/>
  </si>
  <si>
    <t>광림포장기계</t>
    <phoneticPr fontId="3" type="noConversion"/>
  </si>
  <si>
    <t xml:space="preserve">착한유통  </t>
    <phoneticPr fontId="3" type="noConversion"/>
  </si>
  <si>
    <t>010-8960-6100</t>
    <phoneticPr fontId="3" type="noConversion"/>
  </si>
  <si>
    <t>6mm*10kg 백색</t>
    <phoneticPr fontId="3" type="noConversion"/>
  </si>
  <si>
    <t xml:space="preserve">경기도 광주시 도척면 </t>
    <phoneticPr fontId="3" type="noConversion"/>
  </si>
  <si>
    <t xml:space="preserve">다람로36번길93-29 (궁평리)  </t>
    <phoneticPr fontId="3" type="noConversion"/>
  </si>
  <si>
    <t xml:space="preserve">경기도 화성시 양감면 </t>
    <phoneticPr fontId="3" type="noConversion"/>
  </si>
  <si>
    <t xml:space="preserve">황금알 </t>
    <phoneticPr fontId="3" type="noConversion"/>
  </si>
  <si>
    <t>양간큰말길 101</t>
    <phoneticPr fontId="3" type="noConversion"/>
  </si>
  <si>
    <t>㈜현진솔루션</t>
    <phoneticPr fontId="3" type="noConversion"/>
  </si>
  <si>
    <t>김용안 대표님</t>
    <phoneticPr fontId="3" type="noConversion"/>
  </si>
  <si>
    <t>031-352-6965</t>
    <phoneticPr fontId="3" type="noConversion"/>
  </si>
  <si>
    <t>010-5411-1292</t>
    <phoneticPr fontId="3" type="noConversion"/>
  </si>
  <si>
    <t xml:space="preserve">인천시 남동구 수산동 492번지  </t>
    <phoneticPr fontId="3" type="noConversion"/>
  </si>
  <si>
    <t>천안시 서북구 성환읍 율금리 21-9</t>
    <phoneticPr fontId="3" type="noConversion"/>
  </si>
  <si>
    <t xml:space="preserve">수연유통  </t>
  </si>
  <si>
    <t>천안수지</t>
    <phoneticPr fontId="3" type="noConversion"/>
  </si>
  <si>
    <t>010-7400-2311</t>
  </si>
  <si>
    <t>041-581-2704</t>
    <phoneticPr fontId="3" type="noConversion"/>
  </si>
  <si>
    <t>010-9412-8296</t>
    <phoneticPr fontId="3" type="noConversion"/>
  </si>
  <si>
    <t>PE28*6 백색  10박스</t>
    <phoneticPr fontId="3" type="noConversion"/>
  </si>
  <si>
    <t xml:space="preserve">인천시 강화군 불은면 </t>
    <phoneticPr fontId="3" type="noConversion"/>
  </si>
  <si>
    <t xml:space="preserve">강화동로314번길 39  </t>
    <phoneticPr fontId="3" type="noConversion"/>
  </si>
  <si>
    <t xml:space="preserve">경일농장 </t>
    <phoneticPr fontId="3" type="noConversion"/>
  </si>
  <si>
    <t xml:space="preserve">경기도 화성시 향남읍 </t>
    <phoneticPr fontId="3" type="noConversion"/>
  </si>
  <si>
    <t>010-3738-4660</t>
  </si>
  <si>
    <t>발안로464번길 38</t>
  </si>
  <si>
    <t>동원화학수지</t>
  </si>
  <si>
    <t>PE28*6 백색  8박스</t>
    <phoneticPr fontId="3" type="noConversion"/>
  </si>
  <si>
    <t>031-354-7898</t>
  </si>
  <si>
    <t xml:space="preserve">경기도 안성시 원곡면 </t>
    <phoneticPr fontId="3" type="noConversion"/>
  </si>
  <si>
    <t>원암로 250-25</t>
  </si>
  <si>
    <t xml:space="preserve">경기도 김포시 하성면 </t>
    <phoneticPr fontId="3" type="noConversion"/>
  </si>
  <si>
    <t xml:space="preserve">정용주 대표 </t>
    <phoneticPr fontId="3" type="noConversion"/>
  </si>
  <si>
    <t>원산로 45-19</t>
  </si>
  <si>
    <t>010-2772-0786</t>
    <phoneticPr fontId="3" type="noConversion"/>
  </si>
  <si>
    <t xml:space="preserve">크린코리아   </t>
    <phoneticPr fontId="3" type="noConversion"/>
  </si>
  <si>
    <t>이에스디케미칼</t>
  </si>
  <si>
    <t>010-7272-6158</t>
  </si>
  <si>
    <t>PE28*2kg 백색  10박스</t>
    <phoneticPr fontId="3" type="noConversion"/>
  </si>
  <si>
    <t>천안시 서북구 신당동 424-19</t>
    <phoneticPr fontId="3" type="noConversion"/>
  </si>
  <si>
    <t>강원농장</t>
    <phoneticPr fontId="3" type="noConversion"/>
  </si>
  <si>
    <t>010-6420-2204</t>
    <phoneticPr fontId="3" type="noConversion"/>
  </si>
  <si>
    <t>30롤</t>
    <phoneticPr fontId="3" type="noConversion"/>
  </si>
  <si>
    <t>방문출고</t>
    <phoneticPr fontId="3" type="noConversion"/>
  </si>
  <si>
    <t>탐스텍</t>
    <phoneticPr fontId="3" type="noConversion"/>
  </si>
  <si>
    <t>팔레트</t>
    <phoneticPr fontId="3" type="noConversion"/>
  </si>
  <si>
    <t>2.79톤</t>
    <phoneticPr fontId="3" type="noConversion"/>
  </si>
  <si>
    <t>오전10시</t>
    <phoneticPr fontId="3" type="noConversion"/>
  </si>
  <si>
    <t>하이게이트</t>
    <phoneticPr fontId="3" type="noConversion"/>
  </si>
  <si>
    <t>수작업</t>
    <phoneticPr fontId="3" type="noConversion"/>
  </si>
  <si>
    <t>20.5톤</t>
    <phoneticPr fontId="3" type="noConversion"/>
  </si>
  <si>
    <t>40"(오전9시)</t>
    <phoneticPr fontId="3" type="noConversion"/>
  </si>
  <si>
    <t>타이거팩</t>
    <phoneticPr fontId="3" type="noConversion"/>
  </si>
  <si>
    <t>수작업</t>
    <phoneticPr fontId="3" type="noConversion"/>
  </si>
  <si>
    <t>한주</t>
    <phoneticPr fontId="3" type="noConversion"/>
  </si>
  <si>
    <t>샘플</t>
    <phoneticPr fontId="3" type="noConversion"/>
  </si>
  <si>
    <t>6롤</t>
    <phoneticPr fontId="3" type="noConversion"/>
  </si>
  <si>
    <t>경북 성주군 성주읍 성주산업단지로 5길 104  주식회사 한주 054-933-1811</t>
    <phoneticPr fontId="3" type="noConversion"/>
  </si>
  <si>
    <t>50롤</t>
    <phoneticPr fontId="3" type="noConversion"/>
  </si>
  <si>
    <t>6*10백</t>
    <phoneticPr fontId="3" type="noConversion"/>
  </si>
  <si>
    <t>4박스</t>
    <phoneticPr fontId="3" type="noConversion"/>
  </si>
  <si>
    <t>동원팩</t>
    <phoneticPr fontId="3" type="noConversion"/>
  </si>
  <si>
    <t>삼성</t>
    <phoneticPr fontId="3" type="noConversion"/>
  </si>
  <si>
    <t>18*21친환경</t>
    <phoneticPr fontId="3" type="noConversion"/>
  </si>
  <si>
    <t>94롤</t>
    <phoneticPr fontId="3" type="noConversion"/>
  </si>
  <si>
    <t>피앤비</t>
    <phoneticPr fontId="3" type="noConversion"/>
  </si>
  <si>
    <t>7*10백</t>
    <phoneticPr fontId="3" type="noConversion"/>
  </si>
  <si>
    <t>50롤</t>
    <phoneticPr fontId="3" type="noConversion"/>
  </si>
  <si>
    <t>12*10백(0.8T)</t>
    <phoneticPr fontId="3" type="noConversion"/>
  </si>
  <si>
    <t>50롤</t>
    <phoneticPr fontId="3" type="noConversion"/>
  </si>
  <si>
    <t>파워엠팩</t>
    <phoneticPr fontId="3" type="noConversion"/>
  </si>
  <si>
    <t>12*11은회색</t>
    <phoneticPr fontId="3" type="noConversion"/>
  </si>
  <si>
    <t>13*11은회색</t>
    <phoneticPr fontId="3" type="noConversion"/>
  </si>
  <si>
    <t>8*11은회색</t>
    <phoneticPr fontId="3" type="noConversion"/>
  </si>
  <si>
    <t>다오</t>
    <phoneticPr fontId="3" type="noConversion"/>
  </si>
  <si>
    <t>지방합화차</t>
    <phoneticPr fontId="3" type="noConversion"/>
  </si>
  <si>
    <t>40"(오후1시)</t>
    <phoneticPr fontId="3" type="noConversion"/>
  </si>
  <si>
    <t>삼보팩 30, 남영판지 70</t>
    <phoneticPr fontId="3" type="noConversion"/>
  </si>
  <si>
    <t>전남 광양시 컨부두로 390 기성종합상사 010-9337-8019</t>
    <phoneticPr fontId="3" type="noConversion"/>
  </si>
  <si>
    <t>경인산업</t>
    <phoneticPr fontId="3" type="noConversion"/>
  </si>
  <si>
    <t>신광포장기계</t>
    <phoneticPr fontId="3" type="noConversion"/>
  </si>
  <si>
    <t>15*9황(0.65T)</t>
    <phoneticPr fontId="3" type="noConversion"/>
  </si>
  <si>
    <t>60롤</t>
    <phoneticPr fontId="3" type="noConversion"/>
  </si>
  <si>
    <t>15*10황(0.65T)</t>
    <phoneticPr fontId="3" type="noConversion"/>
  </si>
  <si>
    <t>50롤</t>
    <phoneticPr fontId="3" type="noConversion"/>
  </si>
  <si>
    <t>PE28*2황</t>
    <phoneticPr fontId="3" type="noConversion"/>
  </si>
  <si>
    <t>15박스</t>
    <phoneticPr fontId="3" type="noConversion"/>
  </si>
  <si>
    <t>25박스</t>
    <phoneticPr fontId="3" type="noConversion"/>
  </si>
  <si>
    <t>kic박스</t>
    <phoneticPr fontId="3" type="noConversion"/>
  </si>
  <si>
    <t>보우팩</t>
    <phoneticPr fontId="3" type="noConversion"/>
  </si>
  <si>
    <t>6*10백</t>
    <phoneticPr fontId="3" type="noConversion"/>
  </si>
  <si>
    <t>300롤</t>
    <phoneticPr fontId="3" type="noConversion"/>
  </si>
  <si>
    <t>파란밴딩</t>
    <phoneticPr fontId="3" type="noConversion"/>
  </si>
  <si>
    <t>대신택배</t>
    <phoneticPr fontId="3" type="noConversion"/>
  </si>
  <si>
    <t>삼성</t>
    <phoneticPr fontId="3" type="noConversion"/>
  </si>
  <si>
    <t>18*21친환경</t>
    <phoneticPr fontId="3" type="noConversion"/>
  </si>
  <si>
    <t>3롤</t>
    <phoneticPr fontId="3" type="noConversion"/>
  </si>
  <si>
    <t>106롤</t>
    <phoneticPr fontId="3" type="noConversion"/>
  </si>
  <si>
    <t>35000원/박스</t>
    <phoneticPr fontId="3" type="noConversion"/>
  </si>
  <si>
    <t>29000원/롤</t>
    <phoneticPr fontId="3" type="noConversion"/>
  </si>
  <si>
    <t>56롤</t>
  </si>
  <si>
    <t>대한종합포장</t>
    <phoneticPr fontId="3" type="noConversion"/>
  </si>
  <si>
    <t>랩 20*500*1400</t>
    <phoneticPr fontId="3" type="noConversion"/>
  </si>
  <si>
    <t>50박스</t>
    <phoneticPr fontId="3" type="noConversion"/>
  </si>
  <si>
    <t>랩 15*500*400</t>
    <phoneticPr fontId="3" type="noConversion"/>
  </si>
  <si>
    <t>30박스</t>
    <phoneticPr fontId="3" type="noConversion"/>
  </si>
  <si>
    <t>12*10황(0.75T)</t>
    <phoneticPr fontId="3" type="noConversion"/>
  </si>
  <si>
    <t>50롤</t>
    <phoneticPr fontId="3" type="noConversion"/>
  </si>
  <si>
    <t>용차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</si>
  <si>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</si>
  <si>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</si>
  <si>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</si>
  <si>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</si>
  <si>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10박스</t>
    <phoneticPr fontId="3" type="noConversion"/>
  </si>
  <si>
    <t>대신택배</t>
    <phoneticPr fontId="3" type="noConversion"/>
  </si>
  <si>
    <t>나무파레트</t>
    <phoneticPr fontId="3" type="noConversion"/>
  </si>
  <si>
    <t>7*10백(0.55T)</t>
    <phoneticPr fontId="3" type="noConversion"/>
  </si>
  <si>
    <t>power박스</t>
    <phoneticPr fontId="3" type="noConversion"/>
  </si>
  <si>
    <t>40롤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</si>
  <si>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</si>
  <si>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</si>
  <si>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</si>
  <si>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power박스</t>
    <phoneticPr fontId="3" type="noConversion"/>
  </si>
  <si>
    <t>인선</t>
    <phoneticPr fontId="3" type="noConversion"/>
  </si>
  <si>
    <t>7*10백</t>
    <phoneticPr fontId="3" type="noConversion"/>
  </si>
  <si>
    <t>50롤</t>
    <phoneticPr fontId="3" type="noConversion"/>
  </si>
  <si>
    <t>삼성인업</t>
    <phoneticPr fontId="3" type="noConversion"/>
  </si>
  <si>
    <t>강릉시 구정면 학산리 35-27 왕도매유통 010-9116-3021</t>
    <phoneticPr fontId="3" type="noConversion"/>
  </si>
  <si>
    <t>어드밴스</t>
  </si>
  <si>
    <t>12*3000(투명b품)</t>
  </si>
  <si>
    <t>6롤</t>
  </si>
  <si>
    <t>2개씩 묶음</t>
  </si>
  <si>
    <t>대한불소</t>
    <phoneticPr fontId="3" type="noConversion"/>
  </si>
  <si>
    <t>15*10황(0.8T)</t>
    <phoneticPr fontId="3" type="noConversion"/>
  </si>
  <si>
    <t>5롤</t>
    <phoneticPr fontId="3" type="noConversion"/>
  </si>
  <si>
    <t>50롤</t>
    <phoneticPr fontId="3" type="noConversion"/>
  </si>
  <si>
    <t>신광포장기계</t>
    <phoneticPr fontId="3" type="noConversion"/>
  </si>
  <si>
    <t>15*10백(0.65T)</t>
    <phoneticPr fontId="3" type="noConversion"/>
  </si>
  <si>
    <t>JH글로벌</t>
    <phoneticPr fontId="3" type="noConversion"/>
  </si>
  <si>
    <t>15*11.5황</t>
    <phoneticPr fontId="3" type="noConversion"/>
  </si>
  <si>
    <t>300롤</t>
    <phoneticPr fontId="3" type="noConversion"/>
  </si>
  <si>
    <t>52롤</t>
    <phoneticPr fontId="3" type="noConversion"/>
  </si>
  <si>
    <t>51롤</t>
    <phoneticPr fontId="3" type="noConversion"/>
  </si>
  <si>
    <t>51롤</t>
    <phoneticPr fontId="3" type="noConversion"/>
  </si>
  <si>
    <t>동원피앤아이</t>
    <phoneticPr fontId="3" type="noConversion"/>
  </si>
  <si>
    <t>50박스</t>
    <phoneticPr fontId="3" type="noConversion"/>
  </si>
  <si>
    <t>PE50*4.7황</t>
    <phoneticPr fontId="3" type="noConversion"/>
  </si>
  <si>
    <t>50박스</t>
    <phoneticPr fontId="3" type="noConversion"/>
  </si>
  <si>
    <t>파워엠팩</t>
    <phoneticPr fontId="3" type="noConversion"/>
  </si>
  <si>
    <t>12*10검정(0.75T)</t>
    <phoneticPr fontId="3" type="noConversion"/>
  </si>
  <si>
    <t>200롤</t>
    <phoneticPr fontId="3" type="noConversion"/>
  </si>
  <si>
    <t>지방합화차</t>
    <phoneticPr fontId="3" type="noConversion"/>
  </si>
  <si>
    <t>삼성</t>
    <phoneticPr fontId="3" type="noConversion"/>
  </si>
  <si>
    <t>18*21친환경</t>
    <phoneticPr fontId="3" type="noConversion"/>
  </si>
  <si>
    <t>33롤</t>
    <phoneticPr fontId="3" type="noConversion"/>
  </si>
  <si>
    <t>진송팩</t>
    <phoneticPr fontId="3" type="noConversion"/>
  </si>
  <si>
    <t>6*10백</t>
    <phoneticPr fontId="3" type="noConversion"/>
  </si>
  <si>
    <t>2롤</t>
    <phoneticPr fontId="3" type="noConversion"/>
  </si>
  <si>
    <t>2롤1묶음</t>
    <phoneticPr fontId="3" type="noConversion"/>
  </si>
  <si>
    <t>대신택배착불</t>
    <phoneticPr fontId="3" type="noConversion"/>
  </si>
  <si>
    <t>2700원</t>
    <phoneticPr fontId="3" type="noConversion"/>
  </si>
  <si>
    <t xml:space="preserve">진우유통 </t>
    <phoneticPr fontId="3" type="noConversion"/>
  </si>
  <si>
    <t>광림포장기계</t>
    <phoneticPr fontId="3" type="noConversion"/>
  </si>
  <si>
    <t>12*10황</t>
    <phoneticPr fontId="3" type="noConversion"/>
  </si>
  <si>
    <t>64롤</t>
    <phoneticPr fontId="3" type="noConversion"/>
  </si>
  <si>
    <t>15*13황</t>
    <phoneticPr fontId="3" type="noConversion"/>
  </si>
  <si>
    <t>80롤</t>
    <phoneticPr fontId="3" type="noConversion"/>
  </si>
  <si>
    <t>12*12.5황</t>
    <phoneticPr fontId="3" type="noConversion"/>
  </si>
  <si>
    <t>40롤</t>
    <phoneticPr fontId="3" type="noConversion"/>
  </si>
  <si>
    <t>15*10황</t>
    <phoneticPr fontId="3" type="noConversion"/>
  </si>
  <si>
    <t>12*12.5투명</t>
    <phoneticPr fontId="3" type="noConversion"/>
  </si>
  <si>
    <t>40롤</t>
    <phoneticPr fontId="3" type="noConversion"/>
  </si>
  <si>
    <t>동원팩</t>
    <phoneticPr fontId="3" type="noConversion"/>
  </si>
  <si>
    <t>PE28*6백</t>
    <phoneticPr fontId="3" type="noConversion"/>
  </si>
  <si>
    <t>50박스</t>
    <phoneticPr fontId="3" type="noConversion"/>
  </si>
  <si>
    <t>PE28*2백</t>
    <phoneticPr fontId="3" type="noConversion"/>
  </si>
  <si>
    <t>25박스</t>
    <phoneticPr fontId="3" type="noConversion"/>
  </si>
  <si>
    <t>동원팩</t>
    <phoneticPr fontId="3" type="noConversion"/>
  </si>
  <si>
    <t>신광포장기계</t>
    <phoneticPr fontId="3" type="noConversion"/>
  </si>
  <si>
    <t>12*10황(0.65)</t>
    <phoneticPr fontId="3" type="noConversion"/>
  </si>
  <si>
    <t>100롤</t>
    <phoneticPr fontId="3" type="noConversion"/>
  </si>
  <si>
    <t>6*10 백</t>
    <phoneticPr fontId="3" type="noConversion"/>
  </si>
  <si>
    <t>80롤</t>
    <phoneticPr fontId="3" type="noConversion"/>
  </si>
  <si>
    <t>제주 합화차/오전</t>
    <phoneticPr fontId="3" type="noConversion"/>
  </si>
  <si>
    <t>금산포장</t>
    <phoneticPr fontId="3" type="noConversion"/>
  </si>
  <si>
    <t>12*10투명(0.75T)</t>
    <phoneticPr fontId="3" type="noConversion"/>
  </si>
  <si>
    <t>51롤</t>
    <phoneticPr fontId="3" type="noConversion"/>
  </si>
  <si>
    <t>김규현</t>
    <phoneticPr fontId="3" type="noConversion"/>
  </si>
  <si>
    <t>대원포장기계</t>
    <phoneticPr fontId="3" type="noConversion"/>
  </si>
  <si>
    <t>20박스</t>
    <phoneticPr fontId="3" type="noConversion"/>
  </si>
  <si>
    <t>대신화물착불</t>
    <phoneticPr fontId="3" type="noConversion"/>
  </si>
  <si>
    <t>6*10백</t>
    <phoneticPr fontId="3" type="noConversion"/>
  </si>
  <si>
    <t>경인팩</t>
    <phoneticPr fontId="3" type="noConversion"/>
  </si>
  <si>
    <t>12박스</t>
    <phoneticPr fontId="3" type="noConversion"/>
  </si>
  <si>
    <t>52박스</t>
    <phoneticPr fontId="3" type="noConversion"/>
  </si>
  <si>
    <t>PE28*2백</t>
    <phoneticPr fontId="3" type="noConversion"/>
  </si>
  <si>
    <t>19.2톤</t>
    <phoneticPr fontId="3" type="noConversion"/>
  </si>
  <si>
    <t>고메리</t>
    <phoneticPr fontId="3" type="noConversion"/>
  </si>
  <si>
    <t>수작업</t>
    <phoneticPr fontId="3" type="noConversion"/>
  </si>
  <si>
    <t>6톤</t>
    <phoneticPr fontId="3" type="noConversion"/>
  </si>
  <si>
    <t>알엘비</t>
    <phoneticPr fontId="3" type="noConversion"/>
  </si>
  <si>
    <t>팔레트</t>
    <phoneticPr fontId="3" type="noConversion"/>
  </si>
  <si>
    <t>4.6톤</t>
    <phoneticPr fontId="3" type="noConversion"/>
  </si>
  <si>
    <t>20"(오후1시)</t>
    <phoneticPr fontId="3" type="noConversion"/>
  </si>
  <si>
    <t>(공도읍 용두리 453-5)</t>
    <phoneticPr fontId="3" type="noConversion"/>
  </si>
  <si>
    <t xml:space="preserve">크린토피아 </t>
    <phoneticPr fontId="8" type="noConversion"/>
  </si>
  <si>
    <t>경기도 안성시 공도읍 기업단지로 122-31</t>
    <phoneticPr fontId="8" type="noConversion"/>
  </si>
  <si>
    <t>충청북도 진천군 덕산면 신척산단5로 196 (덕산면, (주)견지포장) 견지포장  김법준  010-4555-0979</t>
    <phoneticPr fontId="3" type="noConversion"/>
  </si>
  <si>
    <t>용차</t>
    <phoneticPr fontId="3" type="noConversion"/>
  </si>
  <si>
    <t>오전</t>
    <phoneticPr fontId="3" type="noConversion"/>
  </si>
  <si>
    <t>광주천일포장</t>
    <phoneticPr fontId="3" type="noConversion"/>
  </si>
  <si>
    <t>광주천일포장</t>
    <phoneticPr fontId="3" type="noConversion"/>
  </si>
  <si>
    <t>종이두루기</t>
    <phoneticPr fontId="3" type="noConversion"/>
  </si>
  <si>
    <t>세움패키지</t>
    <phoneticPr fontId="3" type="noConversion"/>
  </si>
  <si>
    <t>2850원</t>
    <phoneticPr fontId="3" type="noConversion"/>
  </si>
  <si>
    <t>용차</t>
    <phoneticPr fontId="3" type="noConversion"/>
  </si>
  <si>
    <t>용차선불 청구</t>
    <phoneticPr fontId="3" type="noConversion"/>
  </si>
  <si>
    <t>PE50*5백</t>
    <phoneticPr fontId="3" type="noConversion"/>
  </si>
  <si>
    <t>동원팩</t>
    <phoneticPr fontId="3" type="noConversion"/>
  </si>
  <si>
    <t>1박스</t>
    <phoneticPr fontId="3" type="noConversion"/>
  </si>
  <si>
    <t>제일에그팜</t>
    <phoneticPr fontId="3" type="noConversion"/>
  </si>
  <si>
    <t>로젠택배</t>
    <phoneticPr fontId="3" type="noConversion"/>
  </si>
  <si>
    <t>밴딩기히터</t>
    <phoneticPr fontId="3" type="noConversion"/>
  </si>
  <si>
    <t>5개</t>
    <phoneticPr fontId="3" type="noConversion"/>
  </si>
  <si>
    <t>대성씨앤씨</t>
    <phoneticPr fontId="3" type="noConversion"/>
  </si>
  <si>
    <t>100롤</t>
    <phoneticPr fontId="3" type="noConversion"/>
  </si>
  <si>
    <t>용차</t>
    <phoneticPr fontId="3" type="noConversion"/>
  </si>
  <si>
    <t>강원도 원주시 동부순환로 389-5(봉산동)  (주) 서신  033-764-6605  010-8969-6221</t>
    <phoneticPr fontId="3" type="noConversion"/>
  </si>
  <si>
    <t>대신택배</t>
    <phoneticPr fontId="3" type="noConversion"/>
  </si>
  <si>
    <t>경인팩</t>
    <phoneticPr fontId="3" type="noConversion"/>
  </si>
  <si>
    <t>96박스</t>
    <phoneticPr fontId="3" type="noConversion"/>
  </si>
  <si>
    <t>56롤</t>
    <phoneticPr fontId="3" type="noConversion"/>
  </si>
  <si>
    <t>000421 샘플</t>
    <phoneticPr fontId="3" type="noConversion"/>
  </si>
  <si>
    <t>2롤</t>
    <phoneticPr fontId="3" type="noConversion"/>
  </si>
  <si>
    <t>삼성</t>
    <phoneticPr fontId="3" type="noConversion"/>
  </si>
  <si>
    <t>21c동 김태균프로 010-4918-4690</t>
    <phoneticPr fontId="3" type="noConversion"/>
  </si>
  <si>
    <t>점심식사후 출발</t>
    <phoneticPr fontId="3" type="noConversion"/>
  </si>
  <si>
    <t>9*10황(0.75T)</t>
    <phoneticPr fontId="3" type="noConversion"/>
  </si>
  <si>
    <t>18*21친환경</t>
    <phoneticPr fontId="3" type="noConversion"/>
  </si>
  <si>
    <t>화</t>
    <phoneticPr fontId="3" type="noConversion"/>
  </si>
  <si>
    <t>power박스</t>
    <phoneticPr fontId="3" type="noConversion"/>
  </si>
  <si>
    <t>6*10백</t>
    <phoneticPr fontId="3" type="noConversion"/>
  </si>
  <si>
    <t>20롤</t>
    <phoneticPr fontId="3" type="noConversion"/>
  </si>
  <si>
    <t>대신택배</t>
    <phoneticPr fontId="3" type="noConversion"/>
  </si>
  <si>
    <t>남창</t>
    <phoneticPr fontId="3" type="noConversion"/>
  </si>
  <si>
    <t>월</t>
    <phoneticPr fontId="3" type="noConversion"/>
  </si>
  <si>
    <t>28*2백(24kg)</t>
    <phoneticPr fontId="3" type="noConversion"/>
  </si>
  <si>
    <t>에이비엘</t>
    <phoneticPr fontId="3" type="noConversion"/>
  </si>
  <si>
    <t>3.3톤</t>
    <phoneticPr fontId="3" type="noConversion"/>
  </si>
  <si>
    <t>목</t>
    <phoneticPr fontId="3" type="noConversion"/>
  </si>
  <si>
    <t>청정원 순창</t>
    <phoneticPr fontId="3" type="noConversion"/>
  </si>
  <si>
    <t>PE백색 15박스 반품</t>
    <phoneticPr fontId="3" type="noConversion"/>
  </si>
  <si>
    <t>신광포장기계</t>
    <phoneticPr fontId="3" type="noConversion"/>
  </si>
  <si>
    <t>12*10황(0.65T)</t>
    <phoneticPr fontId="3" type="noConversion"/>
  </si>
  <si>
    <t>10롤</t>
    <phoneticPr fontId="3" type="noConversion"/>
  </si>
  <si>
    <t>방문출고</t>
    <phoneticPr fontId="3" type="noConversion"/>
  </si>
  <si>
    <t>18*21투명</t>
    <phoneticPr fontId="3" type="noConversion"/>
  </si>
  <si>
    <t>1롤</t>
    <phoneticPr fontId="3" type="noConversion"/>
  </si>
  <si>
    <t>한남포장</t>
    <phoneticPr fontId="3" type="noConversion"/>
  </si>
  <si>
    <t>50박스</t>
    <phoneticPr fontId="3" type="noConversion"/>
  </si>
  <si>
    <t>오전1착</t>
    <phoneticPr fontId="3" type="noConversion"/>
  </si>
  <si>
    <t>10개</t>
    <phoneticPr fontId="3" type="noConversion"/>
  </si>
  <si>
    <t>power박스 빈박스</t>
    <phoneticPr fontId="3" type="noConversion"/>
  </si>
  <si>
    <t>지방합화차착불</t>
    <phoneticPr fontId="3" type="noConversion"/>
  </si>
  <si>
    <t>128롤</t>
    <phoneticPr fontId="3" type="noConversion"/>
  </si>
  <si>
    <t>15*10황</t>
    <phoneticPr fontId="3" type="noConversion"/>
  </si>
  <si>
    <t>64롤</t>
    <phoneticPr fontId="3" type="noConversion"/>
  </si>
  <si>
    <t>9*10투명(0.75T)</t>
    <phoneticPr fontId="3" type="noConversion"/>
  </si>
  <si>
    <t>56롤</t>
    <phoneticPr fontId="3" type="noConversion"/>
  </si>
  <si>
    <t>경인팩</t>
    <phoneticPr fontId="3" type="noConversion"/>
  </si>
  <si>
    <t>8박스</t>
    <phoneticPr fontId="3" type="noConversion"/>
  </si>
  <si>
    <t>대신택배</t>
    <phoneticPr fontId="3" type="noConversion"/>
  </si>
  <si>
    <t>대전시 유성구 학하남로 99번길 6-1  다기토계란  010-3430-0990</t>
    <phoneticPr fontId="3" type="noConversion"/>
  </si>
  <si>
    <t>14*10적</t>
    <phoneticPr fontId="3" type="noConversion"/>
  </si>
  <si>
    <t>22롤</t>
    <phoneticPr fontId="3" type="noConversion"/>
  </si>
  <si>
    <t>청정원 규격</t>
    <phoneticPr fontId="3" type="noConversion"/>
  </si>
  <si>
    <t>15*10황(0.65T)</t>
    <phoneticPr fontId="3" type="noConversion"/>
  </si>
  <si>
    <t>10롤</t>
    <phoneticPr fontId="3" type="noConversion"/>
  </si>
  <si>
    <t>1파레트 4줄로 만들기
대신택배</t>
    <phoneticPr fontId="3" type="noConversion"/>
  </si>
  <si>
    <t>경기도 용인서 처인구 원삼면 원앙로78 호맘화구 031-338-8648</t>
    <phoneticPr fontId="3" type="noConversion"/>
  </si>
  <si>
    <t>유일</t>
    <phoneticPr fontId="3" type="noConversion"/>
  </si>
  <si>
    <t>64박스</t>
    <phoneticPr fontId="3" type="noConversion"/>
  </si>
  <si>
    <t>power박스</t>
    <phoneticPr fontId="3" type="noConversion"/>
  </si>
  <si>
    <t>동원팩</t>
    <phoneticPr fontId="3" type="noConversion"/>
  </si>
  <si>
    <t>PE28*6백</t>
    <phoneticPr fontId="3" type="noConversion"/>
  </si>
  <si>
    <t>50롤</t>
    <phoneticPr fontId="3" type="noConversion"/>
  </si>
  <si>
    <t>5박스</t>
    <phoneticPr fontId="3" type="noConversion"/>
  </si>
  <si>
    <t>1박스</t>
    <phoneticPr fontId="3" type="noConversion"/>
  </si>
  <si>
    <t>삼성</t>
    <phoneticPr fontId="3" type="noConversion"/>
  </si>
  <si>
    <t>18*21친환경</t>
    <phoneticPr fontId="3" type="noConversion"/>
  </si>
  <si>
    <t>184롤</t>
    <phoneticPr fontId="3" type="noConversion"/>
  </si>
  <si>
    <t>오후</t>
    <phoneticPr fontId="3" type="noConversion"/>
  </si>
  <si>
    <t>kic박스</t>
    <phoneticPr fontId="3" type="noConversion"/>
  </si>
  <si>
    <t>동방포장</t>
    <phoneticPr fontId="3" type="noConversion"/>
  </si>
  <si>
    <t>12*10황(0.75T)</t>
    <phoneticPr fontId="3" type="noConversion"/>
  </si>
  <si>
    <t>80롤</t>
    <phoneticPr fontId="3" type="noConversion"/>
  </si>
  <si>
    <t>방문출고</t>
    <phoneticPr fontId="3" type="noConversion"/>
  </si>
  <si>
    <t>20"(오전10시)</t>
    <phoneticPr fontId="3" type="noConversion"/>
  </si>
  <si>
    <t>1박스</t>
    <phoneticPr fontId="3" type="noConversion"/>
  </si>
  <si>
    <t>경기도 파주시 월롱면 누현길 92-2 (월롱면) 티메카공구상가 D동 109호 제일축산(이용락) 010-5415-4594</t>
    <phoneticPr fontId="3" type="noConversion"/>
  </si>
  <si>
    <t>power박스</t>
    <phoneticPr fontId="3" type="noConversion"/>
  </si>
  <si>
    <t>경성상사</t>
    <phoneticPr fontId="3" type="noConversion"/>
  </si>
  <si>
    <t>15*10황(0.65T)</t>
    <phoneticPr fontId="3" type="noConversion"/>
  </si>
  <si>
    <t>2롤</t>
    <phoneticPr fontId="3" type="noConversion"/>
  </si>
  <si>
    <t>2400원/kg</t>
    <phoneticPr fontId="3" type="noConversion"/>
  </si>
  <si>
    <t>대신택배착불</t>
    <phoneticPr fontId="3" type="noConversion"/>
  </si>
  <si>
    <t>하스콥스</t>
  </si>
  <si>
    <t>10롤</t>
    <phoneticPr fontId="3" type="noConversion"/>
  </si>
  <si>
    <t>2롤5묶음</t>
    <phoneticPr fontId="3" type="noConversion"/>
  </si>
  <si>
    <t>대신택배착불</t>
    <phoneticPr fontId="3" type="noConversion"/>
  </si>
  <si>
    <t>1850원/kg</t>
    <phoneticPr fontId="3" type="noConversion"/>
  </si>
  <si>
    <t>인천광역시 강화군 불은면 삼동암길 168 (불은면, 소원농장) 소원농장 최광헌 010-3104-1423</t>
    <phoneticPr fontId="3" type="noConversion"/>
  </si>
  <si>
    <t>19*0.9t*1200m 검정</t>
    <phoneticPr fontId="3" type="noConversion"/>
  </si>
  <si>
    <t>일산</t>
    <phoneticPr fontId="3" type="noConversion"/>
  </si>
  <si>
    <t>12*9.5황</t>
    <phoneticPr fontId="3" type="noConversion"/>
  </si>
  <si>
    <t>100롤</t>
    <phoneticPr fontId="3" type="noConversion"/>
  </si>
  <si>
    <t>오전1착</t>
    <phoneticPr fontId="3" type="noConversion"/>
  </si>
  <si>
    <t>용차</t>
    <phoneticPr fontId="3" type="noConversion"/>
  </si>
  <si>
    <t>10박스</t>
    <phoneticPr fontId="3" type="noConversion"/>
  </si>
  <si>
    <t>13롤</t>
    <phoneticPr fontId="3" type="noConversion"/>
  </si>
  <si>
    <t>신광포장기계</t>
    <phoneticPr fontId="3" type="noConversion"/>
  </si>
  <si>
    <t>PE28*6백</t>
    <phoneticPr fontId="3" type="noConversion"/>
  </si>
  <si>
    <t>주신산업</t>
    <phoneticPr fontId="3" type="noConversion"/>
  </si>
  <si>
    <t>경기도 포천시 가산면 유교로 34-10 (가산면) .박희철  010-4769-3101  배송메시지 34-10 창고건물입니다 출입문앞에 두시면 됩니다</t>
    <phoneticPr fontId="3" type="noConversion"/>
  </si>
  <si>
    <t>12*10황(B품)</t>
    <phoneticPr fontId="3" type="noConversion"/>
  </si>
  <si>
    <t>17롤</t>
    <phoneticPr fontId="3" type="noConversion"/>
  </si>
  <si>
    <t>12*10황(0.65T)</t>
    <phoneticPr fontId="3" type="noConversion"/>
  </si>
  <si>
    <t>15롤</t>
    <phoneticPr fontId="3" type="noConversion"/>
  </si>
  <si>
    <t>12*11투명(B품)</t>
    <phoneticPr fontId="3" type="noConversion"/>
  </si>
  <si>
    <t>10박스</t>
    <phoneticPr fontId="3" type="noConversion"/>
  </si>
  <si>
    <t>3박스</t>
    <phoneticPr fontId="3" type="noConversion"/>
  </si>
  <si>
    <t>전주삼신산업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</si>
  <si>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</si>
  <si>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</si>
  <si>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</si>
  <si>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48롤</t>
    <phoneticPr fontId="3" type="noConversion"/>
  </si>
  <si>
    <t>수동엠보</t>
    <phoneticPr fontId="3" type="noConversion"/>
  </si>
  <si>
    <t>대신택배</t>
    <phoneticPr fontId="3" type="noConversion"/>
  </si>
  <si>
    <t>16*10황</t>
    <phoneticPr fontId="3" type="noConversion"/>
  </si>
  <si>
    <t>경기도 안성시 양성면 덕봉리85-4 수리산업 031 672 2127</t>
    <phoneticPr fontId="3" type="noConversion"/>
  </si>
  <si>
    <t>영화수출포장</t>
    <phoneticPr fontId="3" type="noConversion"/>
  </si>
  <si>
    <t>PE50*5백</t>
    <phoneticPr fontId="3" type="noConversion"/>
  </si>
  <si>
    <t>30박스</t>
    <phoneticPr fontId="3" type="noConversion"/>
  </si>
  <si>
    <t>7*10백</t>
    <phoneticPr fontId="3" type="noConversion"/>
  </si>
  <si>
    <t>10롤</t>
    <phoneticPr fontId="3" type="noConversion"/>
  </si>
  <si>
    <t>18박스</t>
    <phoneticPr fontId="3" type="noConversion"/>
  </si>
  <si>
    <t>power박스</t>
    <phoneticPr fontId="3" type="noConversion"/>
  </si>
  <si>
    <t>6*10백</t>
    <phoneticPr fontId="3" type="noConversion"/>
  </si>
  <si>
    <t>50롤</t>
    <phoneticPr fontId="3" type="noConversion"/>
  </si>
  <si>
    <t>용차</t>
    <phoneticPr fontId="3" type="noConversion"/>
  </si>
  <si>
    <t>파워엠팩</t>
    <phoneticPr fontId="3" type="noConversion"/>
  </si>
  <si>
    <t>수원 애니웰</t>
    <phoneticPr fontId="3" type="noConversion"/>
  </si>
  <si>
    <t>파워엠팩</t>
    <phoneticPr fontId="3" type="noConversion"/>
  </si>
  <si>
    <t>160롤</t>
    <phoneticPr fontId="3" type="noConversion"/>
  </si>
  <si>
    <t>유일</t>
    <phoneticPr fontId="3" type="noConversion"/>
  </si>
  <si>
    <t>PE28*2백</t>
    <phoneticPr fontId="3" type="noConversion"/>
  </si>
  <si>
    <t>32박스</t>
    <phoneticPr fontId="3" type="noConversion"/>
  </si>
  <si>
    <t>무지박스</t>
    <phoneticPr fontId="3" type="noConversion"/>
  </si>
  <si>
    <t>kpp빨강</t>
    <phoneticPr fontId="3" type="noConversion"/>
  </si>
  <si>
    <t>합동포장</t>
    <phoneticPr fontId="3" type="noConversion"/>
  </si>
  <si>
    <t>PE28*2벡</t>
    <phoneticPr fontId="3" type="noConversion"/>
  </si>
  <si>
    <t>5박스</t>
    <phoneticPr fontId="3" type="noConversion"/>
  </si>
  <si>
    <t>스피드랩</t>
    <phoneticPr fontId="3" type="noConversion"/>
  </si>
  <si>
    <t>6*10백</t>
    <phoneticPr fontId="3" type="noConversion"/>
  </si>
  <si>
    <t>64롤</t>
    <phoneticPr fontId="3" type="noConversion"/>
  </si>
  <si>
    <t>삼성</t>
    <phoneticPr fontId="3" type="noConversion"/>
  </si>
  <si>
    <t>18*21친환경</t>
    <phoneticPr fontId="3" type="noConversion"/>
  </si>
  <si>
    <t>4롤</t>
    <phoneticPr fontId="3" type="noConversion"/>
  </si>
  <si>
    <t>진송팩</t>
    <phoneticPr fontId="3" type="noConversion"/>
  </si>
  <si>
    <t>PE28*2청</t>
    <phoneticPr fontId="3" type="noConversion"/>
  </si>
  <si>
    <t>3박스</t>
    <phoneticPr fontId="3" type="noConversion"/>
  </si>
  <si>
    <t>로젠택배</t>
    <phoneticPr fontId="3" type="noConversion"/>
  </si>
  <si>
    <t>경기도 양주시 남면 31로 916-60 흥한농원 010-3739-9966</t>
    <phoneticPr fontId="3" type="noConversion"/>
  </si>
  <si>
    <t>로젠택배착불</t>
    <phoneticPr fontId="3" type="noConversion"/>
  </si>
  <si>
    <t>신광포장기계</t>
    <phoneticPr fontId="3" type="noConversion"/>
  </si>
  <si>
    <t>15*10청(0.65T)</t>
    <phoneticPr fontId="3" type="noConversion"/>
  </si>
  <si>
    <t>20롤</t>
    <phoneticPr fontId="3" type="noConversion"/>
  </si>
  <si>
    <t>김해제일포장</t>
    <phoneticPr fontId="3" type="noConversion"/>
  </si>
  <si>
    <t>PE28*2녹</t>
    <phoneticPr fontId="3" type="noConversion"/>
  </si>
  <si>
    <t>PE28*2황</t>
    <phoneticPr fontId="3" type="noConversion"/>
  </si>
  <si>
    <t>16박스</t>
    <phoneticPr fontId="3" type="noConversion"/>
  </si>
  <si>
    <t>1박스</t>
    <phoneticPr fontId="3" type="noConversion"/>
  </si>
  <si>
    <t>39박스</t>
    <phoneticPr fontId="3" type="noConversion"/>
  </si>
  <si>
    <t>미국박스</t>
    <phoneticPr fontId="3" type="noConversion"/>
  </si>
  <si>
    <t>신한포장기계</t>
    <phoneticPr fontId="3" type="noConversion"/>
  </si>
  <si>
    <t>지방합화차</t>
    <phoneticPr fontId="3" type="noConversion"/>
  </si>
  <si>
    <t>금산포장</t>
    <phoneticPr fontId="3" type="noConversion"/>
  </si>
  <si>
    <t>50롤</t>
    <phoneticPr fontId="3" type="noConversion"/>
  </si>
  <si>
    <t>삼성</t>
    <phoneticPr fontId="3" type="noConversion"/>
  </si>
  <si>
    <t>37롤</t>
    <phoneticPr fontId="3" type="noConversion"/>
  </si>
  <si>
    <t>6*10백</t>
    <phoneticPr fontId="3" type="noConversion"/>
  </si>
  <si>
    <t>64롤</t>
    <phoneticPr fontId="3" type="noConversion"/>
  </si>
  <si>
    <t>동원팩</t>
    <phoneticPr fontId="3" type="noConversion"/>
  </si>
  <si>
    <t>6*10백</t>
    <phoneticPr fontId="3" type="noConversion"/>
  </si>
  <si>
    <t>색깔 안좋은거</t>
    <phoneticPr fontId="3" type="noConversion"/>
  </si>
  <si>
    <t>20롤</t>
    <phoneticPr fontId="3" type="noConversion"/>
  </si>
  <si>
    <t>정상</t>
    <phoneticPr fontId="3" type="noConversion"/>
  </si>
  <si>
    <t>수작업</t>
    <phoneticPr fontId="3" type="noConversion"/>
  </si>
  <si>
    <t>9.5톤</t>
    <phoneticPr fontId="3" type="noConversion"/>
  </si>
  <si>
    <t>20"(오전10시)</t>
    <phoneticPr fontId="3" type="noConversion"/>
  </si>
  <si>
    <t>108롤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</si>
  <si>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</si>
  <si>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</si>
  <si>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</si>
  <si>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삼성</t>
    <phoneticPr fontId="3" type="noConversion"/>
  </si>
  <si>
    <t>18*21친환경</t>
    <phoneticPr fontId="3" type="noConversion"/>
  </si>
  <si>
    <t>방문출고</t>
    <phoneticPr fontId="3" type="noConversion"/>
  </si>
  <si>
    <t>15*10황(솔표인쇄밴드)</t>
    <phoneticPr fontId="3" type="noConversion"/>
  </si>
  <si>
    <t>50롤</t>
    <phoneticPr fontId="3" type="noConversion"/>
  </si>
  <si>
    <t>12*12.5황</t>
    <phoneticPr fontId="3" type="noConversion"/>
  </si>
  <si>
    <t>40롤</t>
    <phoneticPr fontId="3" type="noConversion"/>
  </si>
  <si>
    <t>12*10황(0.65T)</t>
    <phoneticPr fontId="3" type="noConversion"/>
  </si>
  <si>
    <t>32롤</t>
    <phoneticPr fontId="3" type="noConversion"/>
  </si>
  <si>
    <t>빨간밴딩/패드갈이</t>
    <phoneticPr fontId="3" type="noConversion"/>
  </si>
  <si>
    <t>세화종합상사</t>
    <phoneticPr fontId="3" type="noConversion"/>
  </si>
  <si>
    <t>2박스</t>
    <phoneticPr fontId="3" type="noConversion"/>
  </si>
  <si>
    <t>power박스</t>
    <phoneticPr fontId="3" type="noConversion"/>
  </si>
  <si>
    <t>대신화물착불</t>
    <phoneticPr fontId="3" type="noConversion"/>
  </si>
  <si>
    <t>50박스</t>
    <phoneticPr fontId="3" type="noConversion"/>
  </si>
  <si>
    <t>우선산업</t>
    <phoneticPr fontId="3" type="noConversion"/>
  </si>
  <si>
    <t>PE50*4.7백</t>
    <phoneticPr fontId="3" type="noConversion"/>
  </si>
  <si>
    <t>2파레트로/신일농장</t>
    <phoneticPr fontId="3" type="noConversion"/>
  </si>
  <si>
    <t>동해우드</t>
    <phoneticPr fontId="3" type="noConversion"/>
  </si>
  <si>
    <t>15*9황(0.65T)</t>
    <phoneticPr fontId="3" type="noConversion"/>
  </si>
  <si>
    <t>41롤</t>
    <phoneticPr fontId="3" type="noConversion"/>
  </si>
  <si>
    <t>12*8.5황(0.65T)</t>
    <phoneticPr fontId="3" type="noConversion"/>
  </si>
  <si>
    <t>64롤</t>
    <phoneticPr fontId="3" type="noConversion"/>
  </si>
  <si>
    <t>경인팩</t>
    <phoneticPr fontId="3" type="noConversion"/>
  </si>
  <si>
    <t>168롤</t>
    <phoneticPr fontId="3" type="noConversion"/>
  </si>
  <si>
    <t>12*12.5황</t>
    <phoneticPr fontId="3" type="noConversion"/>
  </si>
  <si>
    <t>2롤</t>
    <phoneticPr fontId="3" type="noConversion"/>
  </si>
  <si>
    <t>PE28*2백</t>
    <phoneticPr fontId="3" type="noConversion"/>
  </si>
  <si>
    <t>32박스</t>
    <phoneticPr fontId="3" type="noConversion"/>
  </si>
  <si>
    <t>PE28*6백</t>
    <phoneticPr fontId="3" type="noConversion"/>
  </si>
  <si>
    <t>58박스</t>
    <phoneticPr fontId="3" type="noConversion"/>
  </si>
  <si>
    <t>나무파렛트</t>
    <phoneticPr fontId="3" type="noConversion"/>
  </si>
  <si>
    <t>3장</t>
    <phoneticPr fontId="3" type="noConversion"/>
  </si>
  <si>
    <t>오전용차</t>
    <phoneticPr fontId="3" type="noConversion"/>
  </si>
  <si>
    <t>낙원포장</t>
    <phoneticPr fontId="3" type="noConversion"/>
  </si>
  <si>
    <t>12*12.5백</t>
    <phoneticPr fontId="3" type="noConversion"/>
  </si>
  <si>
    <t>640롤</t>
    <phoneticPr fontId="3" type="noConversion"/>
  </si>
  <si>
    <t>12*10황(0.8T)</t>
    <phoneticPr fontId="3" type="noConversion"/>
  </si>
  <si>
    <t>화살표 있는거</t>
    <phoneticPr fontId="3" type="noConversion"/>
  </si>
  <si>
    <t>전표 5/1</t>
    <phoneticPr fontId="3" type="noConversion"/>
  </si>
  <si>
    <t>359롤</t>
    <phoneticPr fontId="3" type="noConversion"/>
  </si>
  <si>
    <t>동신밴드</t>
    <phoneticPr fontId="3" type="noConversion"/>
  </si>
  <si>
    <t>18*21친환경</t>
    <phoneticPr fontId="3" type="noConversion"/>
  </si>
  <si>
    <t>1롤</t>
    <phoneticPr fontId="3" type="noConversion"/>
  </si>
  <si>
    <t>대신택배착불</t>
    <phoneticPr fontId="3" type="noConversion"/>
  </si>
  <si>
    <t>태양지대</t>
    <phoneticPr fontId="3" type="noConversion"/>
  </si>
  <si>
    <t>20박스</t>
    <phoneticPr fontId="3" type="noConversion"/>
  </si>
  <si>
    <t>진송팩</t>
    <phoneticPr fontId="3" type="noConversion"/>
  </si>
  <si>
    <t>16박스</t>
    <phoneticPr fontId="3" type="noConversion"/>
  </si>
  <si>
    <t>대신택배</t>
    <phoneticPr fontId="3" type="noConversion"/>
  </si>
  <si>
    <t>나무파레트</t>
    <phoneticPr fontId="3" type="noConversion"/>
  </si>
  <si>
    <t>200롤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</si>
  <si>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</si>
  <si>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</si>
  <si>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</si>
  <si>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경북 안동시 풍산읍 본마을길137  위생세탁공장 김지영 010-3525-2621</t>
  </si>
  <si>
    <t>지방합화차</t>
    <phoneticPr fontId="3" type="noConversion"/>
  </si>
  <si>
    <t>합동포장기계</t>
    <phoneticPr fontId="3" type="noConversion"/>
  </si>
  <si>
    <t>12*12.5황</t>
    <phoneticPr fontId="3" type="noConversion"/>
  </si>
  <si>
    <t>150롤</t>
    <phoneticPr fontId="3" type="noConversion"/>
  </si>
  <si>
    <t>15*13황</t>
    <phoneticPr fontId="3" type="noConversion"/>
  </si>
  <si>
    <t>12*10황(0.75T)</t>
    <phoneticPr fontId="3" type="noConversion"/>
  </si>
  <si>
    <t>6*10백</t>
    <phoneticPr fontId="3" type="noConversion"/>
  </si>
  <si>
    <t>12*12.5투명</t>
    <phoneticPr fontId="3" type="noConversion"/>
  </si>
  <si>
    <t>30롤</t>
    <phoneticPr fontId="3" type="noConversion"/>
  </si>
  <si>
    <t>20롤</t>
    <phoneticPr fontId="3" type="noConversion"/>
  </si>
  <si>
    <t>20롤</t>
    <phoneticPr fontId="3" type="noConversion"/>
  </si>
  <si>
    <t>10롤</t>
    <phoneticPr fontId="3" type="noConversion"/>
  </si>
  <si>
    <t>50박스</t>
    <phoneticPr fontId="3" type="noConversion"/>
  </si>
  <si>
    <t>kic박스</t>
    <phoneticPr fontId="3" type="noConversion"/>
  </si>
  <si>
    <t>9*11은회색</t>
    <phoneticPr fontId="3" type="noConversion"/>
  </si>
  <si>
    <t>128롤</t>
    <phoneticPr fontId="3" type="noConversion"/>
  </si>
  <si>
    <t>다오</t>
    <phoneticPr fontId="3" type="noConversion"/>
  </si>
  <si>
    <t>용차</t>
    <phoneticPr fontId="3" type="noConversion"/>
  </si>
  <si>
    <t>충남 천안시 서북구 성거읍 천홍리 316-9 삼보제이케이 010-9905-1095</t>
    <phoneticPr fontId="3" type="noConversion"/>
  </si>
  <si>
    <t>진송팩</t>
    <phoneticPr fontId="3" type="noConversion"/>
  </si>
  <si>
    <t>PE28*2황</t>
    <phoneticPr fontId="3" type="noConversion"/>
  </si>
  <si>
    <t>20박스</t>
    <phoneticPr fontId="3" type="noConversion"/>
  </si>
  <si>
    <t>30박스</t>
    <phoneticPr fontId="3" type="noConversion"/>
  </si>
  <si>
    <t>power박스</t>
    <phoneticPr fontId="3" type="noConversion"/>
  </si>
  <si>
    <t>12*10황(0.85t)</t>
    <phoneticPr fontId="3" type="noConversion"/>
  </si>
  <si>
    <t>B품재고 모두</t>
    <phoneticPr fontId="3" type="noConversion"/>
  </si>
  <si>
    <t>김규현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</si>
  <si>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</si>
  <si>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</si>
  <si>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</si>
  <si>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</si>
  <si>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현진</t>
    <phoneticPr fontId="3" type="noConversion"/>
  </si>
  <si>
    <t>카본밴드 샘플</t>
    <phoneticPr fontId="3" type="noConversion"/>
  </si>
  <si>
    <t>9롤</t>
    <phoneticPr fontId="3" type="noConversion"/>
  </si>
  <si>
    <t>용차</t>
    <phoneticPr fontId="3" type="noConversion"/>
  </si>
  <si>
    <t>용차</t>
    <phoneticPr fontId="3" type="noConversion"/>
  </si>
  <si>
    <t>삼성</t>
    <phoneticPr fontId="3" type="noConversion"/>
  </si>
  <si>
    <t>18*21친환경</t>
    <phoneticPr fontId="3" type="noConversion"/>
  </si>
  <si>
    <t>93롤</t>
    <phoneticPr fontId="3" type="noConversion"/>
  </si>
  <si>
    <t>50롤</t>
    <phoneticPr fontId="3" type="noConversion"/>
  </si>
  <si>
    <t>15*10황(0.65T)</t>
    <phoneticPr fontId="3" type="noConversion"/>
  </si>
  <si>
    <t>삼성</t>
    <phoneticPr fontId="3" type="noConversion"/>
  </si>
  <si>
    <t>18*21친환경</t>
    <phoneticPr fontId="3" type="noConversion"/>
  </si>
  <si>
    <t>경인산업</t>
    <phoneticPr fontId="3" type="noConversion"/>
  </si>
  <si>
    <t>56롤</t>
    <phoneticPr fontId="3" type="noConversion"/>
  </si>
  <si>
    <t>56롤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</si>
  <si>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</si>
  <si>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</si>
  <si>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</si>
  <si>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PE28*6백</t>
    <phoneticPr fontId="3" type="noConversion"/>
  </si>
  <si>
    <t>32박스</t>
    <phoneticPr fontId="3" type="noConversion"/>
  </si>
  <si>
    <t>24박스</t>
    <phoneticPr fontId="3" type="noConversion"/>
  </si>
  <si>
    <t>대한불소</t>
    <phoneticPr fontId="3" type="noConversion"/>
  </si>
  <si>
    <t>15*10황(0.8T)</t>
    <phoneticPr fontId="3" type="noConversion"/>
  </si>
  <si>
    <t>10롤</t>
    <phoneticPr fontId="3" type="noConversion"/>
  </si>
  <si>
    <t>월</t>
    <phoneticPr fontId="3" type="noConversion"/>
  </si>
  <si>
    <t>12롤</t>
    <phoneticPr fontId="3" type="noConversion"/>
  </si>
  <si>
    <t>100롤</t>
    <phoneticPr fontId="3" type="noConversion"/>
  </si>
  <si>
    <t>일산</t>
    <phoneticPr fontId="3" type="noConversion"/>
  </si>
  <si>
    <t>한길포장</t>
    <phoneticPr fontId="3" type="noConversion"/>
  </si>
  <si>
    <t>55롤</t>
    <phoneticPr fontId="3" type="noConversion"/>
  </si>
  <si>
    <t>3박스</t>
    <phoneticPr fontId="3" type="noConversion"/>
  </si>
  <si>
    <t>임승진 연차</t>
    <phoneticPr fontId="3" type="noConversion"/>
  </si>
  <si>
    <t>싸이클롭</t>
    <phoneticPr fontId="3" type="noConversion"/>
  </si>
  <si>
    <t>수작업</t>
    <phoneticPr fontId="3" type="noConversion"/>
  </si>
  <si>
    <t>40"(오전10시)</t>
    <phoneticPr fontId="3" type="noConversion"/>
  </si>
  <si>
    <t>104롤</t>
    <phoneticPr fontId="3" type="noConversion"/>
  </si>
  <si>
    <t>12*10녹(0.8T)</t>
    <phoneticPr fontId="3" type="noConversion"/>
  </si>
  <si>
    <t>4롤</t>
    <phoneticPr fontId="3" type="noConversion"/>
  </si>
  <si>
    <t>2롤씩 2묶음</t>
    <phoneticPr fontId="3" type="noConversion"/>
  </si>
  <si>
    <t>대신택배</t>
    <phoneticPr fontId="3" type="noConversion"/>
  </si>
  <si>
    <t>2,500원/kg</t>
    <phoneticPr fontId="3" type="noConversion"/>
  </si>
  <si>
    <t>신우교역</t>
    <phoneticPr fontId="3" type="noConversion"/>
  </si>
  <si>
    <t>12*10황(0.8T)</t>
    <phoneticPr fontId="3" type="noConversion"/>
  </si>
  <si>
    <t>100롤</t>
    <phoneticPr fontId="3" type="noConversion"/>
  </si>
  <si>
    <t>한국스미더스</t>
    <phoneticPr fontId="3" type="noConversion"/>
  </si>
  <si>
    <t>수</t>
    <phoneticPr fontId="3" type="noConversion"/>
  </si>
  <si>
    <t>목</t>
    <phoneticPr fontId="3" type="noConversion"/>
  </si>
  <si>
    <t>보림에스앤피</t>
    <phoneticPr fontId="3" type="noConversion"/>
  </si>
  <si>
    <t>대성씨앤씨</t>
    <phoneticPr fontId="3" type="noConversion"/>
  </si>
  <si>
    <t>1공장</t>
    <phoneticPr fontId="3" type="noConversion"/>
  </si>
  <si>
    <t>오전</t>
    <phoneticPr fontId="3" type="noConversion"/>
  </si>
  <si>
    <t>용차</t>
    <phoneticPr fontId="3" type="noConversion"/>
  </si>
  <si>
    <t>광림포장기계</t>
    <phoneticPr fontId="3" type="noConversion"/>
  </si>
  <si>
    <t>9*10황(0.75T)</t>
    <phoneticPr fontId="3" type="noConversion"/>
  </si>
  <si>
    <t>128롤</t>
    <phoneticPr fontId="3" type="noConversion"/>
  </si>
  <si>
    <t>12*10황</t>
    <phoneticPr fontId="3" type="noConversion"/>
  </si>
  <si>
    <t>64롤</t>
    <phoneticPr fontId="3" type="noConversion"/>
  </si>
  <si>
    <t>같이</t>
    <phoneticPr fontId="3" type="noConversion"/>
  </si>
  <si>
    <t>경인팩</t>
    <phoneticPr fontId="3" type="noConversion"/>
  </si>
  <si>
    <t>20박스</t>
    <phoneticPr fontId="3" type="noConversion"/>
  </si>
  <si>
    <t>대신택배</t>
    <phoneticPr fontId="3" type="noConversion"/>
  </si>
  <si>
    <t>강원도 정선군 사북읍 사북중앙로 59  충북종합철물건재상사  033-592-2032</t>
    <phoneticPr fontId="3" type="noConversion"/>
  </si>
  <si>
    <t>삼성</t>
    <phoneticPr fontId="3" type="noConversion"/>
  </si>
  <si>
    <t>18*21친환경</t>
    <phoneticPr fontId="3" type="noConversion"/>
  </si>
  <si>
    <t>신광포장</t>
    <phoneticPr fontId="3" type="noConversion"/>
  </si>
  <si>
    <t>PE28*2황</t>
    <phoneticPr fontId="3" type="noConversion"/>
  </si>
  <si>
    <t>15박스</t>
    <phoneticPr fontId="3" type="noConversion"/>
  </si>
  <si>
    <t>PE28*2백</t>
    <phoneticPr fontId="3" type="noConversion"/>
  </si>
  <si>
    <t>20박스</t>
    <phoneticPr fontId="3" type="noConversion"/>
  </si>
  <si>
    <t>15*10황(0.65T)</t>
    <phoneticPr fontId="3" type="noConversion"/>
  </si>
  <si>
    <t>50롤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</si>
  <si>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</si>
  <si>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</si>
  <si>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</si>
  <si>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</si>
  <si>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용인시 처인구 원삼면 미평리 163-2  세례유정란 010-2794-6570 /031-312-5603</t>
    <phoneticPr fontId="3" type="noConversion"/>
  </si>
  <si>
    <t>오전</t>
    <phoneticPr fontId="3" type="noConversion"/>
  </si>
  <si>
    <t xml:space="preserve">세례유정란 </t>
    <phoneticPr fontId="3" type="noConversion"/>
  </si>
  <si>
    <t>010-2794-6570 /031-312-5603</t>
  </si>
  <si>
    <t xml:space="preserve">미평리 163-2  </t>
  </si>
  <si>
    <t xml:space="preserve">경기도 용인시 처인구 원삼면 </t>
    <phoneticPr fontId="3" type="noConversion"/>
  </si>
  <si>
    <t>PE28*2백</t>
    <phoneticPr fontId="3" type="noConversion"/>
  </si>
  <si>
    <t>32박스</t>
    <phoneticPr fontId="3" type="noConversion"/>
  </si>
  <si>
    <t>power박스</t>
    <phoneticPr fontId="3" type="noConversion"/>
  </si>
  <si>
    <t>대전인재사</t>
    <phoneticPr fontId="3" type="noConversion"/>
  </si>
  <si>
    <t>2박스</t>
    <phoneticPr fontId="3" type="noConversion"/>
  </si>
  <si>
    <t>kic박스</t>
    <phoneticPr fontId="3" type="noConversion"/>
  </si>
  <si>
    <t>대한종합포장</t>
    <phoneticPr fontId="3" type="noConversion"/>
  </si>
  <si>
    <t>12*10백(0.8T)</t>
    <phoneticPr fontId="3" type="noConversion"/>
  </si>
  <si>
    <t>50롤</t>
    <phoneticPr fontId="3" type="noConversion"/>
  </si>
  <si>
    <t>위 30롤 / 아래 20롤</t>
    <phoneticPr fontId="3" type="noConversion"/>
  </si>
  <si>
    <t>전주삼신산업</t>
    <phoneticPr fontId="3" type="noConversion"/>
  </si>
  <si>
    <t>10박스</t>
    <phoneticPr fontId="3" type="noConversion"/>
  </si>
  <si>
    <t>15*10황(0.65T)</t>
    <phoneticPr fontId="3" type="noConversion"/>
  </si>
  <si>
    <t>20롤</t>
    <phoneticPr fontId="3" type="noConversion"/>
  </si>
  <si>
    <t>9*10황</t>
    <phoneticPr fontId="3" type="noConversion"/>
  </si>
  <si>
    <t>20롤</t>
    <phoneticPr fontId="3" type="noConversion"/>
  </si>
  <si>
    <t>10롤</t>
    <phoneticPr fontId="3" type="noConversion"/>
  </si>
  <si>
    <t>용차</t>
    <phoneticPr fontId="3" type="noConversion"/>
  </si>
  <si>
    <t>단가확인</t>
    <phoneticPr fontId="3" type="noConversion"/>
  </si>
  <si>
    <t>용차</t>
    <phoneticPr fontId="3" type="noConversion"/>
  </si>
  <si>
    <t>12*9황(0.65T)</t>
    <phoneticPr fontId="3" type="noConversion"/>
  </si>
  <si>
    <t>대신화물착불</t>
    <phoneticPr fontId="3" type="noConversion"/>
  </si>
  <si>
    <t>스피드랩코리아</t>
    <phoneticPr fontId="3" type="noConversion"/>
  </si>
  <si>
    <t>162롤</t>
    <phoneticPr fontId="3" type="noConversion"/>
  </si>
  <si>
    <t>9롤*9단=81롤*2파레트
나무파레트</t>
    <phoneticPr fontId="3" type="noConversion"/>
  </si>
  <si>
    <t>동서포장</t>
    <phoneticPr fontId="3" type="noConversion"/>
  </si>
  <si>
    <t>10박스</t>
    <phoneticPr fontId="3" type="noConversion"/>
  </si>
  <si>
    <t>로젠택배착불</t>
    <phoneticPr fontId="3" type="noConversion"/>
  </si>
  <si>
    <t>PE28*2청</t>
  </si>
  <si>
    <t>경기도 파주시 연다산동 46-2 ㈜토빅스 파주공장 010-5290-8143</t>
  </si>
  <si>
    <t>진송팩</t>
    <phoneticPr fontId="3" type="noConversion"/>
  </si>
  <si>
    <t>010-5290-8143</t>
    <phoneticPr fontId="3" type="noConversion"/>
  </si>
  <si>
    <t>20박스</t>
    <phoneticPr fontId="3" type="noConversion"/>
  </si>
  <si>
    <t>오비아이</t>
    <phoneticPr fontId="3" type="noConversion"/>
  </si>
  <si>
    <t>24박스</t>
    <phoneticPr fontId="3" type="noConversion"/>
  </si>
  <si>
    <t>kic박스</t>
    <phoneticPr fontId="3" type="noConversion"/>
  </si>
  <si>
    <t>12*12.5황</t>
    <phoneticPr fontId="3" type="noConversion"/>
  </si>
  <si>
    <t>5롤</t>
    <phoneticPr fontId="3" type="noConversion"/>
  </si>
  <si>
    <t>강원도 속초시 농공단지1길 28-7  해성식품 033 631 9933</t>
  </si>
  <si>
    <t>제주도/지방합화차</t>
    <phoneticPr fontId="3" type="noConversion"/>
  </si>
  <si>
    <t>파워엠팩</t>
    <phoneticPr fontId="3" type="noConversion"/>
  </si>
  <si>
    <t>14*10초록</t>
    <phoneticPr fontId="3" type="noConversion"/>
  </si>
  <si>
    <t>50롤</t>
    <phoneticPr fontId="3" type="noConversion"/>
  </si>
  <si>
    <t>14*10갈색</t>
    <phoneticPr fontId="3" type="noConversion"/>
  </si>
  <si>
    <t>50롤</t>
    <phoneticPr fontId="3" type="noConversion"/>
  </si>
  <si>
    <t>경남 거창 / 대상</t>
    <phoneticPr fontId="3" type="noConversion"/>
  </si>
  <si>
    <t>70롤</t>
    <phoneticPr fontId="3" type="noConversion"/>
  </si>
  <si>
    <t>70롤</t>
    <phoneticPr fontId="3" type="noConversion"/>
  </si>
  <si>
    <t>전북 순창 / 청정원</t>
    <phoneticPr fontId="3" type="noConversion"/>
  </si>
  <si>
    <t>지방합화차</t>
    <phoneticPr fontId="3" type="noConversion"/>
  </si>
  <si>
    <t>14*10황</t>
    <phoneticPr fontId="3" type="noConversion"/>
  </si>
  <si>
    <t>광림포장기계</t>
    <phoneticPr fontId="3" type="noConversion"/>
  </si>
  <si>
    <t>15*10빨강(0.95T)</t>
    <phoneticPr fontId="3" type="noConversion"/>
  </si>
  <si>
    <t>밝은 빨강</t>
    <phoneticPr fontId="3" type="noConversion"/>
  </si>
  <si>
    <t>대흥수출포장</t>
    <phoneticPr fontId="3" type="noConversion"/>
  </si>
  <si>
    <t>3박스</t>
    <phoneticPr fontId="3" type="noConversion"/>
  </si>
  <si>
    <t>방문출고</t>
    <phoneticPr fontId="3" type="noConversion"/>
  </si>
  <si>
    <t>신광포장</t>
    <phoneticPr fontId="3" type="noConversion"/>
  </si>
  <si>
    <t>15*10투명(0.8T)</t>
    <phoneticPr fontId="3" type="noConversion"/>
  </si>
  <si>
    <t>48롤</t>
    <phoneticPr fontId="3" type="noConversion"/>
  </si>
  <si>
    <t>한국삼공</t>
    <phoneticPr fontId="3" type="noConversion"/>
  </si>
  <si>
    <t>대신택배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</si>
  <si>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</si>
  <si>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</si>
  <si>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</si>
  <si>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</si>
  <si>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춘천시 동내면 고은리 450-1  제일양계   010-6373-5309</t>
    <phoneticPr fontId="3" type="noConversion"/>
  </si>
  <si>
    <t>삼성</t>
    <phoneticPr fontId="3" type="noConversion"/>
  </si>
  <si>
    <t>18*21친환경</t>
    <phoneticPr fontId="3" type="noConversion"/>
  </si>
  <si>
    <t>45롤</t>
    <phoneticPr fontId="3" type="noConversion"/>
  </si>
  <si>
    <t>동원팩</t>
    <phoneticPr fontId="3" type="noConversion"/>
  </si>
  <si>
    <t>PE28*6백</t>
    <phoneticPr fontId="3" type="noConversion"/>
  </si>
  <si>
    <t>PE28*2황</t>
    <phoneticPr fontId="3" type="noConversion"/>
  </si>
  <si>
    <t>PE28*2청</t>
    <phoneticPr fontId="3" type="noConversion"/>
  </si>
  <si>
    <t>20박스</t>
    <phoneticPr fontId="3" type="noConversion"/>
  </si>
  <si>
    <t>11박스</t>
    <phoneticPr fontId="3" type="noConversion"/>
  </si>
  <si>
    <t>1박스</t>
    <phoneticPr fontId="3" type="noConversion"/>
  </si>
  <si>
    <t>파워엠팩</t>
    <phoneticPr fontId="3" type="noConversion"/>
  </si>
  <si>
    <t>10.5*10투명</t>
    <phoneticPr fontId="3" type="noConversion"/>
  </si>
  <si>
    <t>50롤</t>
    <phoneticPr fontId="3" type="noConversion"/>
  </si>
  <si>
    <t>방문출고</t>
    <phoneticPr fontId="3" type="noConversion"/>
  </si>
  <si>
    <t>아주파레트 반납</t>
    <phoneticPr fontId="3" type="noConversion"/>
  </si>
  <si>
    <t>양평</t>
    <phoneticPr fontId="3" type="noConversion"/>
  </si>
  <si>
    <t>12*12.5황</t>
    <phoneticPr fontId="3" type="noConversion"/>
  </si>
  <si>
    <t>100롤</t>
    <phoneticPr fontId="3" type="noConversion"/>
  </si>
  <si>
    <t>갈운리 161  010-9089-7800  단가 1980원</t>
    <phoneticPr fontId="3" type="noConversion"/>
  </si>
  <si>
    <t>파코팩</t>
    <phoneticPr fontId="3" type="noConversion"/>
  </si>
  <si>
    <t>32박스</t>
    <phoneticPr fontId="3" type="noConversion"/>
  </si>
  <si>
    <t>PE50*5백</t>
    <phoneticPr fontId="3" type="noConversion"/>
  </si>
  <si>
    <t>10박스</t>
    <phoneticPr fontId="3" type="noConversion"/>
  </si>
  <si>
    <t>경인팩</t>
    <phoneticPr fontId="3" type="noConversion"/>
  </si>
  <si>
    <t>12*12.5황</t>
    <phoneticPr fontId="3" type="noConversion"/>
  </si>
  <si>
    <t>10롤</t>
    <phoneticPr fontId="3" type="noConversion"/>
  </si>
  <si>
    <t>6*10백</t>
    <phoneticPr fontId="3" type="noConversion"/>
  </si>
  <si>
    <t>15*9.5 배추끈</t>
    <phoneticPr fontId="3" type="noConversion"/>
  </si>
  <si>
    <t>50롤</t>
    <phoneticPr fontId="3" type="noConversion"/>
  </si>
  <si>
    <t>28박스</t>
    <phoneticPr fontId="3" type="noConversion"/>
  </si>
  <si>
    <t>32박스</t>
    <phoneticPr fontId="3" type="noConversion"/>
  </si>
  <si>
    <t>10박스</t>
    <phoneticPr fontId="3" type="noConversion"/>
  </si>
  <si>
    <t>168롤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</si>
  <si>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</si>
  <si>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</si>
  <si>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</si>
  <si>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12*10백(0.65T)</t>
    <phoneticPr fontId="3" type="noConversion"/>
  </si>
  <si>
    <t>16롤</t>
    <phoneticPr fontId="3" type="noConversion"/>
  </si>
  <si>
    <t>경기도 광주시 도척면 다람로36번길93-29 (궁평리) 황금알  010-3273-9650</t>
    <phoneticPr fontId="3" type="noConversion"/>
  </si>
  <si>
    <t>010-3273-9650</t>
    <phoneticPr fontId="3" type="noConversion"/>
  </si>
  <si>
    <t>56롤</t>
    <phoneticPr fontId="3" type="noConversion"/>
  </si>
  <si>
    <t>신광포장기계(부산)</t>
    <phoneticPr fontId="3" type="noConversion"/>
  </si>
  <si>
    <t>7박스</t>
    <phoneticPr fontId="3" type="noConversion"/>
  </si>
  <si>
    <t>로젠택배</t>
    <phoneticPr fontId="3" type="noConversion"/>
  </si>
  <si>
    <t>PE28*2백(24kg)</t>
    <phoneticPr fontId="3" type="noConversion"/>
  </si>
  <si>
    <t>동원팩</t>
    <phoneticPr fontId="3" type="noConversion"/>
  </si>
  <si>
    <t>6*10청</t>
    <phoneticPr fontId="3" type="noConversion"/>
  </si>
  <si>
    <t>20박스</t>
    <phoneticPr fontId="3" type="noConversion"/>
  </si>
  <si>
    <t>20박스</t>
    <phoneticPr fontId="3" type="noConversion"/>
  </si>
  <si>
    <t>오전일찍</t>
    <phoneticPr fontId="3" type="noConversion"/>
  </si>
  <si>
    <t>수량확인후 다 보냄</t>
    <phoneticPr fontId="3" type="noConversion"/>
  </si>
  <si>
    <t>한주</t>
    <phoneticPr fontId="3" type="noConversion"/>
  </si>
  <si>
    <t>40"(오전10시)</t>
    <phoneticPr fontId="3" type="noConversion"/>
  </si>
  <si>
    <t>파워팩</t>
    <phoneticPr fontId="3" type="noConversion"/>
  </si>
  <si>
    <t>수작업</t>
    <phoneticPr fontId="3" type="noConversion"/>
  </si>
  <si>
    <t>8.6톤</t>
    <phoneticPr fontId="3" type="noConversion"/>
  </si>
  <si>
    <t>20"(오후2시)</t>
    <phoneticPr fontId="3" type="noConversion"/>
  </si>
  <si>
    <t>하이게이트</t>
    <phoneticPr fontId="3" type="noConversion"/>
  </si>
  <si>
    <t>21톤</t>
    <phoneticPr fontId="3" type="noConversion"/>
  </si>
  <si>
    <t>고메리</t>
    <phoneticPr fontId="3" type="noConversion"/>
  </si>
  <si>
    <t>5.9톤</t>
    <phoneticPr fontId="3" type="noConversion"/>
  </si>
  <si>
    <t>20"(오후2시)</t>
    <phoneticPr fontId="3" type="noConversion"/>
  </si>
  <si>
    <t>9*9.2황</t>
    <phoneticPr fontId="3" type="noConversion"/>
  </si>
  <si>
    <t>15*10황</t>
    <phoneticPr fontId="3" type="noConversion"/>
  </si>
  <si>
    <t>64롤</t>
    <phoneticPr fontId="3" type="noConversion"/>
  </si>
  <si>
    <t>5*7000</t>
    <phoneticPr fontId="3" type="noConversion"/>
  </si>
  <si>
    <t>50롤</t>
    <phoneticPr fontId="3" type="noConversion"/>
  </si>
  <si>
    <t>랩20*500*1400</t>
    <phoneticPr fontId="3" type="noConversion"/>
  </si>
  <si>
    <t>50박스</t>
    <phoneticPr fontId="3" type="noConversion"/>
  </si>
  <si>
    <t>구미</t>
    <phoneticPr fontId="3" type="noConversion"/>
  </si>
  <si>
    <t>대신택배</t>
    <phoneticPr fontId="3" type="noConversion"/>
  </si>
  <si>
    <t>삼성</t>
    <phoneticPr fontId="3" type="noConversion"/>
  </si>
  <si>
    <t>수량확인</t>
    <phoneticPr fontId="3" type="noConversion"/>
  </si>
  <si>
    <t>자투리 있으면 다 보내기</t>
    <phoneticPr fontId="3" type="noConversion"/>
  </si>
  <si>
    <t>194롤</t>
    <phoneticPr fontId="3" type="noConversion"/>
  </si>
  <si>
    <t>삼성</t>
    <phoneticPr fontId="3" type="noConversion"/>
  </si>
  <si>
    <t>동원팩</t>
    <phoneticPr fontId="3" type="noConversion"/>
  </si>
  <si>
    <t>20박스</t>
    <phoneticPr fontId="3" type="noConversion"/>
  </si>
  <si>
    <t>방문출고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</si>
  <si>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</si>
  <si>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</si>
  <si>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</si>
  <si>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대신택배</t>
    <phoneticPr fontId="3" type="noConversion"/>
  </si>
  <si>
    <t>100롤</t>
    <phoneticPr fontId="3" type="noConversion"/>
  </si>
  <si>
    <t>대복식품</t>
    <phoneticPr fontId="3" type="noConversion"/>
  </si>
  <si>
    <t>용차</t>
    <phoneticPr fontId="3" type="noConversion"/>
  </si>
  <si>
    <t>40"(오후1시)</t>
    <phoneticPr fontId="3" type="noConversion"/>
  </si>
  <si>
    <t>600롤</t>
    <phoneticPr fontId="3" type="noConversion"/>
  </si>
  <si>
    <t>84롤</t>
    <phoneticPr fontId="3" type="noConversion"/>
  </si>
  <si>
    <t>경인팩</t>
    <phoneticPr fontId="3" type="noConversion"/>
  </si>
  <si>
    <t>6*10백</t>
    <phoneticPr fontId="3" type="noConversion"/>
  </si>
  <si>
    <t>28박스</t>
    <phoneticPr fontId="3" type="noConversion"/>
  </si>
  <si>
    <t>출고대기</t>
    <phoneticPr fontId="3" type="noConversion"/>
  </si>
  <si>
    <t>건영기업</t>
    <phoneticPr fontId="3" type="noConversion"/>
  </si>
  <si>
    <t>15*10청(0.65t)</t>
    <phoneticPr fontId="3" type="noConversion"/>
  </si>
  <si>
    <t>30롤</t>
    <phoneticPr fontId="3" type="noConversion"/>
  </si>
  <si>
    <t>동원팩</t>
    <phoneticPr fontId="3" type="noConversion"/>
  </si>
  <si>
    <t>토</t>
    <phoneticPr fontId="3" type="noConversion"/>
  </si>
  <si>
    <t xml:space="preserve">경기도 남양주시 별내면 </t>
    <phoneticPr fontId="3" type="noConversion"/>
  </si>
  <si>
    <t>용암리 308-6</t>
  </si>
  <si>
    <t>삼우농장</t>
    <phoneticPr fontId="3" type="noConversion"/>
  </si>
  <si>
    <t>010-6206-6738</t>
    <phoneticPr fontId="3" type="noConversion"/>
  </si>
  <si>
    <t>6mm*10kg 백색</t>
    <phoneticPr fontId="3" type="noConversion"/>
  </si>
  <si>
    <t>발송 : 동원팩</t>
    <phoneticPr fontId="8" type="noConversion"/>
  </si>
  <si>
    <t>경기도 남양주시 별내면 용암리 308-6 삼우농장 010-6206-6738</t>
    <phoneticPr fontId="3" type="noConversion"/>
  </si>
  <si>
    <t>보우팩</t>
    <phoneticPr fontId="3" type="noConversion"/>
  </si>
  <si>
    <t>9*10투명</t>
  </si>
  <si>
    <t>용차</t>
    <phoneticPr fontId="3" type="noConversion"/>
  </si>
  <si>
    <t>80롤</t>
    <phoneticPr fontId="3" type="noConversion"/>
  </si>
  <si>
    <t>랩15*500*400</t>
    <phoneticPr fontId="3" type="noConversion"/>
  </si>
  <si>
    <t>삼영피앤텍</t>
  </si>
  <si>
    <t>10롤</t>
    <phoneticPr fontId="3" type="noConversion"/>
  </si>
  <si>
    <t>거성씨푸드</t>
    <phoneticPr fontId="3" type="noConversion"/>
  </si>
  <si>
    <t>밴딩기</t>
    <phoneticPr fontId="3" type="noConversion"/>
  </si>
  <si>
    <t>15*10황(0.8T)</t>
    <phoneticPr fontId="3" type="noConversion"/>
  </si>
  <si>
    <t>2350원</t>
    <phoneticPr fontId="3" type="noConversion"/>
  </si>
  <si>
    <t>12*10황(0.75T)</t>
    <phoneticPr fontId="3" type="noConversion"/>
  </si>
  <si>
    <t>9*10투명(0.75T)</t>
    <phoneticPr fontId="3" type="noConversion"/>
  </si>
  <si>
    <t>샘플증정</t>
    <phoneticPr fontId="3" type="noConversion"/>
  </si>
  <si>
    <t>12*10황(0.8T)</t>
    <phoneticPr fontId="3" type="noConversion"/>
  </si>
  <si>
    <t>5롤</t>
    <phoneticPr fontId="3" type="noConversion"/>
  </si>
  <si>
    <t>삼성</t>
    <phoneticPr fontId="3" type="noConversion"/>
  </si>
  <si>
    <t>18*21친환경</t>
    <phoneticPr fontId="3" type="noConversion"/>
  </si>
  <si>
    <t>72롤</t>
    <phoneticPr fontId="3" type="noConversion"/>
  </si>
  <si>
    <t>경기도 파주시 광탄면 보광로 1336-15 (광탄면) 원흥피앤피 김혜선 010-4982-7932  배송메시지-유리문 안쪽에 넣어주세요.</t>
    <phoneticPr fontId="3" type="noConversion"/>
  </si>
  <si>
    <t>10박스</t>
    <phoneticPr fontId="3" type="noConversion"/>
  </si>
  <si>
    <t>10박스 4묶음</t>
    <phoneticPr fontId="3" type="noConversion"/>
  </si>
  <si>
    <t>1공장</t>
    <phoneticPr fontId="3" type="noConversion"/>
  </si>
  <si>
    <t>5롤</t>
    <phoneticPr fontId="3" type="noConversion"/>
  </si>
  <si>
    <t>12박스</t>
    <phoneticPr fontId="3" type="noConversion"/>
  </si>
  <si>
    <t>민건 이에이</t>
    <phoneticPr fontId="3" type="noConversion"/>
  </si>
  <si>
    <t>12*10백(0.8T)</t>
    <phoneticPr fontId="3" type="noConversion"/>
  </si>
  <si>
    <t>6*10백</t>
    <phoneticPr fontId="3" type="noConversion"/>
  </si>
  <si>
    <t>50롤</t>
    <phoneticPr fontId="3" type="noConversion"/>
  </si>
  <si>
    <t>50롤</t>
    <phoneticPr fontId="3" type="noConversion"/>
  </si>
  <si>
    <t>KPP빨강 3장 가져가기</t>
    <phoneticPr fontId="3" type="noConversion"/>
  </si>
  <si>
    <t>3파레트 가져오기</t>
    <phoneticPr fontId="3" type="noConversion"/>
  </si>
  <si>
    <t>수</t>
    <phoneticPr fontId="3" type="noConversion"/>
  </si>
  <si>
    <t>동원팩</t>
    <phoneticPr fontId="3" type="noConversion"/>
  </si>
  <si>
    <t>12*10황</t>
    <phoneticPr fontId="3" type="noConversion"/>
  </si>
  <si>
    <t>1롤</t>
    <phoneticPr fontId="3" type="noConversion"/>
  </si>
  <si>
    <t>4롤</t>
    <phoneticPr fontId="3" type="noConversion"/>
  </si>
  <si>
    <t>충남 서산시 부석면 강수1리 733번지 김장환 010-8836-4832</t>
    <phoneticPr fontId="3" type="noConversion"/>
  </si>
  <si>
    <t>대복식품</t>
    <phoneticPr fontId="3" type="noConversion"/>
  </si>
  <si>
    <t>발송 : 신우교역</t>
    <phoneticPr fontId="8" type="noConversion"/>
  </si>
  <si>
    <t>12mm*10kg 황색 100롤</t>
    <phoneticPr fontId="3" type="noConversion"/>
  </si>
  <si>
    <t xml:space="preserve">충남 예산군 삽교읍 산단3길 87 </t>
    <phoneticPr fontId="3" type="noConversion"/>
  </si>
  <si>
    <t>정지만 대리님  010-7933-5913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</si>
  <si>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</si>
  <si>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</si>
  <si>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</si>
  <si>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전라남도 화순군 능주면 효죽로 433 (능주면) 계란선별 계란선별팀 앞  0502-1572-9849</t>
    <phoneticPr fontId="3" type="noConversion"/>
  </si>
  <si>
    <t>1박스</t>
    <phoneticPr fontId="3" type="noConversion"/>
  </si>
  <si>
    <t>인천광역시 강화군 불은면 삼동암길 168 (불은면, 소원농장) 소원농장 최광헌 010-3104-1423</t>
    <phoneticPr fontId="3" type="noConversion"/>
  </si>
  <si>
    <t>대성씨앤씨</t>
    <phoneticPr fontId="3" type="noConversion"/>
  </si>
  <si>
    <t>파워엠팩</t>
    <phoneticPr fontId="3" type="noConversion"/>
  </si>
  <si>
    <t>14*10파랑</t>
    <phoneticPr fontId="3" type="noConversion"/>
  </si>
  <si>
    <t>70롤</t>
    <phoneticPr fontId="3" type="noConversion"/>
  </si>
  <si>
    <t>14*10보라</t>
    <phoneticPr fontId="3" type="noConversion"/>
  </si>
  <si>
    <t>70롤</t>
    <phoneticPr fontId="3" type="noConversion"/>
  </si>
  <si>
    <t>청정원 순창</t>
    <phoneticPr fontId="3" type="noConversion"/>
  </si>
  <si>
    <t>지방합화차</t>
    <phoneticPr fontId="3" type="noConversion"/>
  </si>
  <si>
    <t>대신택배착불</t>
    <phoneticPr fontId="3" type="noConversion"/>
  </si>
  <si>
    <t>대복식품:충남예산군 삽교읍 산단3길 87 정지만대리님 010-7933-5913</t>
    <phoneticPr fontId="3" type="noConversion"/>
  </si>
  <si>
    <t>광림파워펙</t>
    <phoneticPr fontId="3" type="noConversion"/>
  </si>
  <si>
    <t>15*10검정</t>
    <phoneticPr fontId="3" type="noConversion"/>
  </si>
  <si>
    <t>1롤</t>
    <phoneticPr fontId="3" type="noConversion"/>
  </si>
  <si>
    <t>대신택배</t>
    <phoneticPr fontId="3" type="noConversion"/>
  </si>
  <si>
    <t>0.6t , 단중4.1g, 2500m, 탐스텍 규격</t>
    <phoneticPr fontId="3" type="noConversion"/>
  </si>
  <si>
    <t>일레븐전자</t>
    <phoneticPr fontId="3" type="noConversion"/>
  </si>
  <si>
    <t>대은엠비코</t>
    <phoneticPr fontId="3" type="noConversion"/>
  </si>
  <si>
    <t>삼성 11mm 샘플</t>
    <phoneticPr fontId="3" type="noConversion"/>
  </si>
  <si>
    <t>12롤</t>
    <phoneticPr fontId="3" type="noConversion"/>
  </si>
  <si>
    <t>나무파레트</t>
    <phoneticPr fontId="3" type="noConversion"/>
  </si>
  <si>
    <t>대신택배</t>
    <phoneticPr fontId="3" type="noConversion"/>
  </si>
  <si>
    <t>삼성</t>
    <phoneticPr fontId="3" type="noConversion"/>
  </si>
  <si>
    <t>18*21친환경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</si>
  <si>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</si>
  <si>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</si>
  <si>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</si>
  <si>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오전1착</t>
    <phoneticPr fontId="3" type="noConversion"/>
  </si>
  <si>
    <t>경기도 시흥시 수풀안길 9-32  영림유통  담당자 010-9440-1553</t>
    <phoneticPr fontId="3" type="noConversion"/>
  </si>
  <si>
    <t xml:space="preserve">경기도 시흥시 수풀안길 9-32  </t>
    <phoneticPr fontId="3" type="noConversion"/>
  </si>
  <si>
    <t xml:space="preserve">영림유통  </t>
    <phoneticPr fontId="3" type="noConversion"/>
  </si>
  <si>
    <t>담당자 010-9440-1553</t>
  </si>
  <si>
    <t>6mm*10kg 황색</t>
    <phoneticPr fontId="3" type="noConversion"/>
  </si>
  <si>
    <t>600롤</t>
    <phoneticPr fontId="3" type="noConversion"/>
  </si>
  <si>
    <t>발송 : 파워엠팩</t>
    <phoneticPr fontId="8" type="noConversion"/>
  </si>
  <si>
    <t>2공장/낙원 물건 패드갈이</t>
    <phoneticPr fontId="3" type="noConversion"/>
  </si>
  <si>
    <t>방문출고</t>
    <phoneticPr fontId="3" type="noConversion"/>
  </si>
  <si>
    <t>33박스</t>
    <phoneticPr fontId="3" type="noConversion"/>
  </si>
  <si>
    <t>7박스</t>
    <phoneticPr fontId="3" type="noConversion"/>
  </si>
  <si>
    <t>한주</t>
    <phoneticPr fontId="3" type="noConversion"/>
  </si>
  <si>
    <t>15*17.5</t>
    <phoneticPr fontId="3" type="noConversion"/>
  </si>
  <si>
    <t>140롤</t>
    <phoneticPr fontId="3" type="noConversion"/>
  </si>
  <si>
    <t>용차 11시</t>
    <phoneticPr fontId="3" type="noConversion"/>
  </si>
  <si>
    <t>5pa / 2.5t</t>
    <phoneticPr fontId="3" type="noConversion"/>
  </si>
  <si>
    <t>파워엠팩</t>
    <phoneticPr fontId="3" type="noConversion"/>
  </si>
  <si>
    <t>10.5*10투명</t>
    <phoneticPr fontId="3" type="noConversion"/>
  </si>
  <si>
    <t>100롤</t>
    <phoneticPr fontId="3" type="noConversion"/>
  </si>
  <si>
    <t>방문출고</t>
    <phoneticPr fontId="3" type="noConversion"/>
  </si>
  <si>
    <t>성주산업단지로 5길 104</t>
  </si>
  <si>
    <t>탁경자 대리</t>
  </si>
  <si>
    <r>
      <t xml:space="preserve">경북 성주군 성주읍 </t>
    </r>
    <r>
      <rPr>
        <sz val="11"/>
        <color rgb="FF111111"/>
        <rFont val="바탕"/>
        <family val="1"/>
        <charset val="129"/>
      </rPr>
      <t/>
    </r>
    <phoneticPr fontId="3" type="noConversion"/>
  </si>
  <si>
    <t>주식회사 한주</t>
    <phoneticPr fontId="3" type="noConversion"/>
  </si>
  <si>
    <t>대전인재사</t>
  </si>
  <si>
    <t>합동포장</t>
    <phoneticPr fontId="3" type="noConversion"/>
  </si>
  <si>
    <t>전표 6/1</t>
    <phoneticPr fontId="3" type="noConversion"/>
  </si>
  <si>
    <t>13*12은회색</t>
    <phoneticPr fontId="3" type="noConversion"/>
  </si>
  <si>
    <t>9*12은회색</t>
    <phoneticPr fontId="3" type="noConversion"/>
  </si>
  <si>
    <t>64롤</t>
    <phoneticPr fontId="3" type="noConversion"/>
  </si>
  <si>
    <t>다오</t>
    <phoneticPr fontId="3" type="noConversion"/>
  </si>
  <si>
    <t>010-9585-2836</t>
    <phoneticPr fontId="3" type="noConversion"/>
  </si>
  <si>
    <t>대전 동구 정동 36-3</t>
  </si>
  <si>
    <t>010-5409-2087</t>
  </si>
  <si>
    <t>발송 : 케이아이씨</t>
    <phoneticPr fontId="8" type="noConversion"/>
  </si>
  <si>
    <t>12mm*9kg 황색 100롤</t>
    <phoneticPr fontId="3" type="noConversion"/>
  </si>
  <si>
    <t>보우팩</t>
    <phoneticPr fontId="3" type="noConversion"/>
  </si>
  <si>
    <t>6*10백</t>
    <phoneticPr fontId="3" type="noConversion"/>
  </si>
  <si>
    <t>300롤</t>
    <phoneticPr fontId="3" type="noConversion"/>
  </si>
  <si>
    <t>파란밴딩</t>
    <phoneticPr fontId="3" type="noConversion"/>
  </si>
  <si>
    <t>12*12.5황</t>
    <phoneticPr fontId="3" type="noConversion"/>
  </si>
  <si>
    <t>30롤</t>
    <phoneticPr fontId="3" type="noConversion"/>
  </si>
  <si>
    <t>15*13황</t>
    <phoneticPr fontId="3" type="noConversion"/>
  </si>
  <si>
    <t>10롤</t>
    <phoneticPr fontId="3" type="noConversion"/>
  </si>
  <si>
    <t>PE28*2황</t>
    <phoneticPr fontId="3" type="noConversion"/>
  </si>
  <si>
    <t>50박스</t>
    <phoneticPr fontId="3" type="noConversion"/>
  </si>
  <si>
    <t>10박스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</si>
  <si>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</si>
  <si>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</si>
  <si>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</si>
  <si>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</si>
  <si>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남양주시 진건읍 송능리 13번지</t>
    <phoneticPr fontId="3" type="noConversion"/>
  </si>
  <si>
    <t>6mm*10kg 백색  56롤</t>
    <phoneticPr fontId="3" type="noConversion"/>
  </si>
  <si>
    <t>12*10황(0.75T)</t>
    <phoneticPr fontId="3" type="noConversion"/>
  </si>
  <si>
    <t>kic박스</t>
    <phoneticPr fontId="3" type="noConversion"/>
  </si>
  <si>
    <t>POWER박스</t>
    <phoneticPr fontId="3" type="noConversion"/>
  </si>
  <si>
    <t>신광포장</t>
    <phoneticPr fontId="3" type="noConversion"/>
  </si>
  <si>
    <t>20박스</t>
    <phoneticPr fontId="3" type="noConversion"/>
  </si>
  <si>
    <t>방문출고</t>
    <phoneticPr fontId="3" type="noConversion"/>
  </si>
  <si>
    <t>오전</t>
    <phoneticPr fontId="3" type="noConversion"/>
  </si>
  <si>
    <t>오후</t>
    <phoneticPr fontId="3" type="noConversion"/>
  </si>
  <si>
    <t>5*7000백</t>
    <phoneticPr fontId="3" type="noConversion"/>
  </si>
  <si>
    <t>50롤</t>
    <phoneticPr fontId="3" type="noConversion"/>
  </si>
  <si>
    <t>1공장</t>
    <phoneticPr fontId="3" type="noConversion"/>
  </si>
  <si>
    <t>9*10투명(0.75T)</t>
    <phoneticPr fontId="3" type="noConversion"/>
  </si>
  <si>
    <t>1롤</t>
    <phoneticPr fontId="3" type="noConversion"/>
  </si>
  <si>
    <t>샘플발송</t>
    <phoneticPr fontId="3" type="noConversion"/>
  </si>
  <si>
    <t>대신택배착불</t>
    <phoneticPr fontId="3" type="noConversion"/>
  </si>
  <si>
    <t>유리가게</t>
    <phoneticPr fontId="3" type="noConversion"/>
  </si>
  <si>
    <t>강서구 개화동로 23길69 유리가게 010-6231-8378</t>
    <phoneticPr fontId="3" type="noConversion"/>
  </si>
  <si>
    <t>에어프로</t>
    <phoneticPr fontId="3" type="noConversion"/>
  </si>
  <si>
    <t>남양주시 진건읍 송능리13번지 전원팜  031-575-0887</t>
    <phoneticPr fontId="3" type="noConversion"/>
  </si>
  <si>
    <t>오후1시 방문출고</t>
    <phoneticPr fontId="3" type="noConversion"/>
  </si>
  <si>
    <t>경인팩</t>
    <phoneticPr fontId="3" type="noConversion"/>
  </si>
  <si>
    <t>대구한국포장</t>
    <phoneticPr fontId="3" type="noConversion"/>
  </si>
  <si>
    <t>하나종합물류</t>
    <phoneticPr fontId="3" type="noConversion"/>
  </si>
  <si>
    <t>샘플</t>
    <phoneticPr fontId="3" type="noConversion"/>
  </si>
  <si>
    <t>1박스</t>
    <phoneticPr fontId="3" type="noConversion"/>
  </si>
  <si>
    <t>로젠택배</t>
    <phoneticPr fontId="3" type="noConversion"/>
  </si>
  <si>
    <t>경북 구미시 산동면 첨단기업7로 50 도레이배터리사무실 010-7510-6922</t>
    <phoneticPr fontId="3" type="noConversion"/>
  </si>
  <si>
    <t>파코팩</t>
    <phoneticPr fontId="3" type="noConversion"/>
  </si>
  <si>
    <t>65박스</t>
    <phoneticPr fontId="3" type="noConversion"/>
  </si>
  <si>
    <t>방문출고</t>
    <phoneticPr fontId="3" type="noConversion"/>
  </si>
  <si>
    <t>하이게이트패드,라벨,지관</t>
    <phoneticPr fontId="3" type="noConversion"/>
  </si>
  <si>
    <t>6*10백(0.65t)</t>
    <phoneticPr fontId="3" type="noConversion"/>
  </si>
  <si>
    <t>256롤</t>
    <phoneticPr fontId="3" type="noConversion"/>
  </si>
  <si>
    <t>지방합화차착불</t>
    <phoneticPr fontId="3" type="noConversion"/>
  </si>
  <si>
    <t>12*10황(0.65T)</t>
    <phoneticPr fontId="3" type="noConversion"/>
  </si>
  <si>
    <t>동원팩</t>
    <phoneticPr fontId="3" type="noConversion"/>
  </si>
  <si>
    <t>25박스</t>
    <phoneticPr fontId="3" type="noConversion"/>
  </si>
  <si>
    <t>4박스</t>
    <phoneticPr fontId="3" type="noConversion"/>
  </si>
  <si>
    <t>PE28*2황</t>
    <phoneticPr fontId="3" type="noConversion"/>
  </si>
  <si>
    <t>10박스</t>
    <phoneticPr fontId="3" type="noConversion"/>
  </si>
  <si>
    <t>PE28*6백</t>
    <phoneticPr fontId="3" type="noConversion"/>
  </si>
  <si>
    <t>5박스</t>
    <phoneticPr fontId="3" type="noConversion"/>
  </si>
  <si>
    <t>POWER박스</t>
    <phoneticPr fontId="3" type="noConversion"/>
  </si>
  <si>
    <t>POWER박스</t>
    <phoneticPr fontId="3" type="noConversion"/>
  </si>
  <si>
    <t>6mm 초록 샘플</t>
    <phoneticPr fontId="3" type="noConversion"/>
  </si>
  <si>
    <t>삼성</t>
    <phoneticPr fontId="3" type="noConversion"/>
  </si>
  <si>
    <t>18*21친환경</t>
    <phoneticPr fontId="3" type="noConversion"/>
  </si>
  <si>
    <t>20롤</t>
    <phoneticPr fontId="3" type="noConversion"/>
  </si>
  <si>
    <t>6*12.5백</t>
    <phoneticPr fontId="3" type="noConversion"/>
  </si>
  <si>
    <t>640롤</t>
    <phoneticPr fontId="3" type="noConversion"/>
  </si>
  <si>
    <t>용차</t>
    <phoneticPr fontId="3" type="noConversion"/>
  </si>
  <si>
    <t>6mm초록 샘플</t>
    <phoneticPr fontId="3" type="noConversion"/>
  </si>
  <si>
    <t>로젠택배</t>
    <phoneticPr fontId="3" type="noConversion"/>
  </si>
  <si>
    <t>전주삼신산업</t>
    <phoneticPr fontId="3" type="noConversion"/>
  </si>
  <si>
    <t>20박스</t>
    <phoneticPr fontId="3" type="noConversion"/>
  </si>
  <si>
    <t>7*10백(0.5T)</t>
    <phoneticPr fontId="3" type="noConversion"/>
  </si>
  <si>
    <t>대신택배</t>
    <phoneticPr fontId="3" type="noConversion"/>
  </si>
  <si>
    <t>POWER박스</t>
    <phoneticPr fontId="3" type="noConversion"/>
  </si>
  <si>
    <t>대원우드</t>
    <phoneticPr fontId="3" type="noConversion"/>
  </si>
  <si>
    <t>팔레트</t>
    <phoneticPr fontId="3" type="noConversion"/>
  </si>
  <si>
    <t>가져오기</t>
    <phoneticPr fontId="3" type="noConversion"/>
  </si>
  <si>
    <t>8장</t>
    <phoneticPr fontId="3" type="noConversion"/>
  </si>
  <si>
    <t>하차 9시 이전에 꼭</t>
    <phoneticPr fontId="3" type="noConversion"/>
  </si>
  <si>
    <t>12롤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</si>
  <si>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</si>
  <si>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</si>
  <si>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</si>
  <si>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전라북도 김제시 백산면 석정로 89  사계절농장   010-2054-7985</t>
    <phoneticPr fontId="3" type="noConversion"/>
  </si>
  <si>
    <t>알엘비</t>
    <phoneticPr fontId="3" type="noConversion"/>
  </si>
  <si>
    <t>팔레트</t>
    <phoneticPr fontId="3" type="noConversion"/>
  </si>
  <si>
    <t>8.3톤</t>
    <phoneticPr fontId="3" type="noConversion"/>
  </si>
  <si>
    <t>20"(오전10시)</t>
    <phoneticPr fontId="3" type="noConversion"/>
  </si>
  <si>
    <t>한제</t>
    <phoneticPr fontId="3" type="noConversion"/>
  </si>
  <si>
    <t>팔레트</t>
    <phoneticPr fontId="3" type="noConversion"/>
  </si>
  <si>
    <t>4.9톤</t>
    <phoneticPr fontId="3" type="noConversion"/>
  </si>
  <si>
    <t>20"(오후2시)</t>
    <phoneticPr fontId="3" type="noConversion"/>
  </si>
  <si>
    <t>종이 두루기</t>
    <phoneticPr fontId="3" type="noConversion"/>
  </si>
  <si>
    <t>1롤</t>
    <phoneticPr fontId="3" type="noConversion"/>
  </si>
  <si>
    <t>교환</t>
    <phoneticPr fontId="3" type="noConversion"/>
  </si>
  <si>
    <t>신광포장</t>
    <phoneticPr fontId="3" type="noConversion"/>
  </si>
  <si>
    <t>15*10황(0.65T)</t>
    <phoneticPr fontId="3" type="noConversion"/>
  </si>
  <si>
    <t>10롤</t>
    <phoneticPr fontId="3" type="noConversion"/>
  </si>
  <si>
    <t>경기도 김포시 양촌읍 황금로 324번길 3 케이에스이엔지</t>
    <phoneticPr fontId="3" type="noConversion"/>
  </si>
  <si>
    <t>68롤</t>
    <phoneticPr fontId="3" type="noConversion"/>
  </si>
  <si>
    <t>랩20*500*1400</t>
    <phoneticPr fontId="3" type="noConversion"/>
  </si>
  <si>
    <t>25박스</t>
    <phoneticPr fontId="3" type="noConversion"/>
  </si>
  <si>
    <t>2공장</t>
    <phoneticPr fontId="3" type="noConversion"/>
  </si>
  <si>
    <t>PE50*5백</t>
    <phoneticPr fontId="3" type="noConversion"/>
  </si>
  <si>
    <t>50박스</t>
    <phoneticPr fontId="3" type="noConversion"/>
  </si>
  <si>
    <t>70박스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</si>
  <si>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</si>
  <si>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</si>
  <si>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</si>
  <si>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</si>
  <si>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삼성</t>
    <phoneticPr fontId="3" type="noConversion"/>
  </si>
  <si>
    <t>18*21친환경</t>
    <phoneticPr fontId="3" type="noConversion"/>
  </si>
  <si>
    <t>10롤</t>
    <phoneticPr fontId="3" type="noConversion"/>
  </si>
  <si>
    <t>신광포장</t>
    <phoneticPr fontId="3" type="noConversion"/>
  </si>
  <si>
    <t>12*10황(0.65T)</t>
    <phoneticPr fontId="3" type="noConversion"/>
  </si>
  <si>
    <t>32롤</t>
    <phoneticPr fontId="3" type="noConversion"/>
  </si>
  <si>
    <t>인천 남동구</t>
    <phoneticPr fontId="3" type="noConversion"/>
  </si>
  <si>
    <t>인천 남동구 논현동 433-1 대동포장 010-5875-1475</t>
    <phoneticPr fontId="3" type="noConversion"/>
  </si>
  <si>
    <t xml:space="preserve">인천 남동구 논현동 433-1 </t>
    <phoneticPr fontId="3" type="noConversion"/>
  </si>
  <si>
    <t xml:space="preserve">대동포장 </t>
    <phoneticPr fontId="3" type="noConversion"/>
  </si>
  <si>
    <t>010-5875-1475</t>
  </si>
  <si>
    <t>12mm*10kg 황색 32롤</t>
    <phoneticPr fontId="3" type="noConversion"/>
  </si>
  <si>
    <t>발송 : 신광포장</t>
    <phoneticPr fontId="8" type="noConversion"/>
  </si>
  <si>
    <t>오전</t>
    <phoneticPr fontId="3" type="noConversion"/>
  </si>
  <si>
    <t>오후 / 같이</t>
    <phoneticPr fontId="3" type="noConversion"/>
  </si>
  <si>
    <t>※ 하차 : 오전9시 이전에 꼭!!!</t>
    <phoneticPr fontId="3" type="noConversion"/>
  </si>
  <si>
    <t>20박스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</si>
  <si>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</si>
  <si>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</si>
  <si>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</si>
  <si>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96박스</t>
    <phoneticPr fontId="3" type="noConversion"/>
  </si>
  <si>
    <t>28박스</t>
    <phoneticPr fontId="3" type="noConversion"/>
  </si>
  <si>
    <t>경인팩</t>
    <phoneticPr fontId="3" type="noConversion"/>
  </si>
  <si>
    <t>12박스</t>
    <phoneticPr fontId="3" type="noConversion"/>
  </si>
  <si>
    <t>6박스</t>
    <phoneticPr fontId="3" type="noConversion"/>
  </si>
  <si>
    <t>1파레트</t>
    <phoneticPr fontId="3" type="noConversion"/>
  </si>
  <si>
    <t>대신택배</t>
    <phoneticPr fontId="3" type="noConversion"/>
  </si>
  <si>
    <t>로젠택배</t>
    <phoneticPr fontId="3" type="noConversion"/>
  </si>
  <si>
    <t>충북 청주시 서원구 현도면 가구마을길 35-1  이팩킹  042-933-6033 / 010-5506-8349</t>
    <phoneticPr fontId="3" type="noConversion"/>
  </si>
  <si>
    <t>경기도 여주시 능서면 광대리 432-8 우림산업  031-883-9613 / 010-9168-9359</t>
    <phoneticPr fontId="3" type="noConversion"/>
  </si>
  <si>
    <t>18*21친환경</t>
    <phoneticPr fontId="3" type="noConversion"/>
  </si>
  <si>
    <t>종이나라</t>
    <phoneticPr fontId="3" type="noConversion"/>
  </si>
  <si>
    <t xml:space="preserve">15*1.0T </t>
    <phoneticPr fontId="3" type="noConversion"/>
  </si>
  <si>
    <t>1롤</t>
    <phoneticPr fontId="3" type="noConversion"/>
  </si>
  <si>
    <t>대신택배</t>
    <phoneticPr fontId="3" type="noConversion"/>
  </si>
  <si>
    <t>화</t>
    <phoneticPr fontId="3" type="noConversion"/>
  </si>
  <si>
    <t>대상산업</t>
    <phoneticPr fontId="3" type="noConversion"/>
  </si>
  <si>
    <t>PE28*2백(24K)</t>
    <phoneticPr fontId="3" type="noConversion"/>
  </si>
  <si>
    <t>10박스</t>
    <phoneticPr fontId="3" type="noConversion"/>
  </si>
  <si>
    <t>동원팩</t>
    <phoneticPr fontId="3" type="noConversion"/>
  </si>
  <si>
    <t>PE28*2황</t>
    <phoneticPr fontId="3" type="noConversion"/>
  </si>
  <si>
    <t>5박스</t>
    <phoneticPr fontId="3" type="noConversion"/>
  </si>
  <si>
    <t>20박스</t>
    <phoneticPr fontId="3" type="noConversion"/>
  </si>
  <si>
    <t>방문출고</t>
    <phoneticPr fontId="3" type="noConversion"/>
  </si>
  <si>
    <t>파워엠팩</t>
    <phoneticPr fontId="3" type="noConversion"/>
  </si>
  <si>
    <t>12*10청(0.75T)</t>
    <phoneticPr fontId="3" type="noConversion"/>
  </si>
  <si>
    <t>103롤</t>
    <phoneticPr fontId="3" type="noConversion"/>
  </si>
  <si>
    <t>kpp빨강/kic박스</t>
    <phoneticPr fontId="3" type="noConversion"/>
  </si>
  <si>
    <t>방문출고</t>
    <phoneticPr fontId="3" type="noConversion"/>
  </si>
  <si>
    <t>동양프린팅</t>
    <phoneticPr fontId="3" type="noConversion"/>
  </si>
  <si>
    <t>주신산업</t>
    <phoneticPr fontId="3" type="noConversion"/>
  </si>
  <si>
    <t>1박스</t>
    <phoneticPr fontId="3" type="noConversion"/>
  </si>
  <si>
    <t>2박스</t>
    <phoneticPr fontId="3" type="noConversion"/>
  </si>
  <si>
    <t>로젠택배</t>
    <phoneticPr fontId="3" type="noConversion"/>
  </si>
  <si>
    <t>로젠택배</t>
    <phoneticPr fontId="3" type="noConversion"/>
  </si>
  <si>
    <t>power박스</t>
    <phoneticPr fontId="3" type="noConversion"/>
  </si>
  <si>
    <t>오전</t>
    <phoneticPr fontId="3" type="noConversion"/>
  </si>
  <si>
    <t>신대한판지</t>
    <phoneticPr fontId="3" type="noConversion"/>
  </si>
  <si>
    <t>밴딩기 가져다 주기</t>
    <phoneticPr fontId="3" type="noConversion"/>
  </si>
  <si>
    <t xml:space="preserve">오후 </t>
    <phoneticPr fontId="3" type="noConversion"/>
  </si>
  <si>
    <t>1대</t>
    <phoneticPr fontId="3" type="noConversion"/>
  </si>
  <si>
    <t>거래명세서 챙기기</t>
    <phoneticPr fontId="3" type="noConversion"/>
  </si>
  <si>
    <t>경기도 포천시 가산면 유교로 34-10 (가산면) 박희철 010-4769-3101</t>
    <phoneticPr fontId="3" type="noConversion"/>
  </si>
  <si>
    <t>에이치산업</t>
    <phoneticPr fontId="3" type="noConversion"/>
  </si>
  <si>
    <t>12박스</t>
    <phoneticPr fontId="3" type="noConversion"/>
  </si>
  <si>
    <t>대신택배</t>
    <phoneticPr fontId="3" type="noConversion"/>
  </si>
  <si>
    <t>kic박스/나무파레트</t>
    <phoneticPr fontId="3" type="noConversion"/>
  </si>
  <si>
    <t>16박스</t>
    <phoneticPr fontId="3" type="noConversion"/>
  </si>
  <si>
    <t>한남포장</t>
    <phoneticPr fontId="3" type="noConversion"/>
  </si>
  <si>
    <t>오전</t>
    <phoneticPr fontId="3" type="noConversion"/>
  </si>
  <si>
    <t>일산</t>
    <phoneticPr fontId="3" type="noConversion"/>
  </si>
  <si>
    <t>신광포장</t>
    <phoneticPr fontId="3" type="noConversion"/>
  </si>
  <si>
    <t>12*10황(0.65T)</t>
    <phoneticPr fontId="3" type="noConversion"/>
  </si>
  <si>
    <t>50롤</t>
    <phoneticPr fontId="3" type="noConversion"/>
  </si>
  <si>
    <t>15*10황(0.65T)</t>
    <phoneticPr fontId="3" type="noConversion"/>
  </si>
  <si>
    <t>15*10백(0.65T)</t>
    <phoneticPr fontId="3" type="noConversion"/>
  </si>
  <si>
    <t>28롤</t>
    <phoneticPr fontId="3" type="noConversion"/>
  </si>
  <si>
    <t>12*9.5황</t>
    <phoneticPr fontId="3" type="noConversion"/>
  </si>
  <si>
    <t>100롤</t>
    <phoneticPr fontId="3" type="noConversion"/>
  </si>
  <si>
    <t>1박스</t>
    <phoneticPr fontId="3" type="noConversion"/>
  </si>
  <si>
    <t>power박스</t>
    <phoneticPr fontId="3" type="noConversion"/>
  </si>
  <si>
    <t>경기도 남양주시 와부읍 석실로493 육일(계란창고) 김우택 010-5477-2016</t>
    <phoneticPr fontId="3" type="noConversion"/>
  </si>
  <si>
    <t>50롤</t>
    <phoneticPr fontId="3" type="noConversion"/>
  </si>
  <si>
    <t>PE28*2황</t>
    <phoneticPr fontId="3" type="noConversion"/>
  </si>
  <si>
    <t>15박스</t>
    <phoneticPr fontId="3" type="noConversion"/>
  </si>
  <si>
    <t>5박스</t>
    <phoneticPr fontId="3" type="noConversion"/>
  </si>
  <si>
    <t>52롤</t>
    <phoneticPr fontId="3" type="noConversion"/>
  </si>
  <si>
    <t>6mm 초록 샘플</t>
  </si>
  <si>
    <t>가져가기</t>
    <phoneticPr fontId="3" type="noConversion"/>
  </si>
  <si>
    <t>인선</t>
    <phoneticPr fontId="3" type="noConversion"/>
  </si>
  <si>
    <t>5*7000(0.4T)</t>
    <phoneticPr fontId="3" type="noConversion"/>
  </si>
  <si>
    <t>10롤</t>
    <phoneticPr fontId="3" type="noConversion"/>
  </si>
  <si>
    <t>경인팩</t>
    <phoneticPr fontId="3" type="noConversion"/>
  </si>
  <si>
    <t>랩15*500*400</t>
    <phoneticPr fontId="3" type="noConversion"/>
  </si>
  <si>
    <t>32박스</t>
    <phoneticPr fontId="3" type="noConversion"/>
  </si>
  <si>
    <t>6*10백</t>
    <phoneticPr fontId="3" type="noConversion"/>
  </si>
  <si>
    <t>29000원/박스</t>
    <phoneticPr fontId="3" type="noConversion"/>
  </si>
  <si>
    <t>동방포장</t>
    <phoneticPr fontId="3" type="noConversion"/>
  </si>
  <si>
    <t>12*10황(0.65T)</t>
    <phoneticPr fontId="3" type="noConversion"/>
  </si>
  <si>
    <t>73롤</t>
    <phoneticPr fontId="3" type="noConversion"/>
  </si>
  <si>
    <t>무지패드</t>
    <phoneticPr fontId="3" type="noConversion"/>
  </si>
  <si>
    <t>4롤</t>
    <phoneticPr fontId="3" type="noConversion"/>
  </si>
  <si>
    <t>15*10청(0.65T)</t>
    <phoneticPr fontId="3" type="noConversion"/>
  </si>
  <si>
    <t>6롤</t>
    <phoneticPr fontId="3" type="noConversion"/>
  </si>
  <si>
    <t>대신택배</t>
    <phoneticPr fontId="3" type="noConversion"/>
  </si>
  <si>
    <t>청아판지팩</t>
    <phoneticPr fontId="3" type="noConversion"/>
  </si>
  <si>
    <t>8박스</t>
    <phoneticPr fontId="3" type="noConversion"/>
  </si>
  <si>
    <t>kic박스</t>
    <phoneticPr fontId="3" type="noConversion"/>
  </si>
  <si>
    <t>112롤</t>
    <phoneticPr fontId="3" type="noConversion"/>
  </si>
  <si>
    <t>16*10황(자동엠보)</t>
    <phoneticPr fontId="3" type="noConversion"/>
  </si>
  <si>
    <t>경기도 시흥시 협력로 181 시대전기 032-665-1135</t>
    <phoneticPr fontId="3" type="noConversion"/>
  </si>
  <si>
    <t>한국삼공/3묶음</t>
    <phoneticPr fontId="3" type="noConversion"/>
  </si>
  <si>
    <t>2묶음/시대전기</t>
    <phoneticPr fontId="3" type="noConversion"/>
  </si>
  <si>
    <t>동원피앤아이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</si>
  <si>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</si>
  <si>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</si>
  <si>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</si>
  <si>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용차</t>
    <phoneticPr fontId="3" type="noConversion"/>
  </si>
  <si>
    <t>진로특수포장기계</t>
    <phoneticPr fontId="3" type="noConversion"/>
  </si>
  <si>
    <t>PE50*5백</t>
    <phoneticPr fontId="3" type="noConversion"/>
  </si>
  <si>
    <t>5박스</t>
    <phoneticPr fontId="3" type="noConversion"/>
  </si>
  <si>
    <t>방문출고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</si>
  <si>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</si>
  <si>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</si>
  <si>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</si>
  <si>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12*10황(0.8T)</t>
    <phoneticPr fontId="3" type="noConversion"/>
  </si>
  <si>
    <t>4롤</t>
    <phoneticPr fontId="3" type="noConversion"/>
  </si>
  <si>
    <t>5박스</t>
    <phoneticPr fontId="3" type="noConversion"/>
  </si>
  <si>
    <t>PE28*2백</t>
    <phoneticPr fontId="3" type="noConversion"/>
  </si>
  <si>
    <t>방문출고</t>
    <phoneticPr fontId="3" type="noConversion"/>
  </si>
  <si>
    <t>호성수출포장</t>
    <phoneticPr fontId="3" type="noConversion"/>
  </si>
  <si>
    <t>PE28*2백</t>
    <phoneticPr fontId="3" type="noConversion"/>
  </si>
  <si>
    <t>20박스</t>
    <phoneticPr fontId="3" type="noConversion"/>
  </si>
  <si>
    <t>kic박스</t>
    <phoneticPr fontId="3" type="noConversion"/>
  </si>
  <si>
    <t>출발전 전화</t>
    <phoneticPr fontId="3" type="noConversion"/>
  </si>
  <si>
    <t>power박스</t>
    <phoneticPr fontId="3" type="noConversion"/>
  </si>
  <si>
    <t>제일산업(안성)</t>
    <phoneticPr fontId="3" type="noConversion"/>
  </si>
  <si>
    <t>7*10백</t>
    <phoneticPr fontId="3" type="noConversion"/>
  </si>
  <si>
    <t>2롤</t>
    <phoneticPr fontId="3" type="noConversion"/>
  </si>
  <si>
    <t>대신택배</t>
    <phoneticPr fontId="3" type="noConversion"/>
  </si>
  <si>
    <t>1묶음</t>
    <phoneticPr fontId="3" type="noConversion"/>
  </si>
  <si>
    <t>강석천차장 010-9187-2359</t>
    <phoneticPr fontId="3" type="noConversion"/>
  </si>
  <si>
    <t>PE 미국박스</t>
    <phoneticPr fontId="3" type="noConversion"/>
  </si>
  <si>
    <t>4개</t>
    <phoneticPr fontId="3" type="noConversion"/>
  </si>
  <si>
    <t>대신택배</t>
    <phoneticPr fontId="3" type="noConversion"/>
  </si>
  <si>
    <t>동원팩</t>
    <phoneticPr fontId="3" type="noConversion"/>
  </si>
  <si>
    <t>35박스</t>
    <phoneticPr fontId="3" type="noConversion"/>
  </si>
  <si>
    <t>방문출고</t>
    <phoneticPr fontId="3" type="noConversion"/>
  </si>
  <si>
    <t>삼성</t>
    <phoneticPr fontId="3" type="noConversion"/>
  </si>
  <si>
    <t>18*21친환경</t>
    <phoneticPr fontId="3" type="noConversion"/>
  </si>
  <si>
    <t>대성씨앤씨</t>
    <phoneticPr fontId="3" type="noConversion"/>
  </si>
  <si>
    <t>30롤</t>
    <phoneticPr fontId="3" type="noConversion"/>
  </si>
  <si>
    <t>교환</t>
    <phoneticPr fontId="3" type="noConversion"/>
  </si>
  <si>
    <t>12*10황(0.8t)</t>
    <phoneticPr fontId="3" type="noConversion"/>
  </si>
  <si>
    <t>동서포장종합상사</t>
    <phoneticPr fontId="3" type="noConversion"/>
  </si>
  <si>
    <t>삼성</t>
    <phoneticPr fontId="3" type="noConversion"/>
  </si>
  <si>
    <t>18*21친환경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</si>
  <si>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</si>
  <si>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</si>
  <si>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</si>
  <si>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</si>
  <si>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68롤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</si>
  <si>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</si>
  <si>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</si>
  <si>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</si>
  <si>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</si>
  <si>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강릉시 월호평길76번길 36-12  아라솔  010-8919-8768 , 033-553-1792</t>
    <phoneticPr fontId="3" type="noConversion"/>
  </si>
  <si>
    <t>보우팩</t>
    <phoneticPr fontId="3" type="noConversion"/>
  </si>
  <si>
    <t>PE28*2황</t>
    <phoneticPr fontId="3" type="noConversion"/>
  </si>
  <si>
    <t>2박스</t>
    <phoneticPr fontId="3" type="noConversion"/>
  </si>
  <si>
    <t>로젠택배</t>
    <phoneticPr fontId="3" type="noConversion"/>
  </si>
  <si>
    <t>7*10백</t>
    <phoneticPr fontId="3" type="noConversion"/>
  </si>
  <si>
    <t>56롤</t>
    <phoneticPr fontId="3" type="noConversion"/>
  </si>
  <si>
    <t>석종수출포장</t>
    <phoneticPr fontId="3" type="noConversion"/>
  </si>
  <si>
    <t>진송팩</t>
    <phoneticPr fontId="3" type="noConversion"/>
  </si>
  <si>
    <t>충남 홍성군 금북로 452번길 51 산수농장 김민호실장님 010-2413-4021</t>
    <phoneticPr fontId="3" type="noConversion"/>
  </si>
  <si>
    <t>서울특별시 송파구 가락로 39  알마트   02-418-4566/010-4159-1917</t>
    <phoneticPr fontId="3" type="noConversion"/>
  </si>
  <si>
    <t xml:space="preserve">서울특별시 송파구 가락로 39  </t>
    <phoneticPr fontId="3" type="noConversion"/>
  </si>
  <si>
    <t>010-4159-1917</t>
    <phoneticPr fontId="3" type="noConversion"/>
  </si>
  <si>
    <t>24박스</t>
    <phoneticPr fontId="3" type="noConversion"/>
  </si>
  <si>
    <t>대신택배</t>
    <phoneticPr fontId="3" type="noConversion"/>
  </si>
  <si>
    <t>대구광역시 북구 매천로45 (팔달동 4-20) 제일종합상가內 도신유통 010-2907-7905</t>
    <phoneticPr fontId="3" type="noConversion"/>
  </si>
  <si>
    <t>강릉</t>
    <phoneticPr fontId="3" type="noConversion"/>
  </si>
  <si>
    <t>대구</t>
    <phoneticPr fontId="3" type="noConversion"/>
  </si>
  <si>
    <t>광림포장</t>
    <phoneticPr fontId="3" type="noConversion"/>
  </si>
  <si>
    <t>랩20*500*1400</t>
    <phoneticPr fontId="3" type="noConversion"/>
  </si>
  <si>
    <t>50박스</t>
    <phoneticPr fontId="3" type="noConversion"/>
  </si>
  <si>
    <t>충남 아산시 둔포면 아산호로 816-14  명계 (주) 041-533-1207/010-3508-9813</t>
    <phoneticPr fontId="3" type="noConversion"/>
  </si>
  <si>
    <t>더담패키지</t>
    <phoneticPr fontId="3" type="noConversion"/>
  </si>
  <si>
    <t>7*10백(0.5T)</t>
    <phoneticPr fontId="3" type="noConversion"/>
  </si>
  <si>
    <t>50롤</t>
    <phoneticPr fontId="3" type="noConversion"/>
  </si>
  <si>
    <t>용차</t>
    <phoneticPr fontId="3" type="noConversion"/>
  </si>
  <si>
    <t xml:space="preserve">명계 (주) </t>
    <phoneticPr fontId="3" type="noConversion"/>
  </si>
  <si>
    <t>041-533-1207/010-3508-9813</t>
  </si>
  <si>
    <t xml:space="preserve">충남 아산시 둔포면 아산호로 816-14  </t>
    <phoneticPr fontId="3" type="noConversion"/>
  </si>
  <si>
    <t>기계랩 50박스</t>
    <phoneticPr fontId="3" type="noConversion"/>
  </si>
  <si>
    <t>발송 : 경인팩</t>
    <phoneticPr fontId="3" type="noConversion"/>
  </si>
  <si>
    <t>아산</t>
    <phoneticPr fontId="3" type="noConversion"/>
  </si>
  <si>
    <t>유일</t>
    <phoneticPr fontId="3" type="noConversion"/>
  </si>
  <si>
    <t>56박스</t>
    <phoneticPr fontId="3" type="noConversion"/>
  </si>
  <si>
    <t>한주</t>
    <phoneticPr fontId="3" type="noConversion"/>
  </si>
  <si>
    <t>9*10황(0.75T)</t>
    <phoneticPr fontId="3" type="noConversion"/>
  </si>
  <si>
    <t>64롤</t>
    <phoneticPr fontId="3" type="noConversion"/>
  </si>
  <si>
    <t>12*10황</t>
    <phoneticPr fontId="3" type="noConversion"/>
  </si>
  <si>
    <t>12*12.5황</t>
    <phoneticPr fontId="3" type="noConversion"/>
  </si>
  <si>
    <t>40롤</t>
    <phoneticPr fontId="3" type="noConversion"/>
  </si>
  <si>
    <t>무밴딩제품에 광림패드</t>
    <phoneticPr fontId="3" type="noConversion"/>
  </si>
  <si>
    <t>9*9.5백</t>
    <phoneticPr fontId="3" type="noConversion"/>
  </si>
  <si>
    <t>63롤</t>
    <phoneticPr fontId="3" type="noConversion"/>
  </si>
  <si>
    <t>64롤</t>
    <phoneticPr fontId="3" type="noConversion"/>
  </si>
  <si>
    <t>12*10백(0.8T)</t>
    <phoneticPr fontId="3" type="noConversion"/>
  </si>
  <si>
    <t>진송팩</t>
    <phoneticPr fontId="3" type="noConversion"/>
  </si>
  <si>
    <t>PE28*2적</t>
    <phoneticPr fontId="3" type="noConversion"/>
  </si>
  <si>
    <t>3박스</t>
    <phoneticPr fontId="3" type="noConversion"/>
  </si>
  <si>
    <t>3박스</t>
    <phoneticPr fontId="3" type="noConversion"/>
  </si>
  <si>
    <t>로젠택배</t>
    <phoneticPr fontId="3" type="noConversion"/>
  </si>
  <si>
    <t>경기도 평택시 서탄면 수월암5길 62-28 동화산업 010-9480-0262</t>
    <phoneticPr fontId="3" type="noConversion"/>
  </si>
  <si>
    <t>한길포장</t>
  </si>
  <si>
    <t>12*10황(0.65t)</t>
  </si>
  <si>
    <t>12.10황(0.75T)</t>
  </si>
  <si>
    <t>300롤</t>
    <phoneticPr fontId="3" type="noConversion"/>
  </si>
  <si>
    <t>팔레트</t>
    <phoneticPr fontId="3" type="noConversion"/>
  </si>
  <si>
    <t>20.4톤</t>
    <phoneticPr fontId="3" type="noConversion"/>
  </si>
  <si>
    <t>40"(오후2시)</t>
    <phoneticPr fontId="3" type="noConversion"/>
  </si>
  <si>
    <t>신광포장</t>
    <phoneticPr fontId="3" type="noConversion"/>
  </si>
  <si>
    <t>56롤</t>
    <phoneticPr fontId="3" type="noConversion"/>
  </si>
  <si>
    <t>15*10황(0.65T)</t>
    <phoneticPr fontId="3" type="noConversion"/>
  </si>
  <si>
    <t>56롤</t>
    <phoneticPr fontId="3" type="noConversion"/>
  </si>
  <si>
    <t>20박스</t>
    <phoneticPr fontId="3" type="noConversion"/>
  </si>
  <si>
    <t>kic박스</t>
    <phoneticPr fontId="3" type="noConversion"/>
  </si>
  <si>
    <t>김규현</t>
    <phoneticPr fontId="3" type="noConversion"/>
  </si>
  <si>
    <t>용차</t>
    <phoneticPr fontId="3" type="noConversion"/>
  </si>
  <si>
    <t>wcp규격</t>
    <phoneticPr fontId="3" type="noConversion"/>
  </si>
  <si>
    <t>12*10백(0.55T)</t>
    <phoneticPr fontId="3" type="noConversion"/>
  </si>
  <si>
    <t>동원팩</t>
    <phoneticPr fontId="3" type="noConversion"/>
  </si>
  <si>
    <t>50롤</t>
    <phoneticPr fontId="3" type="noConversion"/>
  </si>
  <si>
    <t>PE28*6백</t>
    <phoneticPr fontId="3" type="noConversion"/>
  </si>
  <si>
    <t>오후1시전 출발
김규현</t>
    <phoneticPr fontId="3" type="noConversion"/>
  </si>
  <si>
    <t>15박스</t>
    <phoneticPr fontId="3" type="noConversion"/>
  </si>
  <si>
    <t>25박스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</si>
  <si>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</si>
  <si>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</si>
  <si>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</si>
  <si>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</si>
  <si>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전북 김제시 금구면 옥용로36(옥성리) 새길영농조합법인 063-547-5212 010-3753-1985</t>
    <phoneticPr fontId="3" type="noConversion"/>
  </si>
  <si>
    <t>6*10백</t>
    <phoneticPr fontId="3" type="noConversion"/>
  </si>
  <si>
    <t>50롤</t>
    <phoneticPr fontId="3" type="noConversion"/>
  </si>
  <si>
    <t>10.5*10청</t>
    <phoneticPr fontId="3" type="noConversion"/>
  </si>
  <si>
    <t>20롤</t>
    <phoneticPr fontId="3" type="noConversion"/>
  </si>
  <si>
    <t>동아출판</t>
    <phoneticPr fontId="3" type="noConversion"/>
  </si>
  <si>
    <t>방문출고</t>
    <phoneticPr fontId="3" type="noConversion"/>
  </si>
  <si>
    <t>12*12.5황</t>
    <phoneticPr fontId="3" type="noConversion"/>
  </si>
  <si>
    <t>10롤</t>
    <phoneticPr fontId="3" type="noConversion"/>
  </si>
  <si>
    <t>28롤</t>
    <phoneticPr fontId="3" type="noConversion"/>
  </si>
  <si>
    <t>낙원포장</t>
    <phoneticPr fontId="3" type="noConversion"/>
  </si>
  <si>
    <t>3박스</t>
    <phoneticPr fontId="3" type="noConversion"/>
  </si>
  <si>
    <t>용차</t>
    <phoneticPr fontId="3" type="noConversion"/>
  </si>
  <si>
    <t>대흥수출포장</t>
    <phoneticPr fontId="3" type="noConversion"/>
  </si>
  <si>
    <t>4박스</t>
    <phoneticPr fontId="3" type="noConversion"/>
  </si>
  <si>
    <t>방문출고</t>
    <phoneticPr fontId="3" type="noConversion"/>
  </si>
  <si>
    <t>무지박스</t>
    <phoneticPr fontId="3" type="noConversion"/>
  </si>
  <si>
    <t>6*10백</t>
    <phoneticPr fontId="3" type="noConversion"/>
  </si>
  <si>
    <t>70롤</t>
    <phoneticPr fontId="3" type="noConversion"/>
  </si>
  <si>
    <t>6*10황</t>
    <phoneticPr fontId="3" type="noConversion"/>
  </si>
  <si>
    <t>6롤</t>
    <phoneticPr fontId="3" type="noConversion"/>
  </si>
  <si>
    <t>파워엠팩</t>
    <phoneticPr fontId="3" type="noConversion"/>
  </si>
  <si>
    <t>411롤</t>
    <phoneticPr fontId="3" type="noConversion"/>
  </si>
  <si>
    <t>오면서 밴딩기 
싣고 오기
(디에스아이)</t>
    <phoneticPr fontId="3" type="noConversion"/>
  </si>
  <si>
    <t>12*12.5황</t>
    <phoneticPr fontId="3" type="noConversion"/>
  </si>
  <si>
    <t>60롤</t>
    <phoneticPr fontId="3" type="noConversion"/>
  </si>
  <si>
    <t>15*13황</t>
    <phoneticPr fontId="3" type="noConversion"/>
  </si>
  <si>
    <t>합동포장</t>
    <phoneticPr fontId="3" type="noConversion"/>
  </si>
  <si>
    <t>신광포장</t>
    <phoneticPr fontId="3" type="noConversion"/>
  </si>
  <si>
    <t>경기도 시흥시 봉우순환로 23-10 동진정밀內 세탁 010-8998-6740</t>
    <phoneticPr fontId="3" type="noConversion"/>
  </si>
  <si>
    <t>2롤</t>
    <phoneticPr fontId="3" type="noConversion"/>
  </si>
  <si>
    <t>12*3000투명(0.65t)</t>
    <phoneticPr fontId="3" type="noConversion"/>
  </si>
  <si>
    <t>1묶음</t>
    <phoneticPr fontId="3" type="noConversion"/>
  </si>
  <si>
    <t>대신택배</t>
    <phoneticPr fontId="3" type="noConversion"/>
  </si>
  <si>
    <t>강원농협</t>
    <phoneticPr fontId="3" type="noConversion"/>
  </si>
  <si>
    <t>밴딩기부품</t>
    <phoneticPr fontId="3" type="noConversion"/>
  </si>
  <si>
    <t>로젠택배</t>
    <phoneticPr fontId="3" type="noConversion"/>
  </si>
  <si>
    <t>18*21친환경</t>
    <phoneticPr fontId="3" type="noConversion"/>
  </si>
  <si>
    <t>166롤</t>
    <phoneticPr fontId="3" type="noConversion"/>
  </si>
  <si>
    <t>태광포장기계</t>
    <phoneticPr fontId="3" type="noConversion"/>
  </si>
  <si>
    <t>32박스</t>
    <phoneticPr fontId="3" type="noConversion"/>
  </si>
  <si>
    <t>2850원</t>
    <phoneticPr fontId="3" type="noConversion"/>
  </si>
  <si>
    <t>power박스/나무파레트</t>
    <phoneticPr fontId="3" type="noConversion"/>
  </si>
  <si>
    <t>경기도 평택시 통복동 66-1번지  나라유통  010-3295-5230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</si>
  <si>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</si>
  <si>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</si>
  <si>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</si>
  <si>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</si>
  <si>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나무파레트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</si>
  <si>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</si>
  <si>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</si>
  <si>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</si>
  <si>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방문출고</t>
    <phoneticPr fontId="3" type="noConversion"/>
  </si>
  <si>
    <t>128롤</t>
    <phoneticPr fontId="3" type="noConversion"/>
  </si>
  <si>
    <t>다오</t>
    <phoneticPr fontId="3" type="noConversion"/>
  </si>
  <si>
    <t>지방합화차</t>
    <phoneticPr fontId="3" type="noConversion"/>
  </si>
  <si>
    <t>9*12은회색</t>
    <phoneticPr fontId="3" type="noConversion"/>
  </si>
  <si>
    <t>장기 미수금 : 세화종합상사 / 바오 / 아이원팩 / 범영산업 / 가론종합상사</t>
    <phoneticPr fontId="3" type="noConversion"/>
  </si>
  <si>
    <t>20롤</t>
    <phoneticPr fontId="3" type="noConversion"/>
  </si>
  <si>
    <t>경인산업</t>
    <phoneticPr fontId="3" type="noConversion"/>
  </si>
  <si>
    <t>56롤</t>
    <phoneticPr fontId="3" type="noConversion"/>
  </si>
  <si>
    <t>2박스</t>
    <phoneticPr fontId="3" type="noConversion"/>
  </si>
  <si>
    <t>power박스</t>
    <phoneticPr fontId="3" type="noConversion"/>
  </si>
  <si>
    <t>같이</t>
    <phoneticPr fontId="3" type="noConversion"/>
  </si>
  <si>
    <t>하이게이트</t>
    <phoneticPr fontId="3" type="noConversion"/>
  </si>
  <si>
    <t>수작업</t>
    <phoneticPr fontId="3" type="noConversion"/>
  </si>
  <si>
    <t>20.9톤</t>
    <phoneticPr fontId="3" type="noConversion"/>
  </si>
  <si>
    <t>40"(오전10시)</t>
    <phoneticPr fontId="3" type="noConversion"/>
  </si>
  <si>
    <t>동원팩</t>
    <phoneticPr fontId="3" type="noConversion"/>
  </si>
  <si>
    <t>1박스</t>
    <phoneticPr fontId="3" type="noConversion"/>
  </si>
  <si>
    <t>로젠택배착불</t>
    <phoneticPr fontId="3" type="noConversion"/>
  </si>
  <si>
    <t>경기도 안성시 삼죽면 내장리 211 경원농장 010-9662-5100</t>
    <phoneticPr fontId="3" type="noConversion"/>
  </si>
  <si>
    <t>금산포장</t>
    <phoneticPr fontId="3" type="noConversion"/>
  </si>
  <si>
    <t>power박스</t>
    <phoneticPr fontId="3" type="noConversion"/>
  </si>
  <si>
    <t>4박스</t>
    <phoneticPr fontId="3" type="noConversion"/>
  </si>
  <si>
    <t>19*1000청</t>
    <phoneticPr fontId="3" type="noConversion"/>
  </si>
  <si>
    <t>RLB제품 350박스포장</t>
    <phoneticPr fontId="3" type="noConversion"/>
  </si>
  <si>
    <t>입금확인후 출고</t>
    <phoneticPr fontId="3" type="noConversion"/>
  </si>
  <si>
    <t>광림포장</t>
    <phoneticPr fontId="3" type="noConversion"/>
  </si>
  <si>
    <t>9*10황(0.75T)</t>
    <phoneticPr fontId="3" type="noConversion"/>
  </si>
  <si>
    <t>64롤</t>
    <phoneticPr fontId="3" type="noConversion"/>
  </si>
  <si>
    <t>12*10황</t>
    <phoneticPr fontId="3" type="noConversion"/>
  </si>
  <si>
    <t>64롤</t>
    <phoneticPr fontId="3" type="noConversion"/>
  </si>
  <si>
    <t>40롤</t>
    <phoneticPr fontId="3" type="noConversion"/>
  </si>
  <si>
    <t>64롤</t>
    <phoneticPr fontId="3" type="noConversion"/>
  </si>
  <si>
    <t>12*12.5황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</si>
  <si>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</si>
  <si>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</si>
  <si>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</si>
  <si>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</si>
  <si>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동원팩</t>
    <phoneticPr fontId="3" type="noConversion"/>
  </si>
  <si>
    <t>방문출고</t>
    <phoneticPr fontId="3" type="noConversion"/>
  </si>
  <si>
    <t>30박스</t>
    <phoneticPr fontId="3" type="noConversion"/>
  </si>
  <si>
    <t>20박스</t>
    <phoneticPr fontId="3" type="noConversion"/>
  </si>
  <si>
    <t>50롤</t>
    <phoneticPr fontId="3" type="noConversion"/>
  </si>
  <si>
    <t>30박스</t>
    <phoneticPr fontId="3" type="noConversion"/>
  </si>
  <si>
    <t>PE28*2백(24kg)</t>
    <phoneticPr fontId="3" type="noConversion"/>
  </si>
  <si>
    <t>2박스</t>
    <phoneticPr fontId="3" type="noConversion"/>
  </si>
  <si>
    <t>오전</t>
    <phoneticPr fontId="3" type="noConversion"/>
  </si>
  <si>
    <t>167롤</t>
    <phoneticPr fontId="3" type="noConversion"/>
  </si>
  <si>
    <t>오후</t>
    <phoneticPr fontId="3" type="noConversion"/>
  </si>
  <si>
    <t>경인팩</t>
    <phoneticPr fontId="3" type="noConversion"/>
  </si>
  <si>
    <t>192롤</t>
    <phoneticPr fontId="3" type="noConversion"/>
  </si>
  <si>
    <t>대구한국포장</t>
    <phoneticPr fontId="3" type="noConversion"/>
  </si>
  <si>
    <t>6*10황(0.65T)</t>
    <phoneticPr fontId="3" type="noConversion"/>
  </si>
  <si>
    <t>64롤</t>
    <phoneticPr fontId="3" type="noConversion"/>
  </si>
  <si>
    <t>6*10청(0.60T)</t>
    <phoneticPr fontId="3" type="noConversion"/>
  </si>
  <si>
    <t>6*10적(0.60T)</t>
    <phoneticPr fontId="3" type="noConversion"/>
  </si>
  <si>
    <t>낙원 패드</t>
    <phoneticPr fontId="3" type="noConversion"/>
  </si>
  <si>
    <t>지방합화차 착불</t>
    <phoneticPr fontId="3" type="noConversion"/>
  </si>
  <si>
    <t>탐스텍</t>
    <phoneticPr fontId="3" type="noConversion"/>
  </si>
  <si>
    <t>팔레트</t>
    <phoneticPr fontId="3" type="noConversion"/>
  </si>
  <si>
    <t>4.2톤</t>
    <phoneticPr fontId="3" type="noConversion"/>
  </si>
  <si>
    <t>LCL(오전9시)</t>
    <phoneticPr fontId="3" type="noConversion"/>
  </si>
  <si>
    <t>팔레트</t>
    <phoneticPr fontId="3" type="noConversion"/>
  </si>
  <si>
    <t>7.5톤</t>
    <phoneticPr fontId="3" type="noConversion"/>
  </si>
  <si>
    <t>알엘비</t>
    <phoneticPr fontId="3" type="noConversion"/>
  </si>
  <si>
    <t>8.7톤</t>
    <phoneticPr fontId="3" type="noConversion"/>
  </si>
  <si>
    <t>20"(오후2시)</t>
    <phoneticPr fontId="3" type="noConversion"/>
  </si>
  <si>
    <t>12.12.5황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</si>
  <si>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</si>
  <si>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</si>
  <si>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</si>
  <si>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power박스</t>
    <phoneticPr fontId="3" type="noConversion"/>
  </si>
  <si>
    <t>충청북도 진천군 진천읍 문봉2길 54-9 (진천읍 대국농장) 010-6488-4994 / 010-6256-5784</t>
    <phoneticPr fontId="3" type="noConversion"/>
  </si>
  <si>
    <t>삼성</t>
    <phoneticPr fontId="3" type="noConversion"/>
  </si>
  <si>
    <t>18*21친환경</t>
    <phoneticPr fontId="3" type="noConversion"/>
  </si>
  <si>
    <t>18*21투명</t>
    <phoneticPr fontId="3" type="noConversion"/>
  </si>
  <si>
    <t>1롤</t>
    <phoneticPr fontId="3" type="noConversion"/>
  </si>
  <si>
    <t>297롤</t>
    <phoneticPr fontId="3" type="noConversion"/>
  </si>
  <si>
    <t>아주파레트 반납</t>
    <phoneticPr fontId="3" type="noConversion"/>
  </si>
  <si>
    <t>20"(오전10시)</t>
    <phoneticPr fontId="3" type="noConversion"/>
  </si>
  <si>
    <t>한주</t>
    <phoneticPr fontId="3" type="noConversion"/>
  </si>
  <si>
    <t>팔레트</t>
    <phoneticPr fontId="3" type="noConversion"/>
  </si>
  <si>
    <t>20.4톤</t>
    <phoneticPr fontId="3" type="noConversion"/>
  </si>
  <si>
    <t>20.4톤</t>
    <phoneticPr fontId="3" type="noConversion"/>
  </si>
  <si>
    <t>40"(오후1시)</t>
    <phoneticPr fontId="3" type="noConversion"/>
  </si>
  <si>
    <t>40"(오후3시)</t>
    <phoneticPr fontId="3" type="noConversion"/>
  </si>
  <si>
    <t>제이케이머티리얼즈</t>
    <phoneticPr fontId="3" type="noConversion"/>
  </si>
  <si>
    <t>pet 16mm</t>
    <phoneticPr fontId="3" type="noConversion"/>
  </si>
  <si>
    <t>10롤</t>
    <phoneticPr fontId="3" type="noConversion"/>
  </si>
  <si>
    <t>자바라</t>
    <phoneticPr fontId="3" type="noConversion"/>
  </si>
  <si>
    <t>3개</t>
    <phoneticPr fontId="3" type="noConversion"/>
  </si>
  <si>
    <t>경기도 안양시 동안구 관양동 1591-2 안양우편집중국 2층 물류총괄과 성하연  02-742-9217</t>
    <phoneticPr fontId="3" type="noConversion"/>
  </si>
  <si>
    <t>한길포장</t>
    <phoneticPr fontId="3" type="noConversion"/>
  </si>
  <si>
    <t>18*10황</t>
    <phoneticPr fontId="3" type="noConversion"/>
  </si>
  <si>
    <t>128롤</t>
    <phoneticPr fontId="3" type="noConversion"/>
  </si>
  <si>
    <t>순창</t>
    <phoneticPr fontId="3" type="noConversion"/>
  </si>
  <si>
    <t>6*10백(0.6T)</t>
    <phoneticPr fontId="3" type="noConversion"/>
  </si>
  <si>
    <t>128롤</t>
    <phoneticPr fontId="3" type="noConversion"/>
  </si>
  <si>
    <t>거창</t>
    <phoneticPr fontId="3" type="noConversion"/>
  </si>
  <si>
    <t>파코팩</t>
    <phoneticPr fontId="3" type="noConversion"/>
  </si>
  <si>
    <t>PE50*5백</t>
    <phoneticPr fontId="3" type="noConversion"/>
  </si>
  <si>
    <t>32박스</t>
    <phoneticPr fontId="3" type="noConversion"/>
  </si>
  <si>
    <t>30박스</t>
    <phoneticPr fontId="3" type="noConversion"/>
  </si>
  <si>
    <t>power박스</t>
    <phoneticPr fontId="3" type="noConversion"/>
  </si>
  <si>
    <t>용차</t>
    <phoneticPr fontId="3" type="noConversion"/>
  </si>
  <si>
    <t>이안하이텍</t>
    <phoneticPr fontId="3" type="noConversion"/>
  </si>
  <si>
    <t>18*10투명</t>
    <phoneticPr fontId="3" type="noConversion"/>
  </si>
  <si>
    <t>1롤</t>
    <phoneticPr fontId="3" type="noConversion"/>
  </si>
  <si>
    <t>샘플</t>
    <phoneticPr fontId="3" type="noConversion"/>
  </si>
  <si>
    <t>대신택배</t>
    <phoneticPr fontId="3" type="noConversion"/>
  </si>
  <si>
    <t>충남 천안시 서북구 입장면 독정기로길 33(독정리 14-6번지) 이안하이텍 041-552-7434 / 010-3206-2999</t>
    <phoneticPr fontId="3" type="noConversion"/>
  </si>
  <si>
    <t>무지PE박스 포장</t>
    <phoneticPr fontId="3" type="noConversion"/>
  </si>
  <si>
    <t>12*12황(0.8T)</t>
    <phoneticPr fontId="3" type="noConversion"/>
  </si>
  <si>
    <t>단가동일</t>
    <phoneticPr fontId="3" type="noConversion"/>
  </si>
  <si>
    <t>12*10황(0.8T)</t>
    <phoneticPr fontId="3" type="noConversion"/>
  </si>
  <si>
    <t>180롤</t>
    <phoneticPr fontId="3" type="noConversion"/>
  </si>
  <si>
    <t>나무파레트</t>
    <phoneticPr fontId="3" type="noConversion"/>
  </si>
  <si>
    <t>경인팩</t>
    <phoneticPr fontId="3" type="noConversion"/>
  </si>
  <si>
    <t>서흥포장</t>
    <phoneticPr fontId="3" type="noConversion"/>
  </si>
  <si>
    <t>12*10황(0.8T)</t>
    <phoneticPr fontId="3" type="noConversion"/>
  </si>
  <si>
    <t>10롤</t>
    <phoneticPr fontId="3" type="noConversion"/>
  </si>
  <si>
    <t>밴딩기 A/S</t>
    <phoneticPr fontId="3" type="noConversion"/>
  </si>
  <si>
    <t>김규현</t>
    <phoneticPr fontId="3" type="noConversion"/>
  </si>
  <si>
    <t>10박스</t>
    <phoneticPr fontId="3" type="noConversion"/>
  </si>
  <si>
    <t>용차</t>
    <phoneticPr fontId="3" type="noConversion"/>
  </si>
  <si>
    <t>동방포장</t>
    <phoneticPr fontId="3" type="noConversion"/>
  </si>
  <si>
    <t>15*10황(0.65T)</t>
    <phoneticPr fontId="3" type="noConversion"/>
  </si>
  <si>
    <t>5롤</t>
    <phoneticPr fontId="3" type="noConversion"/>
  </si>
  <si>
    <t>방문출고</t>
    <phoneticPr fontId="3" type="noConversion"/>
  </si>
  <si>
    <t>power패드</t>
    <phoneticPr fontId="3" type="noConversion"/>
  </si>
  <si>
    <t>경기도 파주시 조리읍 능안로 265번길 25-15  하이햔이엔피  010-2377-0494</t>
    <phoneticPr fontId="3" type="noConversion"/>
  </si>
  <si>
    <t>합동포장</t>
    <phoneticPr fontId="3" type="noConversion"/>
  </si>
  <si>
    <t>12*12.5황</t>
    <phoneticPr fontId="3" type="noConversion"/>
  </si>
  <si>
    <t>170롤</t>
    <phoneticPr fontId="3" type="noConversion"/>
  </si>
  <si>
    <t>15*13황</t>
    <phoneticPr fontId="3" type="noConversion"/>
  </si>
  <si>
    <t>10롤</t>
    <phoneticPr fontId="3" type="noConversion"/>
  </si>
  <si>
    <t>광림제품 패드갈이</t>
    <phoneticPr fontId="3" type="noConversion"/>
  </si>
  <si>
    <t>12*10황</t>
    <phoneticPr fontId="3" type="noConversion"/>
  </si>
  <si>
    <t>30롤</t>
    <phoneticPr fontId="3" type="noConversion"/>
  </si>
  <si>
    <t>9*10황(0.75T)</t>
    <phoneticPr fontId="3" type="noConversion"/>
  </si>
  <si>
    <t>20롤</t>
    <phoneticPr fontId="3" type="noConversion"/>
  </si>
  <si>
    <t>50박스</t>
    <phoneticPr fontId="3" type="noConversion"/>
  </si>
  <si>
    <t>오전</t>
    <phoneticPr fontId="3" type="noConversion"/>
  </si>
  <si>
    <t>방문출고</t>
    <phoneticPr fontId="3" type="noConversion"/>
  </si>
  <si>
    <t>전표7/1</t>
    <phoneticPr fontId="3" type="noConversion"/>
  </si>
  <si>
    <t>보우팩</t>
    <phoneticPr fontId="3" type="noConversion"/>
  </si>
  <si>
    <t>6*10백</t>
    <phoneticPr fontId="3" type="noConversion"/>
  </si>
  <si>
    <t>300롤</t>
    <phoneticPr fontId="3" type="noConversion"/>
  </si>
  <si>
    <t>kic박스</t>
    <phoneticPr fontId="3" type="noConversion"/>
  </si>
  <si>
    <t>명재상사</t>
    <phoneticPr fontId="3" type="noConversion"/>
  </si>
  <si>
    <t>5박스</t>
    <phoneticPr fontId="3" type="noConversion"/>
  </si>
  <si>
    <t>로젠택배</t>
    <phoneticPr fontId="3" type="noConversion"/>
  </si>
  <si>
    <t>경기도 남양주시 삼패동 281-1번지 삼성물류내 명재상사 010-6252-0047</t>
    <phoneticPr fontId="3" type="noConversion"/>
  </si>
  <si>
    <t>12*10백(0.75T)</t>
    <phoneticPr fontId="3" type="noConversion"/>
  </si>
  <si>
    <t>64롤</t>
    <phoneticPr fontId="3" type="noConversion"/>
  </si>
  <si>
    <t>12*10황(0.75T)</t>
    <phoneticPr fontId="3" type="noConversion"/>
  </si>
  <si>
    <t>64롤</t>
    <phoneticPr fontId="3" type="noConversion"/>
  </si>
  <si>
    <t>50롤</t>
    <phoneticPr fontId="3" type="noConversion"/>
  </si>
  <si>
    <t>20박스</t>
    <phoneticPr fontId="3" type="noConversion"/>
  </si>
  <si>
    <t>`</t>
    <phoneticPr fontId="3" type="noConversion"/>
  </si>
  <si>
    <t>power박스</t>
    <phoneticPr fontId="3" type="noConversion"/>
  </si>
  <si>
    <t>14.3톤</t>
    <phoneticPr fontId="3" type="noConversion"/>
  </si>
  <si>
    <t>원우패키징</t>
    <phoneticPr fontId="3" type="noConversion"/>
  </si>
  <si>
    <t>싸이클롭</t>
    <phoneticPr fontId="3" type="noConversion"/>
  </si>
  <si>
    <t>수작업</t>
    <phoneticPr fontId="3" type="noConversion"/>
  </si>
  <si>
    <t>18.1톤</t>
    <phoneticPr fontId="3" type="noConversion"/>
  </si>
  <si>
    <t>40"(오전10시)</t>
    <phoneticPr fontId="3" type="noConversion"/>
  </si>
  <si>
    <t>목</t>
    <phoneticPr fontId="3" type="noConversion"/>
  </si>
  <si>
    <t>전주삼신산업</t>
    <phoneticPr fontId="3" type="noConversion"/>
  </si>
  <si>
    <t>6*10백</t>
    <phoneticPr fontId="3" type="noConversion"/>
  </si>
  <si>
    <t>10롤</t>
    <phoneticPr fontId="3" type="noConversion"/>
  </si>
  <si>
    <t>10박스</t>
    <phoneticPr fontId="3" type="noConversion"/>
  </si>
  <si>
    <t>10박스</t>
    <phoneticPr fontId="3" type="noConversion"/>
  </si>
  <si>
    <t>PE28*2황</t>
    <phoneticPr fontId="3" type="noConversion"/>
  </si>
  <si>
    <t>대신택배</t>
    <phoneticPr fontId="3" type="noConversion"/>
  </si>
  <si>
    <t>광림포장</t>
    <phoneticPr fontId="3" type="noConversion"/>
  </si>
  <si>
    <t>12*12.5황</t>
    <phoneticPr fontId="3" type="noConversion"/>
  </si>
  <si>
    <t>100롤</t>
    <phoneticPr fontId="3" type="noConversion"/>
  </si>
  <si>
    <t>나무파레트</t>
    <phoneticPr fontId="3" type="noConversion"/>
  </si>
  <si>
    <t>용차</t>
    <phoneticPr fontId="3" type="noConversion"/>
  </si>
  <si>
    <t>고림포장</t>
    <phoneticPr fontId="3" type="noConversion"/>
  </si>
  <si>
    <t>7*10백(0.5T)</t>
    <phoneticPr fontId="3" type="noConversion"/>
  </si>
  <si>
    <t>40롤</t>
    <phoneticPr fontId="3" type="noConversion"/>
  </si>
  <si>
    <t>삼성</t>
    <phoneticPr fontId="3" type="noConversion"/>
  </si>
  <si>
    <t>금산포장</t>
    <phoneticPr fontId="3" type="noConversion"/>
  </si>
  <si>
    <t>1박스</t>
    <phoneticPr fontId="3" type="noConversion"/>
  </si>
  <si>
    <t>로젠택배</t>
    <phoneticPr fontId="3" type="noConversion"/>
  </si>
  <si>
    <t>김규현</t>
    <phoneticPr fontId="3" type="noConversion"/>
  </si>
  <si>
    <t>백암지관</t>
    <phoneticPr fontId="3" type="noConversion"/>
  </si>
  <si>
    <t>12*12.5황</t>
    <phoneticPr fontId="3" type="noConversion"/>
  </si>
  <si>
    <t>20롤</t>
    <phoneticPr fontId="3" type="noConversion"/>
  </si>
  <si>
    <t>12*11청</t>
    <phoneticPr fontId="3" type="noConversion"/>
  </si>
  <si>
    <t>5롤</t>
    <phoneticPr fontId="3" type="noConversion"/>
  </si>
  <si>
    <t>방문출고</t>
    <phoneticPr fontId="3" type="noConversion"/>
  </si>
  <si>
    <t>오전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</si>
  <si>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</si>
  <si>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</si>
  <si>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</si>
  <si>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56롤</t>
    <phoneticPr fontId="3" type="noConversion"/>
  </si>
  <si>
    <t>15*10황(0.65T)</t>
    <phoneticPr fontId="3" type="noConversion"/>
  </si>
  <si>
    <t>주신산업</t>
    <phoneticPr fontId="3" type="noConversion"/>
  </si>
  <si>
    <t>대한종합포장</t>
    <phoneticPr fontId="3" type="noConversion"/>
  </si>
  <si>
    <t>랩20*500*1400</t>
    <phoneticPr fontId="3" type="noConversion"/>
  </si>
  <si>
    <t>50박스</t>
    <phoneticPr fontId="3" type="noConversion"/>
  </si>
  <si>
    <t>인천광역시 강화군 불은면 삼동암길 168 (불은면, 소원농장) 소원농장 최광헌 010-3104-1423</t>
    <phoneticPr fontId="3" type="noConversion"/>
  </si>
  <si>
    <t>1박스</t>
    <phoneticPr fontId="3" type="noConversion"/>
  </si>
  <si>
    <t>강원도 강릉시 사천면 석교음지길 116 (주)해살이뜰  010-9855-1326</t>
    <phoneticPr fontId="3" type="noConversion"/>
  </si>
  <si>
    <t>5시이후 상차</t>
    <phoneticPr fontId="3" type="noConversion"/>
  </si>
  <si>
    <t>진송팩</t>
    <phoneticPr fontId="3" type="noConversion"/>
  </si>
  <si>
    <t>같이</t>
    <phoneticPr fontId="3" type="noConversion"/>
  </si>
  <si>
    <t>경기도 김포시 홍도평로 81-45(걸포동) 김포계란알마니㈜ 010-3294-0052</t>
    <phoneticPr fontId="3" type="noConversion"/>
  </si>
  <si>
    <t>314롤</t>
    <phoneticPr fontId="3" type="noConversion"/>
  </si>
  <si>
    <t>클린플러스</t>
    <phoneticPr fontId="3" type="noConversion"/>
  </si>
  <si>
    <t>9*10백(0.5T)</t>
    <phoneticPr fontId="3" type="noConversion"/>
  </si>
  <si>
    <t>50롤</t>
    <phoneticPr fontId="3" type="noConversion"/>
  </si>
  <si>
    <t>대신택배</t>
    <phoneticPr fontId="3" type="noConversion"/>
  </si>
  <si>
    <t>2200원/kg 초과수량 다 보냄</t>
    <phoneticPr fontId="3" type="noConversion"/>
  </si>
  <si>
    <t>수</t>
    <phoneticPr fontId="3" type="noConversion"/>
  </si>
  <si>
    <t>동원팩</t>
    <phoneticPr fontId="3" type="noConversion"/>
  </si>
  <si>
    <t>PE28*2청</t>
    <phoneticPr fontId="3" type="noConversion"/>
  </si>
  <si>
    <t>2박스</t>
    <phoneticPr fontId="3" type="noConversion"/>
  </si>
  <si>
    <t>로젠택배</t>
    <phoneticPr fontId="3" type="noConversion"/>
  </si>
  <si>
    <t>경기도 남양주시 화도읍 답내리 94-2 상현축산 010-6366-4614</t>
    <phoneticPr fontId="3" type="noConversion"/>
  </si>
  <si>
    <t>진송팩</t>
    <phoneticPr fontId="3" type="noConversion"/>
  </si>
  <si>
    <t>PE28*2적</t>
    <phoneticPr fontId="3" type="noConversion"/>
  </si>
  <si>
    <t>5박스</t>
    <phoneticPr fontId="3" type="noConversion"/>
  </si>
  <si>
    <t>5박스</t>
    <phoneticPr fontId="3" type="noConversion"/>
  </si>
  <si>
    <t>로젠택배착불</t>
    <phoneticPr fontId="3" type="noConversion"/>
  </si>
  <si>
    <t>경남 함안군 석전3길 6, B동 신성포장 010-9055-9169</t>
    <phoneticPr fontId="3" type="noConversion"/>
  </si>
  <si>
    <t>종일계측기</t>
    <phoneticPr fontId="3" type="noConversion"/>
  </si>
  <si>
    <t>14*10빨강</t>
    <phoneticPr fontId="3" type="noConversion"/>
  </si>
  <si>
    <t>70롤</t>
    <phoneticPr fontId="3" type="noConversion"/>
  </si>
  <si>
    <t>청정원 순창</t>
    <phoneticPr fontId="3" type="noConversion"/>
  </si>
  <si>
    <t>14*10주황</t>
    <phoneticPr fontId="3" type="noConversion"/>
  </si>
  <si>
    <t>지방합화차</t>
    <phoneticPr fontId="3" type="noConversion"/>
  </si>
  <si>
    <t>전주삼신산업</t>
    <phoneticPr fontId="3" type="noConversion"/>
  </si>
  <si>
    <t>1박스</t>
    <phoneticPr fontId="3" type="noConversion"/>
  </si>
  <si>
    <t>9*10황</t>
    <phoneticPr fontId="3" type="noConversion"/>
  </si>
  <si>
    <t>20롤</t>
    <phoneticPr fontId="3" type="noConversion"/>
  </si>
  <si>
    <t>광림물건 패드갈이</t>
    <phoneticPr fontId="3" type="noConversion"/>
  </si>
  <si>
    <t>6*10백</t>
    <phoneticPr fontId="3" type="noConversion"/>
  </si>
  <si>
    <t>10롤</t>
    <phoneticPr fontId="3" type="noConversion"/>
  </si>
  <si>
    <t>대신택배</t>
    <phoneticPr fontId="3" type="noConversion"/>
  </si>
  <si>
    <t>PE28*6백</t>
    <phoneticPr fontId="3" type="noConversion"/>
  </si>
  <si>
    <t>16박스</t>
    <phoneticPr fontId="3" type="noConversion"/>
  </si>
  <si>
    <t>대신택배</t>
    <phoneticPr fontId="3" type="noConversion"/>
  </si>
  <si>
    <t>서흥포장</t>
    <phoneticPr fontId="3" type="noConversion"/>
  </si>
  <si>
    <t>30롤</t>
    <phoneticPr fontId="3" type="noConversion"/>
  </si>
  <si>
    <t>랩15*500*400</t>
    <phoneticPr fontId="3" type="noConversion"/>
  </si>
  <si>
    <t>10박스</t>
    <phoneticPr fontId="3" type="noConversion"/>
  </si>
  <si>
    <t>한주</t>
    <phoneticPr fontId="3" type="noConversion"/>
  </si>
  <si>
    <t>팔레트</t>
    <phoneticPr fontId="3" type="noConversion"/>
  </si>
  <si>
    <t>20톤</t>
    <phoneticPr fontId="3" type="noConversion"/>
  </si>
  <si>
    <t>태광오토팩</t>
    <phoneticPr fontId="3" type="noConversion"/>
  </si>
  <si>
    <t>PE28*2황</t>
    <phoneticPr fontId="3" type="noConversion"/>
  </si>
  <si>
    <t>20박스</t>
    <phoneticPr fontId="3" type="noConversion"/>
  </si>
  <si>
    <t>PE28*2청</t>
    <phoneticPr fontId="3" type="noConversion"/>
  </si>
  <si>
    <t>10박스</t>
    <phoneticPr fontId="3" type="noConversion"/>
  </si>
  <si>
    <t>나무파레트
1파레트로 만들기</t>
    <phoneticPr fontId="3" type="noConversion"/>
  </si>
  <si>
    <t>방문출고</t>
    <phoneticPr fontId="3" type="noConversion"/>
  </si>
  <si>
    <t>신광포장</t>
    <phoneticPr fontId="3" type="noConversion"/>
  </si>
  <si>
    <t>15박스</t>
    <phoneticPr fontId="3" type="noConversion"/>
  </si>
  <si>
    <t>광림포장</t>
    <phoneticPr fontId="3" type="noConversion"/>
  </si>
  <si>
    <t>12*10황(0.65T)</t>
    <phoneticPr fontId="3" type="noConversion"/>
  </si>
  <si>
    <t>12*12.5투명</t>
    <phoneticPr fontId="3" type="noConversion"/>
  </si>
  <si>
    <t>40롤</t>
    <phoneticPr fontId="3" type="noConversion"/>
  </si>
  <si>
    <t>40롤</t>
    <phoneticPr fontId="3" type="noConversion"/>
  </si>
  <si>
    <t>50롤</t>
    <phoneticPr fontId="3" type="noConversion"/>
  </si>
  <si>
    <t>빨강밴드/패드갈이</t>
    <phoneticPr fontId="3" type="noConversion"/>
  </si>
  <si>
    <t>6*10백</t>
    <phoneticPr fontId="3" type="noConversion"/>
  </si>
  <si>
    <t>동원팩</t>
    <phoneticPr fontId="3" type="noConversion"/>
  </si>
  <si>
    <t>방문출고</t>
    <phoneticPr fontId="3" type="noConversion"/>
  </si>
  <si>
    <t>power박스</t>
    <phoneticPr fontId="3" type="noConversion"/>
  </si>
  <si>
    <t>75박스</t>
  </si>
  <si>
    <t>40"(오후2시)</t>
    <phoneticPr fontId="3" type="noConversion"/>
  </si>
  <si>
    <t>용차</t>
    <phoneticPr fontId="3" type="noConversion"/>
  </si>
  <si>
    <t>15*10황(0.65T)</t>
    <phoneticPr fontId="3" type="noConversion"/>
  </si>
  <si>
    <t>56롤</t>
    <phoneticPr fontId="3" type="noConversion"/>
  </si>
  <si>
    <t>삼보팩</t>
    <phoneticPr fontId="3" type="noConversion"/>
  </si>
  <si>
    <t>100롤</t>
    <phoneticPr fontId="3" type="noConversion"/>
  </si>
  <si>
    <t>12*10황(0.8T)</t>
    <phoneticPr fontId="3" type="noConversion"/>
  </si>
  <si>
    <t>삼보팩30/남영판지70</t>
    <phoneticPr fontId="3" type="noConversion"/>
  </si>
  <si>
    <t>9*10황(0.75T)</t>
    <phoneticPr fontId="3" type="noConversion"/>
  </si>
  <si>
    <t>64롤</t>
    <phoneticPr fontId="3" type="noConversion"/>
  </si>
  <si>
    <t>12*12.5황</t>
    <phoneticPr fontId="3" type="noConversion"/>
  </si>
  <si>
    <t>40롤</t>
    <phoneticPr fontId="3" type="noConversion"/>
  </si>
  <si>
    <t>15*10황</t>
    <phoneticPr fontId="3" type="noConversion"/>
  </si>
  <si>
    <t>48롤</t>
    <phoneticPr fontId="3" type="noConversion"/>
  </si>
  <si>
    <t>나무파레트</t>
    <phoneticPr fontId="3" type="noConversion"/>
  </si>
  <si>
    <t>대흥 인쇄밴드</t>
    <phoneticPr fontId="3" type="noConversion"/>
  </si>
  <si>
    <t>노스쇼어</t>
    <phoneticPr fontId="3" type="noConversion"/>
  </si>
  <si>
    <t>팔레트</t>
    <phoneticPr fontId="3" type="noConversion"/>
  </si>
  <si>
    <t>8.9톤</t>
    <phoneticPr fontId="3" type="noConversion"/>
  </si>
  <si>
    <t>40"(오전11시)</t>
    <phoneticPr fontId="3" type="noConversion"/>
  </si>
  <si>
    <t>고메리</t>
    <phoneticPr fontId="3" type="noConversion"/>
  </si>
  <si>
    <t>수작업</t>
    <phoneticPr fontId="3" type="noConversion"/>
  </si>
  <si>
    <t>6.3톤</t>
    <phoneticPr fontId="3" type="noConversion"/>
  </si>
  <si>
    <t>주신산업</t>
    <phoneticPr fontId="3" type="noConversion"/>
  </si>
  <si>
    <t>경기도 파주시 광탄면 보광로 1336-15 (광탄면) 원흥피앤피 김혜선 010-4982-7932 유리문 안쪽에 넣어주세요.</t>
    <phoneticPr fontId="3" type="noConversion"/>
  </si>
  <si>
    <t>파워엠팩</t>
    <phoneticPr fontId="3" type="noConversion"/>
  </si>
  <si>
    <t>10.5*10투명(0.65T)</t>
    <phoneticPr fontId="3" type="noConversion"/>
  </si>
  <si>
    <t>100롤</t>
    <phoneticPr fontId="3" type="noConversion"/>
  </si>
  <si>
    <t>삼성</t>
    <phoneticPr fontId="3" type="noConversion"/>
  </si>
  <si>
    <t>18*21친환경</t>
    <phoneticPr fontId="3" type="noConversion"/>
  </si>
  <si>
    <t>459롤</t>
    <phoneticPr fontId="3" type="noConversion"/>
  </si>
  <si>
    <t>오뚜기</t>
    <phoneticPr fontId="3" type="noConversion"/>
  </si>
  <si>
    <t>20"(오후2시30분)</t>
    <phoneticPr fontId="3" type="noConversion"/>
  </si>
  <si>
    <t>파코팩</t>
    <phoneticPr fontId="3" type="noConversion"/>
  </si>
  <si>
    <t>PE50*5백</t>
    <phoneticPr fontId="3" type="noConversion"/>
  </si>
  <si>
    <t>32박스</t>
    <phoneticPr fontId="3" type="noConversion"/>
  </si>
  <si>
    <t>30박스</t>
    <phoneticPr fontId="3" type="noConversion"/>
  </si>
  <si>
    <t>방문출고</t>
    <phoneticPr fontId="3" type="noConversion"/>
  </si>
  <si>
    <t>경기도 여주시 매룡2길 67 (매룡동) 한빛유정란 (새벗농장) 송준 010-2942-3408 / 010-8011-3408</t>
    <phoneticPr fontId="3" type="noConversion"/>
  </si>
  <si>
    <t>장기 미수금 : 세화종합상사 / 바오 / 아이원팩 / 범영산업 / 가론종합상사 / 신우교역</t>
    <phoneticPr fontId="3" type="noConversion"/>
  </si>
  <si>
    <t>서점</t>
    <phoneticPr fontId="3" type="noConversion"/>
  </si>
  <si>
    <t>12*10황(0.8T)</t>
    <phoneticPr fontId="3" type="noConversion"/>
  </si>
  <si>
    <t>5롤</t>
    <phoneticPr fontId="3" type="noConversion"/>
  </si>
  <si>
    <t>방문출고</t>
    <phoneticPr fontId="3" type="noConversion"/>
  </si>
  <si>
    <t>파워엠팩</t>
    <phoneticPr fontId="3" type="noConversion"/>
  </si>
  <si>
    <t>6*10황</t>
    <phoneticPr fontId="3" type="noConversion"/>
  </si>
  <si>
    <t>100롤</t>
    <phoneticPr fontId="3" type="noConversion"/>
  </si>
  <si>
    <t>방문출고</t>
    <phoneticPr fontId="3" type="noConversion"/>
  </si>
  <si>
    <t>비나팩</t>
    <phoneticPr fontId="3" type="noConversion"/>
  </si>
  <si>
    <t>PP:수작업, PET:팔레트</t>
    <phoneticPr fontId="3" type="noConversion"/>
  </si>
  <si>
    <t>5.6톤</t>
    <phoneticPr fontId="3" type="noConversion"/>
  </si>
  <si>
    <t>20"(오전10시)</t>
    <phoneticPr fontId="3" type="noConversion"/>
  </si>
  <si>
    <t>엔지 세이프티</t>
    <phoneticPr fontId="3" type="noConversion"/>
  </si>
  <si>
    <t>7.1톤</t>
    <phoneticPr fontId="3" type="noConversion"/>
  </si>
  <si>
    <t>6*10백</t>
    <phoneticPr fontId="3" type="noConversion"/>
  </si>
  <si>
    <t>50롤</t>
    <phoneticPr fontId="3" type="noConversion"/>
  </si>
  <si>
    <t>12*10황(0.8T)</t>
    <phoneticPr fontId="3" type="noConversion"/>
  </si>
  <si>
    <t>8롤</t>
    <phoneticPr fontId="3" type="noConversion"/>
  </si>
  <si>
    <t>5박스</t>
    <phoneticPr fontId="3" type="noConversion"/>
  </si>
  <si>
    <t>동원팩</t>
    <phoneticPr fontId="3" type="noConversion"/>
  </si>
  <si>
    <t>방문출고</t>
    <phoneticPr fontId="3" type="noConversion"/>
  </si>
  <si>
    <t>파워엠팩</t>
    <phoneticPr fontId="3" type="noConversion"/>
  </si>
  <si>
    <t>6*10백</t>
    <phoneticPr fontId="3" type="noConversion"/>
  </si>
  <si>
    <t>방문출고</t>
    <phoneticPr fontId="3" type="noConversion"/>
  </si>
  <si>
    <t>삼화인쇄</t>
    <phoneticPr fontId="3" type="noConversion"/>
  </si>
  <si>
    <t>10.5*10투명(0.75T)</t>
    <phoneticPr fontId="3" type="noConversion"/>
  </si>
  <si>
    <t>50롤</t>
    <phoneticPr fontId="3" type="noConversion"/>
  </si>
  <si>
    <t>지하1층</t>
    <phoneticPr fontId="3" type="noConversion"/>
  </si>
  <si>
    <t>목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</si>
  <si>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</si>
  <si>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</si>
  <si>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</si>
  <si>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PE박스</t>
    <phoneticPr fontId="3" type="noConversion"/>
  </si>
  <si>
    <t>PE28*2(24kg)박스</t>
    <phoneticPr fontId="3" type="noConversion"/>
  </si>
  <si>
    <t>20장</t>
    <phoneticPr fontId="3" type="noConversion"/>
  </si>
  <si>
    <t>가져가기</t>
    <phoneticPr fontId="3" type="noConversion"/>
  </si>
  <si>
    <t>12*10백(0.75T)</t>
    <phoneticPr fontId="3" type="noConversion"/>
  </si>
  <si>
    <t>12롤</t>
    <phoneticPr fontId="3" type="noConversion"/>
  </si>
  <si>
    <t>56롤</t>
    <phoneticPr fontId="3" type="noConversion"/>
  </si>
  <si>
    <t>에그플러스</t>
    <phoneticPr fontId="3" type="noConversion"/>
  </si>
  <si>
    <t>대신택배</t>
    <phoneticPr fontId="3" type="noConversion"/>
  </si>
  <si>
    <t>포천시 영북면 야미리 416-2  에그플러스 031-535-0300</t>
    <phoneticPr fontId="3" type="noConversion"/>
  </si>
  <si>
    <t>삼성</t>
    <phoneticPr fontId="3" type="noConversion"/>
  </si>
  <si>
    <t>18*21친환경</t>
    <phoneticPr fontId="3" type="noConversion"/>
  </si>
  <si>
    <t>53롤</t>
    <phoneticPr fontId="3" type="noConversion"/>
  </si>
  <si>
    <t>12*12투명(0.75T)</t>
    <phoneticPr fontId="3" type="noConversion"/>
  </si>
  <si>
    <t>50롤</t>
    <phoneticPr fontId="3" type="noConversion"/>
  </si>
  <si>
    <t>18*21투명</t>
    <phoneticPr fontId="3" type="noConversion"/>
  </si>
  <si>
    <t>60롤</t>
    <phoneticPr fontId="3" type="noConversion"/>
  </si>
  <si>
    <t>국내발주</t>
    <phoneticPr fontId="3" type="noConversion"/>
  </si>
  <si>
    <t>18*21친환경</t>
    <phoneticPr fontId="3" type="noConversion"/>
  </si>
  <si>
    <t>100롤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</si>
  <si>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</si>
  <si>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</si>
  <si>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</si>
  <si>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</si>
  <si>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경인팩</t>
    <phoneticPr fontId="3" type="noConversion"/>
  </si>
  <si>
    <t>64박스</t>
    <phoneticPr fontId="3" type="noConversion"/>
  </si>
  <si>
    <t>32박스</t>
    <phoneticPr fontId="3" type="noConversion"/>
  </si>
  <si>
    <t>28박스</t>
    <phoneticPr fontId="3" type="noConversion"/>
  </si>
  <si>
    <t>112롤</t>
    <phoneticPr fontId="3" type="noConversion"/>
  </si>
  <si>
    <t>파워팩</t>
    <phoneticPr fontId="3" type="noConversion"/>
  </si>
  <si>
    <t>수작업</t>
    <phoneticPr fontId="3" type="noConversion"/>
  </si>
  <si>
    <t>20.2톤</t>
    <phoneticPr fontId="3" type="noConversion"/>
  </si>
  <si>
    <t>40"(오전10시)</t>
    <phoneticPr fontId="3" type="noConversion"/>
  </si>
  <si>
    <t>32박스</t>
    <phoneticPr fontId="3" type="noConversion"/>
  </si>
  <si>
    <t>power박스</t>
    <phoneticPr fontId="3" type="noConversion"/>
  </si>
  <si>
    <t>PE28*2백</t>
    <phoneticPr fontId="3" type="noConversion"/>
  </si>
  <si>
    <t>대한종합포장</t>
    <phoneticPr fontId="3" type="noConversion"/>
  </si>
  <si>
    <t>7*10백</t>
    <phoneticPr fontId="3" type="noConversion"/>
  </si>
  <si>
    <t>30롤</t>
    <phoneticPr fontId="3" type="noConversion"/>
  </si>
  <si>
    <t>30롤</t>
    <phoneticPr fontId="3" type="noConversion"/>
  </si>
  <si>
    <t>2000원/kg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</si>
  <si>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</si>
  <si>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</si>
  <si>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</si>
  <si>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</si>
  <si>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삼척시 근덕면 부남리 186-2  낙원농장  010-5371-5776</t>
    <phoneticPr fontId="3" type="noConversion"/>
  </si>
  <si>
    <t>동원팩</t>
    <phoneticPr fontId="3" type="noConversion"/>
  </si>
  <si>
    <t>20박스</t>
    <phoneticPr fontId="3" type="noConversion"/>
  </si>
  <si>
    <t>12*10황(0.65T)</t>
    <phoneticPr fontId="3" type="noConversion"/>
  </si>
  <si>
    <t>15박스</t>
    <phoneticPr fontId="3" type="noConversion"/>
  </si>
  <si>
    <t>kic박스</t>
    <phoneticPr fontId="3" type="noConversion"/>
  </si>
  <si>
    <t>한주</t>
    <phoneticPr fontId="3" type="noConversion"/>
  </si>
  <si>
    <t>팔레트</t>
    <phoneticPr fontId="3" type="noConversion"/>
  </si>
  <si>
    <t>20.4톤</t>
    <phoneticPr fontId="3" type="noConversion"/>
  </si>
  <si>
    <t>40"(오전10시)</t>
    <phoneticPr fontId="3" type="noConversion"/>
  </si>
  <si>
    <t>파워엠팩</t>
    <phoneticPr fontId="3" type="noConversion"/>
  </si>
  <si>
    <t>14*10청</t>
    <phoneticPr fontId="3" type="noConversion"/>
  </si>
  <si>
    <t>50롤</t>
    <phoneticPr fontId="3" type="noConversion"/>
  </si>
  <si>
    <t>14*10주황</t>
    <phoneticPr fontId="3" type="noConversion"/>
  </si>
  <si>
    <t>50롤</t>
    <phoneticPr fontId="3" type="noConversion"/>
  </si>
  <si>
    <t>청정원 오산</t>
    <phoneticPr fontId="3" type="noConversion"/>
  </si>
  <si>
    <t>강원농협</t>
    <phoneticPr fontId="3" type="noConversion"/>
  </si>
  <si>
    <t>100롤</t>
    <phoneticPr fontId="3" type="noConversion"/>
  </si>
  <si>
    <t>8*9백(0.5T)</t>
    <phoneticPr fontId="3" type="noConversion"/>
  </si>
  <si>
    <t>12*12.5황</t>
    <phoneticPr fontId="3" type="noConversion"/>
  </si>
  <si>
    <t>300롤</t>
    <phoneticPr fontId="3" type="noConversion"/>
  </si>
  <si>
    <t>방문출고</t>
    <phoneticPr fontId="3" type="noConversion"/>
  </si>
  <si>
    <t>101롤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</si>
  <si>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</si>
  <si>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</si>
  <si>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</si>
  <si>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파코팩에서 출고</t>
    <phoneticPr fontId="3" type="noConversion"/>
  </si>
  <si>
    <t>화</t>
    <phoneticPr fontId="3" type="noConversion"/>
  </si>
  <si>
    <t>통화 후 내보내기</t>
    <phoneticPr fontId="3" type="noConversion"/>
  </si>
  <si>
    <t>한길포장</t>
    <phoneticPr fontId="3" type="noConversion"/>
  </si>
  <si>
    <t>12*10황(0.75T)</t>
    <phoneticPr fontId="3" type="noConversion"/>
  </si>
  <si>
    <t>9*10백(0.75T)</t>
    <phoneticPr fontId="3" type="noConversion"/>
  </si>
  <si>
    <t>지방합화차</t>
    <phoneticPr fontId="3" type="noConversion"/>
  </si>
  <si>
    <t>수</t>
    <phoneticPr fontId="3" type="noConversion"/>
  </si>
  <si>
    <t>피앤비</t>
    <phoneticPr fontId="3" type="noConversion"/>
  </si>
  <si>
    <t>12*10백(0.8T)</t>
    <phoneticPr fontId="3" type="noConversion"/>
  </si>
  <si>
    <t>KPP빨강</t>
    <phoneticPr fontId="3" type="noConversion"/>
  </si>
  <si>
    <t>같이</t>
    <phoneticPr fontId="3" type="noConversion"/>
  </si>
  <si>
    <t>동원팩</t>
    <phoneticPr fontId="3" type="noConversion"/>
  </si>
  <si>
    <t>1박스</t>
    <phoneticPr fontId="3" type="noConversion"/>
  </si>
  <si>
    <t>경기도 성남시 중원구 성남동 3681 횡성계란 010-5546-0123</t>
    <phoneticPr fontId="3" type="noConversion"/>
  </si>
  <si>
    <t>로젠택배착불</t>
    <phoneticPr fontId="3" type="noConversion"/>
  </si>
  <si>
    <t>101롤</t>
    <phoneticPr fontId="3" type="noConversion"/>
  </si>
  <si>
    <t>진송팩</t>
    <phoneticPr fontId="3" type="noConversion"/>
  </si>
  <si>
    <t>6*10백</t>
    <phoneticPr fontId="3" type="noConversion"/>
  </si>
  <si>
    <t>128롤</t>
    <phoneticPr fontId="3" type="noConversion"/>
  </si>
  <si>
    <t>용차</t>
    <phoneticPr fontId="3" type="noConversion"/>
  </si>
  <si>
    <t>경기도 광주시 오포읍 회안대로 77-35 찬란유통 031-766-9938</t>
    <phoneticPr fontId="3" type="noConversion"/>
  </si>
  <si>
    <t>031-766-9938</t>
    <phoneticPr fontId="8" type="noConversion"/>
  </si>
  <si>
    <t>51롤</t>
    <phoneticPr fontId="3" type="noConversion"/>
  </si>
  <si>
    <t>파워엠팩</t>
    <phoneticPr fontId="3" type="noConversion"/>
  </si>
  <si>
    <t>10.5*10투명</t>
    <phoneticPr fontId="3" type="noConversion"/>
  </si>
  <si>
    <t>50롤</t>
    <phoneticPr fontId="3" type="noConversion"/>
  </si>
  <si>
    <t>방문출고</t>
    <phoneticPr fontId="3" type="noConversion"/>
  </si>
  <si>
    <t>무조건 윙바디</t>
    <phoneticPr fontId="3" type="noConversion"/>
  </si>
  <si>
    <t>신광포장</t>
    <phoneticPr fontId="3" type="noConversion"/>
  </si>
  <si>
    <t>15*10황(0.65T)</t>
    <phoneticPr fontId="3" type="noConversion"/>
  </si>
  <si>
    <t>50롤</t>
    <phoneticPr fontId="3" type="noConversion"/>
  </si>
  <si>
    <t>전주삼신산업</t>
    <phoneticPr fontId="3" type="noConversion"/>
  </si>
  <si>
    <t>7*10백</t>
    <phoneticPr fontId="3" type="noConversion"/>
  </si>
  <si>
    <t>10롤</t>
    <phoneticPr fontId="3" type="noConversion"/>
  </si>
  <si>
    <t>PE28*2황</t>
    <phoneticPr fontId="3" type="noConversion"/>
  </si>
  <si>
    <t>20박스</t>
    <phoneticPr fontId="3" type="noConversion"/>
  </si>
  <si>
    <t>1박스</t>
    <phoneticPr fontId="3" type="noConversion"/>
  </si>
  <si>
    <t>무지박스</t>
    <phoneticPr fontId="3" type="noConversion"/>
  </si>
  <si>
    <t>대신택배</t>
    <phoneticPr fontId="3" type="noConversion"/>
  </si>
  <si>
    <t>power박스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</si>
  <si>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</si>
  <si>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</si>
  <si>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</si>
  <si>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56롤</t>
    <phoneticPr fontId="3" type="noConversion"/>
  </si>
  <si>
    <t>용인</t>
    <phoneticPr fontId="3" type="noConversion"/>
  </si>
  <si>
    <t>경기도 용인시 처인구 모현읍 갈담리 274-52  대일계란   031-322-2261</t>
    <phoneticPr fontId="3" type="noConversion"/>
  </si>
  <si>
    <t>경기도 고양시 일산동구 공릉천로 124(사리현동) 하이얀컴퍼니  010-8795-7480</t>
    <phoneticPr fontId="3" type="noConversion"/>
  </si>
  <si>
    <t>PE28*6백</t>
    <phoneticPr fontId="3" type="noConversion"/>
  </si>
  <si>
    <t>10박스</t>
    <phoneticPr fontId="3" type="noConversion"/>
  </si>
  <si>
    <t>일산</t>
    <phoneticPr fontId="3" type="noConversion"/>
  </si>
  <si>
    <t>010-7376-0133</t>
  </si>
  <si>
    <t xml:space="preserve">PP 6mm*10kg 백색 </t>
    <phoneticPr fontId="3" type="noConversion"/>
  </si>
  <si>
    <t xml:space="preserve">충남 천안시 서북구 </t>
    <phoneticPr fontId="8" type="noConversion"/>
  </si>
  <si>
    <t>용차</t>
    <phoneticPr fontId="3" type="noConversion"/>
  </si>
  <si>
    <t>10박스</t>
    <phoneticPr fontId="3" type="noConversion"/>
  </si>
  <si>
    <t>이천</t>
    <phoneticPr fontId="3" type="noConversion"/>
  </si>
  <si>
    <t>경기도 이천시 설성면 서동대로8293번길244  (미래생명자원)  031-643-4201</t>
    <phoneticPr fontId="3" type="noConversion"/>
  </si>
  <si>
    <t xml:space="preserve">경기도 이천시 설성면 </t>
    <phoneticPr fontId="3" type="noConversion"/>
  </si>
  <si>
    <t xml:space="preserve">서동대로8293번길244  </t>
    <phoneticPr fontId="3" type="noConversion"/>
  </si>
  <si>
    <t xml:space="preserve">(미래생명자원)  </t>
    <phoneticPr fontId="3" type="noConversion"/>
  </si>
  <si>
    <t>031-643-4201</t>
  </si>
  <si>
    <t>PE28mm*2kg 백색</t>
    <phoneticPr fontId="3" type="noConversion"/>
  </si>
  <si>
    <t>10박스</t>
    <phoneticPr fontId="3" type="noConversion"/>
  </si>
  <si>
    <t>진송팩</t>
    <phoneticPr fontId="3" type="noConversion"/>
  </si>
  <si>
    <t>1박스</t>
    <phoneticPr fontId="3" type="noConversion"/>
  </si>
  <si>
    <t>로젠택배</t>
    <phoneticPr fontId="3" type="noConversion"/>
  </si>
  <si>
    <t>경남 양산시 상북면 상북중앙로 396 KT중앙사옥 형제유통 010-9327-1007</t>
    <phoneticPr fontId="3" type="noConversion"/>
  </si>
  <si>
    <t>아주파레트 반납</t>
    <phoneticPr fontId="3" type="noConversion"/>
  </si>
  <si>
    <t>한남포장</t>
    <phoneticPr fontId="3" type="noConversion"/>
  </si>
  <si>
    <t>12*9.5황</t>
    <phoneticPr fontId="3" type="noConversion"/>
  </si>
  <si>
    <t>김규현</t>
    <phoneticPr fontId="3" type="noConversion"/>
  </si>
  <si>
    <t>12*9.5황</t>
    <phoneticPr fontId="3" type="noConversion"/>
  </si>
  <si>
    <t>일산 / 나무파레트</t>
    <phoneticPr fontId="3" type="noConversion"/>
  </si>
  <si>
    <t>광림포장</t>
    <phoneticPr fontId="3" type="noConversion"/>
  </si>
  <si>
    <t>9*10투명(0.75T)</t>
    <phoneticPr fontId="3" type="noConversion"/>
  </si>
  <si>
    <t>64롤</t>
    <phoneticPr fontId="3" type="noConversion"/>
  </si>
  <si>
    <t>12*12.5황</t>
    <phoneticPr fontId="3" type="noConversion"/>
  </si>
  <si>
    <t>12*10황</t>
    <phoneticPr fontId="3" type="noConversion"/>
  </si>
  <si>
    <t>15*10황</t>
    <phoneticPr fontId="3" type="noConversion"/>
  </si>
  <si>
    <t>48롤</t>
    <phoneticPr fontId="3" type="noConversion"/>
  </si>
  <si>
    <t>나무파렛트</t>
    <phoneticPr fontId="3" type="noConversion"/>
  </si>
  <si>
    <t>PE28*2녹</t>
    <phoneticPr fontId="3" type="noConversion"/>
  </si>
  <si>
    <t>12*10황(0.75T)</t>
    <phoneticPr fontId="3" type="noConversion"/>
  </si>
  <si>
    <t>50롤</t>
    <phoneticPr fontId="3" type="noConversion"/>
  </si>
  <si>
    <t>진송팩</t>
    <phoneticPr fontId="3" type="noConversion"/>
  </si>
  <si>
    <t>대신택배</t>
    <phoneticPr fontId="3" type="noConversion"/>
  </si>
  <si>
    <t>1950원/kg, 택배비반반  충남 당진시 합덕읍 인더스파크로20 ㈜수석 윤진원주임 010-9905-1095</t>
    <phoneticPr fontId="3" type="noConversion"/>
  </si>
  <si>
    <t xml:space="preserve">충남 당진시 합덕읍 </t>
    <phoneticPr fontId="3" type="noConversion"/>
  </si>
  <si>
    <t xml:space="preserve">인더스파크로20 </t>
    <phoneticPr fontId="3" type="noConversion"/>
  </si>
  <si>
    <t xml:space="preserve">㈜수석 </t>
    <phoneticPr fontId="3" type="noConversion"/>
  </si>
  <si>
    <t xml:space="preserve">윤진원주임 </t>
    <phoneticPr fontId="3" type="noConversion"/>
  </si>
  <si>
    <t>010-9905-1095</t>
  </si>
  <si>
    <t>PP12mm*10kg 노랑색 50롤</t>
    <phoneticPr fontId="3" type="noConversion"/>
  </si>
  <si>
    <t>발송 : 진송팩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</si>
  <si>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</si>
  <si>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</si>
  <si>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</si>
  <si>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</si>
  <si>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5박스</t>
    <phoneticPr fontId="3" type="noConversion"/>
  </si>
  <si>
    <t>로젠택배</t>
    <phoneticPr fontId="3" type="noConversion"/>
  </si>
  <si>
    <t>kic박스</t>
    <phoneticPr fontId="3" type="noConversion"/>
  </si>
  <si>
    <t>하영종합상사</t>
    <phoneticPr fontId="3" type="noConversion"/>
  </si>
  <si>
    <t>주신산업</t>
    <phoneticPr fontId="3" type="noConversion"/>
  </si>
  <si>
    <t>1박스</t>
    <phoneticPr fontId="3" type="noConversion"/>
  </si>
  <si>
    <t>power박스</t>
    <phoneticPr fontId="3" type="noConversion"/>
  </si>
  <si>
    <t>대구광역시 달서구 용산로 186 (용산동) 1층 남경계란  이경호 010-6305-2752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</si>
  <si>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</si>
  <si>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</si>
  <si>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</si>
  <si>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PE28*2황</t>
    <phoneticPr fontId="3" type="noConversion"/>
  </si>
  <si>
    <t>8박스</t>
    <phoneticPr fontId="3" type="noConversion"/>
  </si>
  <si>
    <t>power박스</t>
    <phoneticPr fontId="3" type="noConversion"/>
  </si>
  <si>
    <t>11박스</t>
    <phoneticPr fontId="3" type="noConversion"/>
  </si>
  <si>
    <t>로젠택배착불</t>
    <phoneticPr fontId="3" type="noConversion"/>
  </si>
  <si>
    <t>대전시 동구  산내로 1352-7 신일계란 010 6402 2627</t>
    <phoneticPr fontId="3" type="noConversion"/>
  </si>
  <si>
    <t>삼성</t>
    <phoneticPr fontId="3" type="noConversion"/>
  </si>
  <si>
    <t>18*21친환경</t>
    <phoneticPr fontId="3" type="noConversion"/>
  </si>
  <si>
    <t>78롤</t>
    <phoneticPr fontId="3" type="noConversion"/>
  </si>
  <si>
    <t>아주파레트 반납</t>
  </si>
  <si>
    <t>경인팩</t>
    <phoneticPr fontId="3" type="noConversion"/>
  </si>
  <si>
    <t>6*10백</t>
    <phoneticPr fontId="3" type="noConversion"/>
  </si>
  <si>
    <t>용차</t>
    <phoneticPr fontId="3" type="noConversion"/>
  </si>
  <si>
    <t>56롤</t>
    <phoneticPr fontId="3" type="noConversion"/>
  </si>
  <si>
    <t>안성시 공도읍 기업단지로 122-31 (공도읍 용두리453-5) &lt;크린토피아&gt; 031-658-4443</t>
    <phoneticPr fontId="3" type="noConversion"/>
  </si>
  <si>
    <t>031-658-4443</t>
    <phoneticPr fontId="3" type="noConversion"/>
  </si>
  <si>
    <t>6mm*10kg 백색 - 56롤</t>
    <phoneticPr fontId="3" type="noConversion"/>
  </si>
  <si>
    <t>40"(오후1시)</t>
    <phoneticPr fontId="3" type="noConversion"/>
  </si>
  <si>
    <t>수원우체국</t>
  </si>
  <si>
    <t>3.5톤 수리</t>
  </si>
  <si>
    <t>로젠택배</t>
    <phoneticPr fontId="3" type="noConversion"/>
  </si>
  <si>
    <t>민건 이에이</t>
    <phoneticPr fontId="3" type="noConversion"/>
  </si>
  <si>
    <t>12*10백(0.85t)</t>
    <phoneticPr fontId="3" type="noConversion"/>
  </si>
  <si>
    <t>100롤</t>
    <phoneticPr fontId="3" type="noConversion"/>
  </si>
  <si>
    <t>오전</t>
    <phoneticPr fontId="3" type="noConversion"/>
  </si>
  <si>
    <t>예전거래명세서
 모두 가져가기</t>
    <phoneticPr fontId="3" type="noConversion"/>
  </si>
  <si>
    <t>경인팩</t>
    <phoneticPr fontId="3" type="noConversion"/>
  </si>
  <si>
    <t>대신택배</t>
    <phoneticPr fontId="3" type="noConversion"/>
  </si>
  <si>
    <t>강원도 원주시 동부순환로 389-5(봉산동)  주식회사 서신 033-764-6605   010-8969-6221</t>
    <phoneticPr fontId="3" type="noConversion"/>
  </si>
  <si>
    <t>45롤</t>
    <phoneticPr fontId="3" type="noConversion"/>
  </si>
  <si>
    <t>12*10백(0.75T)</t>
    <phoneticPr fontId="3" type="noConversion"/>
  </si>
  <si>
    <t>12*8.5황(0.8T)</t>
    <phoneticPr fontId="3" type="noConversion"/>
  </si>
  <si>
    <t>50롤</t>
    <phoneticPr fontId="3" type="noConversion"/>
  </si>
  <si>
    <t>1롤</t>
    <phoneticPr fontId="3" type="noConversion"/>
  </si>
  <si>
    <t>교환</t>
    <phoneticPr fontId="3" type="noConversion"/>
  </si>
  <si>
    <t>PE50*4.7백</t>
    <phoneticPr fontId="3" type="noConversion"/>
  </si>
  <si>
    <t>12*10황(0.75T)</t>
    <phoneticPr fontId="3" type="noConversion"/>
  </si>
  <si>
    <t>64롤</t>
    <phoneticPr fontId="3" type="noConversion"/>
  </si>
  <si>
    <t>64롤</t>
    <phoneticPr fontId="3" type="noConversion"/>
  </si>
  <si>
    <t>64롤</t>
    <phoneticPr fontId="3" type="noConversion"/>
  </si>
  <si>
    <t>8월 이월</t>
    <phoneticPr fontId="3" type="noConversion"/>
  </si>
  <si>
    <t>50박스</t>
    <phoneticPr fontId="3" type="noConversion"/>
  </si>
  <si>
    <t>방문출고</t>
    <phoneticPr fontId="3" type="noConversion"/>
  </si>
  <si>
    <t>크린토피아</t>
    <phoneticPr fontId="3" type="noConversion"/>
  </si>
  <si>
    <t>128롤</t>
    <phoneticPr fontId="3" type="noConversion"/>
  </si>
  <si>
    <t>오전용차</t>
    <phoneticPr fontId="3" type="noConversion"/>
  </si>
  <si>
    <t>구멍 랩</t>
    <phoneticPr fontId="3" type="noConversion"/>
  </si>
  <si>
    <t>로젠택배</t>
    <phoneticPr fontId="3" type="noConversion"/>
  </si>
  <si>
    <t>에코</t>
    <phoneticPr fontId="3" type="noConversion"/>
  </si>
  <si>
    <t>박스컴퍼니</t>
    <phoneticPr fontId="3" type="noConversion"/>
  </si>
  <si>
    <t>7*10백</t>
    <phoneticPr fontId="3" type="noConversion"/>
  </si>
  <si>
    <t>나무파렛트</t>
    <phoneticPr fontId="3" type="noConversion"/>
  </si>
  <si>
    <t>가골식품</t>
    <phoneticPr fontId="3" type="noConversion"/>
  </si>
  <si>
    <t>랩15*500*400</t>
    <phoneticPr fontId="3" type="noConversion"/>
  </si>
  <si>
    <t>20박스</t>
    <phoneticPr fontId="3" type="noConversion"/>
  </si>
  <si>
    <t>스크랩 수거</t>
    <phoneticPr fontId="3" type="noConversion"/>
  </si>
  <si>
    <t>시몬사</t>
    <phoneticPr fontId="3" type="noConversion"/>
  </si>
  <si>
    <t>PE 28*2(백)</t>
    <phoneticPr fontId="3" type="noConversion"/>
  </si>
  <si>
    <t>30박스</t>
    <phoneticPr fontId="3" type="noConversion"/>
  </si>
  <si>
    <t>무지박스/나무파렛트</t>
    <phoneticPr fontId="3" type="noConversion"/>
  </si>
  <si>
    <t>2박스</t>
    <phoneticPr fontId="3" type="noConversion"/>
  </si>
  <si>
    <t>동원팩</t>
    <phoneticPr fontId="3" type="noConversion"/>
  </si>
  <si>
    <t>PE28*6백</t>
    <phoneticPr fontId="3" type="noConversion"/>
  </si>
  <si>
    <t>2박스</t>
    <phoneticPr fontId="3" type="noConversion"/>
  </si>
  <si>
    <t>6*10백</t>
    <phoneticPr fontId="3" type="noConversion"/>
  </si>
  <si>
    <t>50롤</t>
    <phoneticPr fontId="3" type="noConversion"/>
  </si>
  <si>
    <t>pe28*2백</t>
    <phoneticPr fontId="3" type="noConversion"/>
  </si>
  <si>
    <t>pe28*2황</t>
    <phoneticPr fontId="3" type="noConversion"/>
  </si>
  <si>
    <t>pe28*6백</t>
    <phoneticPr fontId="3" type="noConversion"/>
  </si>
  <si>
    <t>12*10황(0.8T)</t>
    <phoneticPr fontId="3" type="noConversion"/>
  </si>
  <si>
    <t>11박스</t>
    <phoneticPr fontId="3" type="noConversion"/>
  </si>
  <si>
    <t>4박스</t>
    <phoneticPr fontId="3" type="noConversion"/>
  </si>
  <si>
    <t>10박스</t>
    <phoneticPr fontId="3" type="noConversion"/>
  </si>
  <si>
    <t>10롤</t>
    <phoneticPr fontId="3" type="noConversion"/>
  </si>
  <si>
    <t>나무파렛트/비닐덮개</t>
    <phoneticPr fontId="3" type="noConversion"/>
  </si>
  <si>
    <t>오전일찍 방문출고</t>
    <phoneticPr fontId="3" type="noConversion"/>
  </si>
  <si>
    <t>흥일산업</t>
    <phoneticPr fontId="3" type="noConversion"/>
  </si>
  <si>
    <t>18*10황</t>
    <phoneticPr fontId="3" type="noConversion"/>
  </si>
  <si>
    <t>1롤</t>
    <phoneticPr fontId="3" type="noConversion"/>
  </si>
  <si>
    <t>샘플/자강제품</t>
    <phoneticPr fontId="3" type="noConversion"/>
  </si>
  <si>
    <t>대신택배</t>
    <phoneticPr fontId="3" type="noConversion"/>
  </si>
  <si>
    <t>라이커스</t>
    <phoneticPr fontId="3" type="noConversion"/>
  </si>
  <si>
    <t>원료</t>
    <phoneticPr fontId="3" type="noConversion"/>
  </si>
  <si>
    <t>2포</t>
    <phoneticPr fontId="3" type="noConversion"/>
  </si>
  <si>
    <t>나무파렛트/재포장</t>
    <phoneticPr fontId="3" type="noConversion"/>
  </si>
  <si>
    <t>동방포장기자재</t>
    <phoneticPr fontId="3" type="noConversion"/>
  </si>
  <si>
    <t>12*10황(0.65T)</t>
    <phoneticPr fontId="3" type="noConversion"/>
  </si>
  <si>
    <t>81롤</t>
    <phoneticPr fontId="3" type="noConversion"/>
  </si>
  <si>
    <t>무지패드</t>
    <phoneticPr fontId="3" type="noConversion"/>
  </si>
  <si>
    <t>동서포장</t>
    <phoneticPr fontId="3" type="noConversion"/>
  </si>
  <si>
    <t>5박스</t>
    <phoneticPr fontId="3" type="noConversion"/>
  </si>
  <si>
    <t>로젠택배착불</t>
    <phoneticPr fontId="3" type="noConversion"/>
  </si>
  <si>
    <t>전주대일상사</t>
    <phoneticPr fontId="3" type="noConversion"/>
  </si>
  <si>
    <t>4박스</t>
    <phoneticPr fontId="3" type="noConversion"/>
  </si>
  <si>
    <t>kic박스</t>
    <phoneticPr fontId="3" type="noConversion"/>
  </si>
  <si>
    <t>신대한판지</t>
    <phoneticPr fontId="3" type="noConversion"/>
  </si>
  <si>
    <t>9*9.5백</t>
    <phoneticPr fontId="3" type="noConversion"/>
  </si>
  <si>
    <t>63롤</t>
    <phoneticPr fontId="3" type="noConversion"/>
  </si>
  <si>
    <t>용차</t>
    <phoneticPr fontId="3" type="noConversion"/>
  </si>
  <si>
    <t>나무파레트</t>
    <phoneticPr fontId="3" type="noConversion"/>
  </si>
  <si>
    <t>기계 찾아오기</t>
    <phoneticPr fontId="3" type="noConversion"/>
  </si>
  <si>
    <t>독일에서 오는 기계</t>
    <phoneticPr fontId="3" type="noConversion"/>
  </si>
  <si>
    <t>다오</t>
    <phoneticPr fontId="3" type="noConversion"/>
  </si>
  <si>
    <t>싸이클롭</t>
    <phoneticPr fontId="3" type="noConversion"/>
  </si>
  <si>
    <t>팔레트</t>
    <phoneticPr fontId="3" type="noConversion"/>
  </si>
  <si>
    <t>16.5톤</t>
    <phoneticPr fontId="3" type="noConversion"/>
  </si>
  <si>
    <t>6*10백</t>
    <phoneticPr fontId="3" type="noConversion"/>
  </si>
  <si>
    <t>15*9.5적(배추끈)</t>
    <phoneticPr fontId="3" type="noConversion"/>
  </si>
  <si>
    <t>PE28*2백</t>
    <phoneticPr fontId="3" type="noConversion"/>
  </si>
  <si>
    <t>합동포장</t>
    <phoneticPr fontId="3" type="noConversion"/>
  </si>
  <si>
    <t>7/31, 8/1 대신택배 1시까지 준비하기</t>
    <phoneticPr fontId="3" type="noConversion"/>
  </si>
  <si>
    <t>전표 8/1</t>
    <phoneticPr fontId="3" type="noConversion"/>
  </si>
  <si>
    <t>봉평농협</t>
    <phoneticPr fontId="3" type="noConversion"/>
  </si>
  <si>
    <t>PE28*2백(24kg)</t>
    <phoneticPr fontId="3" type="noConversion"/>
  </si>
  <si>
    <t>1박스</t>
    <phoneticPr fontId="3" type="noConversion"/>
  </si>
  <si>
    <t>로젠택배</t>
    <phoneticPr fontId="3" type="noConversion"/>
  </si>
  <si>
    <t>12*12.5황</t>
    <phoneticPr fontId="3" type="noConversion"/>
  </si>
  <si>
    <t>170롤</t>
    <phoneticPr fontId="3" type="noConversion"/>
  </si>
  <si>
    <t>15*13황</t>
    <phoneticPr fontId="3" type="noConversion"/>
  </si>
  <si>
    <t>20롤</t>
    <phoneticPr fontId="3" type="noConversion"/>
  </si>
  <si>
    <t>12*12.5투명</t>
    <phoneticPr fontId="3" type="noConversion"/>
  </si>
  <si>
    <t>6*10백</t>
    <phoneticPr fontId="3" type="noConversion"/>
  </si>
  <si>
    <t>10롤</t>
    <phoneticPr fontId="3" type="noConversion"/>
  </si>
  <si>
    <t>30롤</t>
    <phoneticPr fontId="3" type="noConversion"/>
  </si>
  <si>
    <t>50박스</t>
    <phoneticPr fontId="3" type="noConversion"/>
  </si>
  <si>
    <t>12*10황(0.75T)</t>
    <phoneticPr fontId="3" type="noConversion"/>
  </si>
  <si>
    <t>9*12은회색</t>
    <phoneticPr fontId="3" type="noConversion"/>
  </si>
  <si>
    <t>128롤</t>
    <phoneticPr fontId="3" type="noConversion"/>
  </si>
  <si>
    <t>용차</t>
    <phoneticPr fontId="3" type="noConversion"/>
  </si>
  <si>
    <t>김포 풍무동</t>
    <phoneticPr fontId="3" type="noConversion"/>
  </si>
  <si>
    <t>PE28mm*6kg 백색 100박스</t>
    <phoneticPr fontId="3" type="noConversion"/>
  </si>
  <si>
    <t>12*10황(0.65T)</t>
    <phoneticPr fontId="3" type="noConversion"/>
  </si>
  <si>
    <t>10롤</t>
    <phoneticPr fontId="3" type="noConversion"/>
  </si>
  <si>
    <t>9*10황</t>
    <phoneticPr fontId="3" type="noConversion"/>
  </si>
  <si>
    <t>20박스</t>
    <phoneticPr fontId="3" type="noConversion"/>
  </si>
  <si>
    <t>power박스</t>
    <phoneticPr fontId="3" type="noConversion"/>
  </si>
  <si>
    <t>대신택배</t>
    <phoneticPr fontId="3" type="noConversion"/>
  </si>
  <si>
    <t>보우팩</t>
    <phoneticPr fontId="3" type="noConversion"/>
  </si>
  <si>
    <t>300롤</t>
    <phoneticPr fontId="3" type="noConversion"/>
  </si>
  <si>
    <t>용차</t>
    <phoneticPr fontId="3" type="noConversion"/>
  </si>
  <si>
    <t>PE28*2청</t>
    <phoneticPr fontId="3" type="noConversion"/>
  </si>
  <si>
    <t>5박스</t>
    <phoneticPr fontId="3" type="noConversion"/>
  </si>
  <si>
    <t>신대한판지</t>
    <phoneticPr fontId="3" type="noConversion"/>
  </si>
  <si>
    <t>12*10(백)</t>
    <phoneticPr fontId="3" type="noConversion"/>
  </si>
  <si>
    <t>12*10(적)</t>
    <phoneticPr fontId="3" type="noConversion"/>
  </si>
  <si>
    <t>64롤</t>
    <phoneticPr fontId="3" type="noConversion"/>
  </si>
  <si>
    <t>오전</t>
    <phoneticPr fontId="3" type="noConversion"/>
  </si>
  <si>
    <t>제일지대</t>
    <phoneticPr fontId="3" type="noConversion"/>
  </si>
  <si>
    <t>1박스</t>
    <phoneticPr fontId="3" type="noConversion"/>
  </si>
  <si>
    <t>로젠택배</t>
    <phoneticPr fontId="3" type="noConversion"/>
  </si>
  <si>
    <t>9*10황(0.8T)</t>
    <phoneticPr fontId="3" type="noConversion"/>
  </si>
  <si>
    <t>입금표 챙기기</t>
    <phoneticPr fontId="3" type="noConversion"/>
  </si>
  <si>
    <t>동원팩</t>
    <phoneticPr fontId="3" type="noConversion"/>
  </si>
  <si>
    <t>PE28*2황</t>
    <phoneticPr fontId="3" type="noConversion"/>
  </si>
  <si>
    <t>로젠택배</t>
    <phoneticPr fontId="3" type="noConversion"/>
  </si>
  <si>
    <t>40"(오전 11시)</t>
    <phoneticPr fontId="3" type="noConversion"/>
  </si>
  <si>
    <t>이월</t>
    <phoneticPr fontId="3" type="noConversion"/>
  </si>
  <si>
    <t>425롤</t>
    <phoneticPr fontId="3" type="noConversion"/>
  </si>
  <si>
    <t>대전 대덕구 대전로 1177번길 121 우성농산 010-4173-8751</t>
    <phoneticPr fontId="3" type="noConversion"/>
  </si>
  <si>
    <t>1900원/kg  컬리 현장담당자는 담당자 : 최영호님 010-8786-2254</t>
    <phoneticPr fontId="3" type="noConversion"/>
  </si>
  <si>
    <t>power공박스 5개 같이 보내기</t>
    <phoneticPr fontId="3" type="noConversion"/>
  </si>
  <si>
    <t>삼영피엔텍</t>
    <phoneticPr fontId="3" type="noConversion"/>
  </si>
  <si>
    <t>삼성</t>
    <phoneticPr fontId="3" type="noConversion"/>
  </si>
  <si>
    <t>18*21친환경</t>
    <phoneticPr fontId="3" type="noConversion"/>
  </si>
  <si>
    <t>74롤</t>
    <phoneticPr fontId="3" type="noConversion"/>
  </si>
  <si>
    <t>12mm투명(0.65T)</t>
    <phoneticPr fontId="3" type="noConversion"/>
  </si>
  <si>
    <t>3M</t>
    <phoneticPr fontId="3" type="noConversion"/>
  </si>
  <si>
    <t>샘플</t>
    <phoneticPr fontId="3" type="noConversion"/>
  </si>
  <si>
    <t>로젠택배</t>
    <phoneticPr fontId="3" type="noConversion"/>
  </si>
  <si>
    <t>호성수출포장</t>
    <phoneticPr fontId="3" type="noConversion"/>
  </si>
  <si>
    <t>오전일찍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</si>
  <si>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</si>
  <si>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</si>
  <si>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</si>
  <si>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PE28*2황</t>
    <phoneticPr fontId="3" type="noConversion"/>
  </si>
  <si>
    <t>3박스</t>
    <phoneticPr fontId="3" type="noConversion"/>
  </si>
  <si>
    <t>10박스</t>
    <phoneticPr fontId="3" type="noConversion"/>
  </si>
  <si>
    <t>방문출고</t>
    <phoneticPr fontId="3" type="noConversion"/>
  </si>
  <si>
    <t>power박스</t>
    <phoneticPr fontId="3" type="noConversion"/>
  </si>
  <si>
    <t>대구한국포장</t>
    <phoneticPr fontId="3" type="noConversion"/>
  </si>
  <si>
    <t>6*10백</t>
    <phoneticPr fontId="3" type="noConversion"/>
  </si>
  <si>
    <t>256롤</t>
    <phoneticPr fontId="3" type="noConversion"/>
  </si>
  <si>
    <t>PE28*2백(24kg)</t>
    <phoneticPr fontId="3" type="noConversion"/>
  </si>
  <si>
    <t>35박스</t>
    <phoneticPr fontId="3" type="noConversion"/>
  </si>
  <si>
    <t>36박스</t>
    <phoneticPr fontId="3" type="noConversion"/>
  </si>
  <si>
    <t>로젠택배착불</t>
    <phoneticPr fontId="3" type="noConversion"/>
  </si>
  <si>
    <t>30박스</t>
    <phoneticPr fontId="3" type="noConversion"/>
  </si>
  <si>
    <t>랩20*500*350</t>
    <phoneticPr fontId="3" type="noConversion"/>
  </si>
  <si>
    <t>진송팩</t>
    <phoneticPr fontId="3" type="noConversion"/>
  </si>
  <si>
    <t>50박스</t>
    <phoneticPr fontId="3" type="noConversion"/>
  </si>
  <si>
    <t>power박스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</si>
  <si>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</si>
  <si>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</si>
  <si>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</si>
  <si>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</si>
  <si>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삼성</t>
    <phoneticPr fontId="3" type="noConversion"/>
  </si>
  <si>
    <t>18*21친환경</t>
    <phoneticPr fontId="3" type="noConversion"/>
  </si>
  <si>
    <t>379롤</t>
    <phoneticPr fontId="3" type="noConversion"/>
  </si>
  <si>
    <t>경인산업</t>
    <phoneticPr fontId="3" type="noConversion"/>
  </si>
  <si>
    <t>56롤</t>
    <phoneticPr fontId="3" type="noConversion"/>
  </si>
  <si>
    <t>10롤</t>
    <phoneticPr fontId="3" type="noConversion"/>
  </si>
  <si>
    <t>7*10백</t>
    <phoneticPr fontId="3" type="noConversion"/>
  </si>
  <si>
    <t>12*10황(0.75T)</t>
    <phoneticPr fontId="3" type="noConversion"/>
  </si>
  <si>
    <t>12*10백(0.75T)</t>
    <phoneticPr fontId="3" type="noConversion"/>
  </si>
  <si>
    <t>나무파렛트</t>
    <phoneticPr fontId="3" type="noConversion"/>
  </si>
  <si>
    <t>2100원</t>
    <phoneticPr fontId="3" type="noConversion"/>
  </si>
  <si>
    <t>신광포장</t>
    <phoneticPr fontId="3" type="noConversion"/>
  </si>
  <si>
    <t>12*10황(0.65T)</t>
    <phoneticPr fontId="3" type="noConversion"/>
  </si>
  <si>
    <t>동원팩</t>
    <phoneticPr fontId="3" type="noConversion"/>
  </si>
  <si>
    <t>6*10백</t>
    <phoneticPr fontId="3" type="noConversion"/>
  </si>
  <si>
    <t>60롤</t>
    <phoneticPr fontId="3" type="noConversion"/>
  </si>
  <si>
    <t>PE28*2황</t>
    <phoneticPr fontId="3" type="noConversion"/>
  </si>
  <si>
    <t>10박스</t>
    <phoneticPr fontId="3" type="noConversion"/>
  </si>
  <si>
    <t>5박스</t>
    <phoneticPr fontId="3" type="noConversion"/>
  </si>
  <si>
    <t>power박스</t>
    <phoneticPr fontId="3" type="noConversion"/>
  </si>
  <si>
    <t>광림포장</t>
    <phoneticPr fontId="3" type="noConversion"/>
  </si>
  <si>
    <t>12*10황</t>
    <phoneticPr fontId="3" type="noConversion"/>
  </si>
  <si>
    <t>128롤</t>
    <phoneticPr fontId="3" type="noConversion"/>
  </si>
  <si>
    <t>15*10황</t>
    <phoneticPr fontId="3" type="noConversion"/>
  </si>
  <si>
    <t>64롤</t>
    <phoneticPr fontId="3" type="noConversion"/>
  </si>
  <si>
    <t>16롤</t>
    <phoneticPr fontId="3" type="noConversion"/>
  </si>
  <si>
    <t>디앤푸드</t>
  </si>
  <si>
    <t>동원피앤아이</t>
    <phoneticPr fontId="3" type="noConversion"/>
  </si>
  <si>
    <t>PE50*4.7황</t>
    <phoneticPr fontId="3" type="noConversion"/>
  </si>
  <si>
    <t>40박스</t>
    <phoneticPr fontId="3" type="noConversion"/>
  </si>
  <si>
    <t>PE50*5백</t>
    <phoneticPr fontId="3" type="noConversion"/>
  </si>
  <si>
    <t>38박스</t>
    <phoneticPr fontId="3" type="noConversion"/>
  </si>
  <si>
    <t>56롤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</si>
  <si>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</si>
  <si>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</si>
  <si>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</si>
  <si>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</si>
  <si>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대성씨앤시</t>
    <phoneticPr fontId="3" type="noConversion"/>
  </si>
  <si>
    <t>7*10백(0.5T)</t>
    <phoneticPr fontId="3" type="noConversion"/>
  </si>
  <si>
    <t>50롤</t>
    <phoneticPr fontId="3" type="noConversion"/>
  </si>
  <si>
    <t>1공장</t>
    <phoneticPr fontId="3" type="noConversion"/>
  </si>
  <si>
    <t>금성포장</t>
    <phoneticPr fontId="3" type="noConversion"/>
  </si>
  <si>
    <t>랩15*500*400</t>
    <phoneticPr fontId="3" type="noConversion"/>
  </si>
  <si>
    <t>15박스</t>
    <phoneticPr fontId="3" type="noConversion"/>
  </si>
  <si>
    <t>56롤</t>
    <phoneticPr fontId="3" type="noConversion"/>
  </si>
  <si>
    <t>금산포장</t>
    <phoneticPr fontId="3" type="noConversion"/>
  </si>
  <si>
    <t>PE28*2백</t>
    <phoneticPr fontId="3" type="noConversion"/>
  </si>
  <si>
    <t>28박스</t>
    <phoneticPr fontId="3" type="noConversion"/>
  </si>
  <si>
    <t>30박스</t>
    <phoneticPr fontId="3" type="noConversion"/>
  </si>
  <si>
    <t>19*1000청</t>
    <phoneticPr fontId="3" type="noConversion"/>
  </si>
  <si>
    <t>RLB규격</t>
    <phoneticPr fontId="3" type="noConversion"/>
  </si>
  <si>
    <t>나무파레트</t>
    <phoneticPr fontId="3" type="noConversion"/>
  </si>
  <si>
    <t>삼성</t>
    <phoneticPr fontId="3" type="noConversion"/>
  </si>
  <si>
    <t>18*21친환경</t>
    <phoneticPr fontId="3" type="noConversion"/>
  </si>
  <si>
    <t>18*21투명</t>
    <phoneticPr fontId="3" type="noConversion"/>
  </si>
  <si>
    <t>1롤</t>
    <phoneticPr fontId="3" type="noConversion"/>
  </si>
  <si>
    <t>power박스</t>
    <phoneticPr fontId="3" type="noConversion"/>
  </si>
  <si>
    <t>파워엠팩</t>
    <phoneticPr fontId="3" type="noConversion"/>
  </si>
  <si>
    <t>10.5*10청(0.75T)</t>
    <phoneticPr fontId="3" type="noConversion"/>
  </si>
  <si>
    <t>출고대기</t>
    <phoneticPr fontId="3" type="noConversion"/>
  </si>
  <si>
    <t>40롤</t>
    <phoneticPr fontId="3" type="noConversion"/>
  </si>
  <si>
    <t>15*10황(0.95T)</t>
    <phoneticPr fontId="3" type="noConversion"/>
  </si>
  <si>
    <t>30롤</t>
    <phoneticPr fontId="3" type="noConversion"/>
  </si>
  <si>
    <t>16*10황</t>
    <phoneticPr fontId="3" type="noConversion"/>
  </si>
  <si>
    <t>6롤</t>
    <phoneticPr fontId="3" type="noConversion"/>
  </si>
  <si>
    <t>대신택배</t>
    <phoneticPr fontId="3" type="noConversion"/>
  </si>
  <si>
    <t>경기도 시흥시 협력로 181 시대전기 032-665-1135</t>
    <phoneticPr fontId="3" type="noConversion"/>
  </si>
  <si>
    <t>자동엠보 / 2롤3묶음</t>
    <phoneticPr fontId="3" type="noConversion"/>
  </si>
  <si>
    <t>동원팩</t>
    <phoneticPr fontId="3" type="noConversion"/>
  </si>
  <si>
    <t>PE28*2황</t>
    <phoneticPr fontId="3" type="noConversion"/>
  </si>
  <si>
    <t>10박스</t>
    <phoneticPr fontId="3" type="noConversion"/>
  </si>
  <si>
    <t>방문출고</t>
    <phoneticPr fontId="3" type="noConversion"/>
  </si>
  <si>
    <t>안양우체국</t>
    <phoneticPr fontId="3" type="noConversion"/>
  </si>
  <si>
    <t>PE28*2백</t>
    <phoneticPr fontId="3" type="noConversion"/>
  </si>
  <si>
    <t>4박스</t>
    <phoneticPr fontId="3" type="noConversion"/>
  </si>
  <si>
    <t>원예가위</t>
    <phoneticPr fontId="3" type="noConversion"/>
  </si>
  <si>
    <t>5개</t>
    <phoneticPr fontId="3" type="noConversion"/>
  </si>
  <si>
    <t>삼성</t>
    <phoneticPr fontId="3" type="noConversion"/>
  </si>
  <si>
    <t>노랑밴딩/종이두르기</t>
    <phoneticPr fontId="3" type="noConversion"/>
  </si>
  <si>
    <t>경인팩</t>
    <phoneticPr fontId="3" type="noConversion"/>
  </si>
  <si>
    <t>오후</t>
    <phoneticPr fontId="3" type="noConversion"/>
  </si>
  <si>
    <t>경인팩 8/9월 모든제품 100원 인하</t>
    <phoneticPr fontId="3" type="noConversion"/>
  </si>
  <si>
    <t>한주</t>
    <phoneticPr fontId="3" type="noConversion"/>
  </si>
  <si>
    <t>팔레트</t>
    <phoneticPr fontId="3" type="noConversion"/>
  </si>
  <si>
    <t>20.4톤</t>
    <phoneticPr fontId="3" type="noConversion"/>
  </si>
  <si>
    <t>40"(오후2시)</t>
    <phoneticPr fontId="3" type="noConversion"/>
  </si>
  <si>
    <t>대전 인재사</t>
    <phoneticPr fontId="3" type="noConversion"/>
  </si>
  <si>
    <t>3500원</t>
    <phoneticPr fontId="3" type="noConversion"/>
  </si>
  <si>
    <t>화랑 H-51 5000원</t>
    <phoneticPr fontId="3" type="noConversion"/>
  </si>
  <si>
    <t>신광포장</t>
    <phoneticPr fontId="3" type="noConversion"/>
  </si>
  <si>
    <t>56롤</t>
    <phoneticPr fontId="3" type="noConversion"/>
  </si>
  <si>
    <t>12*10황(0.65T)</t>
    <phoneticPr fontId="3" type="noConversion"/>
  </si>
  <si>
    <t>PE28*6백</t>
    <phoneticPr fontId="3" type="noConversion"/>
  </si>
  <si>
    <t>5박스</t>
    <phoneticPr fontId="3" type="noConversion"/>
  </si>
  <si>
    <t>15*10백(0.65T)</t>
    <phoneticPr fontId="3" type="noConversion"/>
  </si>
  <si>
    <t>kic박스</t>
    <phoneticPr fontId="3" type="noConversion"/>
  </si>
  <si>
    <t>오전</t>
    <phoneticPr fontId="3" type="noConversion"/>
  </si>
  <si>
    <t>15*10투명(0.8T)</t>
    <phoneticPr fontId="3" type="noConversion"/>
  </si>
  <si>
    <t>15롤</t>
    <phoneticPr fontId="3" type="noConversion"/>
  </si>
  <si>
    <t>6*10백</t>
    <phoneticPr fontId="3" type="noConversion"/>
  </si>
  <si>
    <t>96박스</t>
    <phoneticPr fontId="3" type="noConversion"/>
  </si>
  <si>
    <t>224롤</t>
    <phoneticPr fontId="3" type="noConversion"/>
  </si>
  <si>
    <t>12*12.5투명</t>
    <phoneticPr fontId="3" type="noConversion"/>
  </si>
  <si>
    <t>30롤</t>
    <phoneticPr fontId="3" type="noConversion"/>
  </si>
  <si>
    <t>신한포장</t>
    <phoneticPr fontId="3" type="noConversion"/>
  </si>
  <si>
    <t>50박스</t>
    <phoneticPr fontId="3" type="noConversion"/>
  </si>
  <si>
    <t>kic박스</t>
    <phoneticPr fontId="3" type="noConversion"/>
  </si>
  <si>
    <t>수</t>
    <phoneticPr fontId="3" type="noConversion"/>
  </si>
  <si>
    <t>용차 1시</t>
    <phoneticPr fontId="3" type="noConversion"/>
  </si>
  <si>
    <t>15박스</t>
    <phoneticPr fontId="3" type="noConversion"/>
  </si>
  <si>
    <t>알엘비</t>
    <phoneticPr fontId="3" type="noConversion"/>
  </si>
  <si>
    <t>팔레트</t>
    <phoneticPr fontId="3" type="noConversion"/>
  </si>
  <si>
    <t>태화산업</t>
    <phoneticPr fontId="3" type="noConversion"/>
  </si>
  <si>
    <t>161롤</t>
    <phoneticPr fontId="3" type="noConversion"/>
  </si>
  <si>
    <t>경기도 안양시 동안구 평촌대로 212</t>
    <phoneticPr fontId="3" type="noConversion"/>
  </si>
  <si>
    <t xml:space="preserve">안양우편집중국 2층 물류총괄과 </t>
    <phoneticPr fontId="3" type="noConversion"/>
  </si>
  <si>
    <t>최원석 주무관님</t>
    <phoneticPr fontId="3" type="noConversion"/>
  </si>
  <si>
    <t>010-9454-7364</t>
    <phoneticPr fontId="3" type="noConversion"/>
  </si>
  <si>
    <t>발송 : 케이아이씨</t>
    <phoneticPr fontId="3" type="noConversion"/>
  </si>
  <si>
    <t>결속기끈 1호  40롤</t>
    <phoneticPr fontId="3" type="noConversion"/>
  </si>
  <si>
    <t>원예가위 5개</t>
    <phoneticPr fontId="3" type="noConversion"/>
  </si>
  <si>
    <t>용차</t>
    <phoneticPr fontId="3" type="noConversion"/>
  </si>
  <si>
    <t>화</t>
    <phoneticPr fontId="3" type="noConversion"/>
  </si>
  <si>
    <t>6*10백</t>
    <phoneticPr fontId="3" type="noConversion"/>
  </si>
  <si>
    <t>방문출고</t>
    <phoneticPr fontId="3" type="noConversion"/>
  </si>
  <si>
    <t>동원팩</t>
    <phoneticPr fontId="3" type="noConversion"/>
  </si>
  <si>
    <t>4박스</t>
    <phoneticPr fontId="3" type="noConversion"/>
  </si>
  <si>
    <t>로젠택배</t>
    <phoneticPr fontId="3" type="noConversion"/>
  </si>
  <si>
    <t>power박스</t>
    <phoneticPr fontId="3" type="noConversion"/>
  </si>
  <si>
    <t>충주오알농장</t>
    <phoneticPr fontId="3" type="noConversion"/>
  </si>
  <si>
    <t>지방합화차</t>
    <phoneticPr fontId="3" type="noConversion"/>
  </si>
  <si>
    <t>미국박스</t>
    <phoneticPr fontId="3" type="noConversion"/>
  </si>
  <si>
    <t>삼성</t>
    <phoneticPr fontId="3" type="noConversion"/>
  </si>
  <si>
    <t>54박스</t>
    <phoneticPr fontId="3" type="noConversion"/>
  </si>
  <si>
    <t>492롤</t>
    <phoneticPr fontId="3" type="noConversion"/>
  </si>
  <si>
    <t>18*21친환경</t>
    <phoneticPr fontId="3" type="noConversion"/>
  </si>
  <si>
    <t>364롤</t>
    <phoneticPr fontId="3" type="noConversion"/>
  </si>
  <si>
    <t>용차 착불</t>
    <phoneticPr fontId="3" type="noConversion"/>
  </si>
  <si>
    <t>9*10투명</t>
    <phoneticPr fontId="3" type="noConversion"/>
  </si>
  <si>
    <t>50롤</t>
    <phoneticPr fontId="3" type="noConversion"/>
  </si>
  <si>
    <t>20"(오후3시)</t>
    <phoneticPr fontId="3" type="noConversion"/>
  </si>
  <si>
    <t>대한종합포장</t>
    <phoneticPr fontId="3" type="noConversion"/>
  </si>
  <si>
    <t>랩 20*500*1400</t>
    <phoneticPr fontId="3" type="noConversion"/>
  </si>
  <si>
    <t>50박스</t>
    <phoneticPr fontId="3" type="noConversion"/>
  </si>
  <si>
    <t>김형근</t>
    <phoneticPr fontId="3" type="noConversion"/>
  </si>
  <si>
    <t>파워엠팩</t>
    <phoneticPr fontId="3" type="noConversion"/>
  </si>
  <si>
    <t>12*10황(0.75T)</t>
    <phoneticPr fontId="3" type="noConversion"/>
  </si>
  <si>
    <t>100롤</t>
    <phoneticPr fontId="3" type="noConversion"/>
  </si>
  <si>
    <t>방문출고</t>
    <phoneticPr fontId="3" type="noConversion"/>
  </si>
  <si>
    <t>10.5*10(투명)</t>
    <phoneticPr fontId="3" type="noConversion"/>
  </si>
  <si>
    <t>40롤</t>
    <phoneticPr fontId="3" type="noConversion"/>
  </si>
  <si>
    <t>10.5*10투명</t>
    <phoneticPr fontId="3" type="noConversion"/>
  </si>
  <si>
    <t>100롤</t>
    <phoneticPr fontId="3" type="noConversion"/>
  </si>
  <si>
    <t>전주삼신산업</t>
    <phoneticPr fontId="3" type="noConversion"/>
  </si>
  <si>
    <t>6*10백</t>
    <phoneticPr fontId="3" type="noConversion"/>
  </si>
  <si>
    <t>10롤</t>
    <phoneticPr fontId="3" type="noConversion"/>
  </si>
  <si>
    <t>20박스</t>
    <phoneticPr fontId="3" type="noConversion"/>
  </si>
  <si>
    <t>대상산업</t>
    <phoneticPr fontId="3" type="noConversion"/>
  </si>
  <si>
    <t>12*12.5황</t>
    <phoneticPr fontId="3" type="noConversion"/>
  </si>
  <si>
    <t>32롤</t>
    <phoneticPr fontId="3" type="noConversion"/>
  </si>
  <si>
    <t>용차</t>
    <phoneticPr fontId="3" type="noConversion"/>
  </si>
  <si>
    <t>충남 천안시 서북구 성거읍 마당재길28 유하정판㈜ 041-522-8630 / 010-3588-9371</t>
    <phoneticPr fontId="3" type="noConversion"/>
  </si>
  <si>
    <t>power박스</t>
    <phoneticPr fontId="3" type="noConversion"/>
  </si>
  <si>
    <t>진송팩</t>
    <phoneticPr fontId="3" type="noConversion"/>
  </si>
  <si>
    <t>PE28*2청</t>
    <phoneticPr fontId="3" type="noConversion"/>
  </si>
  <si>
    <t>10박스</t>
    <phoneticPr fontId="3" type="noConversion"/>
  </si>
  <si>
    <t>용차</t>
    <phoneticPr fontId="3" type="noConversion"/>
  </si>
  <si>
    <t>경기도 파주시 연다산동 46-2 ㈜토빅스 파주공장 010-5290-8143</t>
    <phoneticPr fontId="3" type="noConversion"/>
  </si>
  <si>
    <t>12mm*12.5kg 황색 32롤</t>
    <phoneticPr fontId="3" type="noConversion"/>
  </si>
  <si>
    <t>24박스</t>
    <phoneticPr fontId="3" type="noConversion"/>
  </si>
  <si>
    <t>대신택배</t>
    <phoneticPr fontId="3" type="noConversion"/>
  </si>
  <si>
    <t>제주특별자치도 서귀포시 토평공단로139번길 5(토평동) 제주런드리 064-733-0053 010-5622-7020</t>
    <phoneticPr fontId="3" type="noConversion"/>
  </si>
  <si>
    <t>대신택배착불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</si>
  <si>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</si>
  <si>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</si>
  <si>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</si>
  <si>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전북 익산시 오산면 항쟁로 139 은성영농조합법인 063-544-0154 / 010-6490-0154</t>
    <phoneticPr fontId="3" type="noConversion"/>
  </si>
  <si>
    <t>제주</t>
    <phoneticPr fontId="3" type="noConversion"/>
  </si>
  <si>
    <t>나무파렛트 / 익산</t>
    <phoneticPr fontId="3" type="noConversion"/>
  </si>
  <si>
    <t>나무파렛트 / 천안</t>
    <phoneticPr fontId="3" type="noConversion"/>
  </si>
  <si>
    <t>파주</t>
    <phoneticPr fontId="3" type="noConversion"/>
  </si>
  <si>
    <t>PE28*6백</t>
    <phoneticPr fontId="3" type="noConversion"/>
  </si>
  <si>
    <t>16박스</t>
    <phoneticPr fontId="3" type="noConversion"/>
  </si>
  <si>
    <t>용차</t>
    <phoneticPr fontId="3" type="noConversion"/>
  </si>
  <si>
    <t>182롤</t>
    <phoneticPr fontId="3" type="noConversion"/>
  </si>
  <si>
    <t>최대성주임 반차</t>
  </si>
  <si>
    <t>삼성</t>
    <phoneticPr fontId="3" type="noConversion"/>
  </si>
  <si>
    <t>임승진대리 연차</t>
  </si>
  <si>
    <t>대성씨앤시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</si>
  <si>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</si>
  <si>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</si>
  <si>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</si>
  <si>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15*10황(0.75T)</t>
    <phoneticPr fontId="3" type="noConversion"/>
  </si>
  <si>
    <t>18*21친환경</t>
    <phoneticPr fontId="3" type="noConversion"/>
  </si>
  <si>
    <t>359롤</t>
    <phoneticPr fontId="3" type="noConversion"/>
  </si>
  <si>
    <t>오전 / 김형근</t>
    <phoneticPr fontId="3" type="noConversion"/>
  </si>
  <si>
    <t>한남포장</t>
    <phoneticPr fontId="3" type="noConversion"/>
  </si>
  <si>
    <t>PE28*2백</t>
    <phoneticPr fontId="3" type="noConversion"/>
  </si>
  <si>
    <t>50박스</t>
    <phoneticPr fontId="3" type="noConversion"/>
  </si>
  <si>
    <t>kic박스</t>
    <phoneticPr fontId="3" type="noConversion"/>
  </si>
  <si>
    <t>동원팩</t>
    <phoneticPr fontId="3" type="noConversion"/>
  </si>
  <si>
    <t>6*10백</t>
    <phoneticPr fontId="3" type="noConversion"/>
  </si>
  <si>
    <t>60롤</t>
    <phoneticPr fontId="3" type="noConversion"/>
  </si>
  <si>
    <t>PE28*2청</t>
    <phoneticPr fontId="3" type="noConversion"/>
  </si>
  <si>
    <t>10박스</t>
    <phoneticPr fontId="3" type="noConversion"/>
  </si>
  <si>
    <t>1박스</t>
    <phoneticPr fontId="3" type="noConversion"/>
  </si>
  <si>
    <t>4박스</t>
    <phoneticPr fontId="3" type="noConversion"/>
  </si>
  <si>
    <t>방문출고</t>
    <phoneticPr fontId="3" type="noConversion"/>
  </si>
  <si>
    <t>power박스</t>
    <phoneticPr fontId="3" type="noConversion"/>
  </si>
  <si>
    <t>광림포장</t>
    <phoneticPr fontId="3" type="noConversion"/>
  </si>
  <si>
    <t>9*9.2황(0.6T)</t>
    <phoneticPr fontId="3" type="noConversion"/>
  </si>
  <si>
    <t>256롤</t>
    <phoneticPr fontId="3" type="noConversion"/>
  </si>
  <si>
    <t>12*12.5황</t>
    <phoneticPr fontId="3" type="noConversion"/>
  </si>
  <si>
    <t>40롤</t>
    <phoneticPr fontId="3" type="noConversion"/>
  </si>
  <si>
    <t>이유찬 r4</t>
    <phoneticPr fontId="3" type="noConversion"/>
  </si>
  <si>
    <r>
      <t>영상디스플레이사업부</t>
    </r>
    <r>
      <rPr>
        <sz val="9"/>
        <color rgb="FF000000"/>
        <rFont val="돋움"/>
        <family val="3"/>
        <charset val="129"/>
      </rPr>
      <t>/ 스마트제조동(VD)</t>
    </r>
  </si>
  <si>
    <t>yuchan7.lee</t>
    <phoneticPr fontId="3" type="noConversion"/>
  </si>
  <si>
    <t>삼성</t>
    <phoneticPr fontId="3" type="noConversion"/>
  </si>
  <si>
    <t>11mm*500m</t>
    <phoneticPr fontId="3" type="noConversion"/>
  </si>
  <si>
    <t>30롤</t>
    <phoneticPr fontId="3" type="noConversion"/>
  </si>
  <si>
    <t>송기범</t>
  </si>
  <si>
    <t>031-277-4057</t>
  </si>
  <si>
    <t>gb.song@samsung.com</t>
  </si>
  <si>
    <t>영상디스플레이사업부 → VD CS동 / 로비</t>
  </si>
  <si>
    <t>동방포장</t>
    <phoneticPr fontId="3" type="noConversion"/>
  </si>
  <si>
    <t>15*10황(0.65T)</t>
    <phoneticPr fontId="3" type="noConversion"/>
  </si>
  <si>
    <t>5롤</t>
    <phoneticPr fontId="3" type="noConversion"/>
  </si>
  <si>
    <t>방문출고</t>
    <phoneticPr fontId="3" type="noConversion"/>
  </si>
  <si>
    <t>대구한국포장</t>
    <phoneticPr fontId="3" type="noConversion"/>
  </si>
  <si>
    <t>PE28*2황</t>
    <phoneticPr fontId="3" type="noConversion"/>
  </si>
  <si>
    <t>3박스</t>
    <phoneticPr fontId="3" type="noConversion"/>
  </si>
  <si>
    <t>택배비청구</t>
    <phoneticPr fontId="3" type="noConversion"/>
  </si>
  <si>
    <t>32박스</t>
    <phoneticPr fontId="3" type="noConversion"/>
  </si>
  <si>
    <t>10박스</t>
    <phoneticPr fontId="3" type="noConversion"/>
  </si>
  <si>
    <t>무지박스</t>
    <phoneticPr fontId="3" type="noConversion"/>
  </si>
  <si>
    <t>방문출고</t>
    <phoneticPr fontId="3" type="noConversion"/>
  </si>
  <si>
    <t>유일</t>
    <phoneticPr fontId="3" type="noConversion"/>
  </si>
  <si>
    <t>경인팩</t>
    <phoneticPr fontId="3" type="noConversion"/>
  </si>
  <si>
    <t>10박스</t>
    <phoneticPr fontId="3" type="noConversion"/>
  </si>
  <si>
    <t>파주</t>
    <phoneticPr fontId="3" type="noConversion"/>
  </si>
  <si>
    <t>용차</t>
    <phoneticPr fontId="3" type="noConversion"/>
  </si>
  <si>
    <t>경기도 파주시 조리읍 능안로 290-9, A, B동 세탁공작소 파주지점   010-6272-5433</t>
    <phoneticPr fontId="3" type="noConversion"/>
  </si>
  <si>
    <t>진송팩</t>
    <phoneticPr fontId="3" type="noConversion"/>
  </si>
  <si>
    <t>16박스</t>
    <phoneticPr fontId="3" type="noConversion"/>
  </si>
  <si>
    <t>대신택배</t>
    <phoneticPr fontId="3" type="noConversion"/>
  </si>
  <si>
    <t>천안</t>
    <phoneticPr fontId="3" type="noConversion"/>
  </si>
  <si>
    <t>충남 천안시 서북구 성거읍 천흥리 316-9 삼보제이케이 010-9905-1095</t>
    <phoneticPr fontId="3" type="noConversion"/>
  </si>
  <si>
    <t>12*10황(0.8T)</t>
    <phoneticPr fontId="3" type="noConversion"/>
  </si>
  <si>
    <t>에이원코리아</t>
    <phoneticPr fontId="3" type="noConversion"/>
  </si>
  <si>
    <t>12*12황(0.8T)</t>
    <phoneticPr fontId="3" type="noConversion"/>
  </si>
  <si>
    <t>112롤</t>
    <phoneticPr fontId="3" type="noConversion"/>
  </si>
  <si>
    <t>방문출고</t>
    <phoneticPr fontId="3" type="noConversion"/>
  </si>
  <si>
    <t>경북 예천군 호명면 새움1로 29 1층 대명계란 010-7111-9136</t>
    <phoneticPr fontId="3" type="noConversion"/>
  </si>
  <si>
    <t>광림파워팩</t>
    <phoneticPr fontId="3" type="noConversion"/>
  </si>
  <si>
    <t>21.1톤</t>
    <phoneticPr fontId="3" type="noConversion"/>
  </si>
  <si>
    <t>노스쇼어</t>
    <phoneticPr fontId="3" type="noConversion"/>
  </si>
  <si>
    <t>팔레트</t>
    <phoneticPr fontId="3" type="noConversion"/>
  </si>
  <si>
    <t>40"(오전10시)</t>
    <phoneticPr fontId="3" type="noConversion"/>
  </si>
  <si>
    <t>타이거팩</t>
    <phoneticPr fontId="3" type="noConversion"/>
  </si>
  <si>
    <t>수작업</t>
    <phoneticPr fontId="3" type="noConversion"/>
  </si>
  <si>
    <t>10톤</t>
    <phoneticPr fontId="3" type="noConversion"/>
  </si>
  <si>
    <t>20"(오전10시)</t>
    <phoneticPr fontId="3" type="noConversion"/>
  </si>
  <si>
    <t>파워팩</t>
    <phoneticPr fontId="3" type="noConversion"/>
  </si>
  <si>
    <t>수작업</t>
    <phoneticPr fontId="3" type="noConversion"/>
  </si>
  <si>
    <t>9톤</t>
    <phoneticPr fontId="3" type="noConversion"/>
  </si>
  <si>
    <t>20"(오전10시)</t>
    <phoneticPr fontId="3" type="noConversion"/>
  </si>
  <si>
    <t>대성씨앤시</t>
    <phoneticPr fontId="3" type="noConversion"/>
  </si>
  <si>
    <t>12*10황(0.8T)</t>
    <phoneticPr fontId="3" type="noConversion"/>
  </si>
  <si>
    <t>50롤</t>
    <phoneticPr fontId="3" type="noConversion"/>
  </si>
  <si>
    <t>2공장</t>
    <phoneticPr fontId="3" type="noConversion"/>
  </si>
  <si>
    <t>두손포장</t>
    <phoneticPr fontId="3" type="noConversion"/>
  </si>
  <si>
    <t>5박스</t>
    <phoneticPr fontId="3" type="noConversion"/>
  </si>
  <si>
    <t>power박스</t>
    <phoneticPr fontId="3" type="noConversion"/>
  </si>
  <si>
    <t>방문출고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</si>
  <si>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</si>
  <si>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</si>
  <si>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</si>
  <si>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</si>
  <si>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덕영산업</t>
    <phoneticPr fontId="3" type="noConversion"/>
  </si>
  <si>
    <t>2박스</t>
    <phoneticPr fontId="3" type="noConversion"/>
  </si>
  <si>
    <t>대신택배착불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</si>
  <si>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</si>
  <si>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</si>
  <si>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</si>
  <si>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15*10황(0.65T)</t>
    <phoneticPr fontId="3" type="noConversion"/>
  </si>
  <si>
    <t>10롤</t>
    <phoneticPr fontId="3" type="noConversion"/>
  </si>
  <si>
    <t>20롤</t>
    <phoneticPr fontId="3" type="noConversion"/>
  </si>
  <si>
    <t>7*10백(0.55T)</t>
    <phoneticPr fontId="3" type="noConversion"/>
  </si>
  <si>
    <t>9*10황</t>
    <phoneticPr fontId="3" type="noConversion"/>
  </si>
  <si>
    <t>대신택배</t>
    <phoneticPr fontId="3" type="noConversion"/>
  </si>
  <si>
    <t>동원팩</t>
    <phoneticPr fontId="3" type="noConversion"/>
  </si>
  <si>
    <t>1박스</t>
    <phoneticPr fontId="3" type="noConversion"/>
  </si>
  <si>
    <t>로젠택배</t>
    <phoneticPr fontId="3" type="noConversion"/>
  </si>
  <si>
    <t>대전 동구 인동 45-2 곰두리축산 010-6420-0600</t>
    <phoneticPr fontId="3" type="noConversion"/>
  </si>
  <si>
    <t>산업포장유통</t>
    <phoneticPr fontId="3" type="noConversion"/>
  </si>
  <si>
    <t>4박스</t>
    <phoneticPr fontId="3" type="noConversion"/>
  </si>
  <si>
    <t>PE28*2적</t>
    <phoneticPr fontId="3" type="noConversion"/>
  </si>
  <si>
    <t>로젠택배</t>
    <phoneticPr fontId="3" type="noConversion"/>
  </si>
  <si>
    <t>삼성</t>
    <phoneticPr fontId="3" type="noConversion"/>
  </si>
  <si>
    <t>18*21친환경</t>
    <phoneticPr fontId="3" type="noConversion"/>
  </si>
  <si>
    <t>12롤</t>
    <phoneticPr fontId="3" type="noConversion"/>
  </si>
  <si>
    <t>이안테크</t>
    <phoneticPr fontId="3" type="noConversion"/>
  </si>
  <si>
    <t>18*21친환경</t>
    <phoneticPr fontId="3" type="noConversion"/>
  </si>
  <si>
    <t>32롤</t>
    <phoneticPr fontId="3" type="noConversion"/>
  </si>
  <si>
    <t>용차</t>
    <phoneticPr fontId="3" type="noConversion"/>
  </si>
  <si>
    <t>신대한판지</t>
    <phoneticPr fontId="3" type="noConversion"/>
  </si>
  <si>
    <t>64롤</t>
    <phoneticPr fontId="3" type="noConversion"/>
  </si>
  <si>
    <t>9*9.5백</t>
    <phoneticPr fontId="3" type="noConversion"/>
  </si>
  <si>
    <t>63롤</t>
    <phoneticPr fontId="3" type="noConversion"/>
  </si>
  <si>
    <t>12*10녹(0.8T)</t>
    <phoneticPr fontId="3" type="noConversion"/>
  </si>
  <si>
    <t>2200원</t>
    <phoneticPr fontId="3" type="noConversion"/>
  </si>
  <si>
    <t>오전1착</t>
    <phoneticPr fontId="3" type="noConversion"/>
  </si>
  <si>
    <t>KPP 빨강</t>
    <phoneticPr fontId="3" type="noConversion"/>
  </si>
  <si>
    <t>경인팩</t>
    <phoneticPr fontId="3" type="noConversion"/>
  </si>
  <si>
    <t>30박스</t>
    <phoneticPr fontId="3" type="noConversion"/>
  </si>
  <si>
    <t xml:space="preserve">충청남도 천안시 서북구 입장면 </t>
    <phoneticPr fontId="3" type="noConversion"/>
  </si>
  <si>
    <t>독정기로길 33 (독정리 14-6)</t>
    <phoneticPr fontId="3" type="noConversion"/>
  </si>
  <si>
    <t>이안하이텍</t>
  </si>
  <si>
    <t>김이구 부장님</t>
    <phoneticPr fontId="3" type="noConversion"/>
  </si>
  <si>
    <t>010-3206-2999</t>
    <phoneticPr fontId="3" type="noConversion"/>
  </si>
  <si>
    <t>18*21친환경 32롤</t>
    <phoneticPr fontId="3" type="noConversion"/>
  </si>
  <si>
    <t>장기 미수금 : 세화종합상사 / 바오 / 가론종합상사 / 동양프린팅 / 보우팩 95만원</t>
    <phoneticPr fontId="3" type="noConversion"/>
  </si>
  <si>
    <t>인선</t>
    <phoneticPr fontId="3" type="noConversion"/>
  </si>
  <si>
    <t>5*7000백</t>
    <phoneticPr fontId="3" type="noConversion"/>
  </si>
  <si>
    <t>20롤(0.4T)</t>
    <phoneticPr fontId="3" type="noConversion"/>
  </si>
  <si>
    <t>20롤(0.45T)</t>
    <phoneticPr fontId="3" type="noConversion"/>
  </si>
  <si>
    <t>21000/롤</t>
    <phoneticPr fontId="3" type="noConversion"/>
  </si>
  <si>
    <t>21500/롤</t>
    <phoneticPr fontId="3" type="noConversion"/>
  </si>
  <si>
    <t>11*500m</t>
    <phoneticPr fontId="8" type="noConversion"/>
  </si>
  <si>
    <t>용차</t>
    <phoneticPr fontId="3" type="noConversion"/>
  </si>
  <si>
    <t>충북 음성군 대소면 대금로 653-20 주식회사 스카이세븐 043-883-7077 010-6382-0819</t>
    <phoneticPr fontId="3" type="noConversion"/>
  </si>
  <si>
    <t xml:space="preserve">충북 음성군 대소면 대금로 653-20 </t>
    <phoneticPr fontId="3" type="noConversion"/>
  </si>
  <si>
    <t xml:space="preserve">주식회사 스카이세븐 </t>
    <phoneticPr fontId="3" type="noConversion"/>
  </si>
  <si>
    <t xml:space="preserve">043-883-7077 </t>
    <phoneticPr fontId="3" type="noConversion"/>
  </si>
  <si>
    <t>010-6382-0819</t>
  </si>
  <si>
    <t>PE28*6 백색  30박스</t>
    <phoneticPr fontId="3" type="noConversion"/>
  </si>
  <si>
    <t>한길포장</t>
    <phoneticPr fontId="3" type="noConversion"/>
  </si>
  <si>
    <t>12*10황(0.75T)</t>
    <phoneticPr fontId="3" type="noConversion"/>
  </si>
  <si>
    <t>64롤</t>
    <phoneticPr fontId="3" type="noConversion"/>
  </si>
  <si>
    <t>12*10백(0.75T)</t>
    <phoneticPr fontId="3" type="noConversion"/>
  </si>
  <si>
    <t>64롤</t>
    <phoneticPr fontId="3" type="noConversion"/>
  </si>
  <si>
    <t>PE28*2백</t>
    <phoneticPr fontId="3" type="noConversion"/>
  </si>
  <si>
    <t>10박스</t>
    <phoneticPr fontId="3" type="noConversion"/>
  </si>
  <si>
    <t>power박스</t>
    <phoneticPr fontId="3" type="noConversion"/>
  </si>
  <si>
    <t>에이스팩</t>
    <phoneticPr fontId="3" type="noConversion"/>
  </si>
  <si>
    <t>랩18*500*2000</t>
    <phoneticPr fontId="3" type="noConversion"/>
  </si>
  <si>
    <t>25박스</t>
    <phoneticPr fontId="3" type="noConversion"/>
  </si>
  <si>
    <t>스피드랩직납</t>
    <phoneticPr fontId="3" type="noConversion"/>
  </si>
  <si>
    <t>박스당 42,000원</t>
    <phoneticPr fontId="3" type="noConversion"/>
  </si>
  <si>
    <t>파워엠팩</t>
    <phoneticPr fontId="3" type="noConversion"/>
  </si>
  <si>
    <t>기계</t>
    <phoneticPr fontId="3" type="noConversion"/>
  </si>
  <si>
    <t>1대</t>
    <phoneticPr fontId="3" type="noConversion"/>
  </si>
  <si>
    <t>용차</t>
    <phoneticPr fontId="3" type="noConversion"/>
  </si>
  <si>
    <t>1톤</t>
    <phoneticPr fontId="3" type="noConversion"/>
  </si>
  <si>
    <t>석천로 397 (삼정동) 101동 211호</t>
    <phoneticPr fontId="3" type="noConversion"/>
  </si>
  <si>
    <t>(삼정동,부천테크노파크쌍용3차)</t>
  </si>
  <si>
    <r>
      <t xml:space="preserve">경기도 부천시 오정구 </t>
    </r>
    <r>
      <rPr>
        <b/>
        <sz val="32"/>
        <color rgb="FF000000"/>
        <rFont val="돋움"/>
        <family val="3"/>
        <charset val="129"/>
      </rPr>
      <t/>
    </r>
    <phoneticPr fontId="3" type="noConversion"/>
  </si>
  <si>
    <t>010-5842-7114</t>
    <phoneticPr fontId="3" type="noConversion"/>
  </si>
  <si>
    <t>파워엠팩</t>
    <phoneticPr fontId="3" type="noConversion"/>
  </si>
  <si>
    <t>18*21친환경</t>
    <phoneticPr fontId="3" type="noConversion"/>
  </si>
  <si>
    <t>225롤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</si>
  <si>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</si>
  <si>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</si>
  <si>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</si>
  <si>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동방포장</t>
    <phoneticPr fontId="3" type="noConversion"/>
  </si>
  <si>
    <t>12*10황(0.65T)</t>
    <phoneticPr fontId="3" type="noConversion"/>
  </si>
  <si>
    <t>60롤</t>
    <phoneticPr fontId="3" type="noConversion"/>
  </si>
  <si>
    <t>패드갈이</t>
    <phoneticPr fontId="3" type="noConversion"/>
  </si>
  <si>
    <t>대원포장기계</t>
    <phoneticPr fontId="3" type="noConversion"/>
  </si>
  <si>
    <t>20박스</t>
    <phoneticPr fontId="3" type="noConversion"/>
  </si>
  <si>
    <t>대신화물착불</t>
    <phoneticPr fontId="3" type="noConversion"/>
  </si>
  <si>
    <t>power박스</t>
    <phoneticPr fontId="3" type="noConversion"/>
  </si>
  <si>
    <t>대구달성화원지점</t>
    <phoneticPr fontId="3" type="noConversion"/>
  </si>
  <si>
    <t>제일산업 안성</t>
    <phoneticPr fontId="3" type="noConversion"/>
  </si>
  <si>
    <t>PE50*5백</t>
    <phoneticPr fontId="3" type="noConversion"/>
  </si>
  <si>
    <t>75박스</t>
    <phoneticPr fontId="3" type="noConversion"/>
  </si>
  <si>
    <t>강원농협</t>
    <phoneticPr fontId="3" type="noConversion"/>
  </si>
  <si>
    <t>12*12.5황</t>
    <phoneticPr fontId="3" type="noConversion"/>
  </si>
  <si>
    <t>300롤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</si>
  <si>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</si>
  <si>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</si>
  <si>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</si>
  <si>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방문출고</t>
    <phoneticPr fontId="3" type="noConversion"/>
  </si>
  <si>
    <t>합동포장</t>
    <phoneticPr fontId="3" type="noConversion"/>
  </si>
  <si>
    <t>12*12.5황</t>
    <phoneticPr fontId="3" type="noConversion"/>
  </si>
  <si>
    <t>150롤</t>
    <phoneticPr fontId="3" type="noConversion"/>
  </si>
  <si>
    <t>15*13황</t>
    <phoneticPr fontId="3" type="noConversion"/>
  </si>
  <si>
    <t>10롤</t>
    <phoneticPr fontId="3" type="noConversion"/>
  </si>
  <si>
    <t>12*12.5투명</t>
    <phoneticPr fontId="3" type="noConversion"/>
  </si>
  <si>
    <t>20롤</t>
    <phoneticPr fontId="3" type="noConversion"/>
  </si>
  <si>
    <t>12*10황</t>
    <phoneticPr fontId="3" type="noConversion"/>
  </si>
  <si>
    <t>30롤</t>
    <phoneticPr fontId="3" type="noConversion"/>
  </si>
  <si>
    <t>PE28*2백</t>
    <phoneticPr fontId="3" type="noConversion"/>
  </si>
  <si>
    <t>5박스</t>
    <phoneticPr fontId="3" type="noConversion"/>
  </si>
  <si>
    <t>하영종합상사</t>
    <phoneticPr fontId="3" type="noConversion"/>
  </si>
  <si>
    <t>kic박스</t>
    <phoneticPr fontId="3" type="noConversion"/>
  </si>
  <si>
    <t>로젠택배</t>
    <phoneticPr fontId="3" type="noConversion"/>
  </si>
  <si>
    <t>12*10청(0.75T)</t>
    <phoneticPr fontId="3" type="noConversion"/>
  </si>
  <si>
    <t>파워엠팩</t>
    <phoneticPr fontId="3" type="noConversion"/>
  </si>
  <si>
    <t>50롤</t>
    <phoneticPr fontId="3" type="noConversion"/>
  </si>
  <si>
    <t>PE28*6백</t>
    <phoneticPr fontId="3" type="noConversion"/>
  </si>
  <si>
    <t>6*10백</t>
    <phoneticPr fontId="3" type="noConversion"/>
  </si>
  <si>
    <t>56롤</t>
    <phoneticPr fontId="3" type="noConversion"/>
  </si>
  <si>
    <t>원주</t>
    <phoneticPr fontId="3" type="noConversion"/>
  </si>
  <si>
    <t>대신택배</t>
    <phoneticPr fontId="3" type="noConversion"/>
  </si>
  <si>
    <t>강원도 원주시 동부순환로 389-5(봉산동) 주식회사 서신 033-764-6605 010-8969-6221</t>
    <phoneticPr fontId="3" type="noConversion"/>
  </si>
  <si>
    <t>대성포장기계</t>
    <phoneticPr fontId="3" type="noConversion"/>
  </si>
  <si>
    <t>1박스</t>
    <phoneticPr fontId="3" type="noConversion"/>
  </si>
  <si>
    <t>로젠택배착불</t>
    <phoneticPr fontId="3" type="noConversion"/>
  </si>
  <si>
    <t>경인팩</t>
    <phoneticPr fontId="3" type="noConversion"/>
  </si>
  <si>
    <t>주신산업</t>
    <phoneticPr fontId="3" type="noConversion"/>
  </si>
  <si>
    <t>경기도 남양주시 와부읍 석실로493 육일계란창고 010-5477-2016</t>
    <phoneticPr fontId="3" type="noConversion"/>
  </si>
  <si>
    <t>power박스</t>
    <phoneticPr fontId="3" type="noConversion"/>
  </si>
  <si>
    <t>양산기공종합</t>
    <phoneticPr fontId="3" type="noConversion"/>
  </si>
  <si>
    <t>3박스</t>
    <phoneticPr fontId="3" type="noConversion"/>
  </si>
  <si>
    <t>로젠택배</t>
    <phoneticPr fontId="3" type="noConversion"/>
  </si>
  <si>
    <t>로젠택배</t>
    <phoneticPr fontId="3" type="noConversion"/>
  </si>
  <si>
    <t>비트산업</t>
    <phoneticPr fontId="3" type="noConversion"/>
  </si>
  <si>
    <t>15*10백(0.65T)</t>
    <phoneticPr fontId="3" type="noConversion"/>
  </si>
  <si>
    <t>10롤</t>
    <phoneticPr fontId="3" type="noConversion"/>
  </si>
  <si>
    <t>방문출고</t>
    <phoneticPr fontId="3" type="noConversion"/>
  </si>
  <si>
    <t>알엘비</t>
    <phoneticPr fontId="3" type="noConversion"/>
  </si>
  <si>
    <t>팔레트</t>
    <phoneticPr fontId="3" type="noConversion"/>
  </si>
  <si>
    <t>20"(오전10시)</t>
    <phoneticPr fontId="3" type="noConversion"/>
  </si>
  <si>
    <t>싸이클롭</t>
    <phoneticPr fontId="3" type="noConversion"/>
  </si>
  <si>
    <t>40"(오후3시)</t>
    <phoneticPr fontId="3" type="noConversion"/>
  </si>
  <si>
    <t>파워엠팩</t>
    <phoneticPr fontId="3" type="noConversion"/>
  </si>
  <si>
    <t>12*10투명(0.75T)</t>
    <phoneticPr fontId="3" type="noConversion"/>
  </si>
  <si>
    <t>50롤</t>
    <phoneticPr fontId="3" type="noConversion"/>
  </si>
  <si>
    <t>10.5.10투명</t>
    <phoneticPr fontId="3" type="noConversion"/>
  </si>
  <si>
    <t>200롤</t>
    <phoneticPr fontId="3" type="noConversion"/>
  </si>
  <si>
    <t>12*10청(0.75T)</t>
    <phoneticPr fontId="3" type="noConversion"/>
  </si>
  <si>
    <t>50롤</t>
    <phoneticPr fontId="3" type="noConversion"/>
  </si>
  <si>
    <t>용차</t>
    <phoneticPr fontId="3" type="noConversion"/>
  </si>
  <si>
    <t>방문출고</t>
    <phoneticPr fontId="3" type="noConversion"/>
  </si>
  <si>
    <t>진송팩</t>
    <phoneticPr fontId="3" type="noConversion"/>
  </si>
  <si>
    <t>PE28*2백</t>
    <phoneticPr fontId="3" type="noConversion"/>
  </si>
  <si>
    <t>50박스</t>
    <phoneticPr fontId="3" type="noConversion"/>
  </si>
  <si>
    <t>power박스</t>
    <phoneticPr fontId="3" type="noConversion"/>
  </si>
  <si>
    <t>출발전 전화하기</t>
    <phoneticPr fontId="3" type="noConversion"/>
  </si>
  <si>
    <t>동원팩</t>
    <phoneticPr fontId="3" type="noConversion"/>
  </si>
  <si>
    <t>PE28*6백</t>
    <phoneticPr fontId="3" type="noConversion"/>
  </si>
  <si>
    <t>10박스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</si>
  <si>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</si>
  <si>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</si>
  <si>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</si>
  <si>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PE28*2백</t>
    <phoneticPr fontId="3" type="noConversion"/>
  </si>
  <si>
    <t>12*10황</t>
    <phoneticPr fontId="3" type="noConversion"/>
  </si>
  <si>
    <t>20롤</t>
    <phoneticPr fontId="3" type="noConversion"/>
  </si>
  <si>
    <t>84박스</t>
    <phoneticPr fontId="3" type="noConversion"/>
  </si>
  <si>
    <t>51박스</t>
    <phoneticPr fontId="3" type="noConversion"/>
  </si>
  <si>
    <t>진송팩</t>
    <phoneticPr fontId="3" type="noConversion"/>
  </si>
  <si>
    <t>20박스</t>
    <phoneticPr fontId="3" type="noConversion"/>
  </si>
  <si>
    <t>용차</t>
    <phoneticPr fontId="3" type="noConversion"/>
  </si>
  <si>
    <t>경기도 화성시 장안면 석포리 761-32 대명차콜 010-3175-0613</t>
    <phoneticPr fontId="3" type="noConversion"/>
  </si>
  <si>
    <t>안양우체국</t>
  </si>
  <si>
    <t>삼성</t>
    <phoneticPr fontId="3" type="noConversion"/>
  </si>
  <si>
    <t>목</t>
    <phoneticPr fontId="3" type="noConversion"/>
  </si>
  <si>
    <t>17.5톤</t>
    <phoneticPr fontId="3" type="noConversion"/>
  </si>
  <si>
    <t>고메리</t>
    <phoneticPr fontId="3" type="noConversion"/>
  </si>
  <si>
    <t>수작업</t>
    <phoneticPr fontId="3" type="noConversion"/>
  </si>
  <si>
    <t>40"(오전10시)</t>
    <phoneticPr fontId="3" type="noConversion"/>
  </si>
  <si>
    <t>앤더슨</t>
    <phoneticPr fontId="3" type="noConversion"/>
  </si>
  <si>
    <t>21톤</t>
    <phoneticPr fontId="3" type="noConversion"/>
  </si>
  <si>
    <t>40"(오전10시)</t>
    <phoneticPr fontId="3" type="noConversion"/>
  </si>
  <si>
    <t>한주</t>
    <phoneticPr fontId="3" type="noConversion"/>
  </si>
  <si>
    <t>팔레트</t>
    <phoneticPr fontId="3" type="noConversion"/>
  </si>
  <si>
    <t>21.2톤</t>
    <phoneticPr fontId="3" type="noConversion"/>
  </si>
  <si>
    <t>유일포장기계</t>
    <phoneticPr fontId="3" type="noConversion"/>
  </si>
  <si>
    <t>12*10백(0.75T)</t>
    <phoneticPr fontId="3" type="noConversion"/>
  </si>
  <si>
    <t>81롤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</si>
  <si>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</si>
  <si>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</si>
  <si>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</si>
  <si>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나무파레트</t>
    <phoneticPr fontId="3" type="noConversion"/>
  </si>
  <si>
    <t xml:space="preserve">경기도 화성시 장안면 </t>
    <phoneticPr fontId="3" type="noConversion"/>
  </si>
  <si>
    <t xml:space="preserve">석포리 761-32 </t>
    <phoneticPr fontId="3" type="noConversion"/>
  </si>
  <si>
    <t xml:space="preserve">대명차콜 </t>
    <phoneticPr fontId="3" type="noConversion"/>
  </si>
  <si>
    <t>010-3175-0613</t>
  </si>
  <si>
    <t>PE28mm*2kg 백색  20박스</t>
    <phoneticPr fontId="3" type="noConversion"/>
  </si>
  <si>
    <t>보우팩</t>
    <phoneticPr fontId="3" type="noConversion"/>
  </si>
  <si>
    <t>6*10백</t>
    <phoneticPr fontId="3" type="noConversion"/>
  </si>
  <si>
    <t>250롤</t>
    <phoneticPr fontId="3" type="noConversion"/>
  </si>
  <si>
    <t>삼성</t>
    <phoneticPr fontId="3" type="noConversion"/>
  </si>
  <si>
    <t>18*21친환경</t>
    <phoneticPr fontId="3" type="noConversion"/>
  </si>
  <si>
    <t>김형근</t>
    <phoneticPr fontId="3" type="noConversion"/>
  </si>
  <si>
    <t>동원팩</t>
    <phoneticPr fontId="3" type="noConversion"/>
  </si>
  <si>
    <t>PE28*6백</t>
    <phoneticPr fontId="3" type="noConversion"/>
  </si>
  <si>
    <t>20박스</t>
    <phoneticPr fontId="3" type="noConversion"/>
  </si>
  <si>
    <t>거성씨푸드</t>
    <phoneticPr fontId="3" type="noConversion"/>
  </si>
  <si>
    <t>15*10투명(0.8T)</t>
    <phoneticPr fontId="3" type="noConversion"/>
  </si>
  <si>
    <t>15롤</t>
    <phoneticPr fontId="3" type="noConversion"/>
  </si>
  <si>
    <t>12*10황(0.8T)</t>
    <phoneticPr fontId="3" type="noConversion"/>
  </si>
  <si>
    <t>10롤</t>
    <phoneticPr fontId="3" type="noConversion"/>
  </si>
  <si>
    <t>삼성 방문신청</t>
    <phoneticPr fontId="3" type="noConversion"/>
  </si>
  <si>
    <t>대성씨앤씨</t>
    <phoneticPr fontId="3" type="noConversion"/>
  </si>
  <si>
    <t>2공장</t>
    <phoneticPr fontId="3" type="noConversion"/>
  </si>
  <si>
    <t>랩20*500*1400</t>
    <phoneticPr fontId="3" type="noConversion"/>
  </si>
  <si>
    <t>50박스</t>
    <phoneticPr fontId="3" type="noConversion"/>
  </si>
  <si>
    <t>김형근</t>
    <phoneticPr fontId="3" type="noConversion"/>
  </si>
  <si>
    <t>대구한국포장</t>
    <phoneticPr fontId="3" type="noConversion"/>
  </si>
  <si>
    <t>6*10백</t>
    <phoneticPr fontId="3" type="noConversion"/>
  </si>
  <si>
    <t>256롤</t>
    <phoneticPr fontId="3" type="noConversion"/>
  </si>
  <si>
    <t>70박스</t>
    <phoneticPr fontId="3" type="noConversion"/>
  </si>
  <si>
    <t>PE28*2백(24kg)</t>
    <phoneticPr fontId="3" type="noConversion"/>
  </si>
  <si>
    <t>신광포장</t>
    <phoneticPr fontId="3" type="noConversion"/>
  </si>
  <si>
    <t>15*10황(0.65T)</t>
    <phoneticPr fontId="3" type="noConversion"/>
  </si>
  <si>
    <t>12*10황(0.65T)</t>
    <phoneticPr fontId="3" type="noConversion"/>
  </si>
  <si>
    <t>56롤</t>
    <phoneticPr fontId="3" type="noConversion"/>
  </si>
  <si>
    <t>경인팩</t>
    <phoneticPr fontId="3" type="noConversion"/>
  </si>
  <si>
    <t>6*10황</t>
    <phoneticPr fontId="3" type="noConversion"/>
  </si>
  <si>
    <t>56롤</t>
    <phoneticPr fontId="3" type="noConversion"/>
  </si>
  <si>
    <t>용차</t>
    <phoneticPr fontId="3" type="noConversion"/>
  </si>
  <si>
    <t>진송팩</t>
    <phoneticPr fontId="3" type="noConversion"/>
  </si>
  <si>
    <t>12*3000투명(0.5T)</t>
    <phoneticPr fontId="3" type="noConversion"/>
  </si>
  <si>
    <t>1롤</t>
    <phoneticPr fontId="3" type="noConversion"/>
  </si>
  <si>
    <t>대신택배착불</t>
    <phoneticPr fontId="3" type="noConversion"/>
  </si>
  <si>
    <t>로젠택배</t>
    <phoneticPr fontId="3" type="noConversion"/>
  </si>
  <si>
    <t>경기도 광주시 곤지암읍 경충대로101번길 38  다한영농  031-761-5858</t>
    <phoneticPr fontId="3" type="noConversion"/>
  </si>
  <si>
    <t xml:space="preserve">경기도 광주시 곤지암읍 </t>
    <phoneticPr fontId="3" type="noConversion"/>
  </si>
  <si>
    <t xml:space="preserve">경충대로101번길 38  </t>
    <phoneticPr fontId="3" type="noConversion"/>
  </si>
  <si>
    <t xml:space="preserve">다한영농  </t>
    <phoneticPr fontId="3" type="noConversion"/>
  </si>
  <si>
    <t>031-761-5858</t>
  </si>
  <si>
    <t>6mm*10kg 황색 56롤</t>
    <phoneticPr fontId="3" type="noConversion"/>
  </si>
  <si>
    <t>9*10백</t>
    <phoneticPr fontId="3" type="noConversion"/>
  </si>
  <si>
    <t>20롤</t>
    <phoneticPr fontId="3" type="noConversion"/>
  </si>
  <si>
    <t>227롤</t>
    <phoneticPr fontId="3" type="noConversion"/>
  </si>
  <si>
    <t>200롤</t>
    <phoneticPr fontId="3" type="noConversion"/>
  </si>
  <si>
    <t>파워엠팩</t>
    <phoneticPr fontId="3" type="noConversion"/>
  </si>
  <si>
    <t>10.5*10청</t>
    <phoneticPr fontId="3" type="noConversion"/>
  </si>
  <si>
    <t>2롤</t>
    <phoneticPr fontId="3" type="noConversion"/>
  </si>
  <si>
    <t>2롤1묶음</t>
    <phoneticPr fontId="3" type="noConversion"/>
  </si>
  <si>
    <t>대신택배</t>
    <phoneticPr fontId="3" type="noConversion"/>
  </si>
  <si>
    <t>경북 경주시 시래동 225-1 경주법주㈜ 박무섭차장님 01028766910</t>
    <phoneticPr fontId="3" type="noConversion"/>
  </si>
  <si>
    <t>동양프린팅</t>
    <phoneticPr fontId="3" type="noConversion"/>
  </si>
  <si>
    <t>1박스</t>
    <phoneticPr fontId="3" type="noConversion"/>
  </si>
  <si>
    <t>kic박스</t>
    <phoneticPr fontId="3" type="noConversion"/>
  </si>
  <si>
    <t>로젠택배</t>
    <phoneticPr fontId="3" type="noConversion"/>
  </si>
  <si>
    <t>237롤</t>
    <phoneticPr fontId="3" type="noConversion"/>
  </si>
  <si>
    <t>파워엠팩</t>
    <phoneticPr fontId="3" type="noConversion"/>
  </si>
  <si>
    <t>12*2500m청</t>
    <phoneticPr fontId="3" type="noConversion"/>
  </si>
  <si>
    <t>35박스(사우디제품)</t>
    <phoneticPr fontId="3" type="noConversion"/>
  </si>
  <si>
    <t>전표는70롤 롤당 13000원</t>
    <phoneticPr fontId="3" type="noConversion"/>
  </si>
  <si>
    <t>한남포장</t>
    <phoneticPr fontId="3" type="noConversion"/>
  </si>
  <si>
    <t>100롤</t>
    <phoneticPr fontId="3" type="noConversion"/>
  </si>
  <si>
    <t>일산</t>
    <phoneticPr fontId="3" type="noConversion"/>
  </si>
  <si>
    <t>12*9.5황</t>
    <phoneticPr fontId="3" type="noConversion"/>
  </si>
  <si>
    <t>주신산업</t>
    <phoneticPr fontId="3" type="noConversion"/>
  </si>
  <si>
    <t>72롤</t>
    <phoneticPr fontId="3" type="noConversion"/>
  </si>
  <si>
    <t>12*10황(0.75T)</t>
    <phoneticPr fontId="3" type="noConversion"/>
  </si>
  <si>
    <t>나무파레트</t>
    <phoneticPr fontId="3" type="noConversion"/>
  </si>
  <si>
    <t>용차</t>
    <phoneticPr fontId="3" type="noConversion"/>
  </si>
  <si>
    <t>12*12황(0.65T)</t>
    <phoneticPr fontId="3" type="noConversion"/>
  </si>
  <si>
    <t>40롤</t>
    <phoneticPr fontId="3" type="noConversion"/>
  </si>
  <si>
    <t>광림포장</t>
    <phoneticPr fontId="3" type="noConversion"/>
  </si>
  <si>
    <t>6*10백</t>
    <phoneticPr fontId="3" type="noConversion"/>
  </si>
  <si>
    <t>9*10황</t>
    <phoneticPr fontId="3" type="noConversion"/>
  </si>
  <si>
    <t>64롤</t>
    <phoneticPr fontId="3" type="noConversion"/>
  </si>
  <si>
    <t>나무파레트</t>
    <phoneticPr fontId="3" type="noConversion"/>
  </si>
  <si>
    <t>12*10황</t>
    <phoneticPr fontId="3" type="noConversion"/>
  </si>
  <si>
    <t>64롤</t>
    <phoneticPr fontId="3" type="noConversion"/>
  </si>
  <si>
    <t>15*10황</t>
    <phoneticPr fontId="3" type="noConversion"/>
  </si>
  <si>
    <t>15*13황</t>
    <phoneticPr fontId="3" type="noConversion"/>
  </si>
  <si>
    <t>플라스틱파레트</t>
    <phoneticPr fontId="3" type="noConversion"/>
  </si>
  <si>
    <t>12*10초록(0.8T)</t>
    <phoneticPr fontId="3" type="noConversion"/>
  </si>
  <si>
    <t>5롤</t>
    <phoneticPr fontId="3" type="noConversion"/>
  </si>
  <si>
    <t>태광오토팩</t>
    <phoneticPr fontId="3" type="noConversion"/>
  </si>
  <si>
    <t>32박스</t>
    <phoneticPr fontId="3" type="noConversion"/>
  </si>
  <si>
    <t>지방합화차착불</t>
    <phoneticPr fontId="3" type="noConversion"/>
  </si>
  <si>
    <t>스타닉스</t>
    <phoneticPr fontId="3" type="noConversion"/>
  </si>
  <si>
    <t>박스</t>
    <phoneticPr fontId="3" type="noConversion"/>
  </si>
  <si>
    <t>로젠택배</t>
    <phoneticPr fontId="3" type="noConversion"/>
  </si>
  <si>
    <t>에이원코리아</t>
    <phoneticPr fontId="3" type="noConversion"/>
  </si>
  <si>
    <t>12*12황(0.8T)</t>
    <phoneticPr fontId="3" type="noConversion"/>
  </si>
  <si>
    <t>112롤</t>
    <phoneticPr fontId="3" type="noConversion"/>
  </si>
  <si>
    <t>방문출고</t>
    <phoneticPr fontId="3" type="noConversion"/>
  </si>
  <si>
    <t>동원팩</t>
    <phoneticPr fontId="3" type="noConversion"/>
  </si>
  <si>
    <t>PE28*6백</t>
    <phoneticPr fontId="3" type="noConversion"/>
  </si>
  <si>
    <t>20박스</t>
    <phoneticPr fontId="3" type="noConversion"/>
  </si>
  <si>
    <t>방문출고</t>
    <phoneticPr fontId="3" type="noConversion"/>
  </si>
  <si>
    <t>2박스</t>
    <phoneticPr fontId="3" type="noConversion"/>
  </si>
  <si>
    <t>벧엘농장</t>
    <phoneticPr fontId="3" type="noConversion"/>
  </si>
  <si>
    <t>로젠택배착불</t>
    <phoneticPr fontId="3" type="noConversion"/>
  </si>
  <si>
    <t>2박스</t>
    <phoneticPr fontId="3" type="noConversion"/>
  </si>
  <si>
    <t>power박스 / 구학축산</t>
    <phoneticPr fontId="3" type="noConversion"/>
  </si>
  <si>
    <t>강원도 원주시 신림면 방학동길 25-39 010-9090-4283</t>
    <phoneticPr fontId="3" type="noConversion"/>
  </si>
  <si>
    <t>1박스</t>
    <phoneticPr fontId="3" type="noConversion"/>
  </si>
  <si>
    <t>power박스 / 탑골농장</t>
    <phoneticPr fontId="3" type="noConversion"/>
  </si>
  <si>
    <t>청양군 운곡면 사라동길 74-66 탑골농장 010-4039-0762</t>
    <phoneticPr fontId="3" type="noConversion"/>
  </si>
  <si>
    <t>강원도 횡성군 횡성읍 청용4길59 벧엘농장 011-9159-8030</t>
    <phoneticPr fontId="3" type="noConversion"/>
  </si>
  <si>
    <t>power박스</t>
    <phoneticPr fontId="3" type="noConversion"/>
  </si>
  <si>
    <t>백암지관</t>
    <phoneticPr fontId="3" type="noConversion"/>
  </si>
  <si>
    <t>12*12.5황</t>
    <phoneticPr fontId="3" type="noConversion"/>
  </si>
  <si>
    <t>20롤</t>
    <phoneticPr fontId="3" type="noConversion"/>
  </si>
  <si>
    <t>방문출고</t>
    <phoneticPr fontId="3" type="noConversion"/>
  </si>
  <si>
    <t>155롤</t>
    <phoneticPr fontId="3" type="noConversion"/>
  </si>
  <si>
    <t>power박스</t>
    <phoneticPr fontId="3" type="noConversion"/>
  </si>
  <si>
    <t>12*10투명</t>
    <phoneticPr fontId="3" type="noConversion"/>
  </si>
  <si>
    <t>PE28*2황</t>
    <phoneticPr fontId="3" type="noConversion"/>
  </si>
  <si>
    <t>한길포장</t>
    <phoneticPr fontId="3" type="noConversion"/>
  </si>
  <si>
    <t>12*10황(0.75T)</t>
    <phoneticPr fontId="3" type="noConversion"/>
  </si>
  <si>
    <t>64롤</t>
    <phoneticPr fontId="3" type="noConversion"/>
  </si>
  <si>
    <t>12*10백(0.75T)</t>
    <phoneticPr fontId="3" type="noConversion"/>
  </si>
  <si>
    <t>64롤</t>
    <phoneticPr fontId="3" type="noConversion"/>
  </si>
  <si>
    <t>-5롤 보상분</t>
    <phoneticPr fontId="3" type="noConversion"/>
  </si>
  <si>
    <t>2롤</t>
    <phoneticPr fontId="3" type="noConversion"/>
  </si>
  <si>
    <t>교환</t>
    <phoneticPr fontId="3" type="noConversion"/>
  </si>
  <si>
    <t>스피드랩코리아</t>
    <phoneticPr fontId="3" type="noConversion"/>
  </si>
  <si>
    <t>6*10백</t>
    <phoneticPr fontId="3" type="noConversion"/>
  </si>
  <si>
    <t>2박스</t>
    <phoneticPr fontId="3" type="noConversion"/>
  </si>
  <si>
    <t>로젠택배착불</t>
    <phoneticPr fontId="3" type="noConversion"/>
  </si>
  <si>
    <t>대전 대덕구 산업단지로 124 선광인쇄 042-934-3345</t>
    <phoneticPr fontId="3" type="noConversion"/>
  </si>
  <si>
    <t>동서포장</t>
    <phoneticPr fontId="3" type="noConversion"/>
  </si>
  <si>
    <t>7박스</t>
    <phoneticPr fontId="3" type="noConversion"/>
  </si>
  <si>
    <t>kic박스</t>
    <phoneticPr fontId="3" type="noConversion"/>
  </si>
  <si>
    <t>로젠택배착불</t>
    <phoneticPr fontId="3" type="noConversion"/>
  </si>
  <si>
    <t>9*11은회색</t>
    <phoneticPr fontId="3" type="noConversion"/>
  </si>
  <si>
    <t>64롤</t>
    <phoneticPr fontId="3" type="noConversion"/>
  </si>
  <si>
    <t>9*12은회색</t>
    <phoneticPr fontId="3" type="noConversion"/>
  </si>
  <si>
    <t>지방합화차</t>
    <phoneticPr fontId="3" type="noConversion"/>
  </si>
  <si>
    <t>다오</t>
    <phoneticPr fontId="3" type="noConversion"/>
  </si>
  <si>
    <t>10.5*10투명</t>
    <phoneticPr fontId="3" type="noConversion"/>
  </si>
  <si>
    <t>50롤</t>
    <phoneticPr fontId="3" type="noConversion"/>
  </si>
  <si>
    <t>대한종합포장</t>
    <phoneticPr fontId="3" type="noConversion"/>
  </si>
  <si>
    <t>랩20*500*1400</t>
    <phoneticPr fontId="3" type="noConversion"/>
  </si>
  <si>
    <t>50롤</t>
    <phoneticPr fontId="3" type="noConversion"/>
  </si>
  <si>
    <t>-1롤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</si>
  <si>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</si>
  <si>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</si>
  <si>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</si>
  <si>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</si>
  <si>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kpp빨강2</t>
    <phoneticPr fontId="3" type="noConversion"/>
  </si>
  <si>
    <t>46롤</t>
    <phoneticPr fontId="3" type="noConversion"/>
  </si>
  <si>
    <t>18*21친환경</t>
    <phoneticPr fontId="3" type="noConversion"/>
  </si>
  <si>
    <t>삼성</t>
    <phoneticPr fontId="3" type="noConversion"/>
  </si>
  <si>
    <t>222롤</t>
    <phoneticPr fontId="3" type="noConversion"/>
  </si>
  <si>
    <t>삼성</t>
    <phoneticPr fontId="3" type="noConversion"/>
  </si>
  <si>
    <t>동양프린팅</t>
    <phoneticPr fontId="3" type="noConversion"/>
  </si>
  <si>
    <t>1박스</t>
    <phoneticPr fontId="3" type="noConversion"/>
  </si>
  <si>
    <t>로젠택배</t>
    <phoneticPr fontId="3" type="noConversion"/>
  </si>
  <si>
    <t>남영판지</t>
    <phoneticPr fontId="3" type="noConversion"/>
  </si>
  <si>
    <t>밴딩기</t>
    <phoneticPr fontId="3" type="noConversion"/>
  </si>
  <si>
    <t>1대</t>
    <phoneticPr fontId="3" type="noConversion"/>
  </si>
  <si>
    <t>15*10황(0.8T)</t>
    <phoneticPr fontId="3" type="noConversion"/>
  </si>
  <si>
    <t>30롤</t>
    <phoneticPr fontId="3" type="noConversion"/>
  </si>
  <si>
    <t>kic박스</t>
    <phoneticPr fontId="3" type="noConversion"/>
  </si>
  <si>
    <t>고성오,김형근</t>
    <phoneticPr fontId="3" type="noConversion"/>
  </si>
  <si>
    <t>20박스</t>
    <phoneticPr fontId="3" type="noConversion"/>
  </si>
  <si>
    <t>용차</t>
    <phoneticPr fontId="3" type="noConversion"/>
  </si>
  <si>
    <t>power박스</t>
    <phoneticPr fontId="3" type="noConversion"/>
  </si>
  <si>
    <t>경기도 수원시 영통구 원천동 404-2번지 현대에스엠피 010-8423-7090</t>
    <phoneticPr fontId="3" type="noConversion"/>
  </si>
  <si>
    <t xml:space="preserve">경기도 수원시 영통구 </t>
    <phoneticPr fontId="3" type="noConversion"/>
  </si>
  <si>
    <t xml:space="preserve">원천동 404-2번지 </t>
    <phoneticPr fontId="3" type="noConversion"/>
  </si>
  <si>
    <t>010-8423-7090</t>
  </si>
  <si>
    <t xml:space="preserve">주식회사 현대에스엠피 </t>
    <phoneticPr fontId="3" type="noConversion"/>
  </si>
  <si>
    <t>화</t>
    <phoneticPr fontId="3" type="noConversion"/>
  </si>
  <si>
    <t>신광포장기계(부산)</t>
    <phoneticPr fontId="3" type="noConversion"/>
  </si>
  <si>
    <t>PE28*2백(24kg)</t>
    <phoneticPr fontId="3" type="noConversion"/>
  </si>
  <si>
    <t>5박스</t>
    <phoneticPr fontId="3" type="noConversion"/>
  </si>
  <si>
    <t>황금농장</t>
    <phoneticPr fontId="3" type="noConversion"/>
  </si>
  <si>
    <t>진송팩</t>
    <phoneticPr fontId="3" type="noConversion"/>
  </si>
  <si>
    <t>필트론</t>
    <phoneticPr fontId="3" type="noConversion"/>
  </si>
  <si>
    <t>인천광역시 서구 원전로 43 (경서동) 필트론 010-3930-3412</t>
    <phoneticPr fontId="3" type="noConversion"/>
  </si>
  <si>
    <t xml:space="preserve">필트론 </t>
    <phoneticPr fontId="3" type="noConversion"/>
  </si>
  <si>
    <t>010-3930-3412</t>
  </si>
  <si>
    <t xml:space="preserve">인천광역시 서구 원전로 43(경서동) 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</si>
  <si>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</si>
  <si>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</si>
  <si>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</si>
  <si>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power박스</t>
    <phoneticPr fontId="3" type="noConversion"/>
  </si>
  <si>
    <t>power박스(5박스는 무지박스)</t>
    <phoneticPr fontId="3" type="noConversion"/>
  </si>
  <si>
    <t>경인팩</t>
    <phoneticPr fontId="3" type="noConversion"/>
  </si>
  <si>
    <t>96박스</t>
    <phoneticPr fontId="3" type="noConversion"/>
  </si>
  <si>
    <t>6*10백</t>
    <phoneticPr fontId="3" type="noConversion"/>
  </si>
  <si>
    <t>224롤</t>
    <phoneticPr fontId="3" type="noConversion"/>
  </si>
  <si>
    <t>12*12.5황</t>
    <phoneticPr fontId="3" type="noConversion"/>
  </si>
  <si>
    <t>20롤</t>
    <phoneticPr fontId="3" type="noConversion"/>
  </si>
  <si>
    <t>20박스</t>
    <phoneticPr fontId="3" type="noConversion"/>
  </si>
  <si>
    <t>6*10백</t>
    <phoneticPr fontId="3" type="noConversion"/>
  </si>
  <si>
    <t>동원팩</t>
    <phoneticPr fontId="3" type="noConversion"/>
  </si>
  <si>
    <t>50롤</t>
    <phoneticPr fontId="3" type="noConversion"/>
  </si>
  <si>
    <t>삼보팩</t>
    <phoneticPr fontId="3" type="noConversion"/>
  </si>
  <si>
    <t>밴딩기부품일체</t>
    <phoneticPr fontId="3" type="noConversion"/>
  </si>
  <si>
    <t>택배</t>
    <phoneticPr fontId="3" type="noConversion"/>
  </si>
  <si>
    <t>방문출고</t>
    <phoneticPr fontId="3" type="noConversion"/>
  </si>
  <si>
    <t>9*10황</t>
    <phoneticPr fontId="3" type="noConversion"/>
  </si>
  <si>
    <t>192롤</t>
    <phoneticPr fontId="3" type="noConversion"/>
  </si>
  <si>
    <t>광림포장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</si>
  <si>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</si>
  <si>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</si>
  <si>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</si>
  <si>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5박스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</si>
  <si>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</si>
  <si>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</si>
  <si>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</si>
  <si>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power박스</t>
    <phoneticPr fontId="3" type="noConversion"/>
  </si>
  <si>
    <t>경기도 파주시 광탄면 보광로 1336-15 (광탄면) 원흥피앤피  김혜선  010-4982-7932  유리문 안쪽에 넣어주세요.</t>
    <phoneticPr fontId="3" type="noConversion"/>
  </si>
  <si>
    <t>파워엠팩</t>
    <phoneticPr fontId="3" type="noConversion"/>
  </si>
  <si>
    <t>보우팩</t>
    <phoneticPr fontId="3" type="noConversion"/>
  </si>
  <si>
    <t>6*10백</t>
    <phoneticPr fontId="3" type="noConversion"/>
  </si>
  <si>
    <t>300롤</t>
    <phoneticPr fontId="3" type="noConversion"/>
  </si>
  <si>
    <t>파란밴딩</t>
    <phoneticPr fontId="3" type="noConversion"/>
  </si>
  <si>
    <t>10.5*10투명</t>
    <phoneticPr fontId="3" type="noConversion"/>
  </si>
  <si>
    <t>100롤</t>
    <phoneticPr fontId="3" type="noConversion"/>
  </si>
  <si>
    <t>방문출고</t>
    <phoneticPr fontId="3" type="noConversion"/>
  </si>
  <si>
    <t>power박스 공박스</t>
    <phoneticPr fontId="3" type="noConversion"/>
  </si>
  <si>
    <t>148롤</t>
    <phoneticPr fontId="3" type="noConversion"/>
  </si>
  <si>
    <t>충청북도 진천군 덕산면 신척산단5로 196 (덕산면, (주)견지포장) 견지포장 김법준 010-4555-0979</t>
    <phoneticPr fontId="3" type="noConversion"/>
  </si>
  <si>
    <t>삼우텍</t>
    <phoneticPr fontId="3" type="noConversion"/>
  </si>
  <si>
    <t>10롤</t>
    <phoneticPr fontId="3" type="noConversion"/>
  </si>
  <si>
    <t>18*15투명</t>
    <phoneticPr fontId="3" type="noConversion"/>
  </si>
  <si>
    <t>안성시 공도읍 신두만곡로 199번지  안성 수령자 : 정팔균 지원팀장  010-3660-8253 </t>
    <phoneticPr fontId="3" type="noConversion"/>
  </si>
  <si>
    <t>신광포장</t>
    <phoneticPr fontId="3" type="noConversion"/>
  </si>
  <si>
    <t>15*10황(0.65T)</t>
    <phoneticPr fontId="3" type="noConversion"/>
  </si>
  <si>
    <t>56롤</t>
    <phoneticPr fontId="3" type="noConversion"/>
  </si>
  <si>
    <t>15*10백(0.65T)</t>
    <phoneticPr fontId="3" type="noConversion"/>
  </si>
  <si>
    <t>48롤</t>
    <phoneticPr fontId="3" type="noConversion"/>
  </si>
  <si>
    <t>5박스</t>
    <phoneticPr fontId="3" type="noConversion"/>
  </si>
  <si>
    <t>10박스</t>
    <phoneticPr fontId="3" type="noConversion"/>
  </si>
  <si>
    <t>서인천우체국</t>
    <phoneticPr fontId="3" type="noConversion"/>
  </si>
  <si>
    <t>3박스</t>
    <phoneticPr fontId="3" type="noConversion"/>
  </si>
  <si>
    <t>로젠택배</t>
    <phoneticPr fontId="3" type="noConversion"/>
  </si>
  <si>
    <t>대신택베/월요일도착</t>
    <phoneticPr fontId="3" type="noConversion"/>
  </si>
  <si>
    <t>14*10백</t>
    <phoneticPr fontId="3" type="noConversion"/>
  </si>
  <si>
    <t>50롤</t>
    <phoneticPr fontId="3" type="noConversion"/>
  </si>
  <si>
    <t>경동택배</t>
    <phoneticPr fontId="3" type="noConversion"/>
  </si>
  <si>
    <t>나무파레트</t>
    <phoneticPr fontId="3" type="noConversion"/>
  </si>
  <si>
    <t>피앤비</t>
    <phoneticPr fontId="3" type="noConversion"/>
  </si>
  <si>
    <t>7*10(백)</t>
    <phoneticPr fontId="3" type="noConversion"/>
  </si>
  <si>
    <t>50롤</t>
    <phoneticPr fontId="3" type="noConversion"/>
  </si>
  <si>
    <t>kpp빨강 맞교환</t>
    <phoneticPr fontId="3" type="noConversion"/>
  </si>
  <si>
    <t>파워엠팩</t>
    <phoneticPr fontId="3" type="noConversion"/>
  </si>
  <si>
    <t>12*10백(0.8T)</t>
    <phoneticPr fontId="3" type="noConversion"/>
  </si>
  <si>
    <t>50롤</t>
    <phoneticPr fontId="3" type="noConversion"/>
  </si>
  <si>
    <t>지방합화차착불</t>
    <phoneticPr fontId="3" type="noConversion"/>
  </si>
  <si>
    <t>3500원/kg 인천 서구 서곶로 318 서인천우체국 4층 물류실 032-590-9211 (tax40002370@korea.kr)</t>
    <phoneticPr fontId="3" type="noConversion"/>
  </si>
  <si>
    <t>랩20*500*1400</t>
    <phoneticPr fontId="3" type="noConversion"/>
  </si>
  <si>
    <t>10박스</t>
    <phoneticPr fontId="3" type="noConversion"/>
  </si>
  <si>
    <t>1공장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</si>
  <si>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</si>
  <si>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</si>
  <si>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</si>
  <si>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</si>
  <si>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경기도 연천군 연천읍 동막리 331-8  안일농장   031-834-2036 / 010-6250-0008</t>
    <phoneticPr fontId="3" type="noConversion"/>
  </si>
  <si>
    <t>광림포장</t>
    <phoneticPr fontId="3" type="noConversion"/>
  </si>
  <si>
    <t>9*10투명(0.75T)</t>
    <phoneticPr fontId="3" type="noConversion"/>
  </si>
  <si>
    <t>64롤</t>
    <phoneticPr fontId="3" type="noConversion"/>
  </si>
  <si>
    <t>15*10황</t>
    <phoneticPr fontId="3" type="noConversion"/>
  </si>
  <si>
    <t>64롤</t>
    <phoneticPr fontId="3" type="noConversion"/>
  </si>
  <si>
    <t>용차</t>
    <phoneticPr fontId="3" type="noConversion"/>
  </si>
  <si>
    <t>260롤</t>
    <phoneticPr fontId="3" type="noConversion"/>
  </si>
  <si>
    <t>245롤</t>
    <phoneticPr fontId="3" type="noConversion"/>
  </si>
  <si>
    <t>주신산업</t>
    <phoneticPr fontId="3" type="noConversion"/>
  </si>
  <si>
    <t>2박스</t>
    <phoneticPr fontId="3" type="noConversion"/>
  </si>
  <si>
    <t>인천광역시 강화군 불은면 삼동암길 168 (불은면, 소원농장) 소원농장 최광헌 010-3104-1423</t>
    <phoneticPr fontId="3" type="noConversion"/>
  </si>
  <si>
    <t>파라마운트</t>
    <phoneticPr fontId="3" type="noConversion"/>
  </si>
  <si>
    <t>파워엠팩</t>
    <phoneticPr fontId="3" type="noConversion"/>
  </si>
  <si>
    <t>10.5*10청</t>
    <phoneticPr fontId="3" type="noConversion"/>
  </si>
  <si>
    <t>50롤</t>
    <phoneticPr fontId="3" type="noConversion"/>
  </si>
  <si>
    <t>대성씨앤씨</t>
    <phoneticPr fontId="3" type="noConversion"/>
  </si>
  <si>
    <t>12*10백(0.8T)</t>
    <phoneticPr fontId="3" type="noConversion"/>
  </si>
  <si>
    <t>합동포장</t>
    <phoneticPr fontId="3" type="noConversion"/>
  </si>
  <si>
    <t>5*0.5T*7000m</t>
    <phoneticPr fontId="3" type="noConversion"/>
  </si>
  <si>
    <t>56롤</t>
    <phoneticPr fontId="3" type="noConversion"/>
  </si>
  <si>
    <t>6롤불량교환, 2롤 운임으로</t>
  </si>
  <si>
    <t>5*0.5T*7000m백</t>
    <phoneticPr fontId="3" type="noConversion"/>
  </si>
  <si>
    <t>1공장/kpp빨강</t>
    <phoneticPr fontId="3" type="noConversion"/>
  </si>
  <si>
    <t>power박스</t>
    <phoneticPr fontId="3" type="noConversion"/>
  </si>
  <si>
    <t>7*10백</t>
    <phoneticPr fontId="3" type="noConversion"/>
  </si>
  <si>
    <t>10롤</t>
    <phoneticPr fontId="3" type="noConversion"/>
  </si>
  <si>
    <t>화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</si>
  <si>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</si>
  <si>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</si>
  <si>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</si>
  <si>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</si>
  <si>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춘천시 동내면 동내로 235 제일양계농장   010-6373-5309</t>
    <phoneticPr fontId="3" type="noConversion"/>
  </si>
  <si>
    <t>대상산업</t>
    <phoneticPr fontId="3" type="noConversion"/>
  </si>
  <si>
    <t>PE28*6백</t>
    <phoneticPr fontId="3" type="noConversion"/>
  </si>
  <si>
    <t>1박스</t>
    <phoneticPr fontId="3" type="noConversion"/>
  </si>
  <si>
    <t>로젠택배</t>
    <phoneticPr fontId="3" type="noConversion"/>
  </si>
  <si>
    <t>진송팩</t>
    <phoneticPr fontId="3" type="noConversion"/>
  </si>
  <si>
    <t>50박스</t>
    <phoneticPr fontId="3" type="noConversion"/>
  </si>
  <si>
    <t>대왕프린팅</t>
    <phoneticPr fontId="3" type="noConversion"/>
  </si>
  <si>
    <t>12*12.5황</t>
    <phoneticPr fontId="3" type="noConversion"/>
  </si>
  <si>
    <t>100롤</t>
    <phoneticPr fontId="3" type="noConversion"/>
  </si>
  <si>
    <t>나무파레트 2파레트</t>
    <phoneticPr fontId="3" type="noConversion"/>
  </si>
  <si>
    <t>당일결재 2080원/KG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</si>
  <si>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</si>
  <si>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</si>
  <si>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</si>
  <si>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15*10황(0.8t)</t>
    <phoneticPr fontId="3" type="noConversion"/>
  </si>
  <si>
    <t>100롤</t>
    <phoneticPr fontId="3" type="noConversion"/>
  </si>
  <si>
    <t>12*10황(0.8t)</t>
    <phoneticPr fontId="3" type="noConversion"/>
  </si>
  <si>
    <t>100롤</t>
    <phoneticPr fontId="3" type="noConversion"/>
  </si>
  <si>
    <t>패드갈이/화살표</t>
    <phoneticPr fontId="3" type="noConversion"/>
  </si>
  <si>
    <t>용차</t>
    <phoneticPr fontId="3" type="noConversion"/>
  </si>
  <si>
    <t>14PA</t>
    <phoneticPr fontId="3" type="noConversion"/>
  </si>
  <si>
    <t>목</t>
    <phoneticPr fontId="3" type="noConversion"/>
  </si>
  <si>
    <t>10*10백(0.8T)</t>
    <phoneticPr fontId="3" type="noConversion"/>
  </si>
  <si>
    <t>낙원패드</t>
    <phoneticPr fontId="3" type="noConversion"/>
  </si>
  <si>
    <t>영주</t>
    <phoneticPr fontId="3" type="noConversion"/>
  </si>
  <si>
    <t>구멍뚫린 랩 수동</t>
    <phoneticPr fontId="3" type="noConversion"/>
  </si>
  <si>
    <t>로젠택배</t>
    <phoneticPr fontId="3" type="noConversion"/>
  </si>
  <si>
    <t>1공장 / kpp빨강</t>
    <phoneticPr fontId="3" type="noConversion"/>
  </si>
  <si>
    <t>김형근</t>
    <phoneticPr fontId="3" type="noConversion"/>
  </si>
  <si>
    <t>베스테크</t>
    <phoneticPr fontId="3" type="noConversion"/>
  </si>
  <si>
    <t>기계 가져오기</t>
    <phoneticPr fontId="3" type="noConversion"/>
  </si>
  <si>
    <t>임승진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</si>
  <si>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</si>
  <si>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</si>
  <si>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</si>
  <si>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12*12.5황</t>
    <phoneticPr fontId="3" type="noConversion"/>
  </si>
  <si>
    <t>20롤</t>
    <phoneticPr fontId="3" type="noConversion"/>
  </si>
  <si>
    <t>파워엠팩</t>
    <phoneticPr fontId="3" type="noConversion"/>
  </si>
  <si>
    <t>14*10황</t>
    <phoneticPr fontId="3" type="noConversion"/>
  </si>
  <si>
    <t>50롤</t>
    <phoneticPr fontId="3" type="noConversion"/>
  </si>
  <si>
    <t>14*10녹</t>
    <phoneticPr fontId="3" type="noConversion"/>
  </si>
  <si>
    <t>50롤</t>
    <phoneticPr fontId="3" type="noConversion"/>
  </si>
  <si>
    <t>방문출고</t>
    <phoneticPr fontId="3" type="noConversion"/>
  </si>
  <si>
    <t>동원팩</t>
    <phoneticPr fontId="3" type="noConversion"/>
  </si>
  <si>
    <t>6*10백</t>
    <phoneticPr fontId="3" type="noConversion"/>
  </si>
  <si>
    <t>12*10황</t>
    <phoneticPr fontId="3" type="noConversion"/>
  </si>
  <si>
    <t>15롤</t>
    <phoneticPr fontId="3" type="noConversion"/>
  </si>
  <si>
    <t>방문출고</t>
    <phoneticPr fontId="3" type="noConversion"/>
  </si>
  <si>
    <t>5박스</t>
    <phoneticPr fontId="3" type="noConversion"/>
  </si>
  <si>
    <t>삼보팩</t>
    <phoneticPr fontId="3" type="noConversion"/>
  </si>
  <si>
    <t>30롤</t>
    <phoneticPr fontId="3" type="noConversion"/>
  </si>
  <si>
    <t>12*10황(0.8T)</t>
    <phoneticPr fontId="3" type="noConversion"/>
  </si>
  <si>
    <t>100롤</t>
    <phoneticPr fontId="3" type="noConversion"/>
  </si>
  <si>
    <t>삼보팩30롤/남영판지70롤</t>
    <phoneticPr fontId="3" type="noConversion"/>
  </si>
  <si>
    <t>영화수출포장</t>
    <phoneticPr fontId="3" type="noConversion"/>
  </si>
  <si>
    <t>6*10백</t>
    <phoneticPr fontId="3" type="noConversion"/>
  </si>
  <si>
    <t>10롤</t>
    <phoneticPr fontId="3" type="noConversion"/>
  </si>
  <si>
    <t>같이</t>
    <phoneticPr fontId="3" type="noConversion"/>
  </si>
  <si>
    <t>오전1착</t>
    <phoneticPr fontId="3" type="noConversion"/>
  </si>
  <si>
    <t>광림포장</t>
    <phoneticPr fontId="3" type="noConversion"/>
  </si>
  <si>
    <t>6*10백(0.65T)</t>
    <phoneticPr fontId="3" type="noConversion"/>
  </si>
  <si>
    <t>12*10황</t>
    <phoneticPr fontId="3" type="noConversion"/>
  </si>
  <si>
    <t>64롤</t>
    <phoneticPr fontId="3" type="noConversion"/>
  </si>
  <si>
    <t>40롤</t>
    <phoneticPr fontId="3" type="noConversion"/>
  </si>
  <si>
    <t>12*10황(0.65T)</t>
    <phoneticPr fontId="3" type="noConversion"/>
  </si>
  <si>
    <t>30롤</t>
    <phoneticPr fontId="3" type="noConversion"/>
  </si>
  <si>
    <t>빨간밴딩</t>
    <phoneticPr fontId="3" type="noConversion"/>
  </si>
  <si>
    <t>12*9.5황</t>
    <phoneticPr fontId="3" type="noConversion"/>
  </si>
  <si>
    <t>50롤</t>
    <phoneticPr fontId="3" type="noConversion"/>
  </si>
  <si>
    <t>80롤</t>
    <phoneticPr fontId="3" type="noConversion"/>
  </si>
  <si>
    <t>366롤</t>
    <phoneticPr fontId="3" type="noConversion"/>
  </si>
  <si>
    <t>라운드박스</t>
    <phoneticPr fontId="3" type="noConversion"/>
  </si>
  <si>
    <t>40"(오전10시)</t>
    <phoneticPr fontId="3" type="noConversion"/>
  </si>
  <si>
    <t>광림포장</t>
    <phoneticPr fontId="3" type="noConversion"/>
  </si>
  <si>
    <t>12*12.5투명</t>
    <phoneticPr fontId="3" type="noConversion"/>
  </si>
  <si>
    <t>80롤</t>
    <phoneticPr fontId="3" type="noConversion"/>
  </si>
  <si>
    <t>세진상사</t>
    <phoneticPr fontId="3" type="noConversion"/>
  </si>
  <si>
    <t>7*10백(0.5T)</t>
    <phoneticPr fontId="3" type="noConversion"/>
  </si>
  <si>
    <t>2롤</t>
    <phoneticPr fontId="3" type="noConversion"/>
  </si>
  <si>
    <t>대신택배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</si>
  <si>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</si>
  <si>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</si>
  <si>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</si>
  <si>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PE28*2백</t>
    <phoneticPr fontId="3" type="noConversion"/>
  </si>
  <si>
    <t>10뱍스</t>
    <phoneticPr fontId="3" type="noConversion"/>
  </si>
  <si>
    <t>PE28*2청</t>
    <phoneticPr fontId="3" type="noConversion"/>
  </si>
  <si>
    <t>3박스</t>
    <phoneticPr fontId="3" type="noConversion"/>
  </si>
  <si>
    <t>방문출고</t>
    <phoneticPr fontId="3" type="noConversion"/>
  </si>
  <si>
    <t>파워엠팩</t>
    <phoneticPr fontId="3" type="noConversion"/>
  </si>
  <si>
    <t>12*10검정</t>
  </si>
  <si>
    <t>남창</t>
  </si>
  <si>
    <t>10.5*10투명</t>
    <phoneticPr fontId="3" type="noConversion"/>
  </si>
  <si>
    <t>40롤</t>
    <phoneticPr fontId="3" type="noConversion"/>
  </si>
  <si>
    <t>방문출고</t>
    <phoneticPr fontId="3" type="noConversion"/>
  </si>
  <si>
    <t>전라남도 여수시 율촌면 율촌산단2로 241-70 승산팩 이승정님 010-3135-8048</t>
    <phoneticPr fontId="3" type="noConversion"/>
  </si>
  <si>
    <t>2롤1묶음 / 샘플</t>
    <phoneticPr fontId="3" type="noConversion"/>
  </si>
  <si>
    <t>power박스</t>
    <phoneticPr fontId="3" type="noConversion"/>
  </si>
  <si>
    <t>신광포장</t>
    <phoneticPr fontId="3" type="noConversion"/>
  </si>
  <si>
    <t>PE28*2황</t>
    <phoneticPr fontId="3" type="noConversion"/>
  </si>
  <si>
    <t>15박스</t>
    <phoneticPr fontId="3" type="noConversion"/>
  </si>
  <si>
    <t>에이스팩</t>
    <phoneticPr fontId="3" type="noConversion"/>
  </si>
  <si>
    <t>20롤</t>
    <phoneticPr fontId="3" type="noConversion"/>
  </si>
  <si>
    <t>15*10황(0.8T)</t>
    <phoneticPr fontId="3" type="noConversion"/>
  </si>
  <si>
    <t>노랑밴딩</t>
    <phoneticPr fontId="3" type="noConversion"/>
  </si>
  <si>
    <t>랩25*500*1400</t>
    <phoneticPr fontId="3" type="noConversion"/>
  </si>
  <si>
    <t>20박스</t>
    <phoneticPr fontId="3" type="noConversion"/>
  </si>
  <si>
    <t>3박스</t>
    <phoneticPr fontId="3" type="noConversion"/>
  </si>
  <si>
    <t>진송팩</t>
    <phoneticPr fontId="3" type="noConversion"/>
  </si>
  <si>
    <t>20박스</t>
    <phoneticPr fontId="3" type="noConversion"/>
  </si>
  <si>
    <t>토빅스</t>
    <phoneticPr fontId="3" type="noConversion"/>
  </si>
  <si>
    <t>PE28mm*2kg 청색 20박스</t>
    <phoneticPr fontId="3" type="noConversion"/>
  </si>
  <si>
    <t>금산포장</t>
    <phoneticPr fontId="3" type="noConversion"/>
  </si>
  <si>
    <t>30박스</t>
    <phoneticPr fontId="3" type="noConversion"/>
  </si>
  <si>
    <t>입금확인후 출고</t>
    <phoneticPr fontId="3" type="noConversion"/>
  </si>
  <si>
    <t>power박스</t>
    <phoneticPr fontId="3" type="noConversion"/>
  </si>
  <si>
    <t>목</t>
    <phoneticPr fontId="3" type="noConversion"/>
  </si>
  <si>
    <t>오전</t>
    <phoneticPr fontId="3" type="noConversion"/>
  </si>
  <si>
    <t>PE28*2백(24kg)</t>
    <phoneticPr fontId="3" type="noConversion"/>
  </si>
  <si>
    <t>수현물산</t>
    <phoneticPr fontId="3" type="noConversion"/>
  </si>
  <si>
    <t>9박스</t>
    <phoneticPr fontId="3" type="noConversion"/>
  </si>
  <si>
    <t>kpp빨강</t>
    <phoneticPr fontId="3" type="noConversion"/>
  </si>
  <si>
    <t>15*9황(0.8T)</t>
    <phoneticPr fontId="3" type="noConversion"/>
  </si>
  <si>
    <t>24000원/롤</t>
    <phoneticPr fontId="3" type="noConversion"/>
  </si>
  <si>
    <t>세움패키지</t>
  </si>
  <si>
    <t>세움패키지</t>
    <phoneticPr fontId="3" type="noConversion"/>
  </si>
  <si>
    <t>6*10백</t>
    <phoneticPr fontId="3" type="noConversion"/>
  </si>
  <si>
    <t>60롤</t>
    <phoneticPr fontId="3" type="noConversion"/>
  </si>
  <si>
    <t>2100원/kg 운송비 50,000원 청구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</si>
  <si>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</si>
  <si>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</si>
  <si>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</si>
  <si>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6*10황</t>
    <phoneticPr fontId="3" type="noConversion"/>
  </si>
  <si>
    <t>300롤</t>
    <phoneticPr fontId="3" type="noConversion"/>
  </si>
  <si>
    <t>031-855-8405</t>
  </si>
  <si>
    <t xml:space="preserve">경기도 양주시 광적면 </t>
    <phoneticPr fontId="3" type="noConversion"/>
  </si>
  <si>
    <t>그루고개로 152번길 50-15</t>
  </si>
  <si>
    <t>6mm*10kg 백색 60롤</t>
    <phoneticPr fontId="3" type="noConversion"/>
  </si>
  <si>
    <t>대원포장기계</t>
    <phoneticPr fontId="3" type="noConversion"/>
  </si>
  <si>
    <t>20박스</t>
    <phoneticPr fontId="3" type="noConversion"/>
  </si>
  <si>
    <t>대신화물 착불</t>
    <phoneticPr fontId="3" type="noConversion"/>
  </si>
  <si>
    <t>삼성</t>
    <phoneticPr fontId="3" type="noConversion"/>
  </si>
  <si>
    <t>18*21친환경</t>
    <phoneticPr fontId="3" type="noConversion"/>
  </si>
  <si>
    <t>경인산업</t>
    <phoneticPr fontId="3" type="noConversion"/>
  </si>
  <si>
    <t>7*8백</t>
    <phoneticPr fontId="3" type="noConversion"/>
  </si>
  <si>
    <t>1롤</t>
    <phoneticPr fontId="3" type="noConversion"/>
  </si>
  <si>
    <t>샘플</t>
    <phoneticPr fontId="3" type="noConversion"/>
  </si>
  <si>
    <t>대신택배</t>
    <phoneticPr fontId="3" type="noConversion"/>
  </si>
  <si>
    <t>경기도 고양시 덕양구 원당로 392번길 165  이운주 팀장님 010-6220-1459 (택배비 선불후 청구)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</si>
  <si>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</si>
  <si>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</si>
  <si>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</si>
  <si>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</si>
  <si>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</si>
  <si>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</si>
  <si>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</si>
  <si>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</si>
  <si>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15박스</t>
    <phoneticPr fontId="3" type="noConversion"/>
  </si>
  <si>
    <t>5박스</t>
    <phoneticPr fontId="3" type="noConversion"/>
  </si>
  <si>
    <t>방문출고</t>
    <phoneticPr fontId="3" type="noConversion"/>
  </si>
  <si>
    <t>로젠택배</t>
    <phoneticPr fontId="3" type="noConversion"/>
  </si>
  <si>
    <t>경인팩</t>
    <phoneticPr fontId="3" type="noConversion"/>
  </si>
  <si>
    <t>6*10백</t>
    <phoneticPr fontId="3" type="noConversion"/>
  </si>
  <si>
    <t>15*9.5적(배추끈)</t>
    <phoneticPr fontId="3" type="noConversion"/>
  </si>
  <si>
    <t>96박스</t>
    <phoneticPr fontId="3" type="noConversion"/>
  </si>
  <si>
    <t>28박스</t>
    <phoneticPr fontId="3" type="noConversion"/>
  </si>
  <si>
    <t>224롤</t>
    <phoneticPr fontId="3" type="noConversion"/>
  </si>
  <si>
    <t>50롤</t>
    <phoneticPr fontId="3" type="noConversion"/>
  </si>
  <si>
    <t>랩15*500*400</t>
    <phoneticPr fontId="3" type="noConversion"/>
  </si>
  <si>
    <t>32박스</t>
    <phoneticPr fontId="3" type="noConversion"/>
  </si>
  <si>
    <t>전주삼신산업</t>
    <phoneticPr fontId="3" type="noConversion"/>
  </si>
  <si>
    <t>7*10백</t>
    <phoneticPr fontId="3" type="noConversion"/>
  </si>
  <si>
    <t>56롤</t>
    <phoneticPr fontId="3" type="noConversion"/>
  </si>
  <si>
    <t>대신화물</t>
    <phoneticPr fontId="3" type="noConversion"/>
  </si>
  <si>
    <t>대전신일점</t>
    <phoneticPr fontId="3" type="noConversion"/>
  </si>
  <si>
    <t>탐스텍</t>
    <phoneticPr fontId="3" type="noConversion"/>
  </si>
  <si>
    <t>팔레트</t>
    <phoneticPr fontId="3" type="noConversion"/>
  </si>
  <si>
    <t>2.7톤</t>
    <phoneticPr fontId="3" type="noConversion"/>
  </si>
  <si>
    <t>LCL(오전11시)</t>
    <phoneticPr fontId="3" type="noConversion"/>
  </si>
  <si>
    <t>76롤</t>
    <phoneticPr fontId="3" type="noConversion"/>
  </si>
  <si>
    <t>임승진 연차</t>
    <phoneticPr fontId="3" type="noConversion"/>
  </si>
  <si>
    <t>코미팜</t>
    <phoneticPr fontId="3" type="noConversion"/>
  </si>
  <si>
    <t>유일</t>
    <phoneticPr fontId="3" type="noConversion"/>
  </si>
  <si>
    <t>64박스</t>
    <phoneticPr fontId="3" type="noConversion"/>
  </si>
  <si>
    <t>김형근</t>
    <phoneticPr fontId="3" type="noConversion"/>
  </si>
  <si>
    <t>강원농협</t>
    <phoneticPr fontId="3" type="noConversion"/>
  </si>
  <si>
    <t>12*12.5황</t>
    <phoneticPr fontId="3" type="noConversion"/>
  </si>
  <si>
    <t>300롤</t>
    <phoneticPr fontId="3" type="noConversion"/>
  </si>
  <si>
    <t>경인팩</t>
    <phoneticPr fontId="3" type="noConversion"/>
  </si>
  <si>
    <t>합동포장</t>
    <phoneticPr fontId="3" type="noConversion"/>
  </si>
  <si>
    <t>150롤</t>
    <phoneticPr fontId="3" type="noConversion"/>
  </si>
  <si>
    <t>15*13황</t>
    <phoneticPr fontId="3" type="noConversion"/>
  </si>
  <si>
    <t>30롤</t>
    <phoneticPr fontId="3" type="noConversion"/>
  </si>
  <si>
    <t>12*10백</t>
    <phoneticPr fontId="3" type="noConversion"/>
  </si>
  <si>
    <t>30롤</t>
    <phoneticPr fontId="3" type="noConversion"/>
  </si>
  <si>
    <t>용차</t>
    <phoneticPr fontId="3" type="noConversion"/>
  </si>
  <si>
    <t>재고확인</t>
    <phoneticPr fontId="3" type="noConversion"/>
  </si>
  <si>
    <t>45박스</t>
    <phoneticPr fontId="3" type="noConversion"/>
  </si>
  <si>
    <t>50롤</t>
    <phoneticPr fontId="3" type="noConversion"/>
  </si>
  <si>
    <t>12*12투명(0.75T)</t>
    <phoneticPr fontId="3" type="noConversion"/>
  </si>
  <si>
    <t>12*12황(0.75T)</t>
    <phoneticPr fontId="3" type="noConversion"/>
  </si>
  <si>
    <t>40롤</t>
    <phoneticPr fontId="3" type="noConversion"/>
  </si>
  <si>
    <t>삼원산업</t>
    <phoneticPr fontId="3" type="noConversion"/>
  </si>
  <si>
    <t>오전 / 같이</t>
    <phoneticPr fontId="3" type="noConversion"/>
  </si>
  <si>
    <t>60롤</t>
    <phoneticPr fontId="3" type="noConversion"/>
  </si>
  <si>
    <t>신광포장</t>
    <phoneticPr fontId="3" type="noConversion"/>
  </si>
  <si>
    <t>15*10황(0.65T)</t>
    <phoneticPr fontId="3" type="noConversion"/>
  </si>
  <si>
    <t>56롤</t>
    <phoneticPr fontId="3" type="noConversion"/>
  </si>
  <si>
    <t>12*10황(0.65T)</t>
    <phoneticPr fontId="3" type="noConversion"/>
  </si>
  <si>
    <t>20박스</t>
    <phoneticPr fontId="3" type="noConversion"/>
  </si>
  <si>
    <t>5박스</t>
    <phoneticPr fontId="3" type="noConversion"/>
  </si>
  <si>
    <t>김형근</t>
    <phoneticPr fontId="3" type="noConversion"/>
  </si>
  <si>
    <t>kic박스</t>
    <phoneticPr fontId="3" type="noConversion"/>
  </si>
  <si>
    <t>동원피앤아이</t>
    <phoneticPr fontId="3" type="noConversion"/>
  </si>
  <si>
    <t>PE50*5황</t>
    <phoneticPr fontId="3" type="noConversion"/>
  </si>
  <si>
    <t>20박스</t>
    <phoneticPr fontId="3" type="noConversion"/>
  </si>
  <si>
    <t>PE50*5백</t>
    <phoneticPr fontId="3" type="noConversion"/>
  </si>
  <si>
    <t>24박스</t>
    <phoneticPr fontId="3" type="noConversion"/>
  </si>
  <si>
    <t>Y130 1,100kg</t>
  </si>
  <si>
    <t>Ti640 200kg</t>
  </si>
  <si>
    <t>1롤</t>
    <phoneticPr fontId="3" type="noConversion"/>
  </si>
  <si>
    <t>18*21투명</t>
    <phoneticPr fontId="3" type="noConversion"/>
  </si>
  <si>
    <t>한길포장</t>
    <phoneticPr fontId="3" type="noConversion"/>
  </si>
  <si>
    <t>12*10황(0.75T)</t>
    <phoneticPr fontId="3" type="noConversion"/>
  </si>
  <si>
    <t>129롤</t>
    <phoneticPr fontId="3" type="noConversion"/>
  </si>
  <si>
    <t>전표128롤</t>
    <phoneticPr fontId="3" type="noConversion"/>
  </si>
  <si>
    <t>PE28*2백</t>
    <phoneticPr fontId="3" type="noConversion"/>
  </si>
  <si>
    <t>20박스</t>
    <phoneticPr fontId="3" type="noConversion"/>
  </si>
  <si>
    <t>김형근</t>
    <phoneticPr fontId="3" type="noConversion"/>
  </si>
  <si>
    <t>kic박스</t>
    <phoneticPr fontId="3" type="noConversion"/>
  </si>
  <si>
    <t>1착</t>
    <phoneticPr fontId="3" type="noConversion"/>
  </si>
  <si>
    <t>보우팩</t>
    <phoneticPr fontId="3" type="noConversion"/>
  </si>
  <si>
    <t>6*10백</t>
    <phoneticPr fontId="3" type="noConversion"/>
  </si>
  <si>
    <t>300롤</t>
    <phoneticPr fontId="3" type="noConversion"/>
  </si>
  <si>
    <t>오전용차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</si>
  <si>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</si>
  <si>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</si>
  <si>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</si>
  <si>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신대한판지</t>
    <phoneticPr fontId="3" type="noConversion"/>
  </si>
  <si>
    <t>12*10백(0.8t)</t>
    <phoneticPr fontId="3" type="noConversion"/>
  </si>
  <si>
    <t>64롤</t>
    <phoneticPr fontId="3" type="noConversion"/>
  </si>
  <si>
    <t>10박스</t>
    <phoneticPr fontId="3" type="noConversion"/>
  </si>
  <si>
    <t>10롤</t>
    <phoneticPr fontId="3" type="noConversion"/>
  </si>
  <si>
    <t>서흥포장</t>
    <phoneticPr fontId="3" type="noConversion"/>
  </si>
  <si>
    <t>15*500*400</t>
    <phoneticPr fontId="3" type="noConversion"/>
  </si>
  <si>
    <t>12*10황(0.8T)</t>
    <phoneticPr fontId="3" type="noConversion"/>
  </si>
  <si>
    <t>김형근</t>
    <phoneticPr fontId="3" type="noConversion"/>
  </si>
  <si>
    <t>동원팩</t>
    <phoneticPr fontId="3" type="noConversion"/>
  </si>
  <si>
    <t>20박스</t>
    <phoneticPr fontId="3" type="noConversion"/>
  </si>
  <si>
    <t>방문출고</t>
    <phoneticPr fontId="3" type="noConversion"/>
  </si>
  <si>
    <t>합동포장</t>
    <phoneticPr fontId="3" type="noConversion"/>
  </si>
  <si>
    <t>15*10청(0.65T)</t>
    <phoneticPr fontId="3" type="noConversion"/>
  </si>
  <si>
    <t>10롤</t>
    <phoneticPr fontId="3" type="noConversion"/>
  </si>
  <si>
    <t>같이</t>
    <phoneticPr fontId="3" type="noConversion"/>
  </si>
  <si>
    <t>제이케이머티리얼즈</t>
    <phoneticPr fontId="3" type="noConversion"/>
  </si>
  <si>
    <t>128롤</t>
    <phoneticPr fontId="3" type="noConversion"/>
  </si>
  <si>
    <t>오후용차</t>
    <phoneticPr fontId="3" type="noConversion"/>
  </si>
  <si>
    <t>신광포장</t>
    <phoneticPr fontId="3" type="noConversion"/>
  </si>
  <si>
    <t>15*10청(0.65T)</t>
    <phoneticPr fontId="3" type="noConversion"/>
  </si>
  <si>
    <t>20롤</t>
    <phoneticPr fontId="3" type="noConversion"/>
  </si>
  <si>
    <t>18*10황</t>
    <phoneticPr fontId="3" type="noConversion"/>
  </si>
  <si>
    <t>서울 영등포 문래동 4가 13-15</t>
  </si>
  <si>
    <t>두성엔지니어링</t>
  </si>
  <si>
    <t>02-2679-3317</t>
    <phoneticPr fontId="3" type="noConversion"/>
  </si>
  <si>
    <t>010-5343-3317</t>
    <phoneticPr fontId="3" type="noConversion"/>
  </si>
  <si>
    <t>16*10황</t>
    <phoneticPr fontId="3" type="noConversion"/>
  </si>
  <si>
    <t>수동엠보</t>
    <phoneticPr fontId="3" type="noConversion"/>
  </si>
  <si>
    <t>진송팩</t>
    <phoneticPr fontId="3" type="noConversion"/>
  </si>
  <si>
    <t>50박스</t>
    <phoneticPr fontId="3" type="noConversion"/>
  </si>
  <si>
    <t>오후1시 용차-까데기</t>
    <phoneticPr fontId="3" type="noConversion"/>
  </si>
  <si>
    <t>탑차안됨</t>
    <phoneticPr fontId="3" type="noConversion"/>
  </si>
  <si>
    <t>에이원코리아</t>
    <phoneticPr fontId="3" type="noConversion"/>
  </si>
  <si>
    <t>12*12황(0.8T)</t>
    <phoneticPr fontId="3" type="noConversion"/>
  </si>
  <si>
    <t>112롤</t>
    <phoneticPr fontId="3" type="noConversion"/>
  </si>
  <si>
    <t>방문출고</t>
    <phoneticPr fontId="3" type="noConversion"/>
  </si>
  <si>
    <t>31롤</t>
    <phoneticPr fontId="3" type="noConversion"/>
  </si>
  <si>
    <t>12*10황(0.65T)</t>
    <phoneticPr fontId="3" type="noConversion"/>
  </si>
  <si>
    <t>56롤</t>
    <phoneticPr fontId="3" type="noConversion"/>
  </si>
  <si>
    <t>15*10황(0.65T)</t>
    <phoneticPr fontId="3" type="noConversion"/>
  </si>
  <si>
    <t>56롤</t>
    <phoneticPr fontId="3" type="noConversion"/>
  </si>
  <si>
    <t>삼영피앤텍</t>
    <phoneticPr fontId="3" type="noConversion"/>
  </si>
  <si>
    <t>2박스</t>
    <phoneticPr fontId="3" type="noConversion"/>
  </si>
  <si>
    <t>한국유니콤</t>
    <phoneticPr fontId="3" type="noConversion"/>
  </si>
  <si>
    <t>1박스</t>
    <phoneticPr fontId="3" type="noConversion"/>
  </si>
  <si>
    <t>로젠택배</t>
    <phoneticPr fontId="3" type="noConversion"/>
  </si>
  <si>
    <t>9롤</t>
    <phoneticPr fontId="3" type="noConversion"/>
  </si>
  <si>
    <t>김형근</t>
    <phoneticPr fontId="3" type="noConversion"/>
  </si>
  <si>
    <t>김형근</t>
    <phoneticPr fontId="3" type="noConversion"/>
  </si>
  <si>
    <t>전표는 10롤 계산서 바로</t>
    <phoneticPr fontId="3" type="noConversion"/>
  </si>
  <si>
    <t>무지박스</t>
    <phoneticPr fontId="3" type="noConversion"/>
  </si>
  <si>
    <t>용차</t>
    <phoneticPr fontId="3" type="noConversion"/>
  </si>
  <si>
    <t>PE28*6백</t>
    <phoneticPr fontId="3" type="noConversion"/>
  </si>
  <si>
    <t>16박스</t>
    <phoneticPr fontId="3" type="noConversion"/>
  </si>
  <si>
    <t>16박스</t>
    <phoneticPr fontId="3" type="noConversion"/>
  </si>
  <si>
    <t>지방합화차 오후3시이후</t>
    <phoneticPr fontId="3" type="noConversion"/>
  </si>
  <si>
    <t>전주삼신산업</t>
    <phoneticPr fontId="3" type="noConversion"/>
  </si>
  <si>
    <t>9*10황</t>
    <phoneticPr fontId="3" type="noConversion"/>
  </si>
  <si>
    <t>20롤</t>
    <phoneticPr fontId="3" type="noConversion"/>
  </si>
  <si>
    <t>PE28*2백</t>
    <phoneticPr fontId="3" type="noConversion"/>
  </si>
  <si>
    <t>13박스</t>
    <phoneticPr fontId="3" type="noConversion"/>
  </si>
  <si>
    <t>대신택배</t>
    <phoneticPr fontId="3" type="noConversion"/>
  </si>
  <si>
    <t>power박스</t>
    <phoneticPr fontId="3" type="noConversion"/>
  </si>
  <si>
    <t>태화산업</t>
    <phoneticPr fontId="3" type="noConversion"/>
  </si>
  <si>
    <t>광주천일포장</t>
    <phoneticPr fontId="3" type="noConversion"/>
  </si>
  <si>
    <t>20박스</t>
    <phoneticPr fontId="3" type="noConversion"/>
  </si>
  <si>
    <t>PE28*2적</t>
    <phoneticPr fontId="3" type="noConversion"/>
  </si>
  <si>
    <t>광현페이퍼</t>
    <phoneticPr fontId="3" type="noConversion"/>
  </si>
  <si>
    <t>경인산업</t>
    <phoneticPr fontId="3" type="noConversion"/>
  </si>
  <si>
    <t>20박스</t>
    <phoneticPr fontId="3" type="noConversion"/>
  </si>
  <si>
    <t>제일산업</t>
    <phoneticPr fontId="3" type="noConversion"/>
  </si>
  <si>
    <t>PE50*5백</t>
    <phoneticPr fontId="3" type="noConversion"/>
  </si>
  <si>
    <t>75박스</t>
    <phoneticPr fontId="3" type="noConversion"/>
  </si>
  <si>
    <t>광림포장</t>
    <phoneticPr fontId="3" type="noConversion"/>
  </si>
  <si>
    <t>9*9.2황(0.6T)</t>
    <phoneticPr fontId="3" type="noConversion"/>
  </si>
  <si>
    <t>65롤</t>
    <phoneticPr fontId="3" type="noConversion"/>
  </si>
  <si>
    <t>64롤</t>
    <phoneticPr fontId="3" type="noConversion"/>
  </si>
  <si>
    <t>15*13황</t>
    <phoneticPr fontId="3" type="noConversion"/>
  </si>
  <si>
    <t>32롤</t>
    <phoneticPr fontId="3" type="noConversion"/>
  </si>
  <si>
    <t>9*10투명</t>
    <phoneticPr fontId="3" type="noConversion"/>
  </si>
  <si>
    <t>64롤</t>
    <phoneticPr fontId="3" type="noConversion"/>
  </si>
  <si>
    <t>같이</t>
    <phoneticPr fontId="3" type="noConversion"/>
  </si>
  <si>
    <t>신화티에스</t>
    <phoneticPr fontId="3" type="noConversion"/>
  </si>
  <si>
    <t>15*10적</t>
    <phoneticPr fontId="3" type="noConversion"/>
  </si>
  <si>
    <t>20롤</t>
    <phoneticPr fontId="3" type="noConversion"/>
  </si>
  <si>
    <t>광림불량 패드갈이</t>
    <phoneticPr fontId="3" type="noConversion"/>
  </si>
  <si>
    <t>방문출고</t>
    <phoneticPr fontId="3" type="noConversion"/>
  </si>
  <si>
    <t>우선산업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</si>
  <si>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</si>
  <si>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</si>
  <si>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</si>
  <si>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</si>
  <si>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10박스</t>
    <phoneticPr fontId="3" type="noConversion"/>
  </si>
  <si>
    <t>10박스</t>
    <phoneticPr fontId="3" type="noConversion"/>
  </si>
  <si>
    <t>세진상사</t>
    <phoneticPr fontId="3" type="noConversion"/>
  </si>
  <si>
    <t>56롤</t>
    <phoneticPr fontId="3" type="noConversion"/>
  </si>
  <si>
    <t>나무파레트</t>
    <phoneticPr fontId="3" type="noConversion"/>
  </si>
  <si>
    <t>대신택배</t>
    <phoneticPr fontId="3" type="noConversion"/>
  </si>
  <si>
    <t>2,100원/kg  전라남도 여수시 율촌면 율촌산단2로 241-70 승산팩 이승정님 010-3135-8048</t>
    <phoneticPr fontId="3" type="noConversion"/>
  </si>
  <si>
    <t>스피드랩에서 직납</t>
    <phoneticPr fontId="3" type="noConversion"/>
  </si>
  <si>
    <t>화</t>
    <phoneticPr fontId="3" type="noConversion"/>
  </si>
  <si>
    <t>9*10황</t>
    <phoneticPr fontId="3" type="noConversion"/>
  </si>
  <si>
    <t>2박스</t>
    <phoneticPr fontId="3" type="noConversion"/>
  </si>
  <si>
    <t>신광포장</t>
    <phoneticPr fontId="3" type="noConversion"/>
  </si>
  <si>
    <t>PE28*2황</t>
    <phoneticPr fontId="3" type="noConversion"/>
  </si>
  <si>
    <t>10박스</t>
    <phoneticPr fontId="3" type="noConversion"/>
  </si>
  <si>
    <t>방문출고</t>
    <phoneticPr fontId="3" type="noConversion"/>
  </si>
  <si>
    <t>power박스</t>
    <phoneticPr fontId="3" type="noConversion"/>
  </si>
  <si>
    <t>경인팩</t>
    <phoneticPr fontId="3" type="noConversion"/>
  </si>
  <si>
    <t>PE28*6백</t>
    <phoneticPr fontId="3" type="noConversion"/>
  </si>
  <si>
    <t>28박스</t>
    <phoneticPr fontId="3" type="noConversion"/>
  </si>
  <si>
    <t>같이</t>
    <phoneticPr fontId="3" type="noConversion"/>
  </si>
  <si>
    <t>64박스</t>
    <phoneticPr fontId="3" type="noConversion"/>
  </si>
  <si>
    <t>동원팩</t>
    <phoneticPr fontId="3" type="noConversion"/>
  </si>
  <si>
    <t>9*10투명</t>
    <phoneticPr fontId="3" type="noConversion"/>
  </si>
  <si>
    <t>30롤</t>
    <phoneticPr fontId="3" type="noConversion"/>
  </si>
  <si>
    <t>나무파레트</t>
    <phoneticPr fontId="3" type="noConversion"/>
  </si>
  <si>
    <t>방문출고</t>
    <phoneticPr fontId="3" type="noConversion"/>
  </si>
  <si>
    <t>파워엠팩</t>
    <phoneticPr fontId="3" type="noConversion"/>
  </si>
  <si>
    <t>14*10주황</t>
    <phoneticPr fontId="3" type="noConversion"/>
  </si>
  <si>
    <t>50롤</t>
    <phoneticPr fontId="3" type="noConversion"/>
  </si>
  <si>
    <t>대신택배</t>
    <phoneticPr fontId="3" type="noConversion"/>
  </si>
  <si>
    <t>청정원</t>
    <phoneticPr fontId="3" type="noConversion"/>
  </si>
  <si>
    <t>스피드랩코리아</t>
    <phoneticPr fontId="3" type="noConversion"/>
  </si>
  <si>
    <t>20*500*1400</t>
    <phoneticPr fontId="3" type="noConversion"/>
  </si>
  <si>
    <t>50박스</t>
    <phoneticPr fontId="3" type="noConversion"/>
  </si>
  <si>
    <t>반품</t>
    <phoneticPr fontId="3" type="noConversion"/>
  </si>
  <si>
    <t>방문수거</t>
    <phoneticPr fontId="3" type="noConversion"/>
  </si>
  <si>
    <t>청주동서포장</t>
    <phoneticPr fontId="3" type="noConversion"/>
  </si>
  <si>
    <t>태광오토팩</t>
    <phoneticPr fontId="3" type="noConversion"/>
  </si>
  <si>
    <t>PE28*2백</t>
    <phoneticPr fontId="3" type="noConversion"/>
  </si>
  <si>
    <t>12박스</t>
    <phoneticPr fontId="3" type="noConversion"/>
  </si>
  <si>
    <t>PE28*2황</t>
    <phoneticPr fontId="3" type="noConversion"/>
  </si>
  <si>
    <t>20박스</t>
    <phoneticPr fontId="3" type="noConversion"/>
  </si>
  <si>
    <t>power박스</t>
    <phoneticPr fontId="3" type="noConversion"/>
  </si>
  <si>
    <t>8박스</t>
    <phoneticPr fontId="3" type="noConversion"/>
  </si>
  <si>
    <t>로젠택배착불</t>
    <phoneticPr fontId="3" type="noConversion"/>
  </si>
  <si>
    <t>2박스</t>
    <phoneticPr fontId="3" type="noConversion"/>
  </si>
  <si>
    <t>로젠택배</t>
    <phoneticPr fontId="3" type="noConversion"/>
  </si>
  <si>
    <t>경기도 파주시 소라지로 211(신촌동) 푸른토마토 070-4801-4545</t>
    <phoneticPr fontId="3" type="noConversion"/>
  </si>
  <si>
    <t>PE28*6백</t>
    <phoneticPr fontId="3" type="noConversion"/>
  </si>
  <si>
    <t>2박스</t>
    <phoneticPr fontId="3" type="noConversion"/>
  </si>
  <si>
    <t>계룡</t>
    <phoneticPr fontId="3" type="noConversion"/>
  </si>
  <si>
    <t>파주</t>
    <phoneticPr fontId="3" type="noConversion"/>
  </si>
  <si>
    <t>당진</t>
    <phoneticPr fontId="3" type="noConversion"/>
  </si>
  <si>
    <t>충청남도 계룡시 엄사면 전원2길 45 계룡계란 010-3656-6809</t>
    <phoneticPr fontId="3" type="noConversion"/>
  </si>
  <si>
    <t>로젠택배착불</t>
    <phoneticPr fontId="3" type="noConversion"/>
  </si>
  <si>
    <t>충청남도 천안시 동남구 풍세면 봉강천로 107-5 (풍세면, 천금농장) 한성농장  김난영 010-4450-4045</t>
    <phoneticPr fontId="3" type="noConversion"/>
  </si>
  <si>
    <t>6*10백</t>
    <phoneticPr fontId="3" type="noConversion"/>
  </si>
  <si>
    <t>40롤</t>
    <phoneticPr fontId="3" type="noConversion"/>
  </si>
  <si>
    <t>15*10황(0.65T)</t>
    <phoneticPr fontId="3" type="noConversion"/>
  </si>
  <si>
    <t>10롤</t>
    <phoneticPr fontId="3" type="noConversion"/>
  </si>
  <si>
    <t>2박스</t>
    <phoneticPr fontId="3" type="noConversion"/>
  </si>
  <si>
    <t>대신택배</t>
    <phoneticPr fontId="3" type="noConversion"/>
  </si>
  <si>
    <t>더담패키지</t>
    <phoneticPr fontId="3" type="noConversion"/>
  </si>
  <si>
    <t>50롤</t>
    <phoneticPr fontId="3" type="noConversion"/>
  </si>
  <si>
    <t>대신택배</t>
    <phoneticPr fontId="3" type="noConversion"/>
  </si>
  <si>
    <t>삼성</t>
    <phoneticPr fontId="3" type="noConversion"/>
  </si>
  <si>
    <t>타이거팩</t>
    <phoneticPr fontId="3" type="noConversion"/>
  </si>
  <si>
    <t>수작업</t>
    <phoneticPr fontId="3" type="noConversion"/>
  </si>
  <si>
    <t>8.8톤</t>
    <phoneticPr fontId="3" type="noConversion"/>
  </si>
  <si>
    <t>20"(오전10시)</t>
    <phoneticPr fontId="3" type="noConversion"/>
  </si>
  <si>
    <t>엘로라비</t>
    <phoneticPr fontId="3" type="noConversion"/>
  </si>
  <si>
    <t>팔레트</t>
    <phoneticPr fontId="3" type="noConversion"/>
  </si>
  <si>
    <t>20"(오전10시)</t>
    <phoneticPr fontId="3" type="noConversion"/>
  </si>
  <si>
    <t>동원팩</t>
    <phoneticPr fontId="3" type="noConversion"/>
  </si>
  <si>
    <t>15박스</t>
  </si>
  <si>
    <t>12*10황</t>
    <phoneticPr fontId="3" type="noConversion"/>
  </si>
  <si>
    <t>10롤</t>
    <phoneticPr fontId="3" type="noConversion"/>
  </si>
  <si>
    <t>15박스</t>
    <phoneticPr fontId="3" type="noConversion"/>
  </si>
  <si>
    <t>신광포장</t>
    <phoneticPr fontId="3" type="noConversion"/>
  </si>
  <si>
    <t>15*10백(0.65T)</t>
    <phoneticPr fontId="3" type="noConversion"/>
  </si>
  <si>
    <t>56롤</t>
    <phoneticPr fontId="3" type="noConversion"/>
  </si>
  <si>
    <t>방문출고</t>
    <phoneticPr fontId="3" type="noConversion"/>
  </si>
  <si>
    <t>12*10황(0.75T)</t>
    <phoneticPr fontId="3" type="noConversion"/>
  </si>
  <si>
    <t>56롤</t>
    <phoneticPr fontId="3" type="noConversion"/>
  </si>
  <si>
    <t>12*10백(0.75T)</t>
    <phoneticPr fontId="3" type="noConversion"/>
  </si>
  <si>
    <t>금산포장</t>
    <phoneticPr fontId="3" type="noConversion"/>
  </si>
  <si>
    <t>12*10투명(0.7T)</t>
    <phoneticPr fontId="3" type="noConversion"/>
  </si>
  <si>
    <t>대한종합포장</t>
    <phoneticPr fontId="3" type="noConversion"/>
  </si>
  <si>
    <t>랩20*500*1400</t>
    <phoneticPr fontId="3" type="noConversion"/>
  </si>
  <si>
    <t>50박스</t>
    <phoneticPr fontId="3" type="noConversion"/>
  </si>
  <si>
    <t>전표는 -7박스 교환</t>
    <phoneticPr fontId="3" type="noConversion"/>
  </si>
  <si>
    <t>대신택배</t>
    <phoneticPr fontId="3" type="noConversion"/>
  </si>
  <si>
    <t>경인팩</t>
    <phoneticPr fontId="3" type="noConversion"/>
  </si>
  <si>
    <t>현대테크</t>
    <phoneticPr fontId="3" type="noConversion"/>
  </si>
  <si>
    <t>3롤</t>
    <phoneticPr fontId="3" type="noConversion"/>
  </si>
  <si>
    <t>방문출고</t>
    <phoneticPr fontId="3" type="noConversion"/>
  </si>
  <si>
    <t>6*10백</t>
    <phoneticPr fontId="3" type="noConversion"/>
  </si>
  <si>
    <t>12*10백(0.75T)</t>
    <phoneticPr fontId="3" type="noConversion"/>
  </si>
  <si>
    <t>15*9.5적(배추끈)</t>
    <phoneticPr fontId="3" type="noConversion"/>
  </si>
  <si>
    <t>32박스</t>
    <phoneticPr fontId="3" type="noConversion"/>
  </si>
  <si>
    <t>10박스</t>
    <phoneticPr fontId="3" type="noConversion"/>
  </si>
  <si>
    <t>112롤</t>
    <phoneticPr fontId="3" type="noConversion"/>
  </si>
  <si>
    <t>30롤</t>
    <phoneticPr fontId="3" type="noConversion"/>
  </si>
  <si>
    <t>100롤</t>
    <phoneticPr fontId="3" type="noConversion"/>
  </si>
  <si>
    <t>PE28*2적</t>
    <phoneticPr fontId="3" type="noConversion"/>
  </si>
  <si>
    <t>동방포장</t>
    <phoneticPr fontId="3" type="noConversion"/>
  </si>
  <si>
    <t>200롤</t>
    <phoneticPr fontId="3" type="noConversion"/>
  </si>
  <si>
    <t>무지패드/패드갈이</t>
    <phoneticPr fontId="3" type="noConversion"/>
  </si>
  <si>
    <t>12*10황(0.65T)</t>
    <phoneticPr fontId="3" type="noConversion"/>
  </si>
  <si>
    <t>디알젬</t>
    <phoneticPr fontId="3" type="noConversion"/>
  </si>
  <si>
    <t>18*15투명</t>
    <phoneticPr fontId="3" type="noConversion"/>
  </si>
  <si>
    <t>10롤</t>
    <phoneticPr fontId="3" type="noConversion"/>
  </si>
  <si>
    <t>대신택배</t>
    <phoneticPr fontId="3" type="noConversion"/>
  </si>
  <si>
    <t>월요일도착</t>
    <phoneticPr fontId="3" type="noConversion"/>
  </si>
  <si>
    <t>132롤</t>
    <phoneticPr fontId="3" type="noConversion"/>
  </si>
  <si>
    <t>한제</t>
    <phoneticPr fontId="3" type="noConversion"/>
  </si>
  <si>
    <t>7.5톤</t>
    <phoneticPr fontId="3" type="noConversion"/>
  </si>
  <si>
    <t>옴니</t>
    <phoneticPr fontId="3" type="noConversion"/>
  </si>
  <si>
    <t>팔레트</t>
    <phoneticPr fontId="3" type="noConversion"/>
  </si>
  <si>
    <t>12.8톤</t>
    <phoneticPr fontId="3" type="noConversion"/>
  </si>
  <si>
    <t>40"(오전10시)</t>
    <phoneticPr fontId="3" type="noConversion"/>
  </si>
  <si>
    <t>싸이클롭</t>
    <phoneticPr fontId="3" type="noConversion"/>
  </si>
  <si>
    <t>팔레트</t>
    <phoneticPr fontId="3" type="noConversion"/>
  </si>
  <si>
    <t>17.3톤</t>
    <phoneticPr fontId="3" type="noConversion"/>
  </si>
  <si>
    <t>8*9백</t>
    <phoneticPr fontId="3" type="noConversion"/>
  </si>
  <si>
    <t>태광패드</t>
    <phoneticPr fontId="3" type="noConversion"/>
  </si>
  <si>
    <t>방문출고</t>
    <phoneticPr fontId="3" type="noConversion"/>
  </si>
  <si>
    <t>전주삼신산업</t>
    <phoneticPr fontId="3" type="noConversion"/>
  </si>
  <si>
    <t>15*10황(0.65T)</t>
    <phoneticPr fontId="3" type="noConversion"/>
  </si>
  <si>
    <t>56롤</t>
    <phoneticPr fontId="3" type="noConversion"/>
  </si>
  <si>
    <t>대신택배</t>
    <phoneticPr fontId="3" type="noConversion"/>
  </si>
  <si>
    <t>15*10황(0.75T)</t>
    <phoneticPr fontId="3" type="noConversion"/>
  </si>
  <si>
    <t>50롤</t>
    <phoneticPr fontId="3" type="noConversion"/>
  </si>
  <si>
    <t>10박스</t>
    <phoneticPr fontId="3" type="noConversion"/>
  </si>
  <si>
    <t>무지박스</t>
    <phoneticPr fontId="3" type="noConversion"/>
  </si>
  <si>
    <t>파워엠팩</t>
    <phoneticPr fontId="3" type="noConversion"/>
  </si>
  <si>
    <t>9*12은회색</t>
    <phoneticPr fontId="3" type="noConversion"/>
  </si>
  <si>
    <t>128롤</t>
    <phoneticPr fontId="3" type="noConversion"/>
  </si>
  <si>
    <t>다오</t>
    <phoneticPr fontId="3" type="noConversion"/>
  </si>
  <si>
    <t>지방합화차</t>
    <phoneticPr fontId="3" type="noConversion"/>
  </si>
  <si>
    <t>110롤</t>
    <phoneticPr fontId="3" type="noConversion"/>
  </si>
  <si>
    <t>전표는 11/1</t>
    <phoneticPr fontId="3" type="noConversion"/>
  </si>
  <si>
    <t>보우팩</t>
    <phoneticPr fontId="3" type="noConversion"/>
  </si>
  <si>
    <t>15*10투명(0.8T)</t>
    <phoneticPr fontId="3" type="noConversion"/>
  </si>
  <si>
    <t>20롤</t>
    <phoneticPr fontId="3" type="noConversion"/>
  </si>
  <si>
    <t>용차</t>
    <phoneticPr fontId="3" type="noConversion"/>
  </si>
  <si>
    <t>양주</t>
    <phoneticPr fontId="3" type="noConversion"/>
  </si>
  <si>
    <t>삼성</t>
    <phoneticPr fontId="3" type="noConversion"/>
  </si>
  <si>
    <t>18*21친환경</t>
    <phoneticPr fontId="3" type="noConversion"/>
  </si>
  <si>
    <t>209롤</t>
    <phoneticPr fontId="3" type="noConversion"/>
  </si>
  <si>
    <t>충남 논산시 지산2길 24 ㈜삼복 041-732-2202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</si>
  <si>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</si>
  <si>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</si>
  <si>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</si>
  <si>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김제</t>
    <phoneticPr fontId="3" type="noConversion"/>
  </si>
  <si>
    <t>대신택배</t>
    <phoneticPr fontId="3" type="noConversion"/>
  </si>
  <si>
    <t>전라북도 김제시 백산면 석정로 89  사계절양계장 010-2054-7985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</si>
  <si>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</si>
  <si>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</si>
  <si>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</si>
  <si>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</si>
  <si>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선불후청구 경기도 양주시 평화로1970번길 135-34 다우리가전 박제곤 대표 010-8108-6958</t>
    <phoneticPr fontId="3" type="noConversion"/>
  </si>
  <si>
    <t xml:space="preserve">경기도 양주시 평화로1970번길 135-34 </t>
    <phoneticPr fontId="3" type="noConversion"/>
  </si>
  <si>
    <t xml:space="preserve">다우리가전 박제곤 대표 </t>
    <phoneticPr fontId="3" type="noConversion"/>
  </si>
  <si>
    <t>010-8108-6958</t>
  </si>
  <si>
    <t>15*10투명(0.8T)  20롤</t>
    <phoneticPr fontId="3" type="noConversion"/>
  </si>
  <si>
    <t>발송 : 보우팩</t>
    <phoneticPr fontId="3" type="noConversion"/>
  </si>
  <si>
    <t>대한종합포장</t>
    <phoneticPr fontId="3" type="noConversion"/>
  </si>
  <si>
    <t>12*10백(0.8T)</t>
    <phoneticPr fontId="3" type="noConversion"/>
  </si>
  <si>
    <t>30롤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</si>
  <si>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</si>
  <si>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</si>
  <si>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</si>
  <si>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</si>
  <si>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대상산업</t>
    <phoneticPr fontId="3" type="noConversion"/>
  </si>
  <si>
    <t>6*10청</t>
    <phoneticPr fontId="3" type="noConversion"/>
  </si>
  <si>
    <t>재고모두</t>
    <phoneticPr fontId="3" type="noConversion"/>
  </si>
  <si>
    <t>랩 1박스 가져오기</t>
    <phoneticPr fontId="3" type="noConversion"/>
  </si>
  <si>
    <t>한주</t>
    <phoneticPr fontId="3" type="noConversion"/>
  </si>
  <si>
    <t>에어백</t>
    <phoneticPr fontId="3" type="noConversion"/>
  </si>
  <si>
    <t>종류별로 2장씩</t>
    <phoneticPr fontId="3" type="noConversion"/>
  </si>
  <si>
    <t>로젠택배</t>
    <phoneticPr fontId="3" type="noConversion"/>
  </si>
  <si>
    <t>디앤푸드</t>
    <phoneticPr fontId="3" type="noConversion"/>
  </si>
  <si>
    <t>50박스</t>
    <phoneticPr fontId="3" type="noConversion"/>
  </si>
  <si>
    <t>승일제대</t>
    <phoneticPr fontId="3" type="noConversion"/>
  </si>
  <si>
    <t>2박스</t>
    <phoneticPr fontId="3" type="noConversion"/>
  </si>
  <si>
    <t>로젠택배</t>
    <phoneticPr fontId="3" type="noConversion"/>
  </si>
  <si>
    <t>명세서 재중</t>
    <phoneticPr fontId="3" type="noConversion"/>
  </si>
  <si>
    <t>주신산업</t>
    <phoneticPr fontId="3" type="noConversion"/>
  </si>
  <si>
    <t>power박스</t>
    <phoneticPr fontId="3" type="noConversion"/>
  </si>
  <si>
    <t>광현페이퍼</t>
  </si>
  <si>
    <t>경기도 포천시 가산면 유교로 34-10 (가산면) 박희철 010-4769-3101 배송메시지 34-10 창고건물입니다 출입문앞에 두시면 됩니다</t>
    <phoneticPr fontId="3" type="noConversion"/>
  </si>
  <si>
    <t>15*10황(솔표인쇄밴드)</t>
    <phoneticPr fontId="3" type="noConversion"/>
  </si>
  <si>
    <t>50롤</t>
    <phoneticPr fontId="3" type="noConversion"/>
  </si>
  <si>
    <t>오전</t>
    <phoneticPr fontId="3" type="noConversion"/>
  </si>
  <si>
    <t>오후</t>
    <phoneticPr fontId="3" type="noConversion"/>
  </si>
  <si>
    <t>한남포장</t>
    <phoneticPr fontId="3" type="noConversion"/>
  </si>
  <si>
    <t>100롤</t>
    <phoneticPr fontId="3" type="noConversion"/>
  </si>
  <si>
    <t>일산</t>
    <phoneticPr fontId="3" type="noConversion"/>
  </si>
  <si>
    <t>김형근</t>
    <phoneticPr fontId="3" type="noConversion"/>
  </si>
  <si>
    <t>에이원코리아</t>
    <phoneticPr fontId="3" type="noConversion"/>
  </si>
  <si>
    <t>12*12황(0.8T)</t>
    <phoneticPr fontId="3" type="noConversion"/>
  </si>
  <si>
    <t>112롤</t>
    <phoneticPr fontId="3" type="noConversion"/>
  </si>
  <si>
    <t>12*9.5황</t>
    <phoneticPr fontId="3" type="noConversion"/>
  </si>
  <si>
    <t>하영종합상사</t>
    <phoneticPr fontId="3" type="noConversion"/>
  </si>
  <si>
    <t>5박스</t>
    <phoneticPr fontId="3" type="noConversion"/>
  </si>
  <si>
    <t>로젠택배</t>
    <phoneticPr fontId="3" type="noConversion"/>
  </si>
  <si>
    <t>100롤</t>
    <phoneticPr fontId="3" type="noConversion"/>
  </si>
  <si>
    <t>동원팩</t>
    <phoneticPr fontId="3" type="noConversion"/>
  </si>
  <si>
    <t>경인팩</t>
    <phoneticPr fontId="3" type="noConversion"/>
  </si>
  <si>
    <t>제주</t>
  </si>
  <si>
    <t>제주특별자치도 서귀포시 토평공단로139번길 5(토평동) 제주런드리 064-733-0053 010-5622-7020</t>
  </si>
  <si>
    <t>금</t>
    <phoneticPr fontId="3" type="noConversion"/>
  </si>
  <si>
    <t>한길포장</t>
    <phoneticPr fontId="3" type="noConversion"/>
  </si>
  <si>
    <t>12*10백(0.75t)</t>
    <phoneticPr fontId="3" type="noConversion"/>
  </si>
  <si>
    <t>128롤</t>
    <phoneticPr fontId="3" type="noConversion"/>
  </si>
  <si>
    <t>12*10청(0.75t)</t>
    <phoneticPr fontId="3" type="noConversion"/>
  </si>
  <si>
    <t>50롤</t>
    <phoneticPr fontId="3" type="noConversion"/>
  </si>
  <si>
    <t>명세서 11/1</t>
    <phoneticPr fontId="3" type="noConversion"/>
  </si>
  <si>
    <t>40"(오후3시)</t>
    <phoneticPr fontId="3" type="noConversion"/>
  </si>
  <si>
    <t>9*10투명</t>
    <phoneticPr fontId="3" type="noConversion"/>
  </si>
  <si>
    <t>6롤</t>
    <phoneticPr fontId="3" type="noConversion"/>
  </si>
  <si>
    <t>2롤3묶음</t>
    <phoneticPr fontId="3" type="noConversion"/>
  </si>
  <si>
    <t>대신택배</t>
    <phoneticPr fontId="3" type="noConversion"/>
  </si>
  <si>
    <t>2750원/kg</t>
    <phoneticPr fontId="3" type="noConversion"/>
  </si>
  <si>
    <t>월요일도착</t>
    <phoneticPr fontId="3" type="noConversion"/>
  </si>
  <si>
    <t>영창유리</t>
    <phoneticPr fontId="3" type="noConversion"/>
  </si>
  <si>
    <t>242롤</t>
    <phoneticPr fontId="3" type="noConversion"/>
  </si>
  <si>
    <t>삼성</t>
    <phoneticPr fontId="3" type="noConversion"/>
  </si>
  <si>
    <t>삼성</t>
    <phoneticPr fontId="3" type="noConversion"/>
  </si>
  <si>
    <t>18*21친환경</t>
    <phoneticPr fontId="3" type="noConversion"/>
  </si>
  <si>
    <t>동원팩</t>
    <phoneticPr fontId="3" type="noConversion"/>
  </si>
  <si>
    <t>PE28*2황</t>
    <phoneticPr fontId="3" type="noConversion"/>
  </si>
  <si>
    <t>6*10백</t>
    <phoneticPr fontId="3" type="noConversion"/>
  </si>
  <si>
    <t>40롤</t>
    <phoneticPr fontId="3" type="noConversion"/>
  </si>
  <si>
    <t>9박스</t>
    <phoneticPr fontId="3" type="noConversion"/>
  </si>
  <si>
    <t>31박스</t>
    <phoneticPr fontId="3" type="noConversion"/>
  </si>
  <si>
    <t>까대기</t>
    <phoneticPr fontId="3" type="noConversion"/>
  </si>
  <si>
    <t>12*12.5황</t>
    <phoneticPr fontId="3" type="noConversion"/>
  </si>
  <si>
    <t>190롤</t>
    <phoneticPr fontId="3" type="noConversion"/>
  </si>
  <si>
    <t>6*10백</t>
    <phoneticPr fontId="3" type="noConversion"/>
  </si>
  <si>
    <t>12*12.5투명</t>
    <phoneticPr fontId="3" type="noConversion"/>
  </si>
  <si>
    <t>10롤</t>
    <phoneticPr fontId="3" type="noConversion"/>
  </si>
  <si>
    <t>20롤</t>
    <phoneticPr fontId="3" type="noConversion"/>
  </si>
  <si>
    <t>40박스</t>
    <phoneticPr fontId="3" type="noConversion"/>
  </si>
  <si>
    <t>전표11/1</t>
    <phoneticPr fontId="3" type="noConversion"/>
  </si>
  <si>
    <t>15*13황 40롤 수거</t>
    <phoneticPr fontId="3" type="noConversion"/>
  </si>
  <si>
    <t>방문출고</t>
    <phoneticPr fontId="3" type="noConversion"/>
  </si>
  <si>
    <t>신우교역</t>
    <phoneticPr fontId="3" type="noConversion"/>
  </si>
  <si>
    <t>12*10황(0.8T)</t>
    <phoneticPr fontId="3" type="noConversion"/>
  </si>
  <si>
    <t>100롤</t>
    <phoneticPr fontId="3" type="noConversion"/>
  </si>
  <si>
    <t>한국스미더스</t>
    <phoneticPr fontId="3" type="noConversion"/>
  </si>
  <si>
    <t>용차</t>
    <phoneticPr fontId="3" type="noConversion"/>
  </si>
  <si>
    <t>11롤</t>
    <phoneticPr fontId="3" type="noConversion"/>
  </si>
  <si>
    <t>전표 11/1 200개 2000원</t>
    <phoneticPr fontId="3" type="noConversion"/>
  </si>
  <si>
    <t>전주삼신산업</t>
    <phoneticPr fontId="3" type="noConversion"/>
  </si>
  <si>
    <t>PE28*2청</t>
    <phoneticPr fontId="3" type="noConversion"/>
  </si>
  <si>
    <t>10박스</t>
    <phoneticPr fontId="3" type="noConversion"/>
  </si>
  <si>
    <t>대신택배</t>
    <phoneticPr fontId="3" type="noConversion"/>
  </si>
  <si>
    <t>서순석 팀장님</t>
    <phoneticPr fontId="8" type="noConversion"/>
  </si>
  <si>
    <t>고메리</t>
    <phoneticPr fontId="3" type="noConversion"/>
  </si>
  <si>
    <t>수작업</t>
    <phoneticPr fontId="3" type="noConversion"/>
  </si>
  <si>
    <t>15톤</t>
    <phoneticPr fontId="3" type="noConversion"/>
  </si>
  <si>
    <t>40"(오후6시)</t>
    <phoneticPr fontId="3" type="noConversion"/>
  </si>
  <si>
    <t>현대테크</t>
  </si>
  <si>
    <t>12*10황(0.75T)</t>
  </si>
  <si>
    <t>3롤</t>
  </si>
  <si>
    <t>영은바인딩</t>
    <phoneticPr fontId="3" type="noConversion"/>
  </si>
  <si>
    <t>2300원</t>
    <phoneticPr fontId="3" type="noConversion"/>
  </si>
  <si>
    <t>삼화인쇄 제책4층</t>
    <phoneticPr fontId="3" type="noConversion"/>
  </si>
  <si>
    <t>에이스팩</t>
    <phoneticPr fontId="3" type="noConversion"/>
  </si>
  <si>
    <t>18*500*350</t>
    <phoneticPr fontId="3" type="noConversion"/>
  </si>
  <si>
    <t>10박스</t>
    <phoneticPr fontId="3" type="noConversion"/>
  </si>
  <si>
    <t>스피드랩직납</t>
    <phoneticPr fontId="3" type="noConversion"/>
  </si>
  <si>
    <t>31800원/박스</t>
    <phoneticPr fontId="3" type="noConversion"/>
  </si>
  <si>
    <t>파코팩</t>
    <phoneticPr fontId="3" type="noConversion"/>
  </si>
  <si>
    <t>PE50*5백</t>
    <phoneticPr fontId="3" type="noConversion"/>
  </si>
  <si>
    <t>50박스</t>
    <phoneticPr fontId="3" type="noConversion"/>
  </si>
  <si>
    <t>방문출고</t>
    <phoneticPr fontId="3" type="noConversion"/>
  </si>
  <si>
    <t>1시</t>
    <phoneticPr fontId="3" type="noConversion"/>
  </si>
  <si>
    <t>경인팩</t>
    <phoneticPr fontId="3" type="noConversion"/>
  </si>
  <si>
    <t>경인팩</t>
    <phoneticPr fontId="3" type="noConversion"/>
  </si>
  <si>
    <t>전원팜</t>
    <phoneticPr fontId="3" type="noConversion"/>
  </si>
  <si>
    <t>남양주시 진건읍 송능리13번지 전원팜   031-575-0887</t>
    <phoneticPr fontId="3" type="noConversion"/>
  </si>
  <si>
    <t>PE28*6백</t>
    <phoneticPr fontId="3" type="noConversion"/>
  </si>
  <si>
    <t>6*10백</t>
    <phoneticPr fontId="3" type="noConversion"/>
  </si>
  <si>
    <t>224롤</t>
    <phoneticPr fontId="3" type="noConversion"/>
  </si>
  <si>
    <t>PE28*2적</t>
    <phoneticPr fontId="3" type="noConversion"/>
  </si>
  <si>
    <t>PE28*2황</t>
    <phoneticPr fontId="3" type="noConversion"/>
  </si>
  <si>
    <t>64박스</t>
    <phoneticPr fontId="3" type="noConversion"/>
  </si>
  <si>
    <t>56박스</t>
    <phoneticPr fontId="3" type="noConversion"/>
  </si>
  <si>
    <t>30박스</t>
    <phoneticPr fontId="3" type="noConversion"/>
  </si>
  <si>
    <t>5박스</t>
    <phoneticPr fontId="3" type="noConversion"/>
  </si>
  <si>
    <t>10박스</t>
    <phoneticPr fontId="3" type="noConversion"/>
  </si>
  <si>
    <t>오전용차</t>
    <phoneticPr fontId="3" type="noConversion"/>
  </si>
  <si>
    <t>7*10백(0.5T)</t>
    <phoneticPr fontId="3" type="noConversion"/>
  </si>
  <si>
    <t>신광포장</t>
    <phoneticPr fontId="3" type="noConversion"/>
  </si>
  <si>
    <t>12*10황(0.65T)</t>
    <phoneticPr fontId="3" type="noConversion"/>
  </si>
  <si>
    <t>15*10황(0.65T)</t>
    <phoneticPr fontId="3" type="noConversion"/>
  </si>
  <si>
    <t>56롤</t>
    <phoneticPr fontId="3" type="noConversion"/>
  </si>
  <si>
    <t>56롤</t>
    <phoneticPr fontId="3" type="noConversion"/>
  </si>
  <si>
    <t>20박스</t>
    <phoneticPr fontId="3" type="noConversion"/>
  </si>
  <si>
    <t>5박스</t>
    <phoneticPr fontId="3" type="noConversion"/>
  </si>
  <si>
    <t>(마켓컬리)</t>
  </si>
  <si>
    <t>낙원포장</t>
    <phoneticPr fontId="3" type="noConversion"/>
  </si>
  <si>
    <t>12*10황(0.8T)</t>
    <phoneticPr fontId="3" type="noConversion"/>
  </si>
  <si>
    <t>100롤</t>
    <phoneticPr fontId="3" type="noConversion"/>
  </si>
  <si>
    <t>나무파레트, 화살표</t>
    <phoneticPr fontId="3" type="noConversion"/>
  </si>
  <si>
    <t>15*10황(0.8T)</t>
    <phoneticPr fontId="3" type="noConversion"/>
  </si>
  <si>
    <t>100롤</t>
    <phoneticPr fontId="3" type="noConversion"/>
  </si>
  <si>
    <t>삼성프린팅솔루션</t>
    <phoneticPr fontId="3" type="noConversion"/>
  </si>
  <si>
    <t>15*10황(0.65T)</t>
    <phoneticPr fontId="3" type="noConversion"/>
  </si>
  <si>
    <t>50롤</t>
    <phoneticPr fontId="3" type="noConversion"/>
  </si>
  <si>
    <t>파워엠팩</t>
    <phoneticPr fontId="3" type="noConversion"/>
  </si>
  <si>
    <t>10.5*10투명</t>
    <phoneticPr fontId="3" type="noConversion"/>
  </si>
  <si>
    <t>100롤</t>
    <phoneticPr fontId="3" type="noConversion"/>
  </si>
  <si>
    <t>지방합화차착불</t>
    <phoneticPr fontId="3" type="noConversion"/>
  </si>
  <si>
    <t>전표11/1</t>
    <phoneticPr fontId="3" type="noConversion"/>
  </si>
  <si>
    <t>파워엠팩</t>
    <phoneticPr fontId="3" type="noConversion"/>
  </si>
  <si>
    <t>12*10청색</t>
    <phoneticPr fontId="3" type="noConversion"/>
  </si>
  <si>
    <t>100롤</t>
    <phoneticPr fontId="3" type="noConversion"/>
  </si>
  <si>
    <t>56롤</t>
    <phoneticPr fontId="3" type="noConversion"/>
  </si>
  <si>
    <t>대신택배</t>
    <phoneticPr fontId="3" type="noConversion"/>
  </si>
  <si>
    <t>전북 전주시 덕진구 금상동 1288-3 유한회사 소양  010-4154-1004</t>
    <phoneticPr fontId="3" type="noConversion"/>
  </si>
  <si>
    <t>나무파레트</t>
    <phoneticPr fontId="3" type="noConversion"/>
  </si>
  <si>
    <t>세움패키지</t>
    <phoneticPr fontId="3" type="noConversion"/>
  </si>
  <si>
    <t>용차오후2시출발</t>
    <phoneticPr fontId="3" type="noConversion"/>
  </si>
  <si>
    <t>32박스</t>
    <phoneticPr fontId="3" type="noConversion"/>
  </si>
  <si>
    <t>power박스</t>
    <phoneticPr fontId="3" type="noConversion"/>
  </si>
  <si>
    <t>진송팩</t>
    <phoneticPr fontId="3" type="noConversion"/>
  </si>
  <si>
    <t>10박스</t>
    <phoneticPr fontId="3" type="noConversion"/>
  </si>
  <si>
    <t>오늘2시 용차</t>
    <phoneticPr fontId="3" type="noConversion"/>
  </si>
  <si>
    <t>경기도 김포시 통진읍 가현로 68</t>
    <phoneticPr fontId="3" type="noConversion"/>
  </si>
  <si>
    <t>㈜라이넨스</t>
    <phoneticPr fontId="3" type="noConversion"/>
  </si>
  <si>
    <t>010-2914-1995</t>
    <phoneticPr fontId="3" type="noConversion"/>
  </si>
  <si>
    <t>PE28mm * 2kg 백색 10박스</t>
    <phoneticPr fontId="3" type="noConversion"/>
  </si>
  <si>
    <t>발송 : 진송팩</t>
    <phoneticPr fontId="3" type="noConversion"/>
  </si>
  <si>
    <t>kic박스</t>
    <phoneticPr fontId="3" type="noConversion"/>
  </si>
  <si>
    <t>현진솔루션</t>
    <phoneticPr fontId="3" type="noConversion"/>
  </si>
  <si>
    <t>15*7검정</t>
    <phoneticPr fontId="3" type="noConversion"/>
  </si>
  <si>
    <t>2롤</t>
    <phoneticPr fontId="3" type="noConversion"/>
  </si>
  <si>
    <t>파워팩</t>
    <phoneticPr fontId="3" type="noConversion"/>
  </si>
  <si>
    <t>20"(오전10시)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</si>
  <si>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</si>
  <si>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</si>
  <si>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</si>
  <si>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</si>
  <si>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동원팩</t>
    <phoneticPr fontId="3" type="noConversion"/>
  </si>
  <si>
    <t>20박스</t>
    <phoneticPr fontId="3" type="noConversion"/>
  </si>
  <si>
    <t>10박스</t>
    <phoneticPr fontId="3" type="noConversion"/>
  </si>
  <si>
    <t>6*10백</t>
    <phoneticPr fontId="3" type="noConversion"/>
  </si>
  <si>
    <t>40롤</t>
    <phoneticPr fontId="3" type="noConversion"/>
  </si>
  <si>
    <t>일</t>
    <phoneticPr fontId="8" type="noConversion"/>
  </si>
  <si>
    <t>동원팩</t>
    <phoneticPr fontId="3" type="noConversion"/>
  </si>
  <si>
    <t>40박스</t>
    <phoneticPr fontId="3" type="noConversion"/>
  </si>
  <si>
    <t>12*10황(0.8T)</t>
    <phoneticPr fontId="3" type="noConversion"/>
  </si>
  <si>
    <t>30롤</t>
    <phoneticPr fontId="3" type="noConversion"/>
  </si>
  <si>
    <t>방문출고</t>
    <phoneticPr fontId="3" type="noConversion"/>
  </si>
  <si>
    <t>방문출고</t>
    <phoneticPr fontId="3" type="noConversion"/>
  </si>
  <si>
    <t>PE28*2백</t>
    <phoneticPr fontId="3" type="noConversion"/>
  </si>
  <si>
    <t>PE28*6백</t>
    <phoneticPr fontId="3" type="noConversion"/>
  </si>
  <si>
    <t>태광오토팩</t>
    <phoneticPr fontId="3" type="noConversion"/>
  </si>
  <si>
    <t>PE28*2청</t>
    <phoneticPr fontId="3" type="noConversion"/>
  </si>
  <si>
    <t>10박스</t>
    <phoneticPr fontId="3" type="noConversion"/>
  </si>
  <si>
    <t>176롤</t>
    <phoneticPr fontId="3" type="noConversion"/>
  </si>
  <si>
    <t>205롤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</si>
  <si>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</si>
  <si>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</si>
  <si>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</si>
  <si>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포천</t>
    <phoneticPr fontId="3" type="noConversion"/>
  </si>
  <si>
    <t>포천시 영북면 야미리 416-2 에그플러스 031-535-0300</t>
    <phoneticPr fontId="3" type="noConversion"/>
  </si>
  <si>
    <t>용차</t>
    <phoneticPr fontId="3" type="noConversion"/>
  </si>
  <si>
    <t>한주</t>
    <phoneticPr fontId="3" type="noConversion"/>
  </si>
  <si>
    <t>18*21황</t>
    <phoneticPr fontId="3" type="noConversion"/>
  </si>
  <si>
    <t>96롤</t>
    <phoneticPr fontId="3" type="noConversion"/>
  </si>
  <si>
    <t>18*21친환경</t>
    <phoneticPr fontId="3" type="noConversion"/>
  </si>
  <si>
    <t>120롤</t>
    <phoneticPr fontId="3" type="noConversion"/>
  </si>
  <si>
    <t>현대테크</t>
    <phoneticPr fontId="3" type="noConversion"/>
  </si>
  <si>
    <t>12*10황(0.75T)</t>
    <phoneticPr fontId="3" type="noConversion"/>
  </si>
  <si>
    <t>128롤</t>
    <phoneticPr fontId="3" type="noConversion"/>
  </si>
  <si>
    <t>삼성</t>
    <phoneticPr fontId="3" type="noConversion"/>
  </si>
  <si>
    <t>18*21친환경</t>
    <phoneticPr fontId="3" type="noConversion"/>
  </si>
  <si>
    <t>동방포장</t>
    <phoneticPr fontId="3" type="noConversion"/>
  </si>
  <si>
    <t>한남포장</t>
    <phoneticPr fontId="3" type="noConversion"/>
  </si>
  <si>
    <t>PE28*2백</t>
    <phoneticPr fontId="3" type="noConversion"/>
  </si>
  <si>
    <t>50박스</t>
    <phoneticPr fontId="3" type="noConversion"/>
  </si>
  <si>
    <t>12*12적</t>
    <phoneticPr fontId="3" type="noConversion"/>
  </si>
  <si>
    <t>81롤</t>
    <phoneticPr fontId="3" type="noConversion"/>
  </si>
  <si>
    <t>경인팩</t>
    <phoneticPr fontId="3" type="noConversion"/>
  </si>
  <si>
    <t>우선산업</t>
    <phoneticPr fontId="3" type="noConversion"/>
  </si>
  <si>
    <t>48박스</t>
    <phoneticPr fontId="3" type="noConversion"/>
  </si>
  <si>
    <t>26000원</t>
    <phoneticPr fontId="3" type="noConversion"/>
  </si>
  <si>
    <t>대신택배</t>
    <phoneticPr fontId="3" type="noConversion"/>
  </si>
  <si>
    <t>랩15*500*400</t>
    <phoneticPr fontId="3" type="noConversion"/>
  </si>
  <si>
    <t>제주시 아라2동 인다1길41  용진유통  010-8536-5105</t>
    <phoneticPr fontId="3" type="noConversion"/>
  </si>
  <si>
    <t>대구한국포장</t>
    <phoneticPr fontId="3" type="noConversion"/>
  </si>
  <si>
    <t>6*10백(0.65T)</t>
    <phoneticPr fontId="3" type="noConversion"/>
  </si>
  <si>
    <t>PE28*2백(24kg)</t>
    <phoneticPr fontId="3" type="noConversion"/>
  </si>
  <si>
    <t>35박스</t>
    <phoneticPr fontId="3" type="noConversion"/>
  </si>
  <si>
    <t>36박스</t>
    <phoneticPr fontId="3" type="noConversion"/>
  </si>
  <si>
    <t>지방합화차착불</t>
    <phoneticPr fontId="3" type="noConversion"/>
  </si>
  <si>
    <t>거성씨푸드</t>
    <phoneticPr fontId="3" type="noConversion"/>
  </si>
  <si>
    <t>15*10투명(0.8T)</t>
    <phoneticPr fontId="3" type="noConversion"/>
  </si>
  <si>
    <t>15롤</t>
    <phoneticPr fontId="3" type="noConversion"/>
  </si>
  <si>
    <t>15롤</t>
    <phoneticPr fontId="3" type="noConversion"/>
  </si>
  <si>
    <t>제주도</t>
    <phoneticPr fontId="3" type="noConversion"/>
  </si>
  <si>
    <t>256롤</t>
    <phoneticPr fontId="3" type="noConversion"/>
  </si>
  <si>
    <t>아주파레트 맞교환</t>
    <phoneticPr fontId="3" type="noConversion"/>
  </si>
  <si>
    <t>오전</t>
    <phoneticPr fontId="3" type="noConversion"/>
  </si>
  <si>
    <t>오후</t>
    <phoneticPr fontId="3" type="noConversion"/>
  </si>
  <si>
    <t>kic박스 / 하남</t>
    <phoneticPr fontId="3" type="noConversion"/>
  </si>
  <si>
    <t>대상산업</t>
    <phoneticPr fontId="3" type="noConversion"/>
  </si>
  <si>
    <t>1박스</t>
    <phoneticPr fontId="3" type="noConversion"/>
  </si>
  <si>
    <t>제천</t>
    <phoneticPr fontId="3" type="noConversion"/>
  </si>
  <si>
    <t>로젠택배</t>
    <phoneticPr fontId="3" type="noConversion"/>
  </si>
  <si>
    <t>진일계란</t>
    <phoneticPr fontId="3" type="noConversion"/>
  </si>
  <si>
    <t>주신산업</t>
    <phoneticPr fontId="3" type="noConversion"/>
  </si>
  <si>
    <t>1박스</t>
    <phoneticPr fontId="3" type="noConversion"/>
  </si>
  <si>
    <t>경기도 파주시 월룽면 누현길92-2 티메카공구상가 D동109호 제일축산 010-5415-4594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</si>
  <si>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</si>
  <si>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</si>
  <si>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</si>
  <si>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강릉</t>
    <phoneticPr fontId="3" type="noConversion"/>
  </si>
  <si>
    <t>대신택배</t>
    <phoneticPr fontId="3" type="noConversion"/>
  </si>
  <si>
    <t>강릉시 월호평길 76번길 36-12(월호평동) 주식회사 아라솔 033-553-1792 / 010-8919-8768</t>
    <phoneticPr fontId="3" type="noConversion"/>
  </si>
  <si>
    <t>콘즈</t>
    <phoneticPr fontId="3" type="noConversion"/>
  </si>
  <si>
    <t>수작업</t>
    <phoneticPr fontId="3" type="noConversion"/>
  </si>
  <si>
    <t>20"(오후2시)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</si>
  <si>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</si>
  <si>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</si>
  <si>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</si>
  <si>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PE28*2황</t>
    <phoneticPr fontId="3" type="noConversion"/>
  </si>
  <si>
    <t>PE28*2청</t>
    <phoneticPr fontId="3" type="noConversion"/>
  </si>
  <si>
    <t>10박스</t>
    <phoneticPr fontId="3" type="noConversion"/>
  </si>
  <si>
    <t>10박스</t>
    <phoneticPr fontId="3" type="noConversion"/>
  </si>
  <si>
    <t>방문출고</t>
    <phoneticPr fontId="3" type="noConversion"/>
  </si>
  <si>
    <t>광림포장</t>
    <phoneticPr fontId="3" type="noConversion"/>
  </si>
  <si>
    <t>12*10황</t>
    <phoneticPr fontId="3" type="noConversion"/>
  </si>
  <si>
    <t>64롤</t>
    <phoneticPr fontId="3" type="noConversion"/>
  </si>
  <si>
    <t>12*12.5황</t>
    <phoneticPr fontId="3" type="noConversion"/>
  </si>
  <si>
    <t>12*10황(0.65T)</t>
    <phoneticPr fontId="3" type="noConversion"/>
  </si>
  <si>
    <t>32롤</t>
    <phoneticPr fontId="3" type="noConversion"/>
  </si>
  <si>
    <t>패드갈이 / 빨간밴딩</t>
    <phoneticPr fontId="3" type="noConversion"/>
  </si>
  <si>
    <t>같이</t>
    <phoneticPr fontId="3" type="noConversion"/>
  </si>
  <si>
    <t>power박스</t>
    <phoneticPr fontId="3" type="noConversion"/>
  </si>
  <si>
    <t>탐스텍</t>
    <phoneticPr fontId="3" type="noConversion"/>
  </si>
  <si>
    <t>팔레트</t>
    <phoneticPr fontId="3" type="noConversion"/>
  </si>
  <si>
    <t>LCL(오전9시)</t>
    <phoneticPr fontId="3" type="noConversion"/>
  </si>
  <si>
    <t>알엘비</t>
    <phoneticPr fontId="3" type="noConversion"/>
  </si>
  <si>
    <t>팔레트</t>
    <phoneticPr fontId="3" type="noConversion"/>
  </si>
  <si>
    <t>15.2톤</t>
    <phoneticPr fontId="3" type="noConversion"/>
  </si>
  <si>
    <t>40"(오전10시)</t>
    <phoneticPr fontId="3" type="noConversion"/>
  </si>
  <si>
    <t>엔지세이프티</t>
    <phoneticPr fontId="3" type="noConversion"/>
  </si>
  <si>
    <t>7.7톤</t>
    <phoneticPr fontId="3" type="noConversion"/>
  </si>
  <si>
    <t>20"(오후3시)</t>
    <phoneticPr fontId="3" type="noConversion"/>
  </si>
  <si>
    <t>하이게이트</t>
    <phoneticPr fontId="3" type="noConversion"/>
  </si>
  <si>
    <t>수작업</t>
    <phoneticPr fontId="3" type="noConversion"/>
  </si>
  <si>
    <t>40"(오전10시)</t>
    <phoneticPr fontId="3" type="noConversion"/>
  </si>
  <si>
    <t>15*13황</t>
    <phoneticPr fontId="3" type="noConversion"/>
  </si>
  <si>
    <t>40롤</t>
    <phoneticPr fontId="3" type="noConversion"/>
  </si>
  <si>
    <t>태양지대</t>
  </si>
  <si>
    <t>신대한판지</t>
    <phoneticPr fontId="3" type="noConversion"/>
  </si>
  <si>
    <t>9*9.5백</t>
    <phoneticPr fontId="3" type="noConversion"/>
  </si>
  <si>
    <t>63롤</t>
    <phoneticPr fontId="3" type="noConversion"/>
  </si>
  <si>
    <t>용차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</si>
  <si>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</si>
  <si>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</si>
  <si>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</si>
  <si>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용차</t>
    <phoneticPr fontId="3" type="noConversion"/>
  </si>
  <si>
    <t>6*10황</t>
    <phoneticPr fontId="3" type="noConversion"/>
  </si>
  <si>
    <t>신광포장</t>
    <phoneticPr fontId="3" type="noConversion"/>
  </si>
  <si>
    <t>15*10황(0.65T)</t>
    <phoneticPr fontId="3" type="noConversion"/>
  </si>
  <si>
    <t>48롤</t>
    <phoneticPr fontId="3" type="noConversion"/>
  </si>
  <si>
    <t>해성식품</t>
    <phoneticPr fontId="3" type="noConversion"/>
  </si>
  <si>
    <t>전주삼신산업</t>
    <phoneticPr fontId="3" type="noConversion"/>
  </si>
  <si>
    <t>7*10백</t>
    <phoneticPr fontId="3" type="noConversion"/>
  </si>
  <si>
    <t>15롤</t>
    <phoneticPr fontId="3" type="noConversion"/>
  </si>
  <si>
    <t>9*10황</t>
    <phoneticPr fontId="3" type="noConversion"/>
  </si>
  <si>
    <t>20롤</t>
    <phoneticPr fontId="3" type="noConversion"/>
  </si>
  <si>
    <t>10박스</t>
    <phoneticPr fontId="3" type="noConversion"/>
  </si>
  <si>
    <t>대신택배</t>
    <phoneticPr fontId="3" type="noConversion"/>
  </si>
  <si>
    <t>48롤</t>
    <phoneticPr fontId="3" type="noConversion"/>
  </si>
  <si>
    <t>동원피앤아이</t>
    <phoneticPr fontId="3" type="noConversion"/>
  </si>
  <si>
    <t>PE50*5백</t>
    <phoneticPr fontId="3" type="noConversion"/>
  </si>
  <si>
    <t>56박스</t>
    <phoneticPr fontId="3" type="noConversion"/>
  </si>
  <si>
    <t>PE50*4.7황</t>
    <phoneticPr fontId="3" type="noConversion"/>
  </si>
  <si>
    <t>60박스</t>
    <phoneticPr fontId="3" type="noConversion"/>
  </si>
  <si>
    <t>대한종합포장</t>
    <phoneticPr fontId="3" type="noConversion"/>
  </si>
  <si>
    <t>50박스</t>
    <phoneticPr fontId="3" type="noConversion"/>
  </si>
  <si>
    <t>10박스</t>
    <phoneticPr fontId="3" type="noConversion"/>
  </si>
  <si>
    <t>방문출고</t>
    <phoneticPr fontId="3" type="noConversion"/>
  </si>
  <si>
    <t>랩15*500*400</t>
    <phoneticPr fontId="3" type="noConversion"/>
  </si>
  <si>
    <t>파워엠팩</t>
    <phoneticPr fontId="3" type="noConversion"/>
  </si>
  <si>
    <t>14*10적</t>
    <phoneticPr fontId="3" type="noConversion"/>
  </si>
  <si>
    <t>50롤</t>
    <phoneticPr fontId="3" type="noConversion"/>
  </si>
  <si>
    <t>14*10황</t>
    <phoneticPr fontId="3" type="noConversion"/>
  </si>
  <si>
    <t>50롤</t>
    <phoneticPr fontId="3" type="noConversion"/>
  </si>
  <si>
    <t>파코팩에서 출고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</si>
  <si>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</si>
  <si>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</si>
  <si>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</si>
  <si>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10.5*10투명</t>
    <phoneticPr fontId="3" type="noConversion"/>
  </si>
  <si>
    <t>40롤</t>
    <phoneticPr fontId="3" type="noConversion"/>
  </si>
  <si>
    <t>방문출고</t>
    <phoneticPr fontId="3" type="noConversion"/>
  </si>
  <si>
    <t>방문출고</t>
    <phoneticPr fontId="3" type="noConversion"/>
  </si>
  <si>
    <t>12*10청(0.75T)</t>
    <phoneticPr fontId="3" type="noConversion"/>
  </si>
  <si>
    <t>52롤</t>
    <phoneticPr fontId="3" type="noConversion"/>
  </si>
  <si>
    <t>지방합화차</t>
    <phoneticPr fontId="3" type="noConversion"/>
  </si>
  <si>
    <t>경남 진주</t>
    <phoneticPr fontId="3" type="noConversion"/>
  </si>
  <si>
    <t>동원팩</t>
    <phoneticPr fontId="3" type="noConversion"/>
  </si>
  <si>
    <t>PE28*6백</t>
    <phoneticPr fontId="3" type="noConversion"/>
  </si>
  <si>
    <t>20박스</t>
    <phoneticPr fontId="3" type="noConversion"/>
  </si>
  <si>
    <t>방문신청(국내도)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</si>
  <si>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</si>
  <si>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</si>
  <si>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</si>
  <si>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79롤</t>
    <phoneticPr fontId="3" type="noConversion"/>
  </si>
  <si>
    <t>금성포장</t>
    <phoneticPr fontId="3" type="noConversion"/>
  </si>
  <si>
    <t>랩15*500*400</t>
    <phoneticPr fontId="3" type="noConversion"/>
  </si>
  <si>
    <t>15박스</t>
    <phoneticPr fontId="3" type="noConversion"/>
  </si>
  <si>
    <t>12*10황(0.65T)</t>
    <phoneticPr fontId="3" type="noConversion"/>
  </si>
  <si>
    <t>56롤</t>
    <phoneticPr fontId="3" type="noConversion"/>
  </si>
  <si>
    <t>56롤</t>
    <phoneticPr fontId="3" type="noConversion"/>
  </si>
  <si>
    <t>합동포장</t>
    <phoneticPr fontId="3" type="noConversion"/>
  </si>
  <si>
    <t>12*10황</t>
    <phoneticPr fontId="3" type="noConversion"/>
  </si>
  <si>
    <t>12*10백</t>
    <phoneticPr fontId="3" type="noConversion"/>
  </si>
  <si>
    <t>PE28*2백</t>
    <phoneticPr fontId="3" type="noConversion"/>
  </si>
  <si>
    <t>4박스</t>
    <phoneticPr fontId="3" type="noConversion"/>
  </si>
  <si>
    <t>30롤</t>
    <phoneticPr fontId="3" type="noConversion"/>
  </si>
  <si>
    <t>20롤</t>
    <phoneticPr fontId="3" type="noConversion"/>
  </si>
  <si>
    <t>kic박스 / 불량교환</t>
    <phoneticPr fontId="3" type="noConversion"/>
  </si>
  <si>
    <t>보우팩</t>
    <phoneticPr fontId="3" type="noConversion"/>
  </si>
  <si>
    <t>6*10백</t>
    <phoneticPr fontId="3" type="noConversion"/>
  </si>
  <si>
    <t>200롤</t>
    <phoneticPr fontId="3" type="noConversion"/>
  </si>
  <si>
    <t>파란밴딩</t>
    <phoneticPr fontId="3" type="noConversion"/>
  </si>
  <si>
    <t>동원팩</t>
    <phoneticPr fontId="3" type="noConversion"/>
  </si>
  <si>
    <t>1박스</t>
    <phoneticPr fontId="3" type="noConversion"/>
  </si>
  <si>
    <t>2박스</t>
    <phoneticPr fontId="3" type="noConversion"/>
  </si>
  <si>
    <t>로젠택배</t>
    <phoneticPr fontId="3" type="noConversion"/>
  </si>
  <si>
    <t>남양주시 화도읍 답내리 94-2 상현축산 010-6366-4614</t>
    <phoneticPr fontId="3" type="noConversion"/>
  </si>
  <si>
    <t>경인팩</t>
    <phoneticPr fontId="3" type="noConversion"/>
  </si>
  <si>
    <t>48박스</t>
    <phoneticPr fontId="3" type="noConversion"/>
  </si>
  <si>
    <t>용차</t>
    <phoneticPr fontId="3" type="noConversion"/>
  </si>
  <si>
    <t>경기도 평택시 막곡길 64(가재동)  도란도란  010-5032-8011</t>
    <phoneticPr fontId="3" type="noConversion"/>
  </si>
  <si>
    <t>1파레트로 만들기</t>
    <phoneticPr fontId="3" type="noConversion"/>
  </si>
  <si>
    <t>경기도 평택시 막곡길 64(가재동)</t>
    <phoneticPr fontId="3" type="noConversion"/>
  </si>
  <si>
    <t>도란도란  010-5032-8011</t>
    <phoneticPr fontId="3" type="noConversion"/>
  </si>
  <si>
    <t>랩 15*500*400  48박스</t>
    <phoneticPr fontId="3" type="noConversion"/>
  </si>
  <si>
    <t>발송 : 경인팩</t>
    <phoneticPr fontId="3" type="noConversion"/>
  </si>
  <si>
    <t>인쇄밴드 불량</t>
    <phoneticPr fontId="3" type="noConversion"/>
  </si>
  <si>
    <t>50롤</t>
    <phoneticPr fontId="3" type="noConversion"/>
  </si>
  <si>
    <t>용차착불</t>
    <phoneticPr fontId="3" type="noConversion"/>
  </si>
  <si>
    <t>대광케이스</t>
    <phoneticPr fontId="3" type="noConversion"/>
  </si>
  <si>
    <t>롤당 13,000원</t>
    <phoneticPr fontId="3" type="noConversion"/>
  </si>
  <si>
    <t>12*12.5황</t>
    <phoneticPr fontId="3" type="noConversion"/>
  </si>
  <si>
    <t>100롤</t>
    <phoneticPr fontId="3" type="noConversion"/>
  </si>
  <si>
    <t>나무파레트</t>
    <phoneticPr fontId="3" type="noConversion"/>
  </si>
  <si>
    <t>1착</t>
    <phoneticPr fontId="3" type="noConversion"/>
  </si>
  <si>
    <t>광주천일포장</t>
    <phoneticPr fontId="3" type="noConversion"/>
  </si>
  <si>
    <t>6*10백(0.65T)</t>
    <phoneticPr fontId="3" type="noConversion"/>
  </si>
  <si>
    <t>32박스</t>
    <phoneticPr fontId="3" type="noConversion"/>
  </si>
  <si>
    <t>경인팩</t>
    <phoneticPr fontId="3" type="noConversion"/>
  </si>
  <si>
    <t>경인팩박스/광주천일포장</t>
    <phoneticPr fontId="3" type="noConversion"/>
  </si>
  <si>
    <t>지방합화차</t>
    <phoneticPr fontId="3" type="noConversion"/>
  </si>
  <si>
    <t>64롤</t>
    <phoneticPr fontId="3" type="noConversion"/>
  </si>
  <si>
    <t>노란밴딩/종이두르기</t>
    <phoneticPr fontId="3" type="noConversion"/>
  </si>
  <si>
    <t>파코팩</t>
    <phoneticPr fontId="3" type="noConversion"/>
  </si>
  <si>
    <t>샘플</t>
    <phoneticPr fontId="3" type="noConversion"/>
  </si>
  <si>
    <t>6*10황</t>
    <phoneticPr fontId="3" type="noConversion"/>
  </si>
  <si>
    <t>1롤</t>
    <phoneticPr fontId="3" type="noConversion"/>
  </si>
  <si>
    <t>대신택배착불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</si>
  <si>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</si>
  <si>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</si>
  <si>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</si>
  <si>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</si>
  <si>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오전8시30분 출발</t>
    <phoneticPr fontId="3" type="noConversion"/>
  </si>
  <si>
    <t>12*11.3</t>
    <phoneticPr fontId="3" type="noConversion"/>
  </si>
  <si>
    <t>B품</t>
    <phoneticPr fontId="3" type="noConversion"/>
  </si>
  <si>
    <t>PE28*2백</t>
    <phoneticPr fontId="3" type="noConversion"/>
  </si>
  <si>
    <t>5롤</t>
    <phoneticPr fontId="3" type="noConversion"/>
  </si>
  <si>
    <t>12*10황(0.65T)</t>
    <phoneticPr fontId="3" type="noConversion"/>
  </si>
  <si>
    <t>10롤</t>
    <phoneticPr fontId="3" type="noConversion"/>
  </si>
  <si>
    <t>2박스</t>
    <phoneticPr fontId="3" type="noConversion"/>
  </si>
  <si>
    <t>진송팩</t>
    <phoneticPr fontId="3" type="noConversion"/>
  </si>
  <si>
    <t>51박스</t>
    <phoneticPr fontId="3" type="noConversion"/>
  </si>
  <si>
    <t>power박스</t>
    <phoneticPr fontId="3" type="noConversion"/>
  </si>
  <si>
    <t>전표 -1박스</t>
    <phoneticPr fontId="3" type="noConversion"/>
  </si>
  <si>
    <t>파워엠팩</t>
    <phoneticPr fontId="3" type="noConversion"/>
  </si>
  <si>
    <t>15*11은회색</t>
    <phoneticPr fontId="3" type="noConversion"/>
  </si>
  <si>
    <t>40롤</t>
    <phoneticPr fontId="3" type="noConversion"/>
  </si>
  <si>
    <t>9*12은회색</t>
    <phoneticPr fontId="3" type="noConversion"/>
  </si>
  <si>
    <t>64롤</t>
    <phoneticPr fontId="3" type="noConversion"/>
  </si>
  <si>
    <t>대구 다오</t>
    <phoneticPr fontId="3" type="noConversion"/>
  </si>
  <si>
    <t>지방합화차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</si>
  <si>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</si>
  <si>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</si>
  <si>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</si>
  <si>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</si>
  <si>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10.5*10투명</t>
    <phoneticPr fontId="3" type="noConversion"/>
  </si>
  <si>
    <t>40롤</t>
    <phoneticPr fontId="3" type="noConversion"/>
  </si>
  <si>
    <t>서흥포장</t>
    <phoneticPr fontId="3" type="noConversion"/>
  </si>
  <si>
    <t>12*10황(0.8T)</t>
    <phoneticPr fontId="3" type="noConversion"/>
  </si>
  <si>
    <t>10롤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</si>
  <si>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</si>
  <si>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</si>
  <si>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</si>
  <si>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96박스</t>
    <phoneticPr fontId="3" type="noConversion"/>
  </si>
  <si>
    <t>28박스</t>
    <phoneticPr fontId="3" type="noConversion"/>
  </si>
  <si>
    <t>10롤</t>
    <phoneticPr fontId="3" type="noConversion"/>
  </si>
  <si>
    <t>제이케이머티리얼즈</t>
    <phoneticPr fontId="3" type="noConversion"/>
  </si>
  <si>
    <t>16*1200반투명녹색</t>
    <phoneticPr fontId="3" type="noConversion"/>
  </si>
  <si>
    <t>10롤</t>
    <phoneticPr fontId="3" type="noConversion"/>
  </si>
  <si>
    <t>대신택배</t>
    <phoneticPr fontId="3" type="noConversion"/>
  </si>
  <si>
    <t>고성오</t>
    <phoneticPr fontId="3" type="noConversion"/>
  </si>
  <si>
    <t>6*10백</t>
    <phoneticPr fontId="3" type="noConversion"/>
  </si>
  <si>
    <t>100롤</t>
    <phoneticPr fontId="3" type="noConversion"/>
  </si>
  <si>
    <t>50롤*2파레트</t>
    <phoneticPr fontId="3" type="noConversion"/>
  </si>
  <si>
    <t>10롤</t>
    <phoneticPr fontId="3" type="noConversion"/>
  </si>
  <si>
    <t>8박스</t>
    <phoneticPr fontId="3" type="noConversion"/>
  </si>
  <si>
    <t>PE28*2백</t>
    <phoneticPr fontId="3" type="noConversion"/>
  </si>
  <si>
    <t>4박스</t>
    <phoneticPr fontId="3" type="noConversion"/>
  </si>
  <si>
    <t>로젠택배</t>
    <phoneticPr fontId="3" type="noConversion"/>
  </si>
  <si>
    <t>동원팩</t>
    <phoneticPr fontId="3" type="noConversion"/>
  </si>
  <si>
    <t>대구한국포장</t>
    <phoneticPr fontId="3" type="noConversion"/>
  </si>
  <si>
    <t>105박스</t>
    <phoneticPr fontId="3" type="noConversion"/>
  </si>
  <si>
    <t>6*10백(0.65T)</t>
    <phoneticPr fontId="3" type="noConversion"/>
  </si>
  <si>
    <t>64롤</t>
    <phoneticPr fontId="3" type="noConversion"/>
  </si>
  <si>
    <t>오전</t>
    <phoneticPr fontId="3" type="noConversion"/>
  </si>
  <si>
    <t>출근하면 바로 배차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</si>
  <si>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</si>
  <si>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</si>
  <si>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</si>
  <si>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</si>
  <si>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파워엠팩</t>
    <phoneticPr fontId="3" type="noConversion"/>
  </si>
  <si>
    <t>6*10백</t>
    <phoneticPr fontId="3" type="noConversion"/>
  </si>
  <si>
    <t>80롤</t>
    <phoneticPr fontId="3" type="noConversion"/>
  </si>
  <si>
    <t>방문출고</t>
    <phoneticPr fontId="3" type="noConversion"/>
  </si>
  <si>
    <t>240롤</t>
    <phoneticPr fontId="3" type="noConversion"/>
  </si>
  <si>
    <t>신광포장</t>
    <phoneticPr fontId="3" type="noConversion"/>
  </si>
  <si>
    <t>명세서 팩스</t>
  </si>
  <si>
    <t>나눔푸드</t>
  </si>
  <si>
    <t>5롤</t>
    <phoneticPr fontId="3" type="noConversion"/>
  </si>
  <si>
    <t>15*10백(0.65t)</t>
    <phoneticPr fontId="3" type="noConversion"/>
  </si>
  <si>
    <t>2롤씩묶음</t>
    <phoneticPr fontId="3" type="noConversion"/>
  </si>
  <si>
    <t>대구광역시 달서구 용산로186 1층 남경계란 이경호  010-6305-2752</t>
    <phoneticPr fontId="3" type="noConversion"/>
  </si>
  <si>
    <t>방문출고</t>
    <phoneticPr fontId="3" type="noConversion"/>
  </si>
  <si>
    <t>21박스</t>
    <phoneticPr fontId="3" type="noConversion"/>
  </si>
  <si>
    <t>전표 21박스 -1박스</t>
    <phoneticPr fontId="3" type="noConversion"/>
  </si>
  <si>
    <t>전표 12/1</t>
    <phoneticPr fontId="3" type="noConversion"/>
  </si>
  <si>
    <t>전표12/1</t>
    <phoneticPr fontId="3" type="noConversion"/>
  </si>
  <si>
    <t>오전 1착</t>
    <phoneticPr fontId="3" type="noConversion"/>
  </si>
  <si>
    <t>파워엠팩</t>
    <phoneticPr fontId="3" type="noConversion"/>
  </si>
  <si>
    <t>14*10백</t>
    <phoneticPr fontId="3" type="noConversion"/>
  </si>
  <si>
    <t>50롤</t>
    <phoneticPr fontId="3" type="noConversion"/>
  </si>
  <si>
    <t>파코팩에서 출고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</si>
  <si>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</si>
  <si>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</si>
  <si>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</si>
  <si>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</si>
  <si>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천안시 서북구 성거읍 모전2길 47-16 대전충남양계농협  010-2410-8501</t>
    <phoneticPr fontId="3" type="noConversion"/>
  </si>
  <si>
    <t>탐스텍</t>
    <phoneticPr fontId="3" type="noConversion"/>
  </si>
  <si>
    <t>한주</t>
    <phoneticPr fontId="3" type="noConversion"/>
  </si>
  <si>
    <t>20톤</t>
    <phoneticPr fontId="3" type="noConversion"/>
  </si>
  <si>
    <t>40"(오후3시)</t>
    <phoneticPr fontId="3" type="noConversion"/>
  </si>
  <si>
    <t>12*10황(0.8T)</t>
    <phoneticPr fontId="3" type="noConversion"/>
  </si>
  <si>
    <t>8롤</t>
    <phoneticPr fontId="3" type="noConversion"/>
  </si>
  <si>
    <t>경기도 파주시 광탄면 보광로 1336-15 (광탄면) 원흥피앤피 김혜선  010-4982-7932 배송메세지 큰 중간 미닫이 문 안쪽으로 넣어주세요. (지게차있는쪽입니다)</t>
    <phoneticPr fontId="3" type="noConversion"/>
  </si>
  <si>
    <t>광림포장</t>
    <phoneticPr fontId="3" type="noConversion"/>
  </si>
  <si>
    <t>9*10황</t>
    <phoneticPr fontId="3" type="noConversion"/>
  </si>
  <si>
    <t>64롤</t>
    <phoneticPr fontId="3" type="noConversion"/>
  </si>
  <si>
    <t>15*10황</t>
    <phoneticPr fontId="3" type="noConversion"/>
  </si>
  <si>
    <t>128롤</t>
    <phoneticPr fontId="3" type="noConversion"/>
  </si>
  <si>
    <t>15롤</t>
    <phoneticPr fontId="3" type="noConversion"/>
  </si>
  <si>
    <t>12*12.5투명</t>
    <phoneticPr fontId="3" type="noConversion"/>
  </si>
  <si>
    <t>40롤</t>
    <phoneticPr fontId="3" type="noConversion"/>
  </si>
  <si>
    <t>15*13황</t>
    <phoneticPr fontId="3" type="noConversion"/>
  </si>
  <si>
    <t>30롤</t>
    <phoneticPr fontId="3" type="noConversion"/>
  </si>
  <si>
    <t>오전일찍</t>
    <phoneticPr fontId="3" type="noConversion"/>
  </si>
  <si>
    <t>엠피아이</t>
    <phoneticPr fontId="3" type="noConversion"/>
  </si>
  <si>
    <t>6박스</t>
    <phoneticPr fontId="3" type="noConversion"/>
  </si>
  <si>
    <t>kic박스</t>
    <phoneticPr fontId="3" type="noConversion"/>
  </si>
  <si>
    <t>로젠택배</t>
    <phoneticPr fontId="3" type="noConversion"/>
  </si>
  <si>
    <t>지방합화차착불</t>
    <phoneticPr fontId="3" type="noConversion"/>
  </si>
  <si>
    <t>신</t>
    <phoneticPr fontId="3" type="noConversion"/>
  </si>
  <si>
    <t>세화종합상사</t>
    <phoneticPr fontId="3" type="noConversion"/>
  </si>
  <si>
    <t>2박스</t>
    <phoneticPr fontId="3" type="noConversion"/>
  </si>
  <si>
    <t>대신화물착불</t>
    <phoneticPr fontId="3" type="noConversion"/>
  </si>
  <si>
    <t>유일포장</t>
    <phoneticPr fontId="3" type="noConversion"/>
  </si>
  <si>
    <t>PE50*5백</t>
    <phoneticPr fontId="3" type="noConversion"/>
  </si>
  <si>
    <t>30박스</t>
    <phoneticPr fontId="3" type="noConversion"/>
  </si>
  <si>
    <t>방문출고</t>
    <phoneticPr fontId="3" type="noConversion"/>
  </si>
  <si>
    <t>6*10황</t>
    <phoneticPr fontId="3" type="noConversion"/>
  </si>
  <si>
    <t>3롤</t>
    <phoneticPr fontId="3" type="noConversion"/>
  </si>
  <si>
    <t>6*10청</t>
    <phoneticPr fontId="3" type="noConversion"/>
  </si>
  <si>
    <t>56롤</t>
    <phoneticPr fontId="3" type="noConversion"/>
  </si>
  <si>
    <t>신광포장</t>
    <phoneticPr fontId="3" type="noConversion"/>
  </si>
  <si>
    <t>10박스</t>
    <phoneticPr fontId="3" type="noConversion"/>
  </si>
  <si>
    <t>동원팩</t>
    <phoneticPr fontId="3" type="noConversion"/>
  </si>
  <si>
    <t>6*10백</t>
    <phoneticPr fontId="3" type="noConversion"/>
  </si>
  <si>
    <t>80롤</t>
    <phoneticPr fontId="3" type="noConversion"/>
  </si>
  <si>
    <t>지방합화차</t>
    <phoneticPr fontId="3" type="noConversion"/>
  </si>
  <si>
    <t>신대한판지</t>
    <phoneticPr fontId="3" type="noConversion"/>
  </si>
  <si>
    <t>12*10백(0.8T)</t>
    <phoneticPr fontId="3" type="noConversion"/>
  </si>
  <si>
    <t>64롤</t>
    <phoneticPr fontId="3" type="noConversion"/>
  </si>
  <si>
    <t>18*21투명</t>
    <phoneticPr fontId="3" type="noConversion"/>
  </si>
  <si>
    <t>1롤</t>
    <phoneticPr fontId="3" type="noConversion"/>
  </si>
  <si>
    <t>12*10황(0.65T)</t>
    <phoneticPr fontId="3" type="noConversion"/>
  </si>
  <si>
    <t>10롤</t>
    <phoneticPr fontId="3" type="noConversion"/>
  </si>
  <si>
    <t>15*10황(0.65T)</t>
    <phoneticPr fontId="3" type="noConversion"/>
  </si>
  <si>
    <t>10롤</t>
    <phoneticPr fontId="3" type="noConversion"/>
  </si>
  <si>
    <t>대신택배</t>
    <phoneticPr fontId="3" type="noConversion"/>
  </si>
  <si>
    <t>9박스</t>
    <phoneticPr fontId="3" type="noConversion"/>
  </si>
  <si>
    <t>power박스</t>
    <phoneticPr fontId="3" type="noConversion"/>
  </si>
  <si>
    <t>전표 12/1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</si>
  <si>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</si>
  <si>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</si>
  <si>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</si>
  <si>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</si>
  <si>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원주시 동부순환로 389-5(봉산동) (주) 서신 033-764-6605   010-8969-6221</t>
    <phoneticPr fontId="3" type="noConversion"/>
  </si>
  <si>
    <t>민건이에이</t>
    <phoneticPr fontId="3" type="noConversion"/>
  </si>
  <si>
    <t>12*10백(0.85T)</t>
    <phoneticPr fontId="3" type="noConversion"/>
  </si>
  <si>
    <t>76롤</t>
    <phoneticPr fontId="3" type="noConversion"/>
  </si>
  <si>
    <t>오전1착</t>
    <phoneticPr fontId="3" type="noConversion"/>
  </si>
  <si>
    <t>9*10투명</t>
    <phoneticPr fontId="3" type="noConversion"/>
  </si>
  <si>
    <t>30롤</t>
    <phoneticPr fontId="3" type="noConversion"/>
  </si>
  <si>
    <t>4박스</t>
    <phoneticPr fontId="3" type="noConversion"/>
  </si>
  <si>
    <t>신영글로벌</t>
    <phoneticPr fontId="3" type="noConversion"/>
  </si>
  <si>
    <t>밴딩기수리분</t>
    <phoneticPr fontId="3" type="noConversion"/>
  </si>
  <si>
    <t>용차착불</t>
    <phoneticPr fontId="3" type="noConversion"/>
  </si>
  <si>
    <t>앤더슨</t>
    <phoneticPr fontId="3" type="noConversion"/>
  </si>
  <si>
    <t>수작업</t>
    <phoneticPr fontId="3" type="noConversion"/>
  </si>
  <si>
    <t>20.8톤</t>
    <phoneticPr fontId="3" type="noConversion"/>
  </si>
  <si>
    <t>40"(오후1시)</t>
    <phoneticPr fontId="3" type="noConversion"/>
  </si>
  <si>
    <t>비나팩</t>
    <phoneticPr fontId="3" type="noConversion"/>
  </si>
  <si>
    <t>수작업+팔레트</t>
    <phoneticPr fontId="3" type="noConversion"/>
  </si>
  <si>
    <t>한주</t>
    <phoneticPr fontId="3" type="noConversion"/>
  </si>
  <si>
    <t>팔레트</t>
    <phoneticPr fontId="3" type="noConversion"/>
  </si>
  <si>
    <t>40"(오후3시)</t>
    <phoneticPr fontId="3" type="noConversion"/>
  </si>
  <si>
    <t>20롤</t>
    <phoneticPr fontId="3" type="noConversion"/>
  </si>
  <si>
    <t>10박스</t>
    <phoneticPr fontId="3" type="noConversion"/>
  </si>
  <si>
    <t>방문출고
전량 까대기</t>
    <phoneticPr fontId="3" type="noConversion"/>
  </si>
  <si>
    <t>PE28*6백</t>
    <phoneticPr fontId="3" type="noConversion"/>
  </si>
  <si>
    <t>PE28*2백</t>
    <phoneticPr fontId="3" type="noConversion"/>
  </si>
  <si>
    <t>power박스</t>
    <phoneticPr fontId="3" type="noConversion"/>
  </si>
  <si>
    <t>10박스</t>
    <phoneticPr fontId="3" type="noConversion"/>
  </si>
  <si>
    <t>PE28*2청</t>
    <phoneticPr fontId="3" type="noConversion"/>
  </si>
  <si>
    <t>2박스</t>
    <phoneticPr fontId="3" type="noConversion"/>
  </si>
  <si>
    <t>6*10백</t>
    <phoneticPr fontId="3" type="noConversion"/>
  </si>
  <si>
    <t>1롤</t>
    <phoneticPr fontId="3" type="noConversion"/>
  </si>
  <si>
    <t>박스포장</t>
    <phoneticPr fontId="3" type="noConversion"/>
  </si>
  <si>
    <t>여수 / 로젠택배착불</t>
    <phoneticPr fontId="3" type="noConversion"/>
  </si>
  <si>
    <t>56롤</t>
    <phoneticPr fontId="3" type="noConversion"/>
  </si>
  <si>
    <t>남양주</t>
    <phoneticPr fontId="3" type="noConversion"/>
  </si>
  <si>
    <t>용차</t>
    <phoneticPr fontId="3" type="noConversion"/>
  </si>
  <si>
    <t>경기도 남양주시 오남읍 양지로 163  텃골푸드   031-527-8263  010-3774-8263</t>
    <phoneticPr fontId="3" type="noConversion"/>
  </si>
  <si>
    <t>남양주시 오남읍 양지로 163</t>
    <phoneticPr fontId="3" type="noConversion"/>
  </si>
  <si>
    <t xml:space="preserve">텃골푸드 </t>
    <phoneticPr fontId="3" type="noConversion"/>
  </si>
  <si>
    <t>PP6mm*10kg 백색  56롤</t>
    <phoneticPr fontId="3" type="noConversion"/>
  </si>
  <si>
    <t>12*10황</t>
    <phoneticPr fontId="3" type="noConversion"/>
  </si>
  <si>
    <t>4롤</t>
    <phoneticPr fontId="3" type="noConversion"/>
  </si>
  <si>
    <t>2롤씩2묶음</t>
    <phoneticPr fontId="3" type="noConversion"/>
  </si>
  <si>
    <t>대신택배착불</t>
    <phoneticPr fontId="3" type="noConversion"/>
  </si>
  <si>
    <t>동원팩</t>
    <phoneticPr fontId="3" type="noConversion"/>
  </si>
  <si>
    <t>동원팩</t>
    <phoneticPr fontId="3" type="noConversion"/>
  </si>
  <si>
    <t>6*10백</t>
    <phoneticPr fontId="3" type="noConversion"/>
  </si>
  <si>
    <t>64롤</t>
    <phoneticPr fontId="3" type="noConversion"/>
  </si>
  <si>
    <t>1파레트</t>
    <phoneticPr fontId="3" type="noConversion"/>
  </si>
  <si>
    <t>1파레트</t>
    <phoneticPr fontId="3" type="noConversion"/>
  </si>
  <si>
    <t>방문출고</t>
    <phoneticPr fontId="3" type="noConversion"/>
  </si>
  <si>
    <t>제이케이머티리얼즈</t>
    <phoneticPr fontId="3" type="noConversion"/>
  </si>
  <si>
    <t>18*10황</t>
    <phoneticPr fontId="3" type="noConversion"/>
  </si>
  <si>
    <t>오전용차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</si>
  <si>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</si>
  <si>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</si>
  <si>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</si>
  <si>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12*10황(0.8T)</t>
    <phoneticPr fontId="3" type="noConversion"/>
  </si>
  <si>
    <t>200롤</t>
    <phoneticPr fontId="3" type="noConversion"/>
  </si>
  <si>
    <t>15*10황(0.8T)</t>
    <phoneticPr fontId="3" type="noConversion"/>
  </si>
  <si>
    <t>50롤</t>
    <phoneticPr fontId="3" type="noConversion"/>
  </si>
  <si>
    <t>오전 준비되면 바로</t>
    <phoneticPr fontId="3" type="noConversion"/>
  </si>
  <si>
    <t>목</t>
    <phoneticPr fontId="3" type="noConversion"/>
  </si>
  <si>
    <t>수</t>
    <phoneticPr fontId="3" type="noConversion"/>
  </si>
  <si>
    <t>40"(오후2시)</t>
    <phoneticPr fontId="3" type="noConversion"/>
  </si>
  <si>
    <t>전주삼신산업</t>
    <phoneticPr fontId="3" type="noConversion"/>
  </si>
  <si>
    <t>20박스</t>
    <phoneticPr fontId="3" type="noConversion"/>
  </si>
  <si>
    <t>2박스</t>
    <phoneticPr fontId="3" type="noConversion"/>
  </si>
  <si>
    <t>전주/대신택배</t>
    <phoneticPr fontId="3" type="noConversion"/>
  </si>
  <si>
    <t>보령/로젠택배착불</t>
    <phoneticPr fontId="3" type="noConversion"/>
  </si>
  <si>
    <t>삼성</t>
    <phoneticPr fontId="3" type="noConversion"/>
  </si>
  <si>
    <t>18*21친</t>
    <phoneticPr fontId="3" type="noConversion"/>
  </si>
  <si>
    <t>136롤</t>
    <phoneticPr fontId="3" type="noConversion"/>
  </si>
  <si>
    <t>130롤</t>
    <phoneticPr fontId="3" type="noConversion"/>
  </si>
  <si>
    <t>12*10황</t>
    <phoneticPr fontId="3" type="noConversion"/>
  </si>
  <si>
    <t>15*13황</t>
    <phoneticPr fontId="3" type="noConversion"/>
  </si>
  <si>
    <t>20롤</t>
    <phoneticPr fontId="3" type="noConversion"/>
  </si>
  <si>
    <t>9*10황</t>
    <phoneticPr fontId="3" type="noConversion"/>
  </si>
  <si>
    <t>20롤</t>
    <phoneticPr fontId="3" type="noConversion"/>
  </si>
  <si>
    <t>PE28*2백</t>
    <phoneticPr fontId="3" type="noConversion"/>
  </si>
  <si>
    <t>45박스</t>
    <phoneticPr fontId="3" type="noConversion"/>
  </si>
  <si>
    <t>파워엠팩</t>
    <phoneticPr fontId="3" type="noConversion"/>
  </si>
  <si>
    <t>10.5*10투명</t>
    <phoneticPr fontId="3" type="noConversion"/>
  </si>
  <si>
    <t>충남 보령시 주교면 보령북로283 에그뱅크 010-8844-3998</t>
    <phoneticPr fontId="3" type="noConversion"/>
  </si>
  <si>
    <t>전주삼신산업</t>
    <phoneticPr fontId="3" type="noConversion"/>
  </si>
  <si>
    <t>여수 / 로젠택배</t>
    <phoneticPr fontId="3" type="noConversion"/>
  </si>
  <si>
    <t>10박스</t>
    <phoneticPr fontId="3" type="noConversion"/>
  </si>
  <si>
    <t>삼성</t>
    <phoneticPr fontId="3" type="noConversion"/>
  </si>
  <si>
    <t>18*21친환경</t>
    <phoneticPr fontId="3" type="noConversion"/>
  </si>
  <si>
    <t>86롤</t>
    <phoneticPr fontId="3" type="noConversion"/>
  </si>
  <si>
    <t>50롤</t>
    <phoneticPr fontId="3" type="noConversion"/>
  </si>
  <si>
    <t>아주파레트 반납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</si>
  <si>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</si>
  <si>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</si>
  <si>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</si>
  <si>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18*21친환경</t>
    <phoneticPr fontId="3" type="noConversion"/>
  </si>
  <si>
    <t>낙원포장</t>
    <phoneticPr fontId="3" type="noConversion"/>
  </si>
  <si>
    <t>15*10 투명(0.8T)</t>
    <phoneticPr fontId="3" type="noConversion"/>
  </si>
  <si>
    <t>60롤</t>
    <phoneticPr fontId="3" type="noConversion"/>
  </si>
  <si>
    <t>김형근</t>
    <phoneticPr fontId="3" type="noConversion"/>
  </si>
  <si>
    <t>방문출고</t>
    <phoneticPr fontId="3" type="noConversion"/>
  </si>
  <si>
    <t>마도종합상사</t>
    <phoneticPr fontId="3" type="noConversion"/>
  </si>
  <si>
    <t>1박스</t>
    <phoneticPr fontId="3" type="noConversion"/>
  </si>
  <si>
    <t>대신화물</t>
    <phoneticPr fontId="3" type="noConversion"/>
  </si>
  <si>
    <t>착불</t>
    <phoneticPr fontId="3" type="noConversion"/>
  </si>
  <si>
    <t>파워엠팩</t>
    <phoneticPr fontId="3" type="noConversion"/>
  </si>
  <si>
    <t>12*10검정(0.75t)</t>
    <phoneticPr fontId="3" type="noConversion"/>
  </si>
  <si>
    <t>200롤</t>
    <phoneticPr fontId="3" type="noConversion"/>
  </si>
  <si>
    <t>지방합화차</t>
    <phoneticPr fontId="3" type="noConversion"/>
  </si>
  <si>
    <t>보우팩</t>
    <phoneticPr fontId="3" type="noConversion"/>
  </si>
  <si>
    <t>6*10 백</t>
    <phoneticPr fontId="3" type="noConversion"/>
  </si>
  <si>
    <t>300롤</t>
    <phoneticPr fontId="3" type="noConversion"/>
  </si>
  <si>
    <t>파랑 밴딩</t>
    <phoneticPr fontId="3" type="noConversion"/>
  </si>
  <si>
    <t>오전</t>
    <phoneticPr fontId="3" type="noConversion"/>
  </si>
  <si>
    <t>560롤</t>
    <phoneticPr fontId="3" type="noConversion"/>
  </si>
  <si>
    <t>12mm주황 인쇄밴드</t>
    <phoneticPr fontId="3" type="noConversion"/>
  </si>
  <si>
    <t>ARK</t>
    <phoneticPr fontId="3" type="noConversion"/>
  </si>
  <si>
    <t>20피드(10시)</t>
    <phoneticPr fontId="3" type="noConversion"/>
  </si>
  <si>
    <t>10.5*10청</t>
    <phoneticPr fontId="3" type="noConversion"/>
  </si>
  <si>
    <t>50롤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</si>
  <si>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</si>
  <si>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</si>
  <si>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</si>
  <si>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밴딩끈 가져오기</t>
    <phoneticPr fontId="3" type="noConversion"/>
  </si>
  <si>
    <t>6*10백</t>
    <phoneticPr fontId="3" type="noConversion"/>
  </si>
  <si>
    <t>50롤</t>
    <phoneticPr fontId="3" type="noConversion"/>
  </si>
  <si>
    <t>파랑밴딩/수동</t>
    <phoneticPr fontId="3" type="noConversion"/>
  </si>
  <si>
    <t>남창(경남 창녕)</t>
    <phoneticPr fontId="3" type="noConversion"/>
  </si>
  <si>
    <t>삼성</t>
    <phoneticPr fontId="3" type="noConversion"/>
  </si>
  <si>
    <t>18*21친환경</t>
    <phoneticPr fontId="3" type="noConversion"/>
  </si>
  <si>
    <t>로젠택배</t>
    <phoneticPr fontId="3" type="noConversion"/>
  </si>
  <si>
    <t>경기도 화성시 마도면 청원로231번길 37(청원리719-1) ㈜대양팩  권수길 총괄이사 031-357-8390 / 010-5490-1926</t>
    <phoneticPr fontId="3" type="noConversion"/>
  </si>
  <si>
    <t>2박스</t>
    <phoneticPr fontId="3" type="noConversion"/>
  </si>
  <si>
    <t>kic박스</t>
    <phoneticPr fontId="3" type="noConversion"/>
  </si>
  <si>
    <t>인스트아이앤씨</t>
    <phoneticPr fontId="3" type="noConversion"/>
  </si>
  <si>
    <t>진송팩</t>
    <phoneticPr fontId="3" type="noConversion"/>
  </si>
  <si>
    <t>50박스</t>
    <phoneticPr fontId="3" type="noConversion"/>
  </si>
  <si>
    <t>7*10백</t>
    <phoneticPr fontId="3" type="noConversion"/>
  </si>
  <si>
    <t>53롤</t>
    <phoneticPr fontId="3" type="noConversion"/>
  </si>
  <si>
    <t>용차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</si>
  <si>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</si>
  <si>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</si>
  <si>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</si>
  <si>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</si>
  <si>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태광오토팩</t>
    <phoneticPr fontId="3" type="noConversion"/>
  </si>
  <si>
    <t>32박스</t>
    <phoneticPr fontId="3" type="noConversion"/>
  </si>
  <si>
    <t>PE28*2백</t>
    <phoneticPr fontId="3" type="noConversion"/>
  </si>
  <si>
    <t>광림포장</t>
    <phoneticPr fontId="3" type="noConversion"/>
  </si>
  <si>
    <t>용차</t>
    <phoneticPr fontId="3" type="noConversion"/>
  </si>
  <si>
    <t>9*10황</t>
    <phoneticPr fontId="3" type="noConversion"/>
  </si>
  <si>
    <t>64롤</t>
    <phoneticPr fontId="3" type="noConversion"/>
  </si>
  <si>
    <t>12*12.5황</t>
    <phoneticPr fontId="3" type="noConversion"/>
  </si>
  <si>
    <t>80롤</t>
    <phoneticPr fontId="3" type="noConversion"/>
  </si>
  <si>
    <t>12*10황</t>
    <phoneticPr fontId="3" type="noConversion"/>
  </si>
  <si>
    <t>128롤</t>
    <phoneticPr fontId="3" type="noConversion"/>
  </si>
  <si>
    <t>오전</t>
    <phoneticPr fontId="3" type="noConversion"/>
  </si>
  <si>
    <t>서흥포장</t>
    <phoneticPr fontId="3" type="noConversion"/>
  </si>
  <si>
    <t>랩15*500*400</t>
    <phoneticPr fontId="3" type="noConversion"/>
  </si>
  <si>
    <t>10박스</t>
    <phoneticPr fontId="3" type="noConversion"/>
  </si>
  <si>
    <t>김형근</t>
    <phoneticPr fontId="3" type="noConversion"/>
  </si>
  <si>
    <t>오후</t>
    <phoneticPr fontId="3" type="noConversion"/>
  </si>
  <si>
    <t>자동용200,테이프100/오전</t>
    <phoneticPr fontId="3" type="noConversion"/>
  </si>
  <si>
    <t>올에이치</t>
    <phoneticPr fontId="3" type="noConversion"/>
  </si>
  <si>
    <t>15*10수축밴드</t>
    <phoneticPr fontId="3" type="noConversion"/>
  </si>
  <si>
    <t>128롤</t>
    <phoneticPr fontId="3" type="noConversion"/>
  </si>
  <si>
    <t>오전용차</t>
    <phoneticPr fontId="3" type="noConversion"/>
  </si>
  <si>
    <t>충북 청주시 현도면 죽암리 416 ㈜올에이치 010-9131-8449</t>
    <phoneticPr fontId="3" type="noConversion"/>
  </si>
  <si>
    <t>신광포장</t>
    <phoneticPr fontId="3" type="noConversion"/>
  </si>
  <si>
    <t>15*10황(0.65T)</t>
    <phoneticPr fontId="3" type="noConversion"/>
  </si>
  <si>
    <t>12*10황(0.65T)</t>
    <phoneticPr fontId="3" type="noConversion"/>
  </si>
  <si>
    <t>PE28*2백</t>
    <phoneticPr fontId="3" type="noConversion"/>
  </si>
  <si>
    <t>PE28*6백</t>
    <phoneticPr fontId="3" type="noConversion"/>
  </si>
  <si>
    <t>56롤</t>
    <phoneticPr fontId="3" type="noConversion"/>
  </si>
  <si>
    <t>25박스</t>
    <phoneticPr fontId="3" type="noConversion"/>
  </si>
  <si>
    <t>5박스</t>
    <phoneticPr fontId="3" type="noConversion"/>
  </si>
  <si>
    <t>kic박스</t>
    <phoneticPr fontId="3" type="noConversion"/>
  </si>
  <si>
    <t>나무파레트</t>
  </si>
  <si>
    <t>1박스</t>
    <phoneticPr fontId="3" type="noConversion"/>
  </si>
  <si>
    <t>전남 화순군 능주면 효죽로433 계란선별팀 앞 백윤효 010-3096-3121</t>
    <phoneticPr fontId="3" type="noConversion"/>
  </si>
  <si>
    <t>경인산업</t>
    <phoneticPr fontId="3" type="noConversion"/>
  </si>
  <si>
    <t>12*10황(0.65T)</t>
    <phoneticPr fontId="3" type="noConversion"/>
  </si>
  <si>
    <t>2롤</t>
    <phoneticPr fontId="3" type="noConversion"/>
  </si>
  <si>
    <t>대신택배</t>
    <phoneticPr fontId="3" type="noConversion"/>
  </si>
  <si>
    <t>경기도 파주시 파주읍 주라위길 338 삼일강업, 031-946-9691</t>
    <phoneticPr fontId="3" type="noConversion"/>
  </si>
  <si>
    <t>되살림패키지</t>
    <phoneticPr fontId="3" type="noConversion"/>
  </si>
  <si>
    <t>32롤</t>
    <phoneticPr fontId="3" type="noConversion"/>
  </si>
  <si>
    <t>대신화물</t>
  </si>
  <si>
    <t>안성대덕점</t>
  </si>
  <si>
    <t>영림유통직납</t>
    <phoneticPr fontId="3" type="noConversion"/>
  </si>
  <si>
    <t>광주천일포장</t>
    <phoneticPr fontId="3" type="noConversion"/>
  </si>
  <si>
    <t>32박스</t>
    <phoneticPr fontId="3" type="noConversion"/>
  </si>
  <si>
    <t>64롤</t>
    <phoneticPr fontId="3" type="noConversion"/>
  </si>
  <si>
    <t>6*10백</t>
    <phoneticPr fontId="3" type="noConversion"/>
  </si>
  <si>
    <t>15*12은회색</t>
    <phoneticPr fontId="3" type="noConversion"/>
  </si>
  <si>
    <t>64롤</t>
    <phoneticPr fontId="3" type="noConversion"/>
  </si>
  <si>
    <t>9*12은회색</t>
    <phoneticPr fontId="3" type="noConversion"/>
  </si>
  <si>
    <t>64롤</t>
    <phoneticPr fontId="3" type="noConversion"/>
  </si>
  <si>
    <t>지방합화차</t>
    <phoneticPr fontId="3" type="noConversion"/>
  </si>
  <si>
    <t>12*10황(0.75T)</t>
    <phoneticPr fontId="3" type="noConversion"/>
  </si>
  <si>
    <t>56롤</t>
    <phoneticPr fontId="3" type="noConversion"/>
  </si>
  <si>
    <t>12*10황(0.8T)</t>
    <phoneticPr fontId="3" type="noConversion"/>
  </si>
  <si>
    <t>56롤</t>
    <phoneticPr fontId="3" type="noConversion"/>
  </si>
  <si>
    <t>유일포장</t>
    <phoneticPr fontId="3" type="noConversion"/>
  </si>
  <si>
    <t>5*7000백</t>
    <phoneticPr fontId="3" type="noConversion"/>
  </si>
  <si>
    <t>방문출고</t>
    <phoneticPr fontId="3" type="noConversion"/>
  </si>
  <si>
    <t>2롤</t>
    <phoneticPr fontId="3" type="noConversion"/>
  </si>
  <si>
    <t>샘플</t>
    <phoneticPr fontId="3" type="noConversion"/>
  </si>
  <si>
    <t>롤당26500원</t>
    <phoneticPr fontId="3" type="noConversion"/>
  </si>
  <si>
    <t>삼성</t>
    <phoneticPr fontId="3" type="noConversion"/>
  </si>
  <si>
    <t>11*2300</t>
    <phoneticPr fontId="3" type="noConversion"/>
  </si>
  <si>
    <t>10롤</t>
    <phoneticPr fontId="3" type="noConversion"/>
  </si>
  <si>
    <t>18*21친환경</t>
    <phoneticPr fontId="3" type="noConversion"/>
  </si>
  <si>
    <t>11kg</t>
    <phoneticPr fontId="3" type="noConversion"/>
  </si>
  <si>
    <t>12*3000투명(0.65T)</t>
    <phoneticPr fontId="3" type="noConversion"/>
  </si>
  <si>
    <t>5롤</t>
    <phoneticPr fontId="3" type="noConversion"/>
  </si>
  <si>
    <t>2150/kg</t>
    <phoneticPr fontId="3" type="noConversion"/>
  </si>
  <si>
    <t>진송팩</t>
    <phoneticPr fontId="3" type="noConversion"/>
  </si>
  <si>
    <t>PE28*2청</t>
    <phoneticPr fontId="3" type="noConversion"/>
  </si>
  <si>
    <t>1박스</t>
    <phoneticPr fontId="3" type="noConversion"/>
  </si>
  <si>
    <t>양산</t>
    <phoneticPr fontId="3" type="noConversion"/>
  </si>
  <si>
    <t>로젠택배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</si>
  <si>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</si>
  <si>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</si>
  <si>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</si>
  <si>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10롤</t>
    <phoneticPr fontId="3" type="noConversion"/>
  </si>
  <si>
    <t>12*10황(0.8T)</t>
    <phoneticPr fontId="3" type="noConversion"/>
  </si>
  <si>
    <t>경남 양산시 상북면 석계산단3길 19 영진종합상사 055-385-4088</t>
    <phoneticPr fontId="3" type="noConversion"/>
  </si>
  <si>
    <t>대전인재사</t>
    <phoneticPr fontId="3" type="noConversion"/>
  </si>
  <si>
    <t>12*10황(0.65T)</t>
    <phoneticPr fontId="3" type="noConversion"/>
  </si>
  <si>
    <t>100롤</t>
    <phoneticPr fontId="3" type="noConversion"/>
  </si>
  <si>
    <t>랩20*500*350</t>
    <phoneticPr fontId="3" type="noConversion"/>
  </si>
  <si>
    <t>64박스</t>
    <phoneticPr fontId="3" type="noConversion"/>
  </si>
  <si>
    <t>지방합화차 착불</t>
    <phoneticPr fontId="3" type="noConversion"/>
  </si>
  <si>
    <t>32500원/박스</t>
    <phoneticPr fontId="3" type="noConversion"/>
  </si>
  <si>
    <t>10.5*10투명</t>
    <phoneticPr fontId="3" type="noConversion"/>
  </si>
  <si>
    <t>010-4187-8449</t>
    <phoneticPr fontId="3" type="noConversion"/>
  </si>
  <si>
    <t>대성씨앤씨</t>
    <phoneticPr fontId="3" type="noConversion"/>
  </si>
  <si>
    <t>12*10황(0.8T)</t>
    <phoneticPr fontId="3" type="noConversion"/>
  </si>
  <si>
    <t>2공장</t>
    <phoneticPr fontId="3" type="noConversion"/>
  </si>
  <si>
    <t>김형근</t>
    <phoneticPr fontId="3" type="noConversion"/>
  </si>
  <si>
    <t>삼영피앤텍</t>
    <phoneticPr fontId="3" type="noConversion"/>
  </si>
  <si>
    <t>2박스</t>
    <phoneticPr fontId="3" type="noConversion"/>
  </si>
  <si>
    <t>거래명세표 재중</t>
    <phoneticPr fontId="3" type="noConversion"/>
  </si>
  <si>
    <t>지방합화차</t>
    <phoneticPr fontId="3" type="noConversion"/>
  </si>
  <si>
    <t>세움패키지</t>
    <phoneticPr fontId="3" type="noConversion"/>
  </si>
  <si>
    <t>20박스</t>
    <phoneticPr fontId="3" type="noConversion"/>
  </si>
  <si>
    <t>용차</t>
    <phoneticPr fontId="3" type="noConversion"/>
  </si>
  <si>
    <t>대원포장기계</t>
    <phoneticPr fontId="3" type="noConversion"/>
  </si>
  <si>
    <t>대신화물착불</t>
    <phoneticPr fontId="3" type="noConversion"/>
  </si>
  <si>
    <t>진송팩</t>
    <phoneticPr fontId="3" type="noConversion"/>
  </si>
  <si>
    <t>PE28*2녹</t>
    <phoneticPr fontId="3" type="noConversion"/>
  </si>
  <si>
    <t>2박스</t>
    <phoneticPr fontId="3" type="noConversion"/>
  </si>
  <si>
    <t>로젠택배</t>
    <phoneticPr fontId="3" type="noConversion"/>
  </si>
  <si>
    <t>대구달성화원지점</t>
    <phoneticPr fontId="3" type="noConversion"/>
  </si>
  <si>
    <t>알엘비</t>
    <phoneticPr fontId="3" type="noConversion"/>
  </si>
  <si>
    <t>팔레트</t>
    <phoneticPr fontId="3" type="noConversion"/>
  </si>
  <si>
    <t>8톤</t>
    <phoneticPr fontId="3" type="noConversion"/>
  </si>
  <si>
    <t>PE28*2적</t>
    <phoneticPr fontId="3" type="noConversion"/>
  </si>
  <si>
    <t>1박스</t>
    <phoneticPr fontId="3" type="noConversion"/>
  </si>
  <si>
    <t>대구한국포장</t>
    <phoneticPr fontId="3" type="noConversion"/>
  </si>
  <si>
    <t>6*10백</t>
    <phoneticPr fontId="3" type="noConversion"/>
  </si>
  <si>
    <t>30롤</t>
    <phoneticPr fontId="3" type="noConversion"/>
  </si>
  <si>
    <t>진송팩</t>
    <phoneticPr fontId="3" type="noConversion"/>
  </si>
  <si>
    <t>오비아이</t>
    <phoneticPr fontId="3" type="noConversion"/>
  </si>
  <si>
    <t>24박스</t>
    <phoneticPr fontId="3" type="noConversion"/>
  </si>
  <si>
    <t>박스만2개 같이 출고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</si>
  <si>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</si>
  <si>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</si>
  <si>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</si>
  <si>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고양시 일산서구 가좌동1021  장항양계   010-7311-0319</t>
    <phoneticPr fontId="3" type="noConversion"/>
  </si>
  <si>
    <t>1시이후 용차</t>
    <phoneticPr fontId="3" type="noConversion"/>
  </si>
  <si>
    <t>경인팩박스</t>
    <phoneticPr fontId="3" type="noConversion"/>
  </si>
  <si>
    <t>진송팩</t>
    <phoneticPr fontId="3" type="noConversion"/>
  </si>
  <si>
    <t>30박스</t>
    <phoneticPr fontId="3" type="noConversion"/>
  </si>
  <si>
    <t>대신화물</t>
    <phoneticPr fontId="3" type="noConversion"/>
  </si>
  <si>
    <t>김제 서암지점 푸른상사 010-5232-5551</t>
    <phoneticPr fontId="3" type="noConversion"/>
  </si>
  <si>
    <t>power박스</t>
    <phoneticPr fontId="3" type="noConversion"/>
  </si>
  <si>
    <t xml:space="preserve">고양시 일산서구 가좌동 1021  </t>
    <phoneticPr fontId="3" type="noConversion"/>
  </si>
  <si>
    <t xml:space="preserve">장항양계   </t>
    <phoneticPr fontId="3" type="noConversion"/>
  </si>
  <si>
    <t>010-7311-0319</t>
  </si>
  <si>
    <t>동원팩</t>
    <phoneticPr fontId="3" type="noConversion"/>
  </si>
  <si>
    <t>1박스</t>
    <phoneticPr fontId="3" type="noConversion"/>
  </si>
  <si>
    <t>로젠택배착불</t>
    <phoneticPr fontId="3" type="noConversion"/>
  </si>
  <si>
    <t>안성시 삼죽면 내장리 211 농부마을 010-9662-5100</t>
    <phoneticPr fontId="3" type="noConversion"/>
  </si>
  <si>
    <t>삼보팩</t>
    <phoneticPr fontId="3" type="noConversion"/>
  </si>
  <si>
    <t>12*10황(0.8T)</t>
    <phoneticPr fontId="3" type="noConversion"/>
  </si>
  <si>
    <t>100롤</t>
    <phoneticPr fontId="3" type="noConversion"/>
  </si>
  <si>
    <t>삼원산업</t>
    <phoneticPr fontId="3" type="noConversion"/>
  </si>
  <si>
    <t>12*12황(0.75T)</t>
    <phoneticPr fontId="3" type="noConversion"/>
  </si>
  <si>
    <t>12*10황(0.85T)</t>
    <phoneticPr fontId="3" type="noConversion"/>
  </si>
  <si>
    <t>50롤</t>
    <phoneticPr fontId="3" type="noConversion"/>
  </si>
  <si>
    <t>50롤</t>
    <phoneticPr fontId="3" type="noConversion"/>
  </si>
  <si>
    <t>50롤</t>
    <phoneticPr fontId="3" type="noConversion"/>
  </si>
  <si>
    <t>8*10백(0.5T)</t>
    <phoneticPr fontId="3" type="noConversion"/>
  </si>
  <si>
    <t>50롤</t>
    <phoneticPr fontId="3" type="noConversion"/>
  </si>
  <si>
    <t>15*10적</t>
    <phoneticPr fontId="3" type="noConversion"/>
  </si>
  <si>
    <t>랩20*500*1400</t>
    <phoneticPr fontId="3" type="noConversion"/>
  </si>
  <si>
    <t>50박스</t>
    <phoneticPr fontId="3" type="noConversion"/>
  </si>
  <si>
    <t>10박스</t>
    <phoneticPr fontId="3" type="noConversion"/>
  </si>
  <si>
    <t>5*7000백</t>
    <phoneticPr fontId="3" type="noConversion"/>
  </si>
  <si>
    <t>30롤</t>
    <phoneticPr fontId="3" type="noConversion"/>
  </si>
  <si>
    <t>대한종합포장</t>
    <phoneticPr fontId="3" type="noConversion"/>
  </si>
  <si>
    <t>박스 가져오면 
상차 해주기</t>
    <phoneticPr fontId="3" type="noConversion"/>
  </si>
  <si>
    <t>에이라인</t>
    <phoneticPr fontId="3" type="noConversion"/>
  </si>
  <si>
    <t>팔레트</t>
    <phoneticPr fontId="3" type="noConversion"/>
  </si>
  <si>
    <t>스마트 쉴드</t>
    <phoneticPr fontId="3" type="noConversion"/>
  </si>
  <si>
    <t>40"(오전10시)</t>
    <phoneticPr fontId="3" type="noConversion"/>
  </si>
  <si>
    <t>랩15*500*400</t>
    <phoneticPr fontId="3" type="noConversion"/>
  </si>
  <si>
    <t>세웅실업</t>
    <phoneticPr fontId="3" type="noConversion"/>
  </si>
  <si>
    <t>9*10투명(0.75T)</t>
    <phoneticPr fontId="3" type="noConversion"/>
  </si>
  <si>
    <t>12*7황</t>
    <phoneticPr fontId="3" type="noConversion"/>
  </si>
  <si>
    <t>10롤</t>
    <phoneticPr fontId="3" type="noConversion"/>
  </si>
  <si>
    <t>동원팩</t>
    <phoneticPr fontId="3" type="noConversion"/>
  </si>
  <si>
    <t>2박스</t>
    <phoneticPr fontId="3" type="noConversion"/>
  </si>
  <si>
    <t>10.5*10투명(0.75T)</t>
    <phoneticPr fontId="3" type="noConversion"/>
  </si>
  <si>
    <t>100롤</t>
    <phoneticPr fontId="3" type="noConversion"/>
  </si>
  <si>
    <t>오전 용차</t>
    <phoneticPr fontId="3" type="noConversion"/>
  </si>
  <si>
    <t>로젠택배 착불</t>
    <phoneticPr fontId="3" type="noConversion"/>
  </si>
  <si>
    <t>세종시 전의면 세종로 4268-21 희주농장 송재민 010-5423-8767</t>
    <phoneticPr fontId="3" type="noConversion"/>
  </si>
  <si>
    <t>현진솔루션</t>
    <phoneticPr fontId="3" type="noConversion"/>
  </si>
  <si>
    <t>15*6.2</t>
    <phoneticPr fontId="3" type="noConversion"/>
  </si>
  <si>
    <t>63롤</t>
    <phoneticPr fontId="3" type="noConversion"/>
  </si>
  <si>
    <t>용차</t>
    <phoneticPr fontId="3" type="noConversion"/>
  </si>
  <si>
    <t>2파레트</t>
    <phoneticPr fontId="3" type="noConversion"/>
  </si>
  <si>
    <t>12*12황(0.8T)</t>
    <phoneticPr fontId="3" type="noConversion"/>
  </si>
  <si>
    <t>10.5*10투명</t>
    <phoneticPr fontId="3" type="noConversion"/>
  </si>
  <si>
    <t>50롤</t>
    <phoneticPr fontId="3" type="noConversion"/>
  </si>
  <si>
    <t>오후 용차</t>
    <phoneticPr fontId="3" type="noConversion"/>
  </si>
  <si>
    <t>10*10백(0.8T)</t>
    <phoneticPr fontId="3" type="noConversion"/>
  </si>
  <si>
    <t>동원팩</t>
    <phoneticPr fontId="3" type="noConversion"/>
  </si>
  <si>
    <t>1박스</t>
    <phoneticPr fontId="3" type="noConversion"/>
  </si>
  <si>
    <t>로젠택배 착불</t>
    <phoneticPr fontId="3" type="noConversion"/>
  </si>
  <si>
    <t>서울 성북구 장월로 31길 20 재영계란 010-7567-6116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</si>
  <si>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</si>
  <si>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</si>
  <si>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</si>
  <si>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56박스</t>
    <phoneticPr fontId="3" type="noConversion"/>
  </si>
  <si>
    <t>오전 일찍</t>
    <phoneticPr fontId="3" type="noConversion"/>
  </si>
  <si>
    <t>진흥산업</t>
    <phoneticPr fontId="3" type="noConversion"/>
  </si>
  <si>
    <t>12*10백(0.8T)</t>
    <phoneticPr fontId="3" type="noConversion"/>
  </si>
  <si>
    <t>20롤</t>
    <phoneticPr fontId="3" type="noConversion"/>
  </si>
  <si>
    <t>동원팩</t>
    <phoneticPr fontId="3" type="noConversion"/>
  </si>
  <si>
    <t>PE28*6백</t>
    <phoneticPr fontId="3" type="noConversion"/>
  </si>
  <si>
    <t>PE28*2백</t>
    <phoneticPr fontId="3" type="noConversion"/>
  </si>
  <si>
    <t>방문출고</t>
    <phoneticPr fontId="3" type="noConversion"/>
  </si>
  <si>
    <t>64박스</t>
    <phoneticPr fontId="3" type="noConversion"/>
  </si>
  <si>
    <t>랩18*500*2000</t>
    <phoneticPr fontId="3" type="noConversion"/>
  </si>
  <si>
    <t>25박스</t>
    <phoneticPr fontId="3" type="noConversion"/>
  </si>
  <si>
    <t>10박스</t>
    <phoneticPr fontId="3" type="noConversion"/>
  </si>
  <si>
    <t>랩18*500350</t>
    <phoneticPr fontId="3" type="noConversion"/>
  </si>
  <si>
    <t>스피드랩에서 직납</t>
    <phoneticPr fontId="3" type="noConversion"/>
  </si>
  <si>
    <t>20박스</t>
    <phoneticPr fontId="3" type="noConversion"/>
  </si>
  <si>
    <t>전주대일상사</t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</si>
  <si>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</si>
  <si>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</si>
  <si>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</si>
  <si>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</si>
  <si>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경상남도 함안군 가야읍 함안대로 751 민희에그드림 055-585-1088 / 010-3572-9980</t>
    <phoneticPr fontId="3" type="noConversion"/>
  </si>
  <si>
    <t>336롤</t>
    <phoneticPr fontId="3" type="noConversion"/>
  </si>
  <si>
    <t>9.5톤</t>
    <phoneticPr fontId="3" type="noConversion"/>
  </si>
  <si>
    <t>엔지세이프티</t>
    <phoneticPr fontId="3" type="noConversion"/>
  </si>
  <si>
    <t>팔레트</t>
    <phoneticPr fontId="3" type="noConversion"/>
  </si>
  <si>
    <t>7.3톤</t>
    <phoneticPr fontId="3" type="noConversion"/>
  </si>
  <si>
    <t>20"(오전10시)</t>
    <phoneticPr fontId="3" type="noConversion"/>
  </si>
  <si>
    <t>동원팩</t>
    <phoneticPr fontId="3" type="noConversion"/>
  </si>
  <si>
    <t>3박스</t>
    <phoneticPr fontId="3" type="noConversion"/>
  </si>
  <si>
    <t>1박스</t>
    <phoneticPr fontId="3" type="noConversion"/>
  </si>
  <si>
    <t>대전 중구 산성동 164-16 보림농장 010-8364-6699</t>
    <phoneticPr fontId="3" type="noConversion"/>
  </si>
  <si>
    <t>PE28*2황</t>
    <phoneticPr fontId="3" type="noConversion"/>
  </si>
  <si>
    <t>2박스</t>
    <phoneticPr fontId="3" type="noConversion"/>
  </si>
  <si>
    <t>1박스</t>
    <phoneticPr fontId="3" type="noConversion"/>
  </si>
  <si>
    <t>power박스</t>
    <phoneticPr fontId="3" type="noConversion"/>
  </si>
  <si>
    <t>로젠택배</t>
    <phoneticPr fontId="3" type="noConversion"/>
  </si>
  <si>
    <t>경북 예천군 호명면 종산길 100-80 대명농장 010-4475-3385</t>
    <phoneticPr fontId="3" type="noConversion"/>
  </si>
  <si>
    <t>18*21투명</t>
    <phoneticPr fontId="3" type="noConversion"/>
  </si>
  <si>
    <t>1롤</t>
    <phoneticPr fontId="3" type="noConversion"/>
  </si>
  <si>
    <t>164롤</t>
    <phoneticPr fontId="3" type="noConversion"/>
  </si>
  <si>
    <t>6*10청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</si>
  <si>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</si>
  <si>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</si>
  <si>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</si>
  <si>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대성씨앤씨</t>
    <phoneticPr fontId="3" type="noConversion"/>
  </si>
  <si>
    <t>9*9.5백</t>
    <phoneticPr fontId="3" type="noConversion"/>
  </si>
  <si>
    <t>25롤</t>
    <phoneticPr fontId="3" type="noConversion"/>
  </si>
  <si>
    <t>우선산업제품</t>
    <phoneticPr fontId="3" type="noConversion"/>
  </si>
  <si>
    <t>1공장</t>
    <phoneticPr fontId="3" type="noConversion"/>
  </si>
  <si>
    <t>power박스 / 전주</t>
    <phoneticPr fontId="3" type="noConversion"/>
  </si>
  <si>
    <t>생산 3주</t>
    <phoneticPr fontId="3" type="noConversion"/>
  </si>
  <si>
    <t>10.5*10투명</t>
    <phoneticPr fontId="3" type="noConversion"/>
  </si>
  <si>
    <t>50롤</t>
    <phoneticPr fontId="3" type="noConversion"/>
  </si>
  <si>
    <t>60롤</t>
    <phoneticPr fontId="3" type="noConversion"/>
  </si>
  <si>
    <t>에이원코리아</t>
    <phoneticPr fontId="3" type="noConversion"/>
  </si>
  <si>
    <t>15*7황(0.8T)</t>
    <phoneticPr fontId="3" type="noConversion"/>
  </si>
  <si>
    <t>20롤</t>
    <phoneticPr fontId="3" type="noConversion"/>
  </si>
  <si>
    <t>12*7황(0.8t) -10롤</t>
    <phoneticPr fontId="3" type="noConversion"/>
  </si>
  <si>
    <t>방문출고</t>
    <phoneticPr fontId="3" type="noConversion"/>
  </si>
  <si>
    <t>12*10황(0.8T)</t>
    <phoneticPr fontId="3" type="noConversion"/>
  </si>
  <si>
    <t>72롤</t>
    <phoneticPr fontId="3" type="noConversion"/>
  </si>
  <si>
    <t>용차</t>
    <phoneticPr fontId="3" type="noConversion"/>
  </si>
  <si>
    <t>광림포장</t>
    <phoneticPr fontId="3" type="noConversion"/>
  </si>
  <si>
    <t>9*10황</t>
    <phoneticPr fontId="3" type="noConversion"/>
  </si>
  <si>
    <t>12*12.5황</t>
    <phoneticPr fontId="3" type="noConversion"/>
  </si>
  <si>
    <t>12*10황</t>
    <phoneticPr fontId="3" type="noConversion"/>
  </si>
  <si>
    <t>15*10황</t>
    <phoneticPr fontId="3" type="noConversion"/>
  </si>
  <si>
    <t>64롤</t>
    <phoneticPr fontId="3" type="noConversion"/>
  </si>
  <si>
    <t>80롤</t>
    <phoneticPr fontId="3" type="noConversion"/>
  </si>
  <si>
    <t>64롤</t>
    <phoneticPr fontId="3" type="noConversion"/>
  </si>
  <si>
    <t>128롤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</si>
  <si>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</si>
  <si>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</si>
  <si>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</si>
  <si>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</si>
  <si>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수</t>
    <phoneticPr fontId="3" type="noConversion"/>
  </si>
  <si>
    <t>경기도 고양시 덕양구 통일로 140 삼송테크노밸리 B동 125호 김완기 010-2412-6772</t>
    <phoneticPr fontId="3" type="noConversion"/>
  </si>
  <si>
    <t>16박스</t>
    <phoneticPr fontId="3" type="noConversion"/>
  </si>
  <si>
    <t>대신택배</t>
    <phoneticPr fontId="3" type="noConversion"/>
  </si>
  <si>
    <t>동서포장</t>
    <phoneticPr fontId="3" type="noConversion"/>
  </si>
  <si>
    <t>7박스</t>
    <phoneticPr fontId="3" type="noConversion"/>
  </si>
  <si>
    <t>로젠택배착불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</si>
  <si>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</si>
  <si>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</si>
  <si>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</si>
  <si>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56롤</t>
    <phoneticPr fontId="3" type="noConversion"/>
  </si>
  <si>
    <t>20박스</t>
    <phoneticPr fontId="3" type="noConversion"/>
  </si>
  <si>
    <t>오후</t>
    <phoneticPr fontId="3" type="noConversion"/>
  </si>
  <si>
    <t>kic박스</t>
    <phoneticPr fontId="3" type="noConversion"/>
  </si>
  <si>
    <t>PE28*2황</t>
    <phoneticPr fontId="3" type="noConversion"/>
  </si>
  <si>
    <t>10박스</t>
    <phoneticPr fontId="3" type="noConversion"/>
  </si>
  <si>
    <t>오전</t>
    <phoneticPr fontId="3" type="noConversion"/>
  </si>
  <si>
    <t>경인팩</t>
    <phoneticPr fontId="3" type="noConversion"/>
  </si>
  <si>
    <t>랩15*500*400</t>
    <phoneticPr fontId="3" type="noConversion"/>
  </si>
  <si>
    <t>40박스</t>
    <phoneticPr fontId="3" type="noConversion"/>
  </si>
  <si>
    <t>진송팩</t>
    <phoneticPr fontId="3" type="noConversion"/>
  </si>
  <si>
    <t>6*10백</t>
    <phoneticPr fontId="3" type="noConversion"/>
  </si>
  <si>
    <t>64롤</t>
    <phoneticPr fontId="3" type="noConversion"/>
  </si>
  <si>
    <t>김포 걸포동</t>
    <phoneticPr fontId="3" type="noConversion"/>
  </si>
  <si>
    <t>6mm*10kg백색  64롤</t>
    <phoneticPr fontId="3" type="noConversion"/>
  </si>
  <si>
    <t>경기도 김포시 홍도평포 81-45(걸포동) 김포계란알마니㈜ 010-3294-0052</t>
    <phoneticPr fontId="3" type="noConversion"/>
  </si>
  <si>
    <t>오전9시전 도착</t>
    <phoneticPr fontId="3" type="noConversion"/>
  </si>
  <si>
    <t>동원팩</t>
    <phoneticPr fontId="3" type="noConversion"/>
  </si>
  <si>
    <t>20박스</t>
    <phoneticPr fontId="3" type="noConversion"/>
  </si>
  <si>
    <t>3박스</t>
    <phoneticPr fontId="3" type="noConversion"/>
  </si>
  <si>
    <t>경기도 포천시 가산면 유교로34-10 박희철 010-4769-3101</t>
    <phoneticPr fontId="3" type="noConversion"/>
  </si>
  <si>
    <t>한남포장</t>
    <phoneticPr fontId="3" type="noConversion"/>
  </si>
  <si>
    <t>23롤</t>
    <phoneticPr fontId="3" type="noConversion"/>
  </si>
  <si>
    <t>12*9.5황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</si>
  <si>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</si>
  <si>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</si>
  <si>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</si>
  <si>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에어프로</t>
    <phoneticPr fontId="3" type="noConversion"/>
  </si>
  <si>
    <t>3박스</t>
    <phoneticPr fontId="3" type="noConversion"/>
  </si>
  <si>
    <t>방문출고</t>
    <phoneticPr fontId="3" type="noConversion"/>
  </si>
  <si>
    <t>진송팩</t>
    <phoneticPr fontId="3" type="noConversion"/>
  </si>
  <si>
    <t>PE28*2청</t>
    <phoneticPr fontId="3" type="noConversion"/>
  </si>
  <si>
    <t>20박스</t>
    <phoneticPr fontId="3" type="noConversion"/>
  </si>
  <si>
    <t>파주</t>
    <phoneticPr fontId="3" type="noConversion"/>
  </si>
  <si>
    <t>경기도 파주시 연다산동 46-2 ㈜토빅스 파주공장 010-5290-8143</t>
    <phoneticPr fontId="3" type="noConversion"/>
  </si>
  <si>
    <t>PE28*6백</t>
    <phoneticPr fontId="3" type="noConversion"/>
  </si>
  <si>
    <t>2박스</t>
    <phoneticPr fontId="3" type="noConversion"/>
  </si>
  <si>
    <t>로젠택배</t>
    <phoneticPr fontId="3" type="noConversion"/>
  </si>
  <si>
    <t>경기도 남양주시 화도읍 답내리94-2 상현축산 010-6366-4614</t>
    <phoneticPr fontId="3" type="noConversion"/>
  </si>
  <si>
    <t>동원팩</t>
    <phoneticPr fontId="3" type="noConversion"/>
  </si>
  <si>
    <t>6*10백</t>
    <phoneticPr fontId="3" type="noConversion"/>
  </si>
  <si>
    <t>168롤</t>
    <phoneticPr fontId="3" type="noConversion"/>
  </si>
  <si>
    <t>오후 3시 도착</t>
    <phoneticPr fontId="3" type="noConversion"/>
  </si>
  <si>
    <t>15*12황(0.65T)</t>
    <phoneticPr fontId="3" type="noConversion"/>
  </si>
  <si>
    <t>12*10황(0.65T)</t>
    <phoneticPr fontId="3" type="noConversion"/>
  </si>
  <si>
    <t>30롤</t>
    <phoneticPr fontId="3" type="noConversion"/>
  </si>
  <si>
    <t>10롤</t>
    <phoneticPr fontId="3" type="noConversion"/>
  </si>
  <si>
    <t>10롤</t>
    <phoneticPr fontId="3" type="noConversion"/>
  </si>
  <si>
    <t>제일산업안성</t>
    <phoneticPr fontId="3" type="noConversion"/>
  </si>
  <si>
    <t>50박스</t>
    <phoneticPr fontId="3" type="noConversion"/>
  </si>
  <si>
    <t>PE50*5백</t>
    <phoneticPr fontId="3" type="noConversion"/>
  </si>
  <si>
    <t>12박스</t>
    <phoneticPr fontId="3" type="noConversion"/>
  </si>
  <si>
    <t>고메리</t>
    <phoneticPr fontId="3" type="noConversion"/>
  </si>
  <si>
    <t>수작업</t>
    <phoneticPr fontId="3" type="noConversion"/>
  </si>
  <si>
    <t>8톤</t>
    <phoneticPr fontId="3" type="noConversion"/>
  </si>
  <si>
    <t>20"(오후3시)</t>
    <phoneticPr fontId="3" type="noConversion"/>
  </si>
  <si>
    <t>삼성</t>
    <phoneticPr fontId="3" type="noConversion"/>
  </si>
  <si>
    <t>18*21친환경</t>
    <phoneticPr fontId="3" type="noConversion"/>
  </si>
  <si>
    <t>109롤</t>
    <phoneticPr fontId="3" type="noConversion"/>
  </si>
  <si>
    <t>251롤</t>
    <phoneticPr fontId="3" type="noConversion"/>
  </si>
  <si>
    <t>민건이에이</t>
    <phoneticPr fontId="3" type="noConversion"/>
  </si>
  <si>
    <t>112롤</t>
    <phoneticPr fontId="3" type="noConversion"/>
  </si>
  <si>
    <t>6*10백</t>
    <phoneticPr fontId="3" type="noConversion"/>
  </si>
  <si>
    <t>10롤</t>
    <phoneticPr fontId="3" type="noConversion"/>
  </si>
  <si>
    <t>경인팩 패드갈이</t>
    <phoneticPr fontId="3" type="noConversion"/>
  </si>
  <si>
    <t>방문출고</t>
    <phoneticPr fontId="3" type="noConversion"/>
  </si>
  <si>
    <t>Φ</t>
    <phoneticPr fontId="3" type="noConversion"/>
  </si>
  <si>
    <t>삼보팩</t>
    <phoneticPr fontId="3" type="noConversion"/>
  </si>
  <si>
    <t>010-4740-2230</t>
    <phoneticPr fontId="3" type="noConversion"/>
  </si>
  <si>
    <t>용차 2시</t>
    <phoneticPr fontId="3" type="noConversion"/>
  </si>
  <si>
    <t>경기도 시흥시 공단1대로28번길 120</t>
  </si>
  <si>
    <t>(정왕동,1마101,102)</t>
  </si>
  <si>
    <t>삼보팩</t>
    <phoneticPr fontId="3" type="noConversion"/>
  </si>
  <si>
    <t>발송 : 케이아이씨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</si>
  <si>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</si>
  <si>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</si>
  <si>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</si>
  <si>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싸이클롭</t>
    <phoneticPr fontId="3" type="noConversion"/>
  </si>
  <si>
    <t>팔레트</t>
    <phoneticPr fontId="3" type="noConversion"/>
  </si>
  <si>
    <t>PE28*2백</t>
    <phoneticPr fontId="3" type="noConversion"/>
  </si>
  <si>
    <t>20박스</t>
    <phoneticPr fontId="3" type="noConversion"/>
  </si>
  <si>
    <t>진안</t>
    <phoneticPr fontId="3" type="noConversion"/>
  </si>
  <si>
    <t>대신택배</t>
    <phoneticPr fontId="3" type="noConversion"/>
  </si>
  <si>
    <t>전북 진안군 백운면 평가로57 백운양계농장 010-4899-6353</t>
    <phoneticPr fontId="3" type="noConversion"/>
  </si>
  <si>
    <t>7*10백</t>
    <phoneticPr fontId="3" type="noConversion"/>
  </si>
  <si>
    <t>10롤</t>
  </si>
  <si>
    <t>10롤</t>
    <phoneticPr fontId="3" type="noConversion"/>
  </si>
  <si>
    <t>9*10황</t>
    <phoneticPr fontId="3" type="noConversion"/>
  </si>
  <si>
    <t>14롤</t>
    <phoneticPr fontId="3" type="noConversion"/>
  </si>
  <si>
    <t>8박스</t>
    <phoneticPr fontId="3" type="noConversion"/>
  </si>
  <si>
    <t>전주</t>
    <phoneticPr fontId="3" type="noConversion"/>
  </si>
  <si>
    <t>대신택배</t>
    <phoneticPr fontId="3" type="noConversion"/>
  </si>
  <si>
    <t>40"(오후3시)</t>
    <phoneticPr fontId="3" type="noConversion"/>
  </si>
  <si>
    <t>17.7톤</t>
    <phoneticPr fontId="3" type="noConversion"/>
  </si>
  <si>
    <t>옴니</t>
    <phoneticPr fontId="3" type="noConversion"/>
  </si>
  <si>
    <t>20"(오후3시)</t>
    <phoneticPr fontId="3" type="noConversion"/>
  </si>
  <si>
    <t>블랙우드 상하이</t>
    <phoneticPr fontId="3" type="noConversion"/>
  </si>
  <si>
    <t>수작업</t>
    <phoneticPr fontId="3" type="noConversion"/>
  </si>
  <si>
    <t>4.7톤</t>
    <phoneticPr fontId="3" type="noConversion"/>
  </si>
  <si>
    <t>6*10백</t>
    <phoneticPr fontId="3" type="noConversion"/>
  </si>
  <si>
    <t>50롤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</si>
  <si>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</si>
  <si>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</si>
  <si>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</si>
  <si>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원주</t>
    <phoneticPr fontId="3" type="noConversion"/>
  </si>
  <si>
    <t>대신택배</t>
    <phoneticPr fontId="3" type="noConversion"/>
  </si>
  <si>
    <t>강원도 원주시 동부순환로 389-5(봉산동)  (주)서신  033-764-6605</t>
    <phoneticPr fontId="3" type="noConversion"/>
  </si>
  <si>
    <t>2시쯤 방문출고</t>
    <phoneticPr fontId="3" type="noConversion"/>
  </si>
  <si>
    <t>파워엠팩</t>
    <phoneticPr fontId="3" type="noConversion"/>
  </si>
  <si>
    <t>13*12은회색</t>
    <phoneticPr fontId="3" type="noConversion"/>
  </si>
  <si>
    <t>64롤</t>
    <phoneticPr fontId="3" type="noConversion"/>
  </si>
  <si>
    <t>64롤</t>
    <phoneticPr fontId="3" type="noConversion"/>
  </si>
  <si>
    <t>9*12은회색</t>
    <phoneticPr fontId="3" type="noConversion"/>
  </si>
  <si>
    <t>대구(다오)</t>
    <phoneticPr fontId="3" type="noConversion"/>
  </si>
  <si>
    <t>지방합화차</t>
    <phoneticPr fontId="3" type="noConversion"/>
  </si>
  <si>
    <t>5*7000백</t>
    <phoneticPr fontId="3" type="noConversion"/>
  </si>
  <si>
    <t>1공장</t>
    <phoneticPr fontId="3" type="noConversion"/>
  </si>
  <si>
    <t>1/2일</t>
    <phoneticPr fontId="3" type="noConversion"/>
  </si>
  <si>
    <t>50롤</t>
    <phoneticPr fontId="3" type="noConversion"/>
  </si>
  <si>
    <t>제이케이머티리얼즈</t>
  </si>
  <si>
    <t>16*1200반투명녹색</t>
  </si>
  <si>
    <t>디에스에스직납</t>
    <phoneticPr fontId="3" type="noConversion"/>
  </si>
  <si>
    <t>명세서 팩스 보내기</t>
    <phoneticPr fontId="3" type="noConversion"/>
  </si>
  <si>
    <t>광주천일포장</t>
    <phoneticPr fontId="3" type="noConversion"/>
  </si>
  <si>
    <t>PE28*2백</t>
    <phoneticPr fontId="3" type="noConversion"/>
  </si>
  <si>
    <t>6*10백(0.65T)</t>
    <phoneticPr fontId="3" type="noConversion"/>
  </si>
  <si>
    <t>192롤</t>
    <phoneticPr fontId="3" type="noConversion"/>
  </si>
  <si>
    <t>32박스</t>
    <phoneticPr fontId="3" type="noConversion"/>
  </si>
  <si>
    <t>18*10황</t>
    <phoneticPr fontId="3" type="noConversion"/>
  </si>
  <si>
    <t>128롤</t>
    <phoneticPr fontId="3" type="noConversion"/>
  </si>
  <si>
    <t>오전 용차</t>
    <phoneticPr fontId="3" type="noConversion"/>
  </si>
  <si>
    <t>한길포장</t>
    <phoneticPr fontId="3" type="noConversion"/>
  </si>
  <si>
    <t>12*10백(0.75T)</t>
    <phoneticPr fontId="3" type="noConversion"/>
  </si>
  <si>
    <t>12*10황(0.75T)</t>
    <phoneticPr fontId="3" type="noConversion"/>
  </si>
  <si>
    <t>12*10청(0.75T)</t>
    <phoneticPr fontId="3" type="noConversion"/>
  </si>
  <si>
    <t>PE28*2백</t>
    <phoneticPr fontId="3" type="noConversion"/>
  </si>
  <si>
    <t>power박스</t>
    <phoneticPr fontId="3" type="noConversion"/>
  </si>
  <si>
    <t>아주파레트 반납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</si>
  <si>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</si>
  <si>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</si>
  <si>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</si>
  <si>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280롤</t>
    <phoneticPr fontId="3" type="noConversion"/>
  </si>
  <si>
    <t>96박스</t>
    <phoneticPr fontId="3" type="noConversion"/>
  </si>
  <si>
    <t>28박스</t>
    <phoneticPr fontId="3" type="noConversion"/>
  </si>
  <si>
    <t>백암지관</t>
    <phoneticPr fontId="3" type="noConversion"/>
  </si>
  <si>
    <t>12*12.5황</t>
    <phoneticPr fontId="3" type="noConversion"/>
  </si>
  <si>
    <t>20롤</t>
    <phoneticPr fontId="3" type="noConversion"/>
  </si>
  <si>
    <t>300롤</t>
    <phoneticPr fontId="3" type="noConversion"/>
  </si>
  <si>
    <t>전표1/2</t>
    <phoneticPr fontId="3" type="noConversion"/>
  </si>
  <si>
    <t>화살표
15mm 재고확인</t>
    <phoneticPr fontId="3" type="noConversion"/>
  </si>
  <si>
    <t>PE28*2백</t>
    <phoneticPr fontId="3" type="noConversion"/>
  </si>
  <si>
    <t>30박스</t>
    <phoneticPr fontId="3" type="noConversion"/>
  </si>
  <si>
    <t>power박스</t>
    <phoneticPr fontId="3" type="noConversion"/>
  </si>
  <si>
    <t>6*10백</t>
    <phoneticPr fontId="3" type="noConversion"/>
  </si>
  <si>
    <t>파란밴딩</t>
    <phoneticPr fontId="3" type="noConversion"/>
  </si>
  <si>
    <t>한주</t>
    <phoneticPr fontId="3" type="noConversion"/>
  </si>
  <si>
    <t>40"(오전10시)</t>
    <phoneticPr fontId="3" type="noConversion"/>
  </si>
  <si>
    <t>경인팩</t>
    <phoneticPr fontId="3" type="noConversion"/>
  </si>
  <si>
    <t>80박스</t>
    <phoneticPr fontId="3" type="noConversion"/>
  </si>
  <si>
    <t>스피드랩에서 직납</t>
    <phoneticPr fontId="3" type="noConversion"/>
  </si>
  <si>
    <t>명세서 팩스 보내기</t>
    <phoneticPr fontId="3" type="noConversion"/>
  </si>
  <si>
    <t>삼성</t>
    <phoneticPr fontId="3" type="noConversion"/>
  </si>
  <si>
    <t>18*21친환경</t>
    <phoneticPr fontId="3" type="noConversion"/>
  </si>
  <si>
    <t>12*12.5황</t>
    <phoneticPr fontId="3" type="noConversion"/>
  </si>
  <si>
    <t>15*13황</t>
    <phoneticPr fontId="3" type="noConversion"/>
  </si>
  <si>
    <t>12*10백</t>
    <phoneticPr fontId="3" type="noConversion"/>
  </si>
  <si>
    <t>12*10황</t>
    <phoneticPr fontId="3" type="noConversion"/>
  </si>
  <si>
    <t>20롤</t>
    <phoneticPr fontId="3" type="noConversion"/>
  </si>
  <si>
    <t>Φ</t>
    <phoneticPr fontId="3" type="noConversion"/>
  </si>
  <si>
    <t>보우팩 패드</t>
    <phoneticPr fontId="3" type="noConversion"/>
  </si>
  <si>
    <t>100개</t>
    <phoneticPr fontId="3" type="noConversion"/>
  </si>
  <si>
    <t>대원우드</t>
    <phoneticPr fontId="3" type="noConversion"/>
  </si>
  <si>
    <t>팔레트 가져오기</t>
    <phoneticPr fontId="3" type="noConversion"/>
  </si>
  <si>
    <t>피앤비</t>
    <phoneticPr fontId="3" type="noConversion"/>
  </si>
  <si>
    <t>12*10백(0.8T)</t>
    <phoneticPr fontId="3" type="noConversion"/>
  </si>
  <si>
    <t>50롤</t>
    <phoneticPr fontId="3" type="noConversion"/>
  </si>
  <si>
    <t>나무파렛트</t>
    <phoneticPr fontId="3" type="noConversion"/>
  </si>
  <si>
    <t>오전용차</t>
    <phoneticPr fontId="3" type="noConversion"/>
  </si>
  <si>
    <t>50박스</t>
    <phoneticPr fontId="3" type="noConversion"/>
  </si>
  <si>
    <t>PE50*4.7황</t>
    <phoneticPr fontId="3" type="noConversion"/>
  </si>
  <si>
    <t>40박스</t>
    <phoneticPr fontId="3" type="noConversion"/>
  </si>
  <si>
    <t>20박스</t>
    <phoneticPr fontId="3" type="noConversion"/>
  </si>
  <si>
    <t>PE50*5백</t>
    <phoneticPr fontId="3" type="noConversion"/>
  </si>
  <si>
    <t>제이케이머티리얼즈</t>
    <phoneticPr fontId="3" type="noConversion"/>
  </si>
  <si>
    <t>10개</t>
    <phoneticPr fontId="3" type="noConversion"/>
  </si>
  <si>
    <t>KPP빨강</t>
    <phoneticPr fontId="3" type="noConversion"/>
  </si>
  <si>
    <t>박스 1개 가져오기</t>
    <phoneticPr fontId="3" type="noConversion"/>
  </si>
  <si>
    <t>같이 상차</t>
    <phoneticPr fontId="3" type="noConversion"/>
  </si>
  <si>
    <t>6*10백</t>
    <phoneticPr fontId="3" type="noConversion"/>
  </si>
  <si>
    <t>50롤</t>
    <phoneticPr fontId="3" type="noConversion"/>
  </si>
  <si>
    <t>15롤</t>
    <phoneticPr fontId="3" type="noConversion"/>
  </si>
  <si>
    <t>PE28*6백</t>
    <phoneticPr fontId="3" type="noConversion"/>
  </si>
  <si>
    <t>6박스</t>
    <phoneticPr fontId="3" type="noConversion"/>
  </si>
  <si>
    <t>방문출고</t>
    <phoneticPr fontId="3" type="noConversion"/>
  </si>
  <si>
    <t>12*10황(0.8T)</t>
    <phoneticPr fontId="3" type="noConversion"/>
  </si>
  <si>
    <t>경인팩</t>
    <phoneticPr fontId="3" type="noConversion"/>
  </si>
  <si>
    <t>6*10황</t>
    <phoneticPr fontId="3" type="noConversion"/>
  </si>
  <si>
    <t>50롤</t>
    <phoneticPr fontId="3" type="noConversion"/>
  </si>
  <si>
    <t>으뜸</t>
    <phoneticPr fontId="3" type="noConversion"/>
  </si>
  <si>
    <t>용차착불</t>
    <phoneticPr fontId="3" type="noConversion"/>
  </si>
  <si>
    <t>경기도 김포시 대곶면 대곶로 429-17</t>
    <phoneticPr fontId="3" type="noConversion"/>
  </si>
  <si>
    <t>(석정리 1028)</t>
  </si>
  <si>
    <t>으뜸</t>
    <phoneticPr fontId="3" type="noConversion"/>
  </si>
  <si>
    <t>031-981-1568 / 010-8591-5531</t>
    <phoneticPr fontId="3" type="noConversion"/>
  </si>
  <si>
    <t>6mm*10kg 황색</t>
    <phoneticPr fontId="3" type="noConversion"/>
  </si>
  <si>
    <t>50롤</t>
    <phoneticPr fontId="3" type="noConversion"/>
  </si>
  <si>
    <t>진송팩</t>
    <phoneticPr fontId="3" type="noConversion"/>
  </si>
  <si>
    <t>대신택배</t>
    <phoneticPr fontId="3" type="noConversion"/>
  </si>
  <si>
    <t>16박스</t>
    <phoneticPr fontId="3" type="noConversion"/>
  </si>
  <si>
    <t>충청남도 천안시 서북구 성거읍 천흥리 316-9 삼보제이케이 010-9905-1095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</si>
  <si>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</si>
  <si>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</si>
  <si>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</si>
  <si>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12*10투명(0.75T)</t>
    <phoneticPr fontId="3" type="noConversion"/>
  </si>
  <si>
    <t>52롤</t>
    <phoneticPr fontId="3" type="noConversion"/>
  </si>
  <si>
    <t>토</t>
    <phoneticPr fontId="8" type="noConversion"/>
  </si>
  <si>
    <t>동원팩</t>
    <phoneticPr fontId="3" type="noConversion"/>
  </si>
  <si>
    <t>9*10투명</t>
    <phoneticPr fontId="3" type="noConversion"/>
  </si>
  <si>
    <t>방문출고</t>
    <phoneticPr fontId="3" type="noConversion"/>
  </si>
  <si>
    <t>보우팩</t>
    <phoneticPr fontId="3" type="noConversion"/>
  </si>
  <si>
    <t>보우팩 패드</t>
    <phoneticPr fontId="3" type="noConversion"/>
  </si>
  <si>
    <t>100장</t>
    <phoneticPr fontId="3" type="noConversion"/>
  </si>
  <si>
    <t>파워엠팩 패드</t>
    <phoneticPr fontId="3" type="noConversion"/>
  </si>
  <si>
    <t>19롤</t>
    <phoneticPr fontId="3" type="noConversion"/>
  </si>
  <si>
    <t>영화수출포장</t>
    <phoneticPr fontId="3" type="noConversion"/>
  </si>
  <si>
    <t>30박스</t>
    <phoneticPr fontId="3" type="noConversion"/>
  </si>
  <si>
    <t>경기도 화성시 장안면 석포리 761-32 대명차콜 010-3175-0613  운임 반반</t>
    <phoneticPr fontId="3" type="noConversion"/>
  </si>
  <si>
    <t>power박스</t>
    <phoneticPr fontId="3" type="noConversion"/>
  </si>
  <si>
    <t>파레트포장</t>
    <phoneticPr fontId="3" type="noConversion"/>
  </si>
  <si>
    <t>203롤</t>
    <phoneticPr fontId="3" type="noConversion"/>
  </si>
  <si>
    <t>100롤</t>
    <phoneticPr fontId="3" type="noConversion"/>
  </si>
  <si>
    <t>49롤</t>
    <phoneticPr fontId="3" type="noConversion"/>
  </si>
  <si>
    <t>PE28*2적</t>
    <phoneticPr fontId="3" type="noConversion"/>
  </si>
  <si>
    <t>4박스</t>
    <phoneticPr fontId="3" type="noConversion"/>
  </si>
  <si>
    <t>경기도 평택시 서탄면 수월암5길 62-28 동화산업 010-9480-0262</t>
    <phoneticPr fontId="3" type="noConversion"/>
  </si>
  <si>
    <t>임승진 연차</t>
    <phoneticPr fontId="3" type="noConversion"/>
  </si>
  <si>
    <t>로젠택배</t>
    <phoneticPr fontId="3" type="noConversion"/>
  </si>
  <si>
    <t>1000장</t>
    <phoneticPr fontId="3" type="noConversion"/>
  </si>
  <si>
    <t>노란밴딩/종이두르기</t>
    <phoneticPr fontId="3" type="noConversion"/>
  </si>
  <si>
    <t>유일</t>
    <phoneticPr fontId="3" type="noConversion"/>
  </si>
  <si>
    <t>power박스</t>
    <phoneticPr fontId="3" type="noConversion"/>
  </si>
  <si>
    <t>무지박스</t>
    <phoneticPr fontId="3" type="noConversion"/>
  </si>
  <si>
    <t>12*10황(0.8T)</t>
    <phoneticPr fontId="3" type="noConversion"/>
  </si>
  <si>
    <t>신광포장(부산)</t>
    <phoneticPr fontId="3" type="noConversion"/>
  </si>
  <si>
    <t>5박스</t>
    <phoneticPr fontId="3" type="noConversion"/>
  </si>
  <si>
    <t>경주</t>
    <phoneticPr fontId="3" type="noConversion"/>
  </si>
  <si>
    <t>로젠택배</t>
    <phoneticPr fontId="3" type="noConversion"/>
  </si>
  <si>
    <t>경북 경주시 외동읍 모화남1길 67 황금농장집하장 010-4717-9087</t>
    <phoneticPr fontId="3" type="noConversion"/>
  </si>
  <si>
    <t>PE28*2백(24kg)</t>
    <phoneticPr fontId="3" type="noConversion"/>
  </si>
  <si>
    <t>신광포장</t>
    <phoneticPr fontId="3" type="noConversion"/>
  </si>
  <si>
    <t>56롤</t>
    <phoneticPr fontId="3" type="noConversion"/>
  </si>
  <si>
    <t>56롤</t>
    <phoneticPr fontId="3" type="noConversion"/>
  </si>
  <si>
    <t>12*10황(0.65T)</t>
    <phoneticPr fontId="3" type="noConversion"/>
  </si>
  <si>
    <t>오전1착</t>
    <phoneticPr fontId="3" type="noConversion"/>
  </si>
  <si>
    <t>대구한국포장</t>
    <phoneticPr fontId="3" type="noConversion"/>
  </si>
  <si>
    <t>노란밴딩</t>
    <phoneticPr fontId="3" type="noConversion"/>
  </si>
  <si>
    <t>70박스</t>
    <phoneticPr fontId="3" type="noConversion"/>
  </si>
  <si>
    <t>kic박스/거래명세서보내기</t>
    <phoneticPr fontId="3" type="noConversion"/>
  </si>
  <si>
    <t>에이비엘</t>
    <phoneticPr fontId="3" type="noConversion"/>
  </si>
  <si>
    <t>수작업</t>
    <phoneticPr fontId="3" type="noConversion"/>
  </si>
  <si>
    <t>20"(오후2시)</t>
    <phoneticPr fontId="3" type="noConversion"/>
  </si>
  <si>
    <t>2박스</t>
    <phoneticPr fontId="3" type="noConversion"/>
  </si>
  <si>
    <t>울산광역시 남구 삼산동 1653-6(삼산로392번길37) 알찬계란 010-2887-1070</t>
    <phoneticPr fontId="3" type="noConversion"/>
  </si>
  <si>
    <t>15*10황(0.65T)</t>
    <phoneticPr fontId="3" type="noConversion"/>
  </si>
  <si>
    <t>15*10백(0.65T)</t>
    <phoneticPr fontId="3" type="noConversion"/>
  </si>
  <si>
    <t>연화수출포장</t>
    <phoneticPr fontId="3" type="noConversion"/>
  </si>
  <si>
    <t>1롤</t>
    <phoneticPr fontId="3" type="noConversion"/>
  </si>
  <si>
    <t>샘플</t>
    <phoneticPr fontId="3" type="noConversion"/>
  </si>
  <si>
    <t>15*10청(0.65T)</t>
    <phoneticPr fontId="3" type="noConversion"/>
  </si>
  <si>
    <t>18*15투명</t>
    <phoneticPr fontId="3" type="noConversion"/>
  </si>
  <si>
    <t>10롤</t>
    <phoneticPr fontId="3" type="noConversion"/>
  </si>
  <si>
    <t>안성시 공도읍 신두만곡로 199  안성 수령자 : 정팔균 지원팀장  010-3660-8253 </t>
    <phoneticPr fontId="3" type="noConversion"/>
  </si>
  <si>
    <t>나무파레트</t>
    <phoneticPr fontId="3" type="noConversion"/>
  </si>
  <si>
    <t>지방합화차 3시이후</t>
    <phoneticPr fontId="3" type="noConversion"/>
  </si>
  <si>
    <t>9*10황(0.8T)</t>
  </si>
  <si>
    <t>15*10투명</t>
  </si>
  <si>
    <t>21박스</t>
  </si>
  <si>
    <t>밝은빨강</t>
    <phoneticPr fontId="3" type="noConversion"/>
  </si>
  <si>
    <t>KPP빨강</t>
  </si>
  <si>
    <t>패드갈이</t>
  </si>
  <si>
    <t>광림포장</t>
    <phoneticPr fontId="3" type="noConversion"/>
  </si>
  <si>
    <t>64롤</t>
    <phoneticPr fontId="3" type="noConversion"/>
  </si>
  <si>
    <t>삼성</t>
    <phoneticPr fontId="3" type="noConversion"/>
  </si>
  <si>
    <t>219롤</t>
    <phoneticPr fontId="3" type="noConversion"/>
  </si>
  <si>
    <t>태광피앤에스</t>
  </si>
  <si>
    <t>전주삼신산업</t>
    <phoneticPr fontId="3" type="noConversion"/>
  </si>
  <si>
    <t>PE28*2백</t>
    <phoneticPr fontId="3" type="noConversion"/>
  </si>
  <si>
    <t>20박스</t>
    <phoneticPr fontId="3" type="noConversion"/>
  </si>
  <si>
    <t>12*9 인쇄밴드</t>
  </si>
  <si>
    <t>36롤</t>
  </si>
  <si>
    <t>월요일도착</t>
    <phoneticPr fontId="3" type="noConversion"/>
  </si>
  <si>
    <t>그린웰푸드</t>
  </si>
  <si>
    <t>삼우텍</t>
    <phoneticPr fontId="3" type="noConversion"/>
  </si>
  <si>
    <t>5박스</t>
    <phoneticPr fontId="3" type="noConversion"/>
  </si>
  <si>
    <t>운송비 반반</t>
    <phoneticPr fontId="3" type="noConversion"/>
  </si>
  <si>
    <t>동원팩</t>
    <phoneticPr fontId="3" type="noConversion"/>
  </si>
  <si>
    <t>PE28*6백</t>
    <phoneticPr fontId="3" type="noConversion"/>
  </si>
  <si>
    <t>PE28*2황</t>
    <phoneticPr fontId="3" type="noConversion"/>
  </si>
  <si>
    <t>6*10백</t>
    <phoneticPr fontId="3" type="noConversion"/>
  </si>
  <si>
    <t>5박스</t>
    <phoneticPr fontId="3" type="noConversion"/>
  </si>
  <si>
    <t>20롤</t>
    <phoneticPr fontId="3" type="noConversion"/>
  </si>
  <si>
    <t>방문출고</t>
    <phoneticPr fontId="3" type="noConversion"/>
  </si>
  <si>
    <t>서울상사</t>
    <phoneticPr fontId="3" type="noConversion"/>
  </si>
  <si>
    <t>9*10황(0.75T)</t>
    <phoneticPr fontId="3" type="noConversion"/>
  </si>
  <si>
    <t>50롤</t>
    <phoneticPr fontId="3" type="noConversion"/>
  </si>
  <si>
    <t>15*10황(0.8T)</t>
    <phoneticPr fontId="3" type="noConversion"/>
  </si>
  <si>
    <t>PE28*2청</t>
    <phoneticPr fontId="3" type="noConversion"/>
  </si>
  <si>
    <t>10박스</t>
    <phoneticPr fontId="3" type="noConversion"/>
  </si>
  <si>
    <t>오전용차착불</t>
    <phoneticPr fontId="3" type="noConversion"/>
  </si>
  <si>
    <t>도전성밴드</t>
    <phoneticPr fontId="3" type="noConversion"/>
  </si>
  <si>
    <t>아산시 배방읍 배방로158 삼성전자 온양사업장 챌린지 3층 SMT기술 이칠훈 010-2637-2961</t>
    <phoneticPr fontId="3" type="noConversion"/>
  </si>
  <si>
    <t>엘로라비</t>
    <phoneticPr fontId="3" type="noConversion"/>
  </si>
  <si>
    <t>팔레트</t>
    <phoneticPr fontId="3" type="noConversion"/>
  </si>
  <si>
    <t>40"(오전10시)</t>
    <phoneticPr fontId="3" type="noConversion"/>
  </si>
  <si>
    <t>5박스</t>
    <phoneticPr fontId="3" type="noConversion"/>
  </si>
  <si>
    <t>6월 마지막 출고 단가 2900원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</si>
  <si>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</si>
  <si>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</si>
  <si>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</si>
  <si>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</si>
  <si>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</si>
  <si>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</si>
  <si>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96박스</t>
    <phoneticPr fontId="3" type="noConversion"/>
  </si>
  <si>
    <t>56박스</t>
    <phoneticPr fontId="3" type="noConversion"/>
  </si>
  <si>
    <t>27박스</t>
    <phoneticPr fontId="3" type="noConversion"/>
  </si>
  <si>
    <t>PE28*2백</t>
    <phoneticPr fontId="3" type="noConversion"/>
  </si>
  <si>
    <t>대성씨앤씨</t>
    <phoneticPr fontId="3" type="noConversion"/>
  </si>
  <si>
    <t>7*10백(0.5T)</t>
    <phoneticPr fontId="3" type="noConversion"/>
  </si>
  <si>
    <t>50롤</t>
    <phoneticPr fontId="3" type="noConversion"/>
  </si>
  <si>
    <t>1공장</t>
    <phoneticPr fontId="3" type="noConversion"/>
  </si>
  <si>
    <t>10.5*10청</t>
    <phoneticPr fontId="3" type="noConversion"/>
  </si>
  <si>
    <t>50롤</t>
    <phoneticPr fontId="3" type="noConversion"/>
  </si>
  <si>
    <t>18*21황</t>
    <phoneticPr fontId="3" type="noConversion"/>
  </si>
  <si>
    <t>178롤</t>
    <phoneticPr fontId="3" type="noConversion"/>
  </si>
  <si>
    <t>한주에서 입고</t>
    <phoneticPr fontId="3" type="noConversion"/>
  </si>
  <si>
    <t>경인팩</t>
    <phoneticPr fontId="3" type="noConversion"/>
  </si>
  <si>
    <t>24박스</t>
    <phoneticPr fontId="3" type="noConversion"/>
  </si>
  <si>
    <t>음성</t>
    <phoneticPr fontId="3" type="noConversion"/>
  </si>
  <si>
    <t>대신택배</t>
    <phoneticPr fontId="3" type="noConversion"/>
  </si>
  <si>
    <t>충북 음성군 대소면 대금로 653-20  스카이세븐  043-883-7077  010-5451-3705</t>
    <phoneticPr fontId="3" type="noConversion"/>
  </si>
  <si>
    <t>10롤</t>
    <phoneticPr fontId="3" type="noConversion"/>
  </si>
  <si>
    <t>신광포장</t>
    <phoneticPr fontId="3" type="noConversion"/>
  </si>
  <si>
    <t>16*10황</t>
    <phoneticPr fontId="3" type="noConversion"/>
  </si>
  <si>
    <t>2롤</t>
    <phoneticPr fontId="3" type="noConversion"/>
  </si>
  <si>
    <t>동원팩</t>
    <phoneticPr fontId="3" type="noConversion"/>
  </si>
  <si>
    <t>6*10백</t>
    <phoneticPr fontId="3" type="noConversion"/>
  </si>
  <si>
    <t>20롤</t>
    <phoneticPr fontId="3" type="noConversion"/>
  </si>
  <si>
    <t>9롤</t>
    <phoneticPr fontId="3" type="noConversion"/>
  </si>
  <si>
    <t>25박스</t>
    <phoneticPr fontId="3" type="noConversion"/>
  </si>
  <si>
    <t>24박스</t>
    <phoneticPr fontId="3" type="noConversion"/>
  </si>
  <si>
    <t>방문출고</t>
    <phoneticPr fontId="3" type="noConversion"/>
  </si>
  <si>
    <t>12*10황(0.8T)</t>
    <phoneticPr fontId="3" type="noConversion"/>
  </si>
  <si>
    <t>하이게이트</t>
    <phoneticPr fontId="3" type="noConversion"/>
  </si>
  <si>
    <t>수작업</t>
    <phoneticPr fontId="3" type="noConversion"/>
  </si>
  <si>
    <t>20톤</t>
    <phoneticPr fontId="3" type="noConversion"/>
  </si>
  <si>
    <t>경인두채</t>
    <phoneticPr fontId="3" type="noConversion"/>
  </si>
  <si>
    <t>57롤</t>
    <phoneticPr fontId="3" type="noConversion"/>
  </si>
  <si>
    <t>1롤은 교환</t>
    <phoneticPr fontId="3" type="noConversion"/>
  </si>
  <si>
    <t>합동포장</t>
    <phoneticPr fontId="3" type="noConversion"/>
  </si>
  <si>
    <t>12*10황(0.75T)</t>
    <phoneticPr fontId="3" type="noConversion"/>
  </si>
  <si>
    <t>20롤</t>
    <phoneticPr fontId="3" type="noConversion"/>
  </si>
  <si>
    <t>50롤</t>
    <phoneticPr fontId="3" type="noConversion"/>
  </si>
  <si>
    <t>15*13황(0.75T)</t>
    <phoneticPr fontId="3" type="noConversion"/>
  </si>
  <si>
    <t>10롤</t>
    <phoneticPr fontId="3" type="noConversion"/>
  </si>
  <si>
    <t>화</t>
    <phoneticPr fontId="8" type="noConversion"/>
  </si>
  <si>
    <t>수</t>
    <phoneticPr fontId="8" type="noConversion"/>
  </si>
  <si>
    <t>월</t>
    <phoneticPr fontId="8" type="noConversion"/>
  </si>
  <si>
    <t>삼성</t>
    <phoneticPr fontId="3" type="noConversion"/>
  </si>
  <si>
    <t>18*21친환경</t>
    <phoneticPr fontId="3" type="noConversion"/>
  </si>
  <si>
    <t>223롤</t>
    <phoneticPr fontId="3" type="noConversion"/>
  </si>
  <si>
    <t>11mm 샘플</t>
  </si>
  <si>
    <t>10롤</t>
    <phoneticPr fontId="3" type="noConversion"/>
  </si>
  <si>
    <t>R4</t>
    <phoneticPr fontId="3" type="noConversion"/>
  </si>
  <si>
    <t>경인팩</t>
    <phoneticPr fontId="3" type="noConversion"/>
  </si>
  <si>
    <t>10박스</t>
    <phoneticPr fontId="3" type="noConversion"/>
  </si>
  <si>
    <t>로젠택배</t>
    <phoneticPr fontId="3" type="noConversion"/>
  </si>
  <si>
    <t>대구한국포장</t>
    <phoneticPr fontId="3" type="noConversion"/>
  </si>
  <si>
    <t>6*10백(0.65T)</t>
    <phoneticPr fontId="3" type="noConversion"/>
  </si>
  <si>
    <t>64롤</t>
    <phoneticPr fontId="3" type="noConversion"/>
  </si>
  <si>
    <t>노란밴딩</t>
    <phoneticPr fontId="3" type="noConversion"/>
  </si>
  <si>
    <t>36박스</t>
    <phoneticPr fontId="3" type="noConversion"/>
  </si>
  <si>
    <t>power박스</t>
    <phoneticPr fontId="3" type="noConversion"/>
  </si>
  <si>
    <t>70박스</t>
    <phoneticPr fontId="3" type="noConversion"/>
  </si>
  <si>
    <t>강원도 정선군 사북읍 사북중앙로 59  충북종합철물건재상사   033-592-2032</t>
    <phoneticPr fontId="3" type="noConversion"/>
  </si>
  <si>
    <t>213롤</t>
    <phoneticPr fontId="3" type="noConversion"/>
  </si>
  <si>
    <t>12*10황(0.65T)</t>
    <phoneticPr fontId="3" type="noConversion"/>
  </si>
  <si>
    <t>64롤</t>
    <phoneticPr fontId="3" type="noConversion"/>
  </si>
  <si>
    <t>12*12.5황</t>
    <phoneticPr fontId="3" type="noConversion"/>
  </si>
  <si>
    <t>4롤</t>
    <phoneticPr fontId="3" type="noConversion"/>
  </si>
  <si>
    <t>2롤2묶음</t>
    <phoneticPr fontId="3" type="noConversion"/>
  </si>
  <si>
    <t>대상산업</t>
    <phoneticPr fontId="3" type="noConversion"/>
  </si>
  <si>
    <t>유하정판㈜</t>
    <phoneticPr fontId="3" type="noConversion"/>
  </si>
  <si>
    <t>충남 천안시 서북구 성거읍 마당재길 28 유하정판㈜ 041-522-8636 / 010-3588-9371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</si>
  <si>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</si>
  <si>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</si>
  <si>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</si>
  <si>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전라남도 화순군 능주면 효죽로 433 (능주면) 계란선별팀 앞  백윤호  010-9286-6522</t>
    <phoneticPr fontId="3" type="noConversion"/>
  </si>
  <si>
    <t>power박스</t>
    <phoneticPr fontId="3" type="noConversion"/>
  </si>
  <si>
    <t>타이거팩</t>
    <phoneticPr fontId="3" type="noConversion"/>
  </si>
  <si>
    <t>수작업</t>
    <phoneticPr fontId="3" type="noConversion"/>
  </si>
  <si>
    <t>19.4톤</t>
    <phoneticPr fontId="3" type="noConversion"/>
  </si>
  <si>
    <t>7.8톤</t>
    <phoneticPr fontId="3" type="noConversion"/>
  </si>
  <si>
    <t>목</t>
    <phoneticPr fontId="8" type="noConversion"/>
  </si>
  <si>
    <t>동원팩</t>
    <phoneticPr fontId="3" type="noConversion"/>
  </si>
  <si>
    <t>50롤</t>
    <phoneticPr fontId="3" type="noConversion"/>
  </si>
  <si>
    <t>20박스</t>
    <phoneticPr fontId="3" type="noConversion"/>
  </si>
  <si>
    <t>20박스</t>
    <phoneticPr fontId="3" type="noConversion"/>
  </si>
  <si>
    <t>탐스텍</t>
    <phoneticPr fontId="3" type="noConversion"/>
  </si>
  <si>
    <t>팔레트</t>
    <phoneticPr fontId="3" type="noConversion"/>
  </si>
  <si>
    <t>싸이클롭</t>
    <phoneticPr fontId="3" type="noConversion"/>
  </si>
  <si>
    <t>팔레트</t>
    <phoneticPr fontId="3" type="noConversion"/>
  </si>
  <si>
    <t>17톤</t>
    <phoneticPr fontId="3" type="noConversion"/>
  </si>
  <si>
    <t>12*12.5황(0.75T)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</si>
  <si>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</si>
  <si>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</si>
  <si>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</si>
  <si>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</si>
  <si>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천안시 서북구 신당동 424-19  강원농장  010-6420-2204 /041-557-3176</t>
    <phoneticPr fontId="3" type="noConversion"/>
  </si>
  <si>
    <t>2박스</t>
    <phoneticPr fontId="3" type="noConversion"/>
  </si>
  <si>
    <t>로젠택배</t>
    <phoneticPr fontId="3" type="noConversion"/>
  </si>
  <si>
    <t>천안</t>
    <phoneticPr fontId="3" type="noConversion"/>
  </si>
  <si>
    <t>아산</t>
    <phoneticPr fontId="3" type="noConversion"/>
  </si>
  <si>
    <t>충남 아산시 문화로381 충무병원 세탁실 충무병원  010-9075-1460  041-536-6467</t>
    <phoneticPr fontId="3" type="noConversion"/>
  </si>
  <si>
    <t>224롤</t>
    <phoneticPr fontId="3" type="noConversion"/>
  </si>
  <si>
    <t xml:space="preserve">천안시 서북구 신당동 424-19  </t>
    <phoneticPr fontId="3" type="noConversion"/>
  </si>
  <si>
    <t xml:space="preserve">강원농장  </t>
    <phoneticPr fontId="3" type="noConversion"/>
  </si>
  <si>
    <t>010-6420-2204 /041-557-3176</t>
  </si>
  <si>
    <t>PP 6mm*10kg 백색 56롤</t>
    <phoneticPr fontId="3" type="noConversion"/>
  </si>
  <si>
    <t>PE28*2녹</t>
    <phoneticPr fontId="3" type="noConversion"/>
  </si>
  <si>
    <t>신광포장</t>
    <phoneticPr fontId="3" type="noConversion"/>
  </si>
  <si>
    <t>12*10황(0.65T)</t>
    <phoneticPr fontId="3" type="noConversion"/>
  </si>
  <si>
    <t>12박스</t>
    <phoneticPr fontId="3" type="noConversion"/>
  </si>
  <si>
    <t>32롤</t>
    <phoneticPr fontId="3" type="noConversion"/>
  </si>
  <si>
    <t>10.5*10투명</t>
    <phoneticPr fontId="3" type="noConversion"/>
  </si>
  <si>
    <t>100롤</t>
    <phoneticPr fontId="3" type="noConversion"/>
  </si>
  <si>
    <t>PE28*2청</t>
    <phoneticPr fontId="3" type="noConversion"/>
  </si>
  <si>
    <t>PE28*2황</t>
    <phoneticPr fontId="3" type="noConversion"/>
  </si>
  <si>
    <t>1박스</t>
    <phoneticPr fontId="3" type="noConversion"/>
  </si>
  <si>
    <t>1박스</t>
    <phoneticPr fontId="3" type="noConversion"/>
  </si>
  <si>
    <t>3박스</t>
    <phoneticPr fontId="3" type="noConversion"/>
  </si>
  <si>
    <t>김포</t>
    <phoneticPr fontId="3" type="noConversion"/>
  </si>
  <si>
    <t>김포시 통진읍 마송리 399-1  도수농장 0104708-7139</t>
    <phoneticPr fontId="3" type="noConversion"/>
  </si>
  <si>
    <t>LCL(오전9시30분)</t>
    <phoneticPr fontId="3" type="noConversion"/>
  </si>
  <si>
    <t>대한종합포장</t>
    <phoneticPr fontId="3" type="noConversion"/>
  </si>
  <si>
    <t>12*10백(0.8T)</t>
    <phoneticPr fontId="3" type="noConversion"/>
  </si>
  <si>
    <t>50박스</t>
    <phoneticPr fontId="3" type="noConversion"/>
  </si>
  <si>
    <t>랩 15*500*400</t>
    <phoneticPr fontId="3" type="noConversion"/>
  </si>
  <si>
    <t>10박스</t>
    <phoneticPr fontId="3" type="noConversion"/>
  </si>
  <si>
    <t>9*10황(0.8T)</t>
    <phoneticPr fontId="3" type="noConversion"/>
  </si>
  <si>
    <t>128롤</t>
    <phoneticPr fontId="3" type="noConversion"/>
  </si>
  <si>
    <t>용차</t>
    <phoneticPr fontId="3" type="noConversion"/>
  </si>
  <si>
    <t>임승진 연차</t>
    <phoneticPr fontId="3" type="noConversion"/>
  </si>
  <si>
    <t>대성씨앤씨</t>
    <phoneticPr fontId="3" type="noConversion"/>
  </si>
  <si>
    <t>50롤</t>
    <phoneticPr fontId="3" type="noConversion"/>
  </si>
  <si>
    <t>1공장</t>
    <phoneticPr fontId="3" type="noConversion"/>
  </si>
  <si>
    <t>12*10백(0.8T)</t>
    <phoneticPr fontId="3" type="noConversion"/>
  </si>
  <si>
    <t>현대테크</t>
    <phoneticPr fontId="3" type="noConversion"/>
  </si>
  <si>
    <t>12*10황(0.85T)</t>
    <phoneticPr fontId="3" type="noConversion"/>
  </si>
  <si>
    <t>50롤</t>
    <phoneticPr fontId="3" type="noConversion"/>
  </si>
  <si>
    <t>삼원산업제품</t>
    <phoneticPr fontId="3" type="noConversion"/>
  </si>
  <si>
    <t>0.75T랑 맞교환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</si>
  <si>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</si>
  <si>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</si>
  <si>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</si>
  <si>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방문출고</t>
    <phoneticPr fontId="3" type="noConversion"/>
  </si>
  <si>
    <t>신광포장</t>
    <phoneticPr fontId="3" type="noConversion"/>
  </si>
  <si>
    <t>16*10황</t>
    <phoneticPr fontId="3" type="noConversion"/>
  </si>
  <si>
    <t>2롤</t>
    <phoneticPr fontId="3" type="noConversion"/>
  </si>
  <si>
    <t>대신택배</t>
    <phoneticPr fontId="3" type="noConversion"/>
  </si>
  <si>
    <t>2롤1묶음</t>
    <phoneticPr fontId="3" type="noConversion"/>
  </si>
  <si>
    <t xml:space="preserve">경기도 안성시 양성면 덕봉리85-4  수리산업 031 672 2127   </t>
    <phoneticPr fontId="3" type="noConversion"/>
  </si>
  <si>
    <t>보우팩</t>
    <phoneticPr fontId="3" type="noConversion"/>
  </si>
  <si>
    <t>6*10백</t>
    <phoneticPr fontId="3" type="noConversion"/>
  </si>
  <si>
    <t>206롤</t>
    <phoneticPr fontId="3" type="noConversion"/>
  </si>
  <si>
    <t>파란밴딩</t>
    <phoneticPr fontId="3" type="noConversion"/>
  </si>
  <si>
    <t>PE28*2청</t>
    <phoneticPr fontId="3" type="noConversion"/>
  </si>
  <si>
    <t>2박스</t>
    <phoneticPr fontId="3" type="noConversion"/>
  </si>
  <si>
    <t>PE28*2황</t>
    <phoneticPr fontId="3" type="noConversion"/>
  </si>
  <si>
    <t>삼성</t>
    <phoneticPr fontId="3" type="noConversion"/>
  </si>
  <si>
    <t>파코팩</t>
    <phoneticPr fontId="3" type="noConversion"/>
  </si>
  <si>
    <t>수축밴드</t>
    <phoneticPr fontId="3" type="noConversion"/>
  </si>
  <si>
    <t>1롤</t>
    <phoneticPr fontId="3" type="noConversion"/>
  </si>
  <si>
    <t>대신택배</t>
    <phoneticPr fontId="3" type="noConversion"/>
  </si>
  <si>
    <t>박스컴퍼니</t>
    <phoneticPr fontId="3" type="noConversion"/>
  </si>
  <si>
    <t>7*10백</t>
    <phoneticPr fontId="3" type="noConversion"/>
  </si>
  <si>
    <t>56롤</t>
    <phoneticPr fontId="3" type="noConversion"/>
  </si>
  <si>
    <t>11*2300</t>
    <phoneticPr fontId="3" type="noConversion"/>
  </si>
  <si>
    <t>4롤</t>
    <phoneticPr fontId="3" type="noConversion"/>
  </si>
  <si>
    <t>삼성</t>
    <phoneticPr fontId="3" type="noConversion"/>
  </si>
  <si>
    <t>경남 김해시 상동면 동북로 1109번길 47-22  대은 엠비코  전찬호 부장 (010-7970-1082)</t>
    <phoneticPr fontId="3" type="noConversion"/>
  </si>
  <si>
    <t>40"(오후2시)</t>
    <phoneticPr fontId="3" type="noConversion"/>
  </si>
  <si>
    <t>경인팩</t>
    <phoneticPr fontId="3" type="noConversion"/>
  </si>
  <si>
    <t>100박스</t>
    <phoneticPr fontId="3" type="noConversion"/>
  </si>
  <si>
    <t>크린토피아</t>
    <phoneticPr fontId="3" type="noConversion"/>
  </si>
  <si>
    <t>20박스</t>
    <phoneticPr fontId="3" type="noConversion"/>
  </si>
  <si>
    <t>주신산업</t>
    <phoneticPr fontId="3" type="noConversion"/>
  </si>
  <si>
    <t>동원팩</t>
    <phoneticPr fontId="3" type="noConversion"/>
  </si>
  <si>
    <t>50롤</t>
    <phoneticPr fontId="3" type="noConversion"/>
  </si>
  <si>
    <t>12*10황</t>
    <phoneticPr fontId="3" type="noConversion"/>
  </si>
  <si>
    <t>10롤</t>
    <phoneticPr fontId="3" type="noConversion"/>
  </si>
  <si>
    <t>1박스</t>
    <phoneticPr fontId="3" type="noConversion"/>
  </si>
  <si>
    <t>로젠택배</t>
    <phoneticPr fontId="3" type="noConversion"/>
  </si>
  <si>
    <t>오후1시용차</t>
    <phoneticPr fontId="3" type="noConversion"/>
  </si>
  <si>
    <t>천안</t>
    <phoneticPr fontId="3" type="noConversion"/>
  </si>
  <si>
    <t>신광포장</t>
    <phoneticPr fontId="3" type="noConversion"/>
  </si>
  <si>
    <t>16*10황(수동엠보)</t>
    <phoneticPr fontId="3" type="noConversion"/>
  </si>
  <si>
    <t>48롤</t>
    <phoneticPr fontId="3" type="noConversion"/>
  </si>
  <si>
    <t>방문출고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</si>
  <si>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</si>
  <si>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</si>
  <si>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</si>
  <si>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경기도 포천시 영북면 야미리 466-4  에그플러스 031-535-0300</t>
    <phoneticPr fontId="3" type="noConversion"/>
  </si>
  <si>
    <t>용차</t>
    <phoneticPr fontId="3" type="noConversion"/>
  </si>
  <si>
    <t>포천시 영북면 야미리 466-4</t>
    <phoneticPr fontId="3" type="noConversion"/>
  </si>
  <si>
    <t>power박스</t>
    <phoneticPr fontId="3" type="noConversion"/>
  </si>
  <si>
    <t>power박스/농부마을</t>
    <phoneticPr fontId="3" type="noConversion"/>
  </si>
  <si>
    <t>30롤</t>
    <phoneticPr fontId="3" type="noConversion"/>
  </si>
  <si>
    <t>임승진 연차</t>
    <phoneticPr fontId="3" type="noConversion"/>
  </si>
  <si>
    <t>금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</si>
  <si>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</si>
  <si>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</si>
  <si>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</si>
  <si>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</si>
  <si>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12*10백(0.75T)</t>
    <phoneticPr fontId="3" type="noConversion"/>
  </si>
  <si>
    <t>용차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</si>
  <si>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</si>
  <si>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</si>
  <si>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</si>
  <si>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1착</t>
    <phoneticPr fontId="3" type="noConversion"/>
  </si>
  <si>
    <t>2착</t>
    <phoneticPr fontId="3" type="noConversion"/>
  </si>
  <si>
    <t>3착</t>
    <phoneticPr fontId="3" type="noConversion"/>
  </si>
  <si>
    <t>서흥포장</t>
    <phoneticPr fontId="3" type="noConversion"/>
  </si>
  <si>
    <t>10박스</t>
    <phoneticPr fontId="3" type="noConversion"/>
  </si>
  <si>
    <t>15롤</t>
    <phoneticPr fontId="3" type="noConversion"/>
  </si>
  <si>
    <t>7*10백</t>
    <phoneticPr fontId="3" type="noConversion"/>
  </si>
  <si>
    <t>20롤</t>
    <phoneticPr fontId="3" type="noConversion"/>
  </si>
  <si>
    <t>12*10황(0.8T)</t>
    <phoneticPr fontId="3" type="noConversion"/>
  </si>
  <si>
    <t>밴딩기히터</t>
    <phoneticPr fontId="3" type="noConversion"/>
  </si>
  <si>
    <t>3개</t>
    <phoneticPr fontId="3" type="noConversion"/>
  </si>
  <si>
    <t>랩15*500*400</t>
    <phoneticPr fontId="3" type="noConversion"/>
  </si>
  <si>
    <t>경인팩</t>
    <phoneticPr fontId="3" type="noConversion"/>
  </si>
  <si>
    <t>경기도 양주시 은현면 은현로257번길20  성규농장  010-5265-3729 /010-3766-3726</t>
    <phoneticPr fontId="3" type="noConversion"/>
  </si>
  <si>
    <t xml:space="preserve">경기도 양주시 은현면 </t>
    <phoneticPr fontId="3" type="noConversion"/>
  </si>
  <si>
    <t xml:space="preserve">은현로257번길20  </t>
    <phoneticPr fontId="3" type="noConversion"/>
  </si>
  <si>
    <t xml:space="preserve">성규농장  </t>
    <phoneticPr fontId="3" type="noConversion"/>
  </si>
  <si>
    <t>010-5265-3729 /010-3766-3726</t>
  </si>
  <si>
    <t>6mm*10kg 백색 56롤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</si>
  <si>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</si>
  <si>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</si>
  <si>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</si>
  <si>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12*10황</t>
    <phoneticPr fontId="3" type="noConversion"/>
  </si>
  <si>
    <t>30롤</t>
    <phoneticPr fontId="3" type="noConversion"/>
  </si>
  <si>
    <t>10박스</t>
    <phoneticPr fontId="3" type="noConversion"/>
  </si>
  <si>
    <t>power박스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</si>
  <si>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</si>
  <si>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</si>
  <si>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</si>
  <si>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9*10황</t>
    <phoneticPr fontId="3" type="noConversion"/>
  </si>
  <si>
    <t>20롤</t>
    <phoneticPr fontId="3" type="noConversion"/>
  </si>
  <si>
    <t>12*10황(0.65T)</t>
    <phoneticPr fontId="3" type="noConversion"/>
  </si>
  <si>
    <t>16롤</t>
    <phoneticPr fontId="3" type="noConversion"/>
  </si>
  <si>
    <t>대신택배</t>
    <phoneticPr fontId="3" type="noConversion"/>
  </si>
  <si>
    <t>아주파레트 반납</t>
    <phoneticPr fontId="3" type="noConversion"/>
  </si>
  <si>
    <t>469롤</t>
    <phoneticPr fontId="3" type="noConversion"/>
  </si>
  <si>
    <t>광림포장</t>
    <phoneticPr fontId="3" type="noConversion"/>
  </si>
  <si>
    <t>9*9.2황</t>
    <phoneticPr fontId="3" type="noConversion"/>
  </si>
  <si>
    <t>64롤</t>
    <phoneticPr fontId="3" type="noConversion"/>
  </si>
  <si>
    <t>15*10황(0.8T)</t>
    <phoneticPr fontId="3" type="noConversion"/>
  </si>
  <si>
    <t>50롤</t>
    <phoneticPr fontId="3" type="noConversion"/>
  </si>
  <si>
    <t>15*13황</t>
    <phoneticPr fontId="3" type="noConversion"/>
  </si>
  <si>
    <t>20롤</t>
    <phoneticPr fontId="3" type="noConversion"/>
  </si>
  <si>
    <t>대전</t>
    <phoneticPr fontId="3" type="noConversion"/>
  </si>
  <si>
    <t>대신택배</t>
    <phoneticPr fontId="3" type="noConversion"/>
  </si>
  <si>
    <t>10.5*10투명</t>
    <phoneticPr fontId="3" type="noConversion"/>
  </si>
  <si>
    <t>파워엠팩</t>
    <phoneticPr fontId="3" type="noConversion"/>
  </si>
  <si>
    <t>방문출고</t>
    <phoneticPr fontId="3" type="noConversion"/>
  </si>
  <si>
    <t>100롤</t>
    <phoneticPr fontId="3" type="noConversion"/>
  </si>
  <si>
    <t>의정부</t>
    <phoneticPr fontId="3" type="noConversion"/>
  </si>
  <si>
    <t>삼원산업</t>
    <phoneticPr fontId="3" type="noConversion"/>
  </si>
  <si>
    <t>15*10황</t>
    <phoneticPr fontId="3" type="noConversion"/>
  </si>
  <si>
    <t>250롤</t>
    <phoneticPr fontId="3" type="noConversion"/>
  </si>
  <si>
    <t>6*10백</t>
    <phoneticPr fontId="3" type="noConversion"/>
  </si>
  <si>
    <t>48롤</t>
    <phoneticPr fontId="3" type="noConversion"/>
  </si>
  <si>
    <t>종이두르기</t>
    <phoneticPr fontId="3" type="noConversion"/>
  </si>
  <si>
    <t>전표 2/1일</t>
    <phoneticPr fontId="3" type="noConversion"/>
  </si>
  <si>
    <t>신영글로벌</t>
    <phoneticPr fontId="3" type="noConversion"/>
  </si>
  <si>
    <t>30롤</t>
    <phoneticPr fontId="3" type="noConversion"/>
  </si>
  <si>
    <t>호성수출포장</t>
    <phoneticPr fontId="3" type="noConversion"/>
  </si>
  <si>
    <t>랩20*500*350</t>
    <phoneticPr fontId="3" type="noConversion"/>
  </si>
  <si>
    <t>20박스</t>
    <phoneticPr fontId="3" type="noConversion"/>
  </si>
  <si>
    <t>나무파레트</t>
    <phoneticPr fontId="3" type="noConversion"/>
  </si>
  <si>
    <t>옴니</t>
    <phoneticPr fontId="3" type="noConversion"/>
  </si>
  <si>
    <t>팔레트</t>
    <phoneticPr fontId="3" type="noConversion"/>
  </si>
  <si>
    <t>20"(오후2시)</t>
    <phoneticPr fontId="3" type="noConversion"/>
  </si>
  <si>
    <t>펀치볼</t>
    <phoneticPr fontId="3" type="noConversion"/>
  </si>
  <si>
    <t>수작업</t>
    <phoneticPr fontId="3" type="noConversion"/>
  </si>
  <si>
    <t>안양우체국</t>
    <phoneticPr fontId="3" type="noConversion"/>
  </si>
  <si>
    <t>PE28*2백</t>
    <phoneticPr fontId="3" type="noConversion"/>
  </si>
  <si>
    <t>10박스</t>
    <phoneticPr fontId="3" type="noConversion"/>
  </si>
  <si>
    <t>로젠택배</t>
    <phoneticPr fontId="3" type="noConversion"/>
  </si>
  <si>
    <t>용차</t>
    <phoneticPr fontId="3" type="noConversion"/>
  </si>
  <si>
    <t>경기 안양시 동안구 관양동 1591-2 안양우편집중국 2층 물류총괄과 강지숙 주무관 031-389-9302</t>
    <phoneticPr fontId="3" type="noConversion"/>
  </si>
  <si>
    <t>12*10청(0.75T)</t>
    <phoneticPr fontId="3" type="noConversion"/>
  </si>
  <si>
    <t>50롤</t>
    <phoneticPr fontId="3" type="noConversion"/>
  </si>
  <si>
    <t>5.6톤</t>
    <phoneticPr fontId="3" type="noConversion"/>
  </si>
  <si>
    <t>20"(오전10시)</t>
    <phoneticPr fontId="3" type="noConversion"/>
  </si>
  <si>
    <t>전주삼신산업</t>
    <phoneticPr fontId="3" type="noConversion"/>
  </si>
  <si>
    <t>power박스</t>
    <phoneticPr fontId="3" type="noConversion"/>
  </si>
  <si>
    <t>합동포장</t>
    <phoneticPr fontId="3" type="noConversion"/>
  </si>
  <si>
    <t>12*12.5황</t>
    <phoneticPr fontId="3" type="noConversion"/>
  </si>
  <si>
    <t>40롤</t>
    <phoneticPr fontId="3" type="noConversion"/>
  </si>
  <si>
    <t>20박스</t>
    <phoneticPr fontId="3" type="noConversion"/>
  </si>
  <si>
    <t>같이</t>
    <phoneticPr fontId="3" type="noConversion"/>
  </si>
  <si>
    <t>전표 2/1</t>
    <phoneticPr fontId="3" type="noConversion"/>
  </si>
  <si>
    <t>서윤상사</t>
    <phoneticPr fontId="3" type="noConversion"/>
  </si>
  <si>
    <t>24박스</t>
    <phoneticPr fontId="3" type="noConversion"/>
  </si>
  <si>
    <t>제주도</t>
    <phoneticPr fontId="3" type="noConversion"/>
  </si>
  <si>
    <t>대신택배</t>
    <phoneticPr fontId="3" type="noConversion"/>
  </si>
  <si>
    <t>제주특별시 제주시 한경면 배낭골길 80  배진표 010 8653 8595</t>
    <phoneticPr fontId="3" type="noConversion"/>
  </si>
  <si>
    <t>세움패키지</t>
    <phoneticPr fontId="3" type="noConversion"/>
  </si>
  <si>
    <t>5*7000백</t>
    <phoneticPr fontId="3" type="noConversion"/>
  </si>
  <si>
    <t>50롤</t>
    <phoneticPr fontId="3" type="noConversion"/>
  </si>
  <si>
    <t>용차</t>
    <phoneticPr fontId="3" type="noConversion"/>
  </si>
  <si>
    <t>청구  롤당24500원</t>
    <phoneticPr fontId="3" type="noConversion"/>
  </si>
  <si>
    <t>보우팩</t>
    <phoneticPr fontId="3" type="noConversion"/>
  </si>
  <si>
    <t>PE28*2청</t>
    <phoneticPr fontId="3" type="noConversion"/>
  </si>
  <si>
    <t>2박스</t>
    <phoneticPr fontId="3" type="noConversion"/>
  </si>
  <si>
    <t>대신화물착불</t>
    <phoneticPr fontId="3" type="noConversion"/>
  </si>
  <si>
    <t>보우팩</t>
    <phoneticPr fontId="3" type="noConversion"/>
  </si>
  <si>
    <t>9*10투명</t>
    <phoneticPr fontId="3" type="noConversion"/>
  </si>
  <si>
    <t>50롤</t>
    <phoneticPr fontId="3" type="noConversion"/>
  </si>
  <si>
    <t>알엘비</t>
    <phoneticPr fontId="3" type="noConversion"/>
  </si>
  <si>
    <t>팔레트</t>
    <phoneticPr fontId="3" type="noConversion"/>
  </si>
  <si>
    <t>17톤</t>
    <phoneticPr fontId="3" type="noConversion"/>
  </si>
  <si>
    <t>40"(오전10시)</t>
    <phoneticPr fontId="3" type="noConversion"/>
  </si>
  <si>
    <t>8톤</t>
    <phoneticPr fontId="3" type="noConversion"/>
  </si>
  <si>
    <t>20"(오전10시)</t>
    <phoneticPr fontId="3" type="noConversion"/>
  </si>
  <si>
    <t>에이스팩</t>
    <phoneticPr fontId="3" type="noConversion"/>
  </si>
  <si>
    <t>랩18*500*2000</t>
    <phoneticPr fontId="3" type="noConversion"/>
  </si>
  <si>
    <t>30박스</t>
    <phoneticPr fontId="3" type="noConversion"/>
  </si>
  <si>
    <t>랩18*500*350</t>
    <phoneticPr fontId="3" type="noConversion"/>
  </si>
  <si>
    <t>5박스</t>
    <phoneticPr fontId="3" type="noConversion"/>
  </si>
  <si>
    <t>스피드랩 직납</t>
    <phoneticPr fontId="3" type="noConversion"/>
  </si>
  <si>
    <t>10롤</t>
    <phoneticPr fontId="3" type="noConversion"/>
  </si>
  <si>
    <t>12*10황(0.8T)</t>
    <phoneticPr fontId="3" type="noConversion"/>
  </si>
  <si>
    <t>서점</t>
    <phoneticPr fontId="3" type="noConversion"/>
  </si>
  <si>
    <t>2,400/kg</t>
    <phoneticPr fontId="3" type="noConversion"/>
  </si>
  <si>
    <t>색상불량(-2롤)</t>
    <phoneticPr fontId="3" type="noConversion"/>
  </si>
  <si>
    <t>186롤</t>
    <phoneticPr fontId="3" type="noConversion"/>
  </si>
  <si>
    <t>신대한판지</t>
    <phoneticPr fontId="3" type="noConversion"/>
  </si>
  <si>
    <t>64롤</t>
    <phoneticPr fontId="3" type="noConversion"/>
  </si>
  <si>
    <t>64롤</t>
    <phoneticPr fontId="3" type="noConversion"/>
  </si>
  <si>
    <t>243롤</t>
    <phoneticPr fontId="3" type="noConversion"/>
  </si>
  <si>
    <t>19*1000검정</t>
    <phoneticPr fontId="3" type="noConversion"/>
  </si>
  <si>
    <t>1롤</t>
    <phoneticPr fontId="3" type="noConversion"/>
  </si>
  <si>
    <t>대신택배착불</t>
    <phoneticPr fontId="3" type="noConversion"/>
  </si>
  <si>
    <t>대구시 서구 와룡로307, 302호(디센터1976) 010-2951-4405</t>
    <phoneticPr fontId="3" type="noConversion"/>
  </si>
  <si>
    <t>kic박스</t>
    <phoneticPr fontId="3" type="noConversion"/>
  </si>
  <si>
    <t>경인팩</t>
    <phoneticPr fontId="3" type="noConversion"/>
  </si>
  <si>
    <t>민건이에이</t>
    <phoneticPr fontId="3" type="noConversion"/>
  </si>
  <si>
    <t>12*10백(0.85t)</t>
    <phoneticPr fontId="3" type="noConversion"/>
  </si>
  <si>
    <t>민건제품</t>
    <phoneticPr fontId="3" type="noConversion"/>
  </si>
  <si>
    <t>12*10백(0.8T)</t>
    <phoneticPr fontId="3" type="noConversion"/>
  </si>
  <si>
    <t>한길포장</t>
    <phoneticPr fontId="3" type="noConversion"/>
  </si>
  <si>
    <t>12*10황(0.75T)</t>
    <phoneticPr fontId="3" type="noConversion"/>
  </si>
  <si>
    <t>64롤</t>
    <phoneticPr fontId="3" type="noConversion"/>
  </si>
  <si>
    <t>12*10백(0.75T)</t>
    <phoneticPr fontId="3" type="noConversion"/>
  </si>
  <si>
    <t>50롤</t>
    <phoneticPr fontId="3" type="noConversion"/>
  </si>
  <si>
    <t>PE28*2백</t>
    <phoneticPr fontId="3" type="noConversion"/>
  </si>
  <si>
    <t>15박스</t>
    <phoneticPr fontId="3" type="noConversion"/>
  </si>
  <si>
    <t>전표2/1일</t>
    <phoneticPr fontId="3" type="noConversion"/>
  </si>
  <si>
    <t>용차</t>
    <phoneticPr fontId="3" type="noConversion"/>
  </si>
  <si>
    <t>100롤</t>
    <phoneticPr fontId="3" type="noConversion"/>
  </si>
  <si>
    <t>12*10황(0.8T)</t>
    <phoneticPr fontId="3" type="noConversion"/>
  </si>
  <si>
    <t>100롤</t>
    <phoneticPr fontId="3" type="noConversion"/>
  </si>
  <si>
    <t>화살표</t>
    <phoneticPr fontId="3" type="noConversion"/>
  </si>
  <si>
    <t>신영쇼핑백</t>
    <phoneticPr fontId="3" type="noConversion"/>
  </si>
  <si>
    <t>30박스</t>
    <phoneticPr fontId="3" type="noConversion"/>
  </si>
  <si>
    <t>power박스</t>
    <phoneticPr fontId="3" type="noConversion"/>
  </si>
  <si>
    <t>용차착불</t>
    <phoneticPr fontId="3" type="noConversion"/>
  </si>
  <si>
    <t>50롤</t>
    <phoneticPr fontId="3" type="noConversion"/>
  </si>
  <si>
    <t>20박스</t>
    <phoneticPr fontId="3" type="noConversion"/>
  </si>
  <si>
    <t>동원팩</t>
    <phoneticPr fontId="3" type="noConversion"/>
  </si>
  <si>
    <t>같이</t>
    <phoneticPr fontId="3" type="noConversion"/>
  </si>
  <si>
    <t>6*10백</t>
    <phoneticPr fontId="3" type="noConversion"/>
  </si>
  <si>
    <t>power박스</t>
    <phoneticPr fontId="3" type="noConversion"/>
  </si>
  <si>
    <t>10.5*10투명</t>
    <phoneticPr fontId="3" type="noConversion"/>
  </si>
  <si>
    <t>40롤</t>
    <phoneticPr fontId="3" type="noConversion"/>
  </si>
  <si>
    <t>12*10청(0.8T)</t>
    <phoneticPr fontId="3" type="noConversion"/>
  </si>
  <si>
    <t>100롤</t>
    <phoneticPr fontId="3" type="noConversion"/>
  </si>
  <si>
    <t>파워엠팩</t>
    <phoneticPr fontId="3" type="noConversion"/>
  </si>
  <si>
    <t>방문출고</t>
    <phoneticPr fontId="3" type="noConversion"/>
  </si>
  <si>
    <t>방문출고</t>
    <phoneticPr fontId="3" type="noConversion"/>
  </si>
  <si>
    <t>대한불소</t>
    <phoneticPr fontId="3" type="noConversion"/>
  </si>
  <si>
    <t>1착</t>
    <phoneticPr fontId="3" type="noConversion"/>
  </si>
  <si>
    <t>15*10은색(0.75T)</t>
    <phoneticPr fontId="3" type="noConversion"/>
  </si>
  <si>
    <t>50롤</t>
    <phoneticPr fontId="3" type="noConversion"/>
  </si>
  <si>
    <t>김형근</t>
    <phoneticPr fontId="3" type="noConversion"/>
  </si>
  <si>
    <t>팬</t>
    <phoneticPr fontId="3" type="noConversion"/>
  </si>
  <si>
    <t>2개</t>
    <phoneticPr fontId="3" type="noConversion"/>
  </si>
  <si>
    <t>금</t>
    <phoneticPr fontId="3" type="noConversion"/>
  </si>
  <si>
    <t>210롤</t>
    <phoneticPr fontId="3" type="noConversion"/>
  </si>
  <si>
    <t>대성씨앤씨</t>
    <phoneticPr fontId="3" type="noConversion"/>
  </si>
  <si>
    <t>랩20*500*1400</t>
    <phoneticPr fontId="3" type="noConversion"/>
  </si>
  <si>
    <t>1공장</t>
    <phoneticPr fontId="3" type="noConversion"/>
  </si>
  <si>
    <t>김형근</t>
    <phoneticPr fontId="3" type="noConversion"/>
  </si>
  <si>
    <t>동원팩</t>
    <phoneticPr fontId="3" type="noConversion"/>
  </si>
  <si>
    <t>6*10백</t>
    <phoneticPr fontId="3" type="noConversion"/>
  </si>
  <si>
    <t>9*10투명</t>
    <phoneticPr fontId="3" type="noConversion"/>
  </si>
  <si>
    <t>방문출고</t>
    <phoneticPr fontId="3" type="noConversion"/>
  </si>
  <si>
    <t>105롤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</si>
  <si>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</si>
  <si>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</si>
  <si>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</si>
  <si>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원주</t>
    <phoneticPr fontId="3" type="noConversion"/>
  </si>
  <si>
    <t>서울 가락</t>
    <phoneticPr fontId="3" type="noConversion"/>
  </si>
  <si>
    <t>대신택배</t>
    <phoneticPr fontId="3" type="noConversion"/>
  </si>
  <si>
    <t>용차</t>
    <phoneticPr fontId="3" type="noConversion"/>
  </si>
  <si>
    <t>강원도 원주시 동부순환로 389-5(봉산동) 서신 033-764-6605</t>
    <phoneticPr fontId="3" type="noConversion"/>
  </si>
  <si>
    <t>서울특별시 송파구 가락로 39  알마트  02-418-4566  010-4159-1917</t>
    <phoneticPr fontId="3" type="noConversion"/>
  </si>
  <si>
    <t>6*10백</t>
    <phoneticPr fontId="3" type="noConversion"/>
  </si>
  <si>
    <t>336롤</t>
    <phoneticPr fontId="3" type="noConversion"/>
  </si>
  <si>
    <t>PE28*2황</t>
    <phoneticPr fontId="3" type="noConversion"/>
  </si>
  <si>
    <t>10박스</t>
    <phoneticPr fontId="3" type="noConversion"/>
  </si>
  <si>
    <t>56롤</t>
    <phoneticPr fontId="3" type="noConversion"/>
  </si>
  <si>
    <t>56롤</t>
    <phoneticPr fontId="3" type="noConversion"/>
  </si>
  <si>
    <t>12MM인쇄밴드</t>
    <phoneticPr fontId="3" type="noConversion"/>
  </si>
  <si>
    <t>B품</t>
    <phoneticPr fontId="3" type="noConversion"/>
  </si>
  <si>
    <t>신광포장</t>
    <phoneticPr fontId="3" type="noConversion"/>
  </si>
  <si>
    <t>15*10황(0.65T)</t>
    <phoneticPr fontId="3" type="noConversion"/>
  </si>
  <si>
    <t>65롤</t>
    <phoneticPr fontId="3" type="noConversion"/>
  </si>
  <si>
    <t>40롤</t>
    <phoneticPr fontId="3" type="noConversion"/>
  </si>
  <si>
    <t>10박스</t>
    <phoneticPr fontId="3" type="noConversion"/>
  </si>
  <si>
    <t>대신택배</t>
    <phoneticPr fontId="3" type="noConversion"/>
  </si>
  <si>
    <t>12*9.5황</t>
    <phoneticPr fontId="3" type="noConversion"/>
  </si>
  <si>
    <t>50롤</t>
    <phoneticPr fontId="3" type="noConversion"/>
  </si>
  <si>
    <t>PE28*2백</t>
    <phoneticPr fontId="3" type="noConversion"/>
  </si>
  <si>
    <t>30박스</t>
    <phoneticPr fontId="3" type="noConversion"/>
  </si>
  <si>
    <t>오전1착</t>
    <phoneticPr fontId="3" type="noConversion"/>
  </si>
  <si>
    <t>kic박스</t>
    <phoneticPr fontId="3" type="noConversion"/>
  </si>
  <si>
    <t>지난번 반품 -1롤</t>
    <phoneticPr fontId="3" type="noConversion"/>
  </si>
  <si>
    <t>52롤</t>
    <phoneticPr fontId="3" type="noConversion"/>
  </si>
  <si>
    <t>406롤</t>
    <phoneticPr fontId="3" type="noConversion"/>
  </si>
  <si>
    <t>10롤</t>
    <phoneticPr fontId="3" type="noConversion"/>
  </si>
  <si>
    <t>12*10황(0.8T)</t>
    <phoneticPr fontId="3" type="noConversion"/>
  </si>
  <si>
    <t>6박스</t>
    <phoneticPr fontId="3" type="noConversion"/>
  </si>
  <si>
    <t>PE28*2황</t>
    <phoneticPr fontId="3" type="noConversion"/>
  </si>
  <si>
    <t>3박스</t>
    <phoneticPr fontId="3" type="noConversion"/>
  </si>
  <si>
    <t>9*10황</t>
    <phoneticPr fontId="3" type="noConversion"/>
  </si>
  <si>
    <t>7롤</t>
    <phoneticPr fontId="3" type="noConversion"/>
  </si>
  <si>
    <t>대구한국포장</t>
    <phoneticPr fontId="3" type="noConversion"/>
  </si>
  <si>
    <t>PE28*2청</t>
    <phoneticPr fontId="3" type="noConversion"/>
  </si>
  <si>
    <t>2박스</t>
    <phoneticPr fontId="3" type="noConversion"/>
  </si>
  <si>
    <t>power박스</t>
    <phoneticPr fontId="3" type="noConversion"/>
  </si>
  <si>
    <t>대신화물</t>
    <phoneticPr fontId="3" type="noConversion"/>
  </si>
  <si>
    <t>동원팩</t>
    <phoneticPr fontId="3" type="noConversion"/>
  </si>
  <si>
    <t>세종시 전의면 세종로 4268-21 희주농장 010-5423-8767</t>
    <phoneticPr fontId="3" type="noConversion"/>
  </si>
  <si>
    <t>6*10백</t>
    <phoneticPr fontId="3" type="noConversion"/>
  </si>
  <si>
    <t>4롤</t>
    <phoneticPr fontId="3" type="noConversion"/>
  </si>
  <si>
    <t>대신택배착불</t>
    <phoneticPr fontId="3" type="noConversion"/>
  </si>
  <si>
    <t>안성시 일죽면 서동대로 7252-5 두메팜스 010-7707-9873</t>
    <phoneticPr fontId="3" type="noConversion"/>
  </si>
  <si>
    <t>64롤</t>
    <phoneticPr fontId="3" type="noConversion"/>
  </si>
  <si>
    <t>9*10투명</t>
    <phoneticPr fontId="3" type="noConversion"/>
  </si>
  <si>
    <t>64롤</t>
    <phoneticPr fontId="3" type="noConversion"/>
  </si>
  <si>
    <t>한주</t>
    <phoneticPr fontId="3" type="noConversion"/>
  </si>
  <si>
    <t>팔레트</t>
    <phoneticPr fontId="3" type="noConversion"/>
  </si>
  <si>
    <t>21톤</t>
    <phoneticPr fontId="3" type="noConversion"/>
  </si>
  <si>
    <t>40"(오후2시)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</si>
  <si>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</si>
  <si>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</si>
  <si>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</si>
  <si>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</si>
  <si>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연화수출포장</t>
    <phoneticPr fontId="3" type="noConversion"/>
  </si>
  <si>
    <t>15*2500m황</t>
    <phoneticPr fontId="3" type="noConversion"/>
  </si>
  <si>
    <t>1롤</t>
    <phoneticPr fontId="3" type="noConversion"/>
  </si>
  <si>
    <t>고메리제품</t>
    <phoneticPr fontId="3" type="noConversion"/>
  </si>
  <si>
    <t>오전</t>
    <phoneticPr fontId="3" type="noConversion"/>
  </si>
  <si>
    <t>오후</t>
    <phoneticPr fontId="3" type="noConversion"/>
  </si>
  <si>
    <t>20롤</t>
    <phoneticPr fontId="3" type="noConversion"/>
  </si>
  <si>
    <t>12*10백(0.75T)</t>
    <phoneticPr fontId="3" type="noConversion"/>
  </si>
  <si>
    <t>12*10황(0.75T)</t>
    <phoneticPr fontId="3" type="noConversion"/>
  </si>
  <si>
    <t>대성씨앤씨</t>
    <phoneticPr fontId="3" type="noConversion"/>
  </si>
  <si>
    <t>수리된밴딩기</t>
    <phoneticPr fontId="3" type="noConversion"/>
  </si>
  <si>
    <t>1대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</si>
  <si>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</si>
  <si>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</si>
  <si>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</si>
  <si>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김형근</t>
    <phoneticPr fontId="3" type="noConversion"/>
  </si>
  <si>
    <t>동원팩</t>
    <phoneticPr fontId="3" type="noConversion"/>
  </si>
  <si>
    <t>6*10백</t>
    <phoneticPr fontId="3" type="noConversion"/>
  </si>
  <si>
    <t>10박스</t>
    <phoneticPr fontId="3" type="noConversion"/>
  </si>
  <si>
    <t>6922-000009</t>
    <phoneticPr fontId="3" type="noConversion"/>
  </si>
  <si>
    <t>410롤</t>
    <phoneticPr fontId="3" type="noConversion"/>
  </si>
  <si>
    <t>1020*1020  10파레트</t>
    <phoneticPr fontId="3" type="noConversion"/>
  </si>
  <si>
    <t>power박스</t>
    <phoneticPr fontId="3" type="noConversion"/>
  </si>
  <si>
    <t>앤더슨</t>
    <phoneticPr fontId="3" type="noConversion"/>
  </si>
  <si>
    <t>수작업</t>
    <phoneticPr fontId="3" type="noConversion"/>
  </si>
  <si>
    <t>20톤</t>
    <phoneticPr fontId="3" type="noConversion"/>
  </si>
  <si>
    <t>40"(오전10시)</t>
    <phoneticPr fontId="3" type="noConversion"/>
  </si>
  <si>
    <t>215롤</t>
    <phoneticPr fontId="3" type="noConversion"/>
  </si>
  <si>
    <t>신광포장</t>
    <phoneticPr fontId="3" type="noConversion"/>
  </si>
  <si>
    <t>25박스</t>
    <phoneticPr fontId="3" type="noConversion"/>
  </si>
  <si>
    <t>15*10황(0.65T)</t>
    <phoneticPr fontId="3" type="noConversion"/>
  </si>
  <si>
    <t>56롤</t>
    <phoneticPr fontId="3" type="noConversion"/>
  </si>
  <si>
    <t>오전 김형근</t>
    <phoneticPr fontId="3" type="noConversion"/>
  </si>
  <si>
    <t>2박스</t>
    <phoneticPr fontId="3" type="noConversion"/>
  </si>
  <si>
    <t>PE28*6백</t>
    <phoneticPr fontId="3" type="noConversion"/>
  </si>
  <si>
    <t>로젠택배</t>
    <phoneticPr fontId="3" type="noConversion"/>
  </si>
  <si>
    <t>삼성종합포장</t>
    <phoneticPr fontId="3" type="noConversion"/>
  </si>
  <si>
    <t>6*10백</t>
    <phoneticPr fontId="3" type="noConversion"/>
  </si>
  <si>
    <t>10롤</t>
    <phoneticPr fontId="3" type="noConversion"/>
  </si>
  <si>
    <t>20박스</t>
    <phoneticPr fontId="3" type="noConversion"/>
  </si>
  <si>
    <t>용차</t>
    <phoneticPr fontId="3" type="noConversion"/>
  </si>
  <si>
    <t>서윤상사</t>
  </si>
  <si>
    <t>제주도</t>
  </si>
  <si>
    <t>제주 서귀포시 토평공단로107번길 16-4 삼한서비스 김석호전무님 010-5463-7665</t>
    <phoneticPr fontId="3" type="noConversion"/>
  </si>
  <si>
    <t>16*1200반투명녹색</t>
    <phoneticPr fontId="3" type="noConversion"/>
  </si>
  <si>
    <t>20롤</t>
    <phoneticPr fontId="3" type="noConversion"/>
  </si>
  <si>
    <t>디에스에스에서 직납</t>
    <phoneticPr fontId="3" type="noConversion"/>
  </si>
  <si>
    <t>피앤비</t>
    <phoneticPr fontId="3" type="noConversion"/>
  </si>
  <si>
    <t>7*10백</t>
    <phoneticPr fontId="3" type="noConversion"/>
  </si>
  <si>
    <t>56롤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</si>
  <si>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</si>
  <si>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</si>
  <si>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</si>
  <si>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200롤</t>
    <phoneticPr fontId="3" type="noConversion"/>
  </si>
  <si>
    <t>720롤</t>
    <phoneticPr fontId="3" type="noConversion"/>
  </si>
  <si>
    <t>삼성</t>
    <phoneticPr fontId="3" type="noConversion"/>
  </si>
  <si>
    <t>용차/오후상차</t>
    <phoneticPr fontId="3" type="noConversion"/>
  </si>
  <si>
    <t>용차/오전8시상차</t>
    <phoneticPr fontId="3" type="noConversion"/>
  </si>
  <si>
    <t>김연희 연차</t>
    <phoneticPr fontId="3" type="noConversion"/>
  </si>
  <si>
    <t>삼성</t>
    <phoneticPr fontId="3" type="noConversion"/>
  </si>
  <si>
    <t>18*21친환경</t>
    <phoneticPr fontId="3" type="noConversion"/>
  </si>
  <si>
    <t>400롤</t>
    <phoneticPr fontId="3" type="noConversion"/>
  </si>
  <si>
    <t>100롤</t>
    <phoneticPr fontId="3" type="noConversion"/>
  </si>
  <si>
    <t>400롤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</si>
  <si>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</si>
  <si>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</si>
  <si>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</si>
  <si>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6*10황</t>
    <phoneticPr fontId="3" type="noConversion"/>
  </si>
  <si>
    <t>28롤</t>
    <phoneticPr fontId="3" type="noConversion"/>
  </si>
  <si>
    <t>6*10백</t>
    <phoneticPr fontId="3" type="noConversion"/>
  </si>
  <si>
    <t>28롤</t>
    <phoneticPr fontId="3" type="noConversion"/>
  </si>
  <si>
    <t>나무파레트</t>
    <phoneticPr fontId="3" type="noConversion"/>
  </si>
  <si>
    <t>대신화물</t>
    <phoneticPr fontId="3" type="noConversion"/>
  </si>
  <si>
    <t>대구달성다사지점</t>
    <phoneticPr fontId="3" type="noConversion"/>
  </si>
  <si>
    <t>진송팩</t>
    <phoneticPr fontId="3" type="noConversion"/>
  </si>
  <si>
    <t>20박스</t>
    <phoneticPr fontId="3" type="noConversion"/>
  </si>
  <si>
    <t>power박스</t>
    <phoneticPr fontId="3" type="noConversion"/>
  </si>
  <si>
    <t>PE28*6백</t>
    <phoneticPr fontId="3" type="noConversion"/>
  </si>
  <si>
    <t>3박스</t>
    <phoneticPr fontId="3" type="noConversion"/>
  </si>
  <si>
    <t>경기도 수원시 영통구 삼성로243</t>
    <phoneticPr fontId="3" type="noConversion"/>
  </si>
  <si>
    <t>케이아이씨</t>
    <phoneticPr fontId="3" type="noConversion"/>
  </si>
  <si>
    <t>임승진 대리  010-9032-1745</t>
    <phoneticPr fontId="3" type="noConversion"/>
  </si>
  <si>
    <t>하나로TNS</t>
    <phoneticPr fontId="3" type="noConversion"/>
  </si>
  <si>
    <t>용차 3시착</t>
    <phoneticPr fontId="3" type="noConversion"/>
  </si>
  <si>
    <t>김형근</t>
    <phoneticPr fontId="3" type="noConversion"/>
  </si>
  <si>
    <t>480롤</t>
    <phoneticPr fontId="3" type="noConversion"/>
  </si>
  <si>
    <t>128롤 교환</t>
    <phoneticPr fontId="3" type="noConversion"/>
  </si>
  <si>
    <t>배송지</t>
    <phoneticPr fontId="3" type="noConversion"/>
  </si>
  <si>
    <t>경기도 화성시 우정읍 쌍봉로 382-6</t>
    <phoneticPr fontId="3" type="noConversion"/>
  </si>
  <si>
    <t>파코팩</t>
    <phoneticPr fontId="3" type="noConversion"/>
  </si>
  <si>
    <t>010-9041-1611</t>
    <phoneticPr fontId="3" type="noConversion"/>
  </si>
  <si>
    <t>전주삼신</t>
    <phoneticPr fontId="3" type="noConversion"/>
  </si>
  <si>
    <t>7*10백</t>
    <phoneticPr fontId="3" type="noConversion"/>
  </si>
  <si>
    <t>20롤</t>
    <phoneticPr fontId="3" type="noConversion"/>
  </si>
  <si>
    <t>9*10황</t>
    <phoneticPr fontId="3" type="noConversion"/>
  </si>
  <si>
    <t>10롤</t>
    <phoneticPr fontId="3" type="noConversion"/>
  </si>
  <si>
    <t>대신택배</t>
    <phoneticPr fontId="3" type="noConversion"/>
  </si>
  <si>
    <t>750롤</t>
    <phoneticPr fontId="3" type="noConversion"/>
  </si>
  <si>
    <t>power박스</t>
    <phoneticPr fontId="3" type="noConversion"/>
  </si>
  <si>
    <t>오후</t>
    <phoneticPr fontId="3" type="noConversion"/>
  </si>
  <si>
    <t>동원피앤아이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</si>
  <si>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</si>
  <si>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</si>
  <si>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</si>
  <si>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방문출고</t>
    <phoneticPr fontId="3" type="noConversion"/>
  </si>
  <si>
    <t>PE50*5 백</t>
    <phoneticPr fontId="3" type="noConversion"/>
  </si>
  <si>
    <t>PE50*4.7 황</t>
    <phoneticPr fontId="3" type="noConversion"/>
  </si>
  <si>
    <t>56박스</t>
    <phoneticPr fontId="3" type="noConversion"/>
  </si>
  <si>
    <t>60박스</t>
    <phoneticPr fontId="3" type="noConversion"/>
  </si>
  <si>
    <t>9*12 은회색</t>
    <phoneticPr fontId="3" type="noConversion"/>
  </si>
  <si>
    <t>75롤</t>
    <phoneticPr fontId="3" type="noConversion"/>
  </si>
  <si>
    <t>지방합화차</t>
    <phoneticPr fontId="3" type="noConversion"/>
  </si>
  <si>
    <t>인스트아이앤씨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</si>
  <si>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</si>
  <si>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</si>
  <si>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</si>
  <si>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경인팩</t>
    <phoneticPr fontId="3" type="noConversion"/>
  </si>
  <si>
    <t>50박스</t>
    <phoneticPr fontId="3" type="noConversion"/>
  </si>
  <si>
    <t>용차</t>
    <phoneticPr fontId="3" type="noConversion"/>
  </si>
  <si>
    <t>보우팩</t>
    <phoneticPr fontId="3" type="noConversion"/>
  </si>
  <si>
    <t>6*10 백</t>
    <phoneticPr fontId="3" type="noConversion"/>
  </si>
  <si>
    <t>300롤</t>
    <phoneticPr fontId="3" type="noConversion"/>
  </si>
  <si>
    <t>파란밴딩</t>
    <phoneticPr fontId="3" type="noConversion"/>
  </si>
  <si>
    <t>유경산업지대</t>
    <phoneticPr fontId="3" type="noConversion"/>
  </si>
  <si>
    <t xml:space="preserve">경기도 포천시 영북면 호국로4350번길 136-99  자일농장  010-9187-5711 </t>
    <phoneticPr fontId="3" type="noConversion"/>
  </si>
  <si>
    <t xml:space="preserve">경기도 포천시 영북면 </t>
    <phoneticPr fontId="3" type="noConversion"/>
  </si>
  <si>
    <t xml:space="preserve">호국로4350번길 136-99  </t>
    <phoneticPr fontId="3" type="noConversion"/>
  </si>
  <si>
    <t xml:space="preserve">자일농장  </t>
    <phoneticPr fontId="3" type="noConversion"/>
  </si>
  <si>
    <t xml:space="preserve">010-9187-5711 </t>
  </si>
  <si>
    <t>랩 20*500*1400   50박스</t>
    <phoneticPr fontId="3" type="noConversion"/>
  </si>
  <si>
    <t>경기도 화성시 마도면 청원로231번길37(청원리719-1) 031-357-8390 / 010-5490-1926 대양팩</t>
    <phoneticPr fontId="3" type="noConversion"/>
  </si>
  <si>
    <t>인천 강화군 불은면 삼동암길168 소원농장 최광현 010-3104-1423</t>
    <phoneticPr fontId="3" type="noConversion"/>
  </si>
  <si>
    <t>7*10백</t>
    <phoneticPr fontId="3" type="noConversion"/>
  </si>
  <si>
    <t>64롤</t>
    <phoneticPr fontId="3" type="noConversion"/>
  </si>
  <si>
    <t>경인산업</t>
    <phoneticPr fontId="3" type="noConversion"/>
  </si>
  <si>
    <t>오전에 용차 들어옴</t>
    <phoneticPr fontId="3" type="noConversion"/>
  </si>
  <si>
    <t>유일포장</t>
    <phoneticPr fontId="3" type="noConversion"/>
  </si>
  <si>
    <t>7*10백</t>
    <phoneticPr fontId="3" type="noConversion"/>
  </si>
  <si>
    <t>2롤</t>
    <phoneticPr fontId="3" type="noConversion"/>
  </si>
  <si>
    <t>샘플</t>
    <phoneticPr fontId="3" type="noConversion"/>
  </si>
  <si>
    <t>255롤</t>
    <phoneticPr fontId="3" type="noConversion"/>
  </si>
  <si>
    <t>충청북도 진천군 덕산면 신척산단5로 196 (덕산면, (주)견지포장) 견지포장 김법준 010-4555-0979</t>
    <phoneticPr fontId="3" type="noConversion"/>
  </si>
  <si>
    <t>베스테크</t>
    <phoneticPr fontId="3" type="noConversion"/>
  </si>
  <si>
    <t>도전성밴드900M</t>
    <phoneticPr fontId="3" type="noConversion"/>
  </si>
  <si>
    <t>1롤</t>
    <phoneticPr fontId="3" type="noConversion"/>
  </si>
  <si>
    <t>윤정식팀장 010-5095-8509</t>
    <phoneticPr fontId="3" type="noConversion"/>
  </si>
  <si>
    <t>로젠택배선불</t>
    <phoneticPr fontId="3" type="noConversion"/>
  </si>
  <si>
    <t>고메리</t>
    <phoneticPr fontId="3" type="noConversion"/>
  </si>
  <si>
    <t>수작업</t>
    <phoneticPr fontId="3" type="noConversion"/>
  </si>
  <si>
    <t>18*10황</t>
    <phoneticPr fontId="3" type="noConversion"/>
  </si>
  <si>
    <t>대신택배</t>
    <phoneticPr fontId="3" type="noConversion"/>
  </si>
  <si>
    <t>인천 중구 자유무역로 259,  AK인천국제물류센터 3번게이트  황의덕팀장님 010-8704-7670</t>
    <phoneticPr fontId="3" type="noConversion"/>
  </si>
  <si>
    <t>1롤</t>
    <phoneticPr fontId="3" type="noConversion"/>
  </si>
  <si>
    <t>18MM황색 수동밴드</t>
    <phoneticPr fontId="3" type="noConversion"/>
  </si>
  <si>
    <t>한주반품재작업</t>
    <phoneticPr fontId="3" type="noConversion"/>
  </si>
  <si>
    <t>1롤</t>
    <phoneticPr fontId="3" type="noConversion"/>
  </si>
  <si>
    <t xml:space="preserve">경기도 화성시 마도면 </t>
    <phoneticPr fontId="3" type="noConversion"/>
  </si>
  <si>
    <t>031-357-8390 / 010-5490-1926</t>
  </si>
  <si>
    <t xml:space="preserve">청원로231번길37(청원리719-1)  </t>
    <phoneticPr fontId="3" type="noConversion"/>
  </si>
  <si>
    <t>대양팩</t>
  </si>
  <si>
    <t>동원팩</t>
    <phoneticPr fontId="3" type="noConversion"/>
  </si>
  <si>
    <t>6*10백</t>
    <phoneticPr fontId="3" type="noConversion"/>
  </si>
  <si>
    <t>50롤</t>
    <phoneticPr fontId="3" type="noConversion"/>
  </si>
  <si>
    <t>팔레트</t>
    <phoneticPr fontId="3" type="noConversion"/>
  </si>
  <si>
    <t>20박스</t>
    <phoneticPr fontId="3" type="noConversion"/>
  </si>
  <si>
    <t>PE28*2황</t>
    <phoneticPr fontId="3" type="noConversion"/>
  </si>
  <si>
    <t>10박스</t>
    <phoneticPr fontId="3" type="noConversion"/>
  </si>
  <si>
    <t>낱개</t>
    <phoneticPr fontId="3" type="noConversion"/>
  </si>
  <si>
    <t>1박스</t>
    <phoneticPr fontId="3" type="noConversion"/>
  </si>
  <si>
    <t>PE28*6백</t>
    <phoneticPr fontId="3" type="noConversion"/>
  </si>
  <si>
    <t>2박스</t>
    <phoneticPr fontId="3" type="noConversion"/>
  </si>
  <si>
    <t>낱개</t>
    <phoneticPr fontId="3" type="noConversion"/>
  </si>
  <si>
    <t>power박스/팔레트</t>
    <phoneticPr fontId="3" type="noConversion"/>
  </si>
  <si>
    <t>태광오토팩</t>
  </si>
  <si>
    <t>8*9백</t>
  </si>
  <si>
    <t>태광패드</t>
  </si>
  <si>
    <t>100롤</t>
    <phoneticPr fontId="3" type="noConversion"/>
  </si>
  <si>
    <t>10박스</t>
    <phoneticPr fontId="3" type="noConversion"/>
  </si>
  <si>
    <t>power박스/아산</t>
    <phoneticPr fontId="3" type="noConversion"/>
  </si>
  <si>
    <t>power박스/원주</t>
    <phoneticPr fontId="3" type="noConversion"/>
  </si>
  <si>
    <t>로젠택배착불</t>
    <phoneticPr fontId="3" type="noConversion"/>
  </si>
  <si>
    <t>금</t>
    <phoneticPr fontId="3" type="noConversion"/>
  </si>
  <si>
    <t>수입</t>
    <phoneticPr fontId="3" type="noConversion"/>
  </si>
  <si>
    <t>10시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</si>
  <si>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</si>
  <si>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</si>
  <si>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</si>
  <si>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</si>
  <si>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양구군 양구읍 소양석현길27 선바위농장  010-3391-4584</t>
    <phoneticPr fontId="3" type="noConversion"/>
  </si>
  <si>
    <t>에이원코리아</t>
    <phoneticPr fontId="3" type="noConversion"/>
  </si>
  <si>
    <t>12*12황(0.8T)</t>
    <phoneticPr fontId="3" type="noConversion"/>
  </si>
  <si>
    <t>동원팩</t>
    <phoneticPr fontId="3" type="noConversion"/>
  </si>
  <si>
    <t>6*10백</t>
    <phoneticPr fontId="3" type="noConversion"/>
  </si>
  <si>
    <t>48롤</t>
    <phoneticPr fontId="3" type="noConversion"/>
  </si>
  <si>
    <t>대신택배</t>
    <phoneticPr fontId="3" type="noConversion"/>
  </si>
  <si>
    <t>경북 문경시 산양면 불암3길15  산양농장   새아침계란입니다 010-5238-3771</t>
    <phoneticPr fontId="3" type="noConversion"/>
  </si>
  <si>
    <t>양구</t>
    <phoneticPr fontId="3" type="noConversion"/>
  </si>
  <si>
    <t>문경</t>
    <phoneticPr fontId="3" type="noConversion"/>
  </si>
  <si>
    <t>신화티에스</t>
    <phoneticPr fontId="3" type="noConversion"/>
  </si>
  <si>
    <t>15*10황(0.8T)</t>
    <phoneticPr fontId="3" type="noConversion"/>
  </si>
  <si>
    <t>50롤</t>
    <phoneticPr fontId="3" type="noConversion"/>
  </si>
  <si>
    <t>경기도 포천시 가산면 유교로34-10 박희철  010-4769-3101</t>
    <phoneticPr fontId="3" type="noConversion"/>
  </si>
  <si>
    <t>경기도 파주시 광탄면 보광로 1336-15 (광탄면) 원흥피앤피 김혜선 010-4982-7932</t>
    <phoneticPr fontId="3" type="noConversion"/>
  </si>
  <si>
    <t>일산</t>
    <phoneticPr fontId="3" type="noConversion"/>
  </si>
  <si>
    <t>용차</t>
    <phoneticPr fontId="3" type="noConversion"/>
  </si>
  <si>
    <t>12*9.5황</t>
    <phoneticPr fontId="3" type="noConversion"/>
  </si>
  <si>
    <t>100롤</t>
    <phoneticPr fontId="3" type="noConversion"/>
  </si>
  <si>
    <t>66롤</t>
    <phoneticPr fontId="3" type="noConversion"/>
  </si>
  <si>
    <t>500롤</t>
    <phoneticPr fontId="3" type="noConversion"/>
  </si>
  <si>
    <t>동방포장</t>
    <phoneticPr fontId="3" type="noConversion"/>
  </si>
  <si>
    <t>12*10황(0.65T)</t>
    <phoneticPr fontId="3" type="noConversion"/>
  </si>
  <si>
    <t>81롤</t>
    <phoneticPr fontId="3" type="noConversion"/>
  </si>
  <si>
    <t>나무파레트 1파레트로</t>
    <phoneticPr fontId="3" type="noConversion"/>
  </si>
  <si>
    <t>진로특수포장</t>
    <phoneticPr fontId="3" type="noConversion"/>
  </si>
  <si>
    <t>PE50*5 백</t>
    <phoneticPr fontId="3" type="noConversion"/>
  </si>
  <si>
    <t>5박스</t>
    <phoneticPr fontId="3" type="noConversion"/>
  </si>
  <si>
    <t>우선산업</t>
    <phoneticPr fontId="3" type="noConversion"/>
  </si>
  <si>
    <t>지방합화차착불</t>
    <phoneticPr fontId="3" type="noConversion"/>
  </si>
  <si>
    <t>경인팩</t>
    <phoneticPr fontId="3" type="noConversion"/>
  </si>
  <si>
    <t>6*10황</t>
    <phoneticPr fontId="3" type="noConversion"/>
  </si>
  <si>
    <t>56롤</t>
    <phoneticPr fontId="3" type="noConversion"/>
  </si>
  <si>
    <t>대신택배</t>
    <phoneticPr fontId="3" type="noConversion"/>
  </si>
  <si>
    <t>전북 완주군 상관면 춘향로4110(용암리329-4) 대산농장  010-2387-1220</t>
    <phoneticPr fontId="3" type="noConversion"/>
  </si>
  <si>
    <t>평원산업</t>
    <phoneticPr fontId="3" type="noConversion"/>
  </si>
  <si>
    <t>18*10황색인쇄</t>
    <phoneticPr fontId="3" type="noConversion"/>
  </si>
  <si>
    <t>72롤</t>
    <phoneticPr fontId="3" type="noConversion"/>
  </si>
  <si>
    <t>18*10백색인쇄</t>
    <phoneticPr fontId="3" type="noConversion"/>
  </si>
  <si>
    <t>용차</t>
    <phoneticPr fontId="3" type="noConversion"/>
  </si>
  <si>
    <t>11시 용차</t>
    <phoneticPr fontId="3" type="noConversion"/>
  </si>
  <si>
    <t>오후2시이전도착</t>
    <phoneticPr fontId="3" type="noConversion"/>
  </si>
  <si>
    <t>대기</t>
    <phoneticPr fontId="3" type="noConversion"/>
  </si>
  <si>
    <t>오전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</si>
  <si>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</si>
  <si>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</si>
  <si>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</si>
  <si>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한길포장</t>
    <phoneticPr fontId="3" type="noConversion"/>
  </si>
  <si>
    <t>12*10황(0.75T)</t>
    <phoneticPr fontId="3" type="noConversion"/>
  </si>
  <si>
    <t>64롤</t>
    <phoneticPr fontId="3" type="noConversion"/>
  </si>
  <si>
    <t>PE28*2백</t>
    <phoneticPr fontId="3" type="noConversion"/>
  </si>
  <si>
    <t>10박스</t>
    <phoneticPr fontId="3" type="noConversion"/>
  </si>
  <si>
    <t>3/4일</t>
    <phoneticPr fontId="3" type="noConversion"/>
  </si>
  <si>
    <t>에이스팩</t>
    <phoneticPr fontId="3" type="noConversion"/>
  </si>
  <si>
    <t>랩25*500*1400</t>
    <phoneticPr fontId="3" type="noConversion"/>
  </si>
  <si>
    <t>40박스</t>
    <phoneticPr fontId="3" type="noConversion"/>
  </si>
  <si>
    <t>랩25*500*300</t>
    <phoneticPr fontId="3" type="noConversion"/>
  </si>
  <si>
    <t>10박스</t>
    <phoneticPr fontId="3" type="noConversion"/>
  </si>
  <si>
    <t>스피드랩에서직납</t>
    <phoneticPr fontId="3" type="noConversion"/>
  </si>
  <si>
    <t>POWER박스</t>
    <phoneticPr fontId="3" type="noConversion"/>
  </si>
  <si>
    <t>kic박스/나무파레트</t>
    <phoneticPr fontId="3" type="noConversion"/>
  </si>
  <si>
    <t>12*10황(0.8T)</t>
    <phoneticPr fontId="3" type="noConversion"/>
  </si>
  <si>
    <t>56롤</t>
    <phoneticPr fontId="3" type="noConversion"/>
  </si>
  <si>
    <t>12*12.5황</t>
    <phoneticPr fontId="3" type="noConversion"/>
  </si>
  <si>
    <t>광림포장</t>
    <phoneticPr fontId="3" type="noConversion"/>
  </si>
  <si>
    <t>계산서 바로</t>
    <phoneticPr fontId="3" type="noConversion"/>
  </si>
  <si>
    <t>9*9.2황(0.6T)</t>
  </si>
  <si>
    <t>128롤</t>
    <phoneticPr fontId="3" type="noConversion"/>
  </si>
  <si>
    <t>6*10백(0.65T)</t>
  </si>
  <si>
    <t>20롤</t>
    <phoneticPr fontId="3" type="noConversion"/>
  </si>
  <si>
    <t>15*10투명(0.8T)</t>
    <phoneticPr fontId="3" type="noConversion"/>
  </si>
  <si>
    <t>동서포장</t>
    <phoneticPr fontId="3" type="noConversion"/>
  </si>
  <si>
    <t>4박스</t>
    <phoneticPr fontId="3" type="noConversion"/>
  </si>
  <si>
    <t>로젠택배착불</t>
    <phoneticPr fontId="3" type="noConversion"/>
  </si>
  <si>
    <t>신광포장</t>
    <phoneticPr fontId="3" type="noConversion"/>
  </si>
  <si>
    <t>PE28*2황</t>
    <phoneticPr fontId="3" type="noConversion"/>
  </si>
  <si>
    <t>PE28*6백</t>
    <phoneticPr fontId="3" type="noConversion"/>
  </si>
  <si>
    <t>10박스</t>
    <phoneticPr fontId="3" type="noConversion"/>
  </si>
  <si>
    <t>6박스</t>
    <phoneticPr fontId="3" type="noConversion"/>
  </si>
  <si>
    <t>동원팩</t>
    <phoneticPr fontId="3" type="noConversion"/>
  </si>
  <si>
    <t>6*10백</t>
    <phoneticPr fontId="3" type="noConversion"/>
  </si>
  <si>
    <t>6롤</t>
    <phoneticPr fontId="3" type="noConversion"/>
  </si>
  <si>
    <t>2롤3묶음</t>
    <phoneticPr fontId="3" type="noConversion"/>
  </si>
  <si>
    <t>대신택배착불</t>
    <phoneticPr fontId="3" type="noConversion"/>
  </si>
  <si>
    <t>논산시 광석면 율리 310-76 한영농장 010-9422-2884</t>
    <phoneticPr fontId="3" type="noConversion"/>
  </si>
  <si>
    <t>48롤</t>
    <phoneticPr fontId="3" type="noConversion"/>
  </si>
  <si>
    <t>은색밴딩</t>
    <phoneticPr fontId="3" type="noConversion"/>
  </si>
  <si>
    <t>패드갈이</t>
    <phoneticPr fontId="3" type="noConversion"/>
  </si>
  <si>
    <t>패드갈이</t>
    <phoneticPr fontId="3" type="noConversion"/>
  </si>
  <si>
    <t>9*10황</t>
    <phoneticPr fontId="3" type="noConversion"/>
  </si>
  <si>
    <t>128롤</t>
    <phoneticPr fontId="3" type="noConversion"/>
  </si>
  <si>
    <t>40롤</t>
    <phoneticPr fontId="3" type="noConversion"/>
  </si>
  <si>
    <t>12*12.5투명</t>
    <phoneticPr fontId="3" type="noConversion"/>
  </si>
  <si>
    <t>30롤</t>
    <phoneticPr fontId="3" type="noConversion"/>
  </si>
  <si>
    <t>오전</t>
    <phoneticPr fontId="3" type="noConversion"/>
  </si>
  <si>
    <t>2개씩 3묶음</t>
    <phoneticPr fontId="3" type="noConversion"/>
  </si>
  <si>
    <t>18*21황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</si>
  <si>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</si>
  <si>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</si>
  <si>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</si>
  <si>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</si>
  <si>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치악포장</t>
    <phoneticPr fontId="3" type="noConversion"/>
  </si>
  <si>
    <t>동방포장</t>
    <phoneticPr fontId="3" type="noConversion"/>
  </si>
  <si>
    <t>12*10황(0.65T)</t>
    <phoneticPr fontId="3" type="noConversion"/>
  </si>
  <si>
    <t>200롤</t>
    <phoneticPr fontId="3" type="noConversion"/>
  </si>
  <si>
    <t>무지패드</t>
    <phoneticPr fontId="3" type="noConversion"/>
  </si>
  <si>
    <t>2160원/kg</t>
    <phoneticPr fontId="3" type="noConversion"/>
  </si>
  <si>
    <t>신대한판지</t>
    <phoneticPr fontId="3" type="noConversion"/>
  </si>
  <si>
    <t>9*9.5백</t>
    <phoneticPr fontId="3" type="noConversion"/>
  </si>
  <si>
    <t>69롤</t>
    <phoneticPr fontId="3" type="noConversion"/>
  </si>
  <si>
    <t>김형근</t>
    <phoneticPr fontId="3" type="noConversion"/>
  </si>
  <si>
    <t>목</t>
    <phoneticPr fontId="3" type="noConversion"/>
  </si>
  <si>
    <t>대한종합포장</t>
    <phoneticPr fontId="3" type="noConversion"/>
  </si>
  <si>
    <t>50박스</t>
    <phoneticPr fontId="3" type="noConversion"/>
  </si>
  <si>
    <t>10박스</t>
    <phoneticPr fontId="3" type="noConversion"/>
  </si>
  <si>
    <t>랩20*500*1400</t>
    <phoneticPr fontId="3" type="noConversion"/>
  </si>
  <si>
    <t>랩15*500*400</t>
    <phoneticPr fontId="3" type="noConversion"/>
  </si>
  <si>
    <t>파워엠팩</t>
    <phoneticPr fontId="3" type="noConversion"/>
  </si>
  <si>
    <t>10.5*10청</t>
    <phoneticPr fontId="3" type="noConversion"/>
  </si>
  <si>
    <t>49롤</t>
    <phoneticPr fontId="3" type="noConversion"/>
  </si>
  <si>
    <t>방문출고</t>
    <phoneticPr fontId="3" type="noConversion"/>
  </si>
  <si>
    <t>평원산업</t>
    <phoneticPr fontId="3" type="noConversion"/>
  </si>
  <si>
    <t>대신택배</t>
    <phoneticPr fontId="3" type="noConversion"/>
  </si>
  <si>
    <t>샘플</t>
    <phoneticPr fontId="3" type="noConversion"/>
  </si>
  <si>
    <t>4롤</t>
    <phoneticPr fontId="3" type="noConversion"/>
  </si>
  <si>
    <t>2롤2묶음</t>
    <phoneticPr fontId="3" type="noConversion"/>
  </si>
  <si>
    <t>삼보팩/남영판지</t>
    <phoneticPr fontId="3" type="noConversion"/>
  </si>
  <si>
    <t>오후</t>
    <phoneticPr fontId="3" type="noConversion"/>
  </si>
  <si>
    <t>경인팩</t>
    <phoneticPr fontId="3" type="noConversion"/>
  </si>
  <si>
    <t>96박스</t>
    <phoneticPr fontId="3" type="noConversion"/>
  </si>
  <si>
    <t>PE50*6백</t>
    <phoneticPr fontId="3" type="noConversion"/>
  </si>
  <si>
    <t>10박스</t>
    <phoneticPr fontId="3" type="noConversion"/>
  </si>
  <si>
    <t>6*10백</t>
    <phoneticPr fontId="3" type="noConversion"/>
  </si>
  <si>
    <t>280롤</t>
    <phoneticPr fontId="3" type="noConversion"/>
  </si>
  <si>
    <t>6*10청</t>
    <phoneticPr fontId="3" type="noConversion"/>
  </si>
  <si>
    <t>20롤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</si>
  <si>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</si>
  <si>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</si>
  <si>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</si>
  <si>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</si>
  <si>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전라북도 김제시 백산면 석정로 89 사계절농장 010-2054-7985</t>
    <phoneticPr fontId="3" type="noConversion"/>
  </si>
  <si>
    <t>동원팩</t>
    <phoneticPr fontId="3" type="noConversion"/>
  </si>
  <si>
    <t>PE28*6백</t>
    <phoneticPr fontId="3" type="noConversion"/>
  </si>
  <si>
    <t>10박스</t>
    <phoneticPr fontId="3" type="noConversion"/>
  </si>
  <si>
    <t>20박스</t>
    <phoneticPr fontId="3" type="noConversion"/>
  </si>
  <si>
    <t>방문출고</t>
    <phoneticPr fontId="3" type="noConversion"/>
  </si>
  <si>
    <t>수</t>
    <phoneticPr fontId="3" type="noConversion"/>
  </si>
  <si>
    <t>상일교역(wcp)</t>
    <phoneticPr fontId="3" type="noConversion"/>
  </si>
  <si>
    <t>64박스</t>
    <phoneticPr fontId="3" type="noConversion"/>
  </si>
  <si>
    <t>241롤</t>
    <phoneticPr fontId="3" type="noConversion"/>
  </si>
  <si>
    <t>40"(오후2시)</t>
    <phoneticPr fontId="3" type="noConversion"/>
  </si>
  <si>
    <t>에이스팩</t>
    <phoneticPr fontId="3" type="noConversion"/>
  </si>
  <si>
    <t>랩18*500*2000</t>
    <phoneticPr fontId="3" type="noConversion"/>
  </si>
  <si>
    <t>20박스</t>
    <phoneticPr fontId="3" type="noConversion"/>
  </si>
  <si>
    <t>랩18*500*350</t>
    <phoneticPr fontId="3" type="noConversion"/>
  </si>
  <si>
    <t>10박스</t>
    <phoneticPr fontId="3" type="noConversion"/>
  </si>
  <si>
    <t>스피드랩에서 직납</t>
    <phoneticPr fontId="3" type="noConversion"/>
  </si>
  <si>
    <t>56롤</t>
    <phoneticPr fontId="3" type="noConversion"/>
  </si>
  <si>
    <t>용차</t>
    <phoneticPr fontId="3" type="noConversion"/>
  </si>
  <si>
    <t>56롤</t>
    <phoneticPr fontId="3" type="noConversion"/>
  </si>
  <si>
    <t>충남 천안시 서북구 신당새터2길 71 (신당동) 다온앤팜   010-7376-0133</t>
    <phoneticPr fontId="3" type="noConversion"/>
  </si>
  <si>
    <t>용차</t>
    <phoneticPr fontId="3" type="noConversion"/>
  </si>
  <si>
    <t>경기도 남양주시 오남읍 양지로 163  텃골푸드  031-527-8263 / 010-3774-8263</t>
    <phoneticPr fontId="3" type="noConversion"/>
  </si>
  <si>
    <t>제일산업안성</t>
    <phoneticPr fontId="3" type="noConversion"/>
  </si>
  <si>
    <t>PE50*5백</t>
    <phoneticPr fontId="3" type="noConversion"/>
  </si>
  <si>
    <t>75박스</t>
    <phoneticPr fontId="3" type="noConversion"/>
  </si>
  <si>
    <t>일반 내수 패드/천안</t>
    <phoneticPr fontId="3" type="noConversion"/>
  </si>
  <si>
    <t>일반 내수 패드/남양주</t>
    <phoneticPr fontId="3" type="noConversion"/>
  </si>
  <si>
    <t>태광오토팩</t>
    <phoneticPr fontId="3" type="noConversion"/>
  </si>
  <si>
    <t>PE28*2청</t>
    <phoneticPr fontId="3" type="noConversion"/>
  </si>
  <si>
    <t>22박스</t>
    <phoneticPr fontId="3" type="noConversion"/>
  </si>
  <si>
    <t>10박스</t>
    <phoneticPr fontId="3" type="noConversion"/>
  </si>
  <si>
    <t>power박스</t>
    <phoneticPr fontId="3" type="noConversion"/>
  </si>
  <si>
    <t>펀치볼</t>
    <phoneticPr fontId="3" type="noConversion"/>
  </si>
  <si>
    <t>수작업</t>
    <phoneticPr fontId="3" type="noConversion"/>
  </si>
  <si>
    <t>5.6톤</t>
    <phoneticPr fontId="3" type="noConversion"/>
  </si>
  <si>
    <t>20"(오전10시)</t>
    <phoneticPr fontId="3" type="noConversion"/>
  </si>
  <si>
    <t>콘즈</t>
    <phoneticPr fontId="3" type="noConversion"/>
  </si>
  <si>
    <t>7.5톤</t>
    <phoneticPr fontId="3" type="noConversion"/>
  </si>
  <si>
    <t>20"(오전10시)</t>
    <phoneticPr fontId="3" type="noConversion"/>
  </si>
  <si>
    <t>파워팩</t>
    <phoneticPr fontId="3" type="noConversion"/>
  </si>
  <si>
    <t>20.4톤</t>
    <phoneticPr fontId="3" type="noConversion"/>
  </si>
  <si>
    <t>40"(오전10시)</t>
    <phoneticPr fontId="3" type="noConversion"/>
  </si>
  <si>
    <t>한주</t>
    <phoneticPr fontId="3" type="noConversion"/>
  </si>
  <si>
    <t>팔레트</t>
    <phoneticPr fontId="3" type="noConversion"/>
  </si>
  <si>
    <t>18.3톤</t>
    <phoneticPr fontId="3" type="noConversion"/>
  </si>
  <si>
    <t>40"(오후2시)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</si>
</sst>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#&quot;롤&quot;"/>
    <numFmt numFmtId="177" formatCode="m&quot;월&quot;\ d&quot;일&quot;;@"/>
    <numFmt numFmtId="178" formatCode="m&quot;/&quot;d;@"/>
    <numFmt numFmtId="179" formatCode="mm&quot;월&quot;\ dd&quot;일&quot;"/>
    <numFmt numFmtId="180" formatCode="0_);[Red]\(0\)"/>
    <numFmt numFmtId="181" formatCode="General&quot;롤&quot;"/>
    <numFmt numFmtId="182" formatCode="&quot;익&quot;@"/>
    <numFmt numFmtId="183" formatCode="&quot;₩&quot;#,##0"/>
  </numFmts>
  <fonts count="70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2"/>
      <color rgb="FF000000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34"/>
      <color rgb="FF000000"/>
      <name val="맑은 고딕"/>
      <family val="3"/>
      <charset val="129"/>
    </font>
    <font>
      <b/>
      <sz val="36"/>
      <color rgb="FF000000"/>
      <name val="맑은 고딕"/>
      <family val="3"/>
      <charset val="129"/>
    </font>
    <font>
      <b/>
      <sz val="35"/>
      <color rgb="FF000000"/>
      <name val="Arial"/>
      <family val="2"/>
    </font>
    <font>
      <b/>
      <sz val="35"/>
      <color rgb="FF000000"/>
      <name val="맑은 고딕"/>
      <family val="3"/>
      <charset val="129"/>
    </font>
    <font>
      <b/>
      <sz val="35"/>
      <color rgb="FF000000"/>
      <name val="맑은 고딕"/>
      <family val="3"/>
      <charset val="129"/>
      <scheme val="minor"/>
    </font>
    <font>
      <b/>
      <sz val="30"/>
      <color rgb="FF000000"/>
      <name val="맑은 고딕"/>
      <family val="3"/>
      <charset val="129"/>
      <scheme val="minor"/>
    </font>
    <font>
      <sz val="34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</font>
    <font>
      <sz val="35"/>
      <color rgb="FF000000"/>
      <name val="맑은 고딕"/>
      <family val="3"/>
      <charset val="129"/>
    </font>
    <font>
      <sz val="32"/>
      <color rgb="FF000000"/>
      <name val="맑은 고딕"/>
      <family val="3"/>
      <charset val="129"/>
    </font>
    <font>
      <b/>
      <sz val="32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30"/>
      <color rgb="FF000000"/>
      <name val="맑은 고딕"/>
      <family val="3"/>
      <charset val="129"/>
    </font>
    <font>
      <b/>
      <sz val="31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b/>
      <sz val="33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22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  <scheme val="major"/>
    </font>
    <font>
      <sz val="33"/>
      <color rgb="FF000000"/>
      <name val="맑은 고딕"/>
      <family val="3"/>
      <charset val="129"/>
    </font>
    <font>
      <b/>
      <sz val="35"/>
      <color rgb="FF20202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33"/>
      <color rgb="FF000000"/>
      <name val="맑은 고딕"/>
      <family val="3"/>
      <charset val="129"/>
      <scheme val="minor"/>
    </font>
    <font>
      <b/>
      <sz val="32"/>
      <color rgb="FF000000"/>
      <name val="맑은 고딕"/>
      <family val="3"/>
      <charset val="129"/>
      <scheme val="minor"/>
    </font>
    <font>
      <b/>
      <sz val="32"/>
      <name val="맑은 고딕"/>
      <family val="3"/>
      <charset val="129"/>
    </font>
    <font>
      <sz val="33"/>
      <color rgb="FF000000"/>
      <name val="맑은 고딕"/>
      <family val="3"/>
      <charset val="129"/>
      <scheme val="minor"/>
    </font>
    <font>
      <b/>
      <sz val="36"/>
      <color rgb="FF000000"/>
      <name val="Arial"/>
      <family val="2"/>
    </font>
    <font>
      <b/>
      <sz val="36"/>
      <color rgb="FF000000"/>
      <name val="맑은 고딕"/>
      <family val="3"/>
      <charset val="129"/>
      <scheme val="major"/>
    </font>
    <font>
      <sz val="11"/>
      <color rgb="FF000000"/>
      <name val="Showcard Gothic"/>
      <family val="5"/>
    </font>
    <font>
      <b/>
      <sz val="11"/>
      <color rgb="FF000000"/>
      <name val="Bernard MT Condensed"/>
      <family val="1"/>
    </font>
    <font>
      <b/>
      <sz val="32"/>
      <color rgb="FF202020"/>
      <name val="맑은 고딕"/>
      <family val="3"/>
      <charset val="129"/>
    </font>
    <font>
      <sz val="11"/>
      <color rgb="FF111111"/>
      <name val="바탕"/>
      <family val="1"/>
      <charset val="129"/>
    </font>
    <font>
      <b/>
      <sz val="32"/>
      <color rgb="FF111111"/>
      <name val="맑은 고딕"/>
      <family val="3"/>
      <charset val="129"/>
      <scheme val="major"/>
    </font>
    <font>
      <b/>
      <sz val="32"/>
      <color rgb="FF000000"/>
      <name val="맑은 고딕"/>
      <family val="3"/>
      <charset val="129"/>
      <scheme val="major"/>
    </font>
    <font>
      <b/>
      <sz val="36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b/>
      <sz val="26"/>
      <color rgb="FFFF0000"/>
      <name val="맑은 고딕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32"/>
      <color rgb="FF000000"/>
      <name val="돋움"/>
      <family val="3"/>
      <charset val="129"/>
    </font>
    <font>
      <b/>
      <sz val="10"/>
      <color rgb="FF111111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rgb="FF111111"/>
      <name val="맑은 고딕"/>
      <family val="3"/>
      <charset val="129"/>
      <scheme val="minor"/>
    </font>
    <font>
      <b/>
      <sz val="30"/>
      <name val="맑은 고딕"/>
      <family val="3"/>
      <charset val="129"/>
    </font>
    <font>
      <b/>
      <sz val="31"/>
      <color rgb="FF000000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</cellStyleXfs>
  <cellXfs count="1980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/>
    </xf>
    <xf numFmtId="177" fontId="7" fillId="2" borderId="3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176" fontId="5" fillId="0" borderId="8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176" fontId="5" fillId="0" borderId="13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center" vertical="center" wrapText="1"/>
    </xf>
    <xf numFmtId="0" fontId="5" fillId="3" borderId="14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176" fontId="5" fillId="0" borderId="7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 wrapText="1"/>
    </xf>
    <xf numFmtId="176" fontId="5" fillId="4" borderId="12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176" fontId="5" fillId="4" borderId="13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26" xfId="0" applyNumberFormat="1" applyFont="1" applyFill="1" applyBorder="1" applyAlignment="1">
      <alignment horizontal="center" vertical="center" wrapText="1"/>
    </xf>
    <xf numFmtId="176" fontId="5" fillId="4" borderId="8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0" borderId="23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4" borderId="27" xfId="0" applyNumberFormat="1" applyFont="1" applyFill="1" applyBorder="1" applyAlignment="1">
      <alignment horizontal="center" vertical="center"/>
    </xf>
    <xf numFmtId="0" fontId="5" fillId="2" borderId="25" xfId="0" applyNumberFormat="1" applyFont="1" applyFill="1" applyBorder="1" applyAlignment="1">
      <alignment horizontal="center" vertical="center" wrapText="1"/>
    </xf>
    <xf numFmtId="0" fontId="7" fillId="2" borderId="29" xfId="0" applyNumberFormat="1" applyFont="1" applyFill="1" applyBorder="1" applyAlignment="1">
      <alignment horizontal="center" vertical="center" wrapText="1"/>
    </xf>
    <xf numFmtId="0" fontId="7" fillId="2" borderId="29" xfId="0" applyNumberFormat="1" applyFont="1" applyFill="1" applyBorder="1" applyAlignment="1">
      <alignment horizontal="center" vertical="center"/>
    </xf>
    <xf numFmtId="177" fontId="7" fillId="2" borderId="5" xfId="0" applyNumberFormat="1" applyFont="1" applyFill="1" applyBorder="1" applyAlignment="1">
      <alignment horizontal="center" vertical="center"/>
    </xf>
    <xf numFmtId="0" fontId="5" fillId="0" borderId="29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vertical="center"/>
    </xf>
    <xf numFmtId="0" fontId="5" fillId="4" borderId="1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left" vertical="center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176" fontId="5" fillId="4" borderId="27" xfId="0" applyNumberFormat="1" applyFont="1" applyFill="1" applyBorder="1" applyAlignment="1">
      <alignment horizontal="center" vertical="center" wrapText="1"/>
    </xf>
    <xf numFmtId="0" fontId="5" fillId="4" borderId="27" xfId="0" applyNumberFormat="1" applyFont="1" applyFill="1" applyBorder="1" applyAlignment="1">
      <alignment horizontal="center" vertical="center" wrapText="1"/>
    </xf>
    <xf numFmtId="0" fontId="5" fillId="3" borderId="25" xfId="0" applyNumberFormat="1" applyFont="1" applyFill="1" applyBorder="1" applyAlignment="1">
      <alignment horizontal="center" vertical="center"/>
    </xf>
    <xf numFmtId="0" fontId="5" fillId="3" borderId="23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5" fillId="3" borderId="29" xfId="0" applyNumberFormat="1" applyFont="1" applyFill="1" applyBorder="1" applyAlignment="1">
      <alignment horizontal="center" vertical="center"/>
    </xf>
    <xf numFmtId="0" fontId="5" fillId="3" borderId="28" xfId="0" applyNumberFormat="1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12" fillId="3" borderId="1" xfId="0" applyNumberFormat="1" applyFont="1" applyFill="1" applyBorder="1" applyAlignment="1">
      <alignment horizontal="right" vertical="center" wrapText="1"/>
    </xf>
    <xf numFmtId="0" fontId="12" fillId="3" borderId="38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0" fontId="5" fillId="3" borderId="38" xfId="0" applyNumberFormat="1" applyFont="1" applyFill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14" fontId="0" fillId="0" borderId="3" xfId="0" applyNumberFormat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right" vertical="center" wrapText="1"/>
    </xf>
    <xf numFmtId="0" fontId="5" fillId="3" borderId="8" xfId="0" applyNumberFormat="1" applyFont="1" applyFill="1" applyBorder="1" applyAlignment="1">
      <alignment horizontal="right" vertical="center" wrapText="1"/>
    </xf>
    <xf numFmtId="178" fontId="0" fillId="0" borderId="9" xfId="0" applyNumberFormat="1" applyBorder="1" applyAlignment="1">
      <alignment horizontal="center" vertical="center"/>
    </xf>
    <xf numFmtId="41" fontId="5" fillId="3" borderId="6" xfId="1" applyNumberFormat="1" applyFont="1" applyFill="1" applyBorder="1" applyAlignment="1">
      <alignment horizontal="right" vertical="center" wrapText="1"/>
    </xf>
    <xf numFmtId="41" fontId="5" fillId="3" borderId="8" xfId="1" applyNumberFormat="1" applyFont="1" applyFill="1" applyBorder="1" applyAlignment="1">
      <alignment horizontal="right" vertical="center" wrapText="1"/>
    </xf>
    <xf numFmtId="14" fontId="1" fillId="0" borderId="9" xfId="0" applyNumberFormat="1" applyFont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180" fontId="0" fillId="0" borderId="14" xfId="0" applyNumberFormat="1" applyFill="1" applyBorder="1" applyAlignment="1">
      <alignment horizontal="center" vertical="center"/>
    </xf>
    <xf numFmtId="180" fontId="5" fillId="3" borderId="23" xfId="0" applyNumberFormat="1" applyFont="1" applyFill="1" applyBorder="1" applyAlignment="1">
      <alignment horizontal="right" vertical="center" wrapText="1"/>
    </xf>
    <xf numFmtId="0" fontId="5" fillId="3" borderId="13" xfId="0" applyNumberFormat="1" applyFont="1" applyFill="1" applyBorder="1" applyAlignment="1">
      <alignment horizontal="right" vertical="center" wrapText="1"/>
    </xf>
    <xf numFmtId="180" fontId="5" fillId="3" borderId="13" xfId="0" applyNumberFormat="1" applyFont="1" applyFill="1" applyBorder="1" applyAlignment="1">
      <alignment horizontal="right" vertical="center" wrapText="1"/>
    </xf>
    <xf numFmtId="14" fontId="1" fillId="0" borderId="14" xfId="0" applyNumberFormat="1" applyFont="1" applyBorder="1" applyAlignment="1">
      <alignment horizontal="center" vertical="center"/>
    </xf>
    <xf numFmtId="180" fontId="1" fillId="0" borderId="14" xfId="0" applyNumberFormat="1" applyFont="1" applyFill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80" fontId="5" fillId="3" borderId="22" xfId="0" applyNumberFormat="1" applyFont="1" applyFill="1" applyBorder="1" applyAlignment="1">
      <alignment horizontal="right" vertical="center" wrapText="1"/>
    </xf>
    <xf numFmtId="0" fontId="5" fillId="3" borderId="12" xfId="0" applyNumberFormat="1" applyFont="1" applyFill="1" applyBorder="1" applyAlignment="1">
      <alignment horizontal="right" vertical="center" wrapText="1"/>
    </xf>
    <xf numFmtId="180" fontId="5" fillId="3" borderId="12" xfId="0" applyNumberFormat="1" applyFont="1" applyFill="1" applyBorder="1" applyAlignment="1">
      <alignment horizontal="right" vertical="center" wrapText="1"/>
    </xf>
    <xf numFmtId="14" fontId="0" fillId="0" borderId="20" xfId="0" applyNumberFormat="1" applyBorder="1" applyAlignment="1">
      <alignment horizontal="center" vertical="center"/>
    </xf>
    <xf numFmtId="0" fontId="13" fillId="0" borderId="22" xfId="0" applyNumberFormat="1" applyFont="1" applyBorder="1" applyAlignment="1">
      <alignment horizontal="center" vertical="center"/>
    </xf>
    <xf numFmtId="0" fontId="13" fillId="0" borderId="12" xfId="0" applyNumberFormat="1" applyFont="1" applyBorder="1" applyAlignment="1">
      <alignment horizontal="center" vertical="center"/>
    </xf>
    <xf numFmtId="178" fontId="13" fillId="0" borderId="20" xfId="0" applyNumberFormat="1" applyFont="1" applyBorder="1" applyAlignment="1">
      <alignment horizontal="center" vertical="center"/>
    </xf>
    <xf numFmtId="0" fontId="13" fillId="0" borderId="30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1" fillId="0" borderId="0" xfId="0" applyFont="1">
      <alignment vertical="center"/>
    </xf>
    <xf numFmtId="41" fontId="1" fillId="0" borderId="0" xfId="1">
      <alignment vertical="center"/>
    </xf>
    <xf numFmtId="182" fontId="0" fillId="0" borderId="0" xfId="0" applyNumberForma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41" fontId="0" fillId="0" borderId="13" xfId="0" applyNumberFormat="1" applyBorder="1">
      <alignment vertical="center"/>
    </xf>
    <xf numFmtId="41" fontId="1" fillId="0" borderId="13" xfId="1" applyBorder="1">
      <alignment vertical="center"/>
    </xf>
    <xf numFmtId="41" fontId="1" fillId="0" borderId="13" xfId="1" applyBorder="1" applyAlignment="1">
      <alignment horizontal="center" vertical="center"/>
    </xf>
    <xf numFmtId="41" fontId="1" fillId="0" borderId="13" xfId="1" applyFill="1" applyBorder="1">
      <alignment vertical="center"/>
    </xf>
    <xf numFmtId="41" fontId="11" fillId="0" borderId="13" xfId="1" applyFont="1" applyFill="1" applyBorder="1" applyAlignment="1">
      <alignment horizontal="center" vertical="center"/>
    </xf>
    <xf numFmtId="41" fontId="15" fillId="0" borderId="13" xfId="1" applyFont="1" applyFill="1" applyBorder="1" applyAlignment="1">
      <alignment horizontal="center" vertical="center"/>
    </xf>
    <xf numFmtId="41" fontId="11" fillId="0" borderId="13" xfId="1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20" fillId="0" borderId="0" xfId="0" applyNumberFormat="1" applyFont="1" applyAlignment="1">
      <alignment horizontal="left" vertical="center"/>
    </xf>
    <xf numFmtId="0" fontId="20" fillId="0" borderId="0" xfId="0" applyNumberFormat="1" applyFont="1" applyFill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7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24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28" fillId="0" borderId="0" xfId="0" applyNumberFormat="1" applyFont="1" applyAlignment="1">
      <alignment horizontal="left" vertical="center"/>
    </xf>
    <xf numFmtId="0" fontId="35" fillId="0" borderId="0" xfId="0" applyFont="1">
      <alignment vertical="center"/>
    </xf>
    <xf numFmtId="176" fontId="36" fillId="0" borderId="0" xfId="0" applyNumberFormat="1" applyFont="1" applyFill="1" applyBorder="1" applyAlignment="1">
      <alignment horizontal="center" vertical="center" wrapText="1"/>
    </xf>
    <xf numFmtId="0" fontId="36" fillId="0" borderId="0" xfId="0" applyNumberFormat="1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28" fillId="0" borderId="0" xfId="0" applyNumberFormat="1" applyFont="1" applyAlignment="1">
      <alignment vertical="center"/>
    </xf>
    <xf numFmtId="0" fontId="18" fillId="0" borderId="0" xfId="0" applyNumberFormat="1" applyFont="1" applyAlignment="1">
      <alignment vertical="center"/>
    </xf>
    <xf numFmtId="0" fontId="18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left" vertical="center" wrapText="1" indent="1"/>
    </xf>
    <xf numFmtId="0" fontId="5" fillId="4" borderId="27" xfId="0" applyNumberFormat="1" applyFont="1" applyFill="1" applyBorder="1" applyAlignment="1">
      <alignment vertical="center"/>
    </xf>
    <xf numFmtId="14" fontId="1" fillId="5" borderId="3" xfId="0" applyNumberFormat="1" applyFont="1" applyFill="1" applyBorder="1" applyAlignment="1">
      <alignment horizontal="center" vertical="center"/>
    </xf>
    <xf numFmtId="180" fontId="5" fillId="5" borderId="2" xfId="0" applyNumberFormat="1" applyFont="1" applyFill="1" applyBorder="1" applyAlignment="1">
      <alignment horizontal="right" vertical="center" wrapText="1"/>
    </xf>
    <xf numFmtId="0" fontId="24" fillId="0" borderId="0" xfId="0" applyFont="1" applyAlignment="1"/>
    <xf numFmtId="0" fontId="37" fillId="0" borderId="0" xfId="0" applyFont="1">
      <alignment vertical="center"/>
    </xf>
    <xf numFmtId="180" fontId="5" fillId="0" borderId="13" xfId="0" applyNumberFormat="1" applyFont="1" applyFill="1" applyBorder="1" applyAlignment="1">
      <alignment horizontal="right" vertical="center" wrapText="1"/>
    </xf>
    <xf numFmtId="0" fontId="5" fillId="0" borderId="13" xfId="0" applyNumberFormat="1" applyFont="1" applyFill="1" applyBorder="1" applyAlignment="1">
      <alignment horizontal="right" vertical="center" wrapText="1"/>
    </xf>
    <xf numFmtId="0" fontId="16" fillId="0" borderId="0" xfId="0" applyFont="1">
      <alignment vertical="center"/>
    </xf>
    <xf numFmtId="14" fontId="13" fillId="0" borderId="26" xfId="0" applyNumberFormat="1" applyFont="1" applyFill="1" applyBorder="1" applyAlignment="1">
      <alignment horizontal="center" vertical="center"/>
    </xf>
    <xf numFmtId="0" fontId="13" fillId="0" borderId="27" xfId="0" applyNumberFormat="1" applyFont="1" applyFill="1" applyBorder="1" applyAlignment="1">
      <alignment horizontal="center" vertical="center" wrapText="1"/>
    </xf>
    <xf numFmtId="0" fontId="13" fillId="0" borderId="27" xfId="0" applyNumberFormat="1" applyFont="1" applyFill="1" applyBorder="1" applyAlignment="1">
      <alignment horizontal="center" vertical="center"/>
    </xf>
    <xf numFmtId="14" fontId="0" fillId="0" borderId="14" xfId="0" applyNumberFormat="1" applyFill="1" applyBorder="1" applyAlignment="1">
      <alignment horizontal="center" vertical="center"/>
    </xf>
    <xf numFmtId="0" fontId="35" fillId="0" borderId="0" xfId="0" applyNumberFormat="1" applyFont="1" applyAlignment="1">
      <alignment horizontal="left" vertical="center"/>
    </xf>
    <xf numFmtId="183" fontId="0" fillId="0" borderId="0" xfId="0" applyNumberForma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5" fillId="3" borderId="7" xfId="0" applyNumberFormat="1" applyFont="1" applyFill="1" applyBorder="1" applyAlignment="1">
      <alignment horizontal="center" vertical="center"/>
    </xf>
    <xf numFmtId="180" fontId="1" fillId="0" borderId="20" xfId="0" applyNumberFormat="1" applyFont="1" applyFill="1" applyBorder="1" applyAlignment="1">
      <alignment horizontal="center" vertical="center"/>
    </xf>
    <xf numFmtId="0" fontId="1" fillId="0" borderId="12" xfId="0" applyNumberFormat="1" applyFont="1" applyBorder="1" applyAlignment="1">
      <alignment horizontal="center" vertical="center"/>
    </xf>
    <xf numFmtId="181" fontId="1" fillId="0" borderId="22" xfId="0" applyNumberFormat="1" applyFont="1" applyBorder="1" applyAlignment="1">
      <alignment horizontal="center"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5" fillId="5" borderId="7" xfId="0" applyNumberFormat="1" applyFont="1" applyFill="1" applyBorder="1" applyAlignment="1">
      <alignment horizontal="center" vertical="center"/>
    </xf>
    <xf numFmtId="0" fontId="5" fillId="5" borderId="7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2" applyFont="1">
      <alignment vertical="center"/>
    </xf>
    <xf numFmtId="0" fontId="47" fillId="0" borderId="0" xfId="0" applyFont="1">
      <alignment vertical="center"/>
    </xf>
    <xf numFmtId="0" fontId="27" fillId="0" borderId="0" xfId="0" applyNumberFormat="1" applyFont="1" applyAlignment="1">
      <alignment horizontal="left" vertical="center"/>
    </xf>
    <xf numFmtId="176" fontId="5" fillId="0" borderId="29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vertical="center"/>
    </xf>
    <xf numFmtId="0" fontId="5" fillId="3" borderId="12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5" fillId="4" borderId="22" xfId="0" applyNumberFormat="1" applyFont="1" applyFill="1" applyBorder="1" applyAlignment="1">
      <alignment vertical="center"/>
    </xf>
    <xf numFmtId="0" fontId="49" fillId="0" borderId="0" xfId="0" applyFont="1">
      <alignment vertical="center"/>
    </xf>
    <xf numFmtId="0" fontId="18" fillId="0" borderId="0" xfId="0" applyFont="1" applyAlignment="1">
      <alignment horizontal="righ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3" xfId="0" applyNumberFormat="1" applyFont="1" applyFill="1" applyBorder="1" applyAlignment="1">
      <alignment horizontal="center" vertical="center" shrinkToFit="1"/>
    </xf>
    <xf numFmtId="0" fontId="5" fillId="3" borderId="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177" fontId="5" fillId="4" borderId="26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0" borderId="20" xfId="0" applyNumberFormat="1" applyFont="1" applyFill="1" applyBorder="1" applyAlignment="1">
      <alignment vertical="center" wrapText="1"/>
    </xf>
    <xf numFmtId="0" fontId="5" fillId="0" borderId="14" xfId="0" applyNumberFormat="1" applyFont="1" applyFill="1" applyBorder="1" applyAlignment="1">
      <alignment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4" fillId="0" borderId="31" xfId="0" applyNumberFormat="1" applyFont="1" applyBorder="1" applyAlignment="1">
      <alignment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5" borderId="11" xfId="0" applyNumberFormat="1" applyFont="1" applyFill="1" applyBorder="1" applyAlignment="1">
      <alignment horizontal="center" vertical="center" wrapText="1"/>
    </xf>
    <xf numFmtId="0" fontId="5" fillId="5" borderId="21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vertical="center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177" fontId="7" fillId="2" borderId="16" xfId="0" applyNumberFormat="1" applyFont="1" applyFill="1" applyBorder="1" applyAlignment="1">
      <alignment horizontal="center" vertical="center"/>
    </xf>
    <xf numFmtId="0" fontId="7" fillId="2" borderId="32" xfId="0" applyNumberFormat="1" applyFont="1" applyFill="1" applyBorder="1" applyAlignment="1">
      <alignment horizontal="center" vertical="center"/>
    </xf>
    <xf numFmtId="0" fontId="7" fillId="2" borderId="32" xfId="0" applyNumberFormat="1" applyFont="1" applyFill="1" applyBorder="1" applyAlignment="1">
      <alignment horizontal="center" vertical="center" wrapText="1"/>
    </xf>
    <xf numFmtId="0" fontId="5" fillId="2" borderId="2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44" xfId="0" applyNumberFormat="1" applyFont="1" applyFill="1" applyBorder="1" applyAlignment="1">
      <alignment horizontal="center" vertical="center" wrapText="1"/>
    </xf>
    <xf numFmtId="177" fontId="7" fillId="2" borderId="45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46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9" fillId="4" borderId="30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3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46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2" fillId="0" borderId="0" xfId="0" applyFont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46" xfId="0" applyNumberFormat="1" applyFont="1" applyFill="1" applyBorder="1" applyAlignment="1">
      <alignment horizontal="center" vertical="center" wrapText="1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179" fontId="4" fillId="0" borderId="0" xfId="0" quotePrefix="1" applyNumberFormat="1" applyFont="1" applyAlignment="1">
      <alignment horizontal="left" vertical="center"/>
    </xf>
    <xf numFmtId="0" fontId="54" fillId="0" borderId="0" xfId="0" quotePrefix="1" applyFont="1">
      <alignment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6" fillId="0" borderId="0" xfId="0" applyFont="1">
      <alignment vertical="center"/>
    </xf>
    <xf numFmtId="0" fontId="4" fillId="0" borderId="0" xfId="0" applyNumberFormat="1" applyFont="1" applyAlignment="1">
      <alignment horizontal="left" vertical="center"/>
    </xf>
    <xf numFmtId="0" fontId="7" fillId="0" borderId="7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 wrapText="1"/>
    </xf>
    <xf numFmtId="177" fontId="7" fillId="0" borderId="9" xfId="0" applyNumberFormat="1" applyFont="1" applyFill="1" applyBorder="1" applyAlignment="1">
      <alignment horizontal="center" vertical="center"/>
    </xf>
    <xf numFmtId="0" fontId="7" fillId="0" borderId="8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5" fillId="0" borderId="25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7" fillId="4" borderId="27" xfId="0" applyNumberFormat="1" applyFont="1" applyFill="1" applyBorder="1" applyAlignment="1">
      <alignment horizontal="center" vertical="center" wrapText="1"/>
    </xf>
    <xf numFmtId="0" fontId="7" fillId="4" borderId="13" xfId="0" applyNumberFormat="1" applyFont="1" applyFill="1" applyBorder="1" applyAlignment="1">
      <alignment horizontal="center" vertical="center" wrapText="1"/>
    </xf>
    <xf numFmtId="0" fontId="5" fillId="0" borderId="29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7" borderId="14" xfId="0" applyNumberFormat="1" applyFont="1" applyFill="1" applyBorder="1" applyAlignment="1">
      <alignment horizontal="center" vertical="center" wrapText="1"/>
    </xf>
    <xf numFmtId="0" fontId="5" fillId="7" borderId="13" xfId="0" applyNumberFormat="1" applyFont="1" applyFill="1" applyBorder="1" applyAlignment="1">
      <alignment horizontal="center" vertical="center"/>
    </xf>
    <xf numFmtId="0" fontId="5" fillId="7" borderId="12" xfId="0" applyNumberFormat="1" applyFont="1" applyFill="1" applyBorder="1" applyAlignment="1">
      <alignment horizontal="center" vertical="center"/>
    </xf>
    <xf numFmtId="0" fontId="5" fillId="7" borderId="6" xfId="0" applyNumberFormat="1" applyFont="1" applyFill="1" applyBorder="1" applyAlignment="1">
      <alignment horizontal="center" vertical="center"/>
    </xf>
    <xf numFmtId="0" fontId="5" fillId="7" borderId="13" xfId="0" applyNumberFormat="1" applyFont="1" applyFill="1" applyBorder="1" applyAlignment="1">
      <alignment horizontal="center" vertical="center" wrapText="1"/>
    </xf>
    <xf numFmtId="176" fontId="5" fillId="7" borderId="13" xfId="0" applyNumberFormat="1" applyFont="1" applyFill="1" applyBorder="1" applyAlignment="1">
      <alignment horizontal="center" vertical="center" wrapText="1"/>
    </xf>
    <xf numFmtId="0" fontId="5" fillId="7" borderId="23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177" fontId="7" fillId="2" borderId="5" xfId="0" applyNumberFormat="1" applyFont="1" applyFill="1" applyBorder="1" applyAlignment="1">
      <alignment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26" xfId="0" applyNumberFormat="1" applyFont="1" applyFill="1" applyBorder="1" applyAlignment="1">
      <alignment horizontal="center" vertical="center" wrapText="1"/>
    </xf>
    <xf numFmtId="0" fontId="5" fillId="3" borderId="27" xfId="0" applyNumberFormat="1" applyFont="1" applyFill="1" applyBorder="1" applyAlignment="1">
      <alignment horizontal="center" vertical="center"/>
    </xf>
    <xf numFmtId="0" fontId="5" fillId="3" borderId="30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8" fillId="0" borderId="0" xfId="0" applyNumberFormat="1" applyFont="1" applyFill="1" applyBorder="1" applyAlignment="1">
      <alignment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9" fillId="0" borderId="0" xfId="0" applyFont="1">
      <alignment vertical="center"/>
    </xf>
    <xf numFmtId="0" fontId="60" fillId="3" borderId="48" xfId="0" applyFont="1" applyFill="1" applyBorder="1" applyAlignment="1">
      <alignment horizontal="center" vertical="center" wrapText="1"/>
    </xf>
    <xf numFmtId="0" fontId="61" fillId="3" borderId="49" xfId="0" applyFont="1" applyFill="1" applyBorder="1" applyAlignment="1">
      <alignment horizontal="center" vertical="center" wrapText="1"/>
    </xf>
    <xf numFmtId="0" fontId="60" fillId="0" borderId="0" xfId="0" applyFont="1">
      <alignment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60" fillId="3" borderId="0" xfId="0" applyFont="1" applyFill="1" applyBorder="1" applyAlignment="1">
      <alignment horizontal="center" vertical="center" wrapText="1"/>
    </xf>
    <xf numFmtId="0" fontId="61" fillId="3" borderId="0" xfId="0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14" fontId="0" fillId="0" borderId="11" xfId="0" applyNumberFormat="1" applyFill="1" applyBorder="1" applyAlignment="1">
      <alignment horizontal="center" vertical="center"/>
    </xf>
    <xf numFmtId="180" fontId="5" fillId="0" borderId="7" xfId="0" applyNumberFormat="1" applyFont="1" applyFill="1" applyBorder="1" applyAlignment="1">
      <alignment horizontal="right" vertical="center" wrapText="1"/>
    </xf>
    <xf numFmtId="0" fontId="5" fillId="0" borderId="7" xfId="0" applyNumberFormat="1" applyFont="1" applyFill="1" applyBorder="1" applyAlignment="1">
      <alignment horizontal="right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quotePrefix="1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29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66" fillId="0" borderId="0" xfId="2" applyFont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37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24" fillId="0" borderId="0" xfId="0" quotePrefix="1" applyFo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 shrinkToFi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67" fillId="0" borderId="0" xfId="0" applyFont="1">
      <alignment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68" fillId="0" borderId="0" xfId="0" applyFont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69" fillId="0" borderId="0" xfId="0" applyFont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3" xfId="0" quotePrefix="1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5" borderId="14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left" vertical="center"/>
    </xf>
    <xf numFmtId="0" fontId="5" fillId="3" borderId="50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horizontal="center" vertical="center"/>
    </xf>
    <xf numFmtId="0" fontId="5" fillId="3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32" xfId="0" applyNumberFormat="1" applyFont="1" applyFill="1" applyBorder="1" applyAlignment="1">
      <alignment horizontal="center" vertical="center"/>
    </xf>
    <xf numFmtId="0" fontId="5" fillId="3" borderId="24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horizontal="center" vertical="center"/>
    </xf>
    <xf numFmtId="181" fontId="1" fillId="0" borderId="23" xfId="0" applyNumberFormat="1" applyFont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180" fontId="5" fillId="0" borderId="12" xfId="0" applyNumberFormat="1" applyFont="1" applyFill="1" applyBorder="1" applyAlignment="1">
      <alignment horizontal="right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30" xfId="0" applyNumberFormat="1" applyFont="1" applyFill="1" applyBorder="1" applyAlignment="1">
      <alignment horizontal="center" vertical="center"/>
    </xf>
    <xf numFmtId="177" fontId="5" fillId="0" borderId="16" xfId="0" applyNumberFormat="1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177" fontId="5" fillId="0" borderId="5" xfId="0" applyNumberFormat="1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9" fillId="0" borderId="19" xfId="0" applyNumberFormat="1" applyFont="1" applyBorder="1" applyAlignment="1">
      <alignment horizontal="center" vertical="center"/>
    </xf>
    <xf numFmtId="0" fontId="9" fillId="0" borderId="18" xfId="0" applyNumberFormat="1" applyFont="1" applyBorder="1" applyAlignment="1">
      <alignment horizontal="center" vertical="center"/>
    </xf>
    <xf numFmtId="0" fontId="9" fillId="0" borderId="17" xfId="0" applyNumberFormat="1" applyFont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0" borderId="24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0" borderId="25" xfId="0" applyNumberFormat="1" applyFont="1" applyFill="1" applyBorder="1" applyAlignment="1">
      <alignment horizontal="center" vertical="center"/>
    </xf>
    <xf numFmtId="0" fontId="5" fillId="0" borderId="36" xfId="0" applyNumberFormat="1" applyFont="1" applyFill="1" applyBorder="1" applyAlignment="1">
      <alignment horizontal="center" vertical="center"/>
    </xf>
    <xf numFmtId="0" fontId="5" fillId="0" borderId="35" xfId="0" applyNumberFormat="1" applyFont="1" applyFill="1" applyBorder="1" applyAlignment="1">
      <alignment horizontal="center" vertical="center"/>
    </xf>
    <xf numFmtId="0" fontId="5" fillId="0" borderId="34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 wrapText="1"/>
    </xf>
    <xf numFmtId="0" fontId="5" fillId="3" borderId="16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177" fontId="5" fillId="0" borderId="42" xfId="0" applyNumberFormat="1" applyFont="1" applyBorder="1" applyAlignment="1">
      <alignment horizontal="left" vertical="center"/>
    </xf>
    <xf numFmtId="0" fontId="4" fillId="0" borderId="31" xfId="0" applyNumberFormat="1" applyFont="1" applyBorder="1" applyAlignment="1">
      <alignment horizontal="left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 wrapText="1"/>
    </xf>
    <xf numFmtId="177" fontId="5" fillId="4" borderId="16" xfId="0" applyNumberFormat="1" applyFont="1" applyFill="1" applyBorder="1" applyAlignment="1">
      <alignment horizontal="center" vertical="center"/>
    </xf>
    <xf numFmtId="177" fontId="5" fillId="4" borderId="20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 wrapText="1"/>
    </xf>
    <xf numFmtId="0" fontId="5" fillId="4" borderId="29" xfId="0" applyNumberFormat="1" applyFont="1" applyFill="1" applyBorder="1" applyAlignment="1">
      <alignment horizontal="center" vertical="center"/>
    </xf>
    <xf numFmtId="0" fontId="5" fillId="4" borderId="3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 wrapText="1"/>
    </xf>
    <xf numFmtId="0" fontId="5" fillId="4" borderId="47" xfId="0" applyNumberFormat="1" applyFont="1" applyFill="1" applyBorder="1" applyAlignment="1">
      <alignment horizontal="center" vertical="center" wrapText="1"/>
    </xf>
    <xf numFmtId="0" fontId="5" fillId="4" borderId="46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177" fontId="5" fillId="4" borderId="11" xfId="0" applyNumberFormat="1" applyFont="1" applyFill="1" applyBorder="1" applyAlignment="1">
      <alignment horizontal="center" vertical="center"/>
    </xf>
    <xf numFmtId="177" fontId="7" fillId="2" borderId="16" xfId="0" applyNumberFormat="1" applyFont="1" applyFill="1" applyBorder="1" applyAlignment="1">
      <alignment horizontal="center" vertical="center"/>
    </xf>
    <xf numFmtId="177" fontId="7" fillId="2" borderId="5" xfId="0" applyNumberFormat="1" applyFont="1" applyFill="1" applyBorder="1" applyAlignment="1">
      <alignment horizontal="center" vertical="center"/>
    </xf>
    <xf numFmtId="177" fontId="57" fillId="0" borderId="42" xfId="0" applyNumberFormat="1" applyFont="1" applyBorder="1" applyAlignment="1">
      <alignment horizontal="left" vertical="center"/>
    </xf>
    <xf numFmtId="0" fontId="5" fillId="7" borderId="9" xfId="0" applyNumberFormat="1" applyFont="1" applyFill="1" applyBorder="1" applyAlignment="1">
      <alignment horizontal="center" vertical="center" wrapText="1"/>
    </xf>
    <xf numFmtId="0" fontId="5" fillId="7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177" fontId="12" fillId="0" borderId="16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177" fontId="12" fillId="0" borderId="5" xfId="0" applyNumberFormat="1" applyFont="1" applyFill="1" applyBorder="1" applyAlignment="1">
      <alignment horizontal="center" vertical="center"/>
    </xf>
    <xf numFmtId="0" fontId="12" fillId="0" borderId="15" xfId="0" applyNumberFormat="1" applyFont="1" applyFill="1" applyBorder="1" applyAlignment="1">
      <alignment horizontal="center" vertical="center"/>
    </xf>
    <xf numFmtId="0" fontId="12" fillId="0" borderId="10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0" fontId="14" fillId="0" borderId="19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0" fontId="14" fillId="0" borderId="17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180" fontId="5" fillId="8" borderId="13" xfId="0" applyNumberFormat="1" applyFont="1" applyFill="1" applyBorder="1" applyAlignment="1">
      <alignment horizontal="right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47625</xdr:rowOff>
    </xdr:from>
    <xdr:to>
      <xdr:col>13</xdr:col>
      <xdr:colOff>555625</xdr:colOff>
      <xdr:row>39</xdr:row>
      <xdr:rowOff>180975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4925"/>
          <a:ext cx="9471025" cy="7048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305800</xdr:colOff>
      <xdr:row>6</xdr:row>
      <xdr:rowOff>47625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8463"/>
        <a:stretch/>
      </xdr:blipFill>
      <xdr:spPr>
        <a:xfrm>
          <a:off x="0" y="0"/>
          <a:ext cx="7163800" cy="1304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324661</xdr:colOff>
      <xdr:row>33</xdr:row>
      <xdr:rowOff>48597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1061" cy="6963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javascript:;" TargetMode="External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4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9"/>
  <sheetViews>
    <sheetView topLeftCell="A132" zoomScale="70" zoomScaleNormal="70" zoomScaleSheetLayoutView="70" workbookViewId="0">
      <selection activeCell="D147" sqref="D14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12.75" style="202" customWidth="1"/>
    <col min="9" max="16384" width="9" style="1"/>
  </cols>
  <sheetData>
    <row r="1" spans="1:8" s="202" customFormat="1" ht="60" customHeight="1" thickBot="1">
      <c r="A1" s="1907" t="s">
        <v>5</v>
      </c>
      <c r="B1" s="1908"/>
      <c r="C1" s="1908"/>
      <c r="D1" s="1908"/>
      <c r="E1" s="1908"/>
      <c r="F1" s="1908"/>
      <c r="G1" s="1909"/>
    </row>
    <row r="2" spans="1:8" s="202" customFormat="1" ht="30" customHeight="1">
      <c r="A2" s="1899">
        <v>44896</v>
      </c>
      <c r="B2" s="1902" t="s">
        <v>1</v>
      </c>
      <c r="C2" s="1905" t="s">
        <v>635</v>
      </c>
      <c r="D2" s="49" t="s">
        <v>636</v>
      </c>
      <c r="E2" s="49" t="s">
        <v>671</v>
      </c>
      <c r="F2" s="49"/>
      <c r="G2" s="60"/>
    </row>
    <row r="3" spans="1:8" s="202" customFormat="1" ht="30" customHeight="1">
      <c r="A3" s="1900"/>
      <c r="B3" s="1903"/>
      <c r="C3" s="1906"/>
      <c r="D3" s="24" t="s">
        <v>637</v>
      </c>
      <c r="E3" s="24" t="s">
        <v>638</v>
      </c>
      <c r="F3" s="209"/>
      <c r="G3" s="208"/>
    </row>
    <row r="4" spans="1:8" s="204" customFormat="1" ht="36" customHeight="1">
      <c r="A4" s="1900"/>
      <c r="B4" s="1903"/>
      <c r="C4" s="207" t="s">
        <v>667</v>
      </c>
      <c r="D4" s="209" t="s">
        <v>668</v>
      </c>
      <c r="E4" s="209" t="s">
        <v>669</v>
      </c>
      <c r="F4" s="209"/>
      <c r="G4" s="208" t="s">
        <v>670</v>
      </c>
    </row>
    <row r="5" spans="1:8" s="204" customFormat="1" ht="36" customHeight="1">
      <c r="A5" s="1900"/>
      <c r="B5" s="1903"/>
      <c r="C5" s="207" t="s">
        <v>673</v>
      </c>
      <c r="D5" s="209" t="s">
        <v>674</v>
      </c>
      <c r="E5" s="209" t="s">
        <v>675</v>
      </c>
      <c r="F5" s="209" t="s">
        <v>676</v>
      </c>
      <c r="G5" s="208" t="s">
        <v>677</v>
      </c>
      <c r="H5" s="210" t="s">
        <v>678</v>
      </c>
    </row>
    <row r="6" spans="1:8" s="204" customFormat="1" ht="36" customHeight="1" thickBot="1">
      <c r="A6" s="1900"/>
      <c r="B6" s="1903"/>
      <c r="C6" s="203"/>
      <c r="D6" s="172"/>
      <c r="E6" s="172"/>
      <c r="F6" s="172"/>
      <c r="G6" s="197"/>
    </row>
    <row r="7" spans="1:8" s="202" customFormat="1" ht="30" customHeight="1" thickBot="1">
      <c r="A7" s="1901"/>
      <c r="B7" s="1904"/>
      <c r="C7" s="12"/>
      <c r="D7" s="11"/>
      <c r="E7" s="10"/>
      <c r="F7" s="10"/>
      <c r="G7" s="9"/>
    </row>
    <row r="8" spans="1:8" s="204" customFormat="1" ht="36" customHeight="1">
      <c r="A8" s="1899">
        <v>44897</v>
      </c>
      <c r="B8" s="1902" t="s">
        <v>0</v>
      </c>
      <c r="C8" s="213" t="s">
        <v>639</v>
      </c>
      <c r="D8" s="24" t="s">
        <v>636</v>
      </c>
      <c r="E8" s="24" t="s">
        <v>640</v>
      </c>
      <c r="F8" s="212"/>
      <c r="G8" s="211"/>
    </row>
    <row r="9" spans="1:8" s="204" customFormat="1" ht="36" customHeight="1">
      <c r="A9" s="1900"/>
      <c r="B9" s="1903"/>
      <c r="C9" s="213" t="s">
        <v>605</v>
      </c>
      <c r="D9" s="24" t="s">
        <v>28</v>
      </c>
      <c r="E9" s="24" t="s">
        <v>649</v>
      </c>
      <c r="F9" s="212"/>
      <c r="G9" s="211"/>
      <c r="H9" s="205" t="s">
        <v>633</v>
      </c>
    </row>
    <row r="10" spans="1:8" s="204" customFormat="1" ht="36" customHeight="1">
      <c r="A10" s="1900"/>
      <c r="B10" s="1903"/>
      <c r="C10" s="213" t="s">
        <v>681</v>
      </c>
      <c r="D10" s="24" t="s">
        <v>682</v>
      </c>
      <c r="E10" s="24" t="s">
        <v>683</v>
      </c>
      <c r="F10" s="24" t="s">
        <v>685</v>
      </c>
      <c r="G10" s="33" t="s">
        <v>684</v>
      </c>
    </row>
    <row r="11" spans="1:8" s="202" customFormat="1" ht="30" customHeight="1">
      <c r="A11" s="1900"/>
      <c r="B11" s="1903"/>
      <c r="C11" s="1910" t="s">
        <v>690</v>
      </c>
      <c r="D11" s="212" t="s">
        <v>218</v>
      </c>
      <c r="E11" s="24" t="s">
        <v>697</v>
      </c>
      <c r="F11" s="212"/>
      <c r="G11" s="1913" t="s">
        <v>261</v>
      </c>
    </row>
    <row r="12" spans="1:8" s="202" customFormat="1" ht="30" customHeight="1">
      <c r="A12" s="1900"/>
      <c r="B12" s="1903"/>
      <c r="C12" s="1906"/>
      <c r="D12" s="24" t="s">
        <v>696</v>
      </c>
      <c r="E12" s="31" t="s">
        <v>698</v>
      </c>
      <c r="F12" s="212"/>
      <c r="G12" s="1912"/>
    </row>
    <row r="13" spans="1:8" s="216" customFormat="1" ht="30" customHeight="1">
      <c r="A13" s="1900"/>
      <c r="B13" s="1903"/>
      <c r="C13" s="213" t="s">
        <v>691</v>
      </c>
      <c r="D13" s="32" t="s">
        <v>692</v>
      </c>
      <c r="E13" s="31" t="s">
        <v>693</v>
      </c>
      <c r="F13" s="24" t="s">
        <v>694</v>
      </c>
      <c r="G13" s="33" t="s">
        <v>695</v>
      </c>
      <c r="H13" s="216" t="s">
        <v>699</v>
      </c>
    </row>
    <row r="14" spans="1:8" s="202" customFormat="1" ht="30" customHeight="1" thickBot="1">
      <c r="A14" s="1900"/>
      <c r="B14" s="1903"/>
      <c r="C14" s="222" t="s">
        <v>705</v>
      </c>
      <c r="D14" s="32" t="s">
        <v>498</v>
      </c>
      <c r="E14" s="31" t="s">
        <v>706</v>
      </c>
      <c r="F14" s="24"/>
      <c r="G14" s="33" t="s">
        <v>707</v>
      </c>
    </row>
    <row r="15" spans="1:8" s="216" customFormat="1" ht="30" hidden="1" customHeight="1">
      <c r="A15" s="1900"/>
      <c r="B15" s="1903"/>
      <c r="C15" s="215"/>
      <c r="D15" s="28"/>
      <c r="E15" s="27"/>
      <c r="F15" s="191"/>
      <c r="G15" s="218"/>
    </row>
    <row r="16" spans="1:8" s="216" customFormat="1" ht="30" hidden="1" customHeight="1" thickBot="1">
      <c r="A16" s="1900"/>
      <c r="B16" s="1903"/>
      <c r="C16" s="214"/>
      <c r="D16" s="26"/>
      <c r="E16" s="25"/>
      <c r="F16" s="172"/>
      <c r="G16" s="217"/>
    </row>
    <row r="17" spans="1:7" s="202" customFormat="1" ht="30" customHeight="1" thickBot="1">
      <c r="A17" s="1901"/>
      <c r="B17" s="1904"/>
      <c r="C17" s="12"/>
      <c r="D17" s="11"/>
      <c r="E17" s="10"/>
      <c r="F17" s="10"/>
      <c r="G17" s="9"/>
    </row>
    <row r="18" spans="1:7" s="202" customFormat="1" ht="60" customHeight="1" thickBot="1">
      <c r="A18" s="1907" t="s">
        <v>5</v>
      </c>
      <c r="B18" s="1908"/>
      <c r="C18" s="1908"/>
      <c r="D18" s="1908"/>
      <c r="E18" s="1908"/>
      <c r="F18" s="1908"/>
      <c r="G18" s="1909"/>
    </row>
    <row r="19" spans="1:7" s="202" customFormat="1" ht="36" customHeight="1">
      <c r="A19" s="1899">
        <v>44900</v>
      </c>
      <c r="B19" s="1902" t="s">
        <v>4</v>
      </c>
      <c r="C19" s="1905" t="s">
        <v>646</v>
      </c>
      <c r="D19" s="24" t="s">
        <v>20</v>
      </c>
      <c r="E19" s="24" t="s">
        <v>647</v>
      </c>
      <c r="F19" s="221"/>
      <c r="G19" s="219"/>
    </row>
    <row r="20" spans="1:7" s="202" customFormat="1" ht="36" customHeight="1">
      <c r="A20" s="1900"/>
      <c r="B20" s="1903"/>
      <c r="C20" s="1906"/>
      <c r="D20" s="24" t="s">
        <v>641</v>
      </c>
      <c r="E20" s="24" t="s">
        <v>648</v>
      </c>
      <c r="F20" s="221"/>
      <c r="G20" s="219"/>
    </row>
    <row r="21" spans="1:7" s="206" customFormat="1" ht="36" customHeight="1">
      <c r="A21" s="1900"/>
      <c r="B21" s="1903"/>
      <c r="C21" s="1910" t="s">
        <v>256</v>
      </c>
      <c r="D21" s="24" t="s">
        <v>215</v>
      </c>
      <c r="E21" s="24" t="s">
        <v>182</v>
      </c>
      <c r="F21" s="24" t="s">
        <v>258</v>
      </c>
      <c r="G21" s="219"/>
    </row>
    <row r="22" spans="1:7" s="206" customFormat="1" ht="30" customHeight="1">
      <c r="A22" s="1900"/>
      <c r="B22" s="1903"/>
      <c r="C22" s="1906"/>
      <c r="D22" s="24" t="s">
        <v>471</v>
      </c>
      <c r="E22" s="24" t="s">
        <v>182</v>
      </c>
      <c r="F22" s="221" t="s">
        <v>258</v>
      </c>
      <c r="G22" s="33"/>
    </row>
    <row r="23" spans="1:7" s="202" customFormat="1" ht="36" customHeight="1">
      <c r="A23" s="1900"/>
      <c r="B23" s="1903"/>
      <c r="C23" s="1910" t="s">
        <v>708</v>
      </c>
      <c r="D23" s="32" t="s">
        <v>709</v>
      </c>
      <c r="E23" s="31" t="s">
        <v>710</v>
      </c>
      <c r="F23" s="24"/>
      <c r="G23" s="33"/>
    </row>
    <row r="24" spans="1:7" s="216" customFormat="1" ht="36" customHeight="1">
      <c r="A24" s="1900"/>
      <c r="B24" s="1903"/>
      <c r="C24" s="1914"/>
      <c r="D24" s="32" t="s">
        <v>711</v>
      </c>
      <c r="E24" s="31" t="s">
        <v>712</v>
      </c>
      <c r="F24" s="221"/>
      <c r="G24" s="33"/>
    </row>
    <row r="25" spans="1:7" s="216" customFormat="1" ht="36" customHeight="1">
      <c r="A25" s="1900"/>
      <c r="B25" s="1903"/>
      <c r="C25" s="1906"/>
      <c r="D25" s="30" t="s">
        <v>713</v>
      </c>
      <c r="E25" s="29" t="s">
        <v>714</v>
      </c>
      <c r="F25" s="221"/>
      <c r="G25" s="220"/>
    </row>
    <row r="26" spans="1:7" s="224" customFormat="1" ht="36" customHeight="1">
      <c r="A26" s="1900"/>
      <c r="B26" s="1903"/>
      <c r="C26" s="222" t="s">
        <v>715</v>
      </c>
      <c r="D26" s="32" t="s">
        <v>716</v>
      </c>
      <c r="E26" s="31" t="s">
        <v>718</v>
      </c>
      <c r="F26" s="24" t="s">
        <v>719</v>
      </c>
      <c r="G26" s="33" t="s">
        <v>717</v>
      </c>
    </row>
    <row r="27" spans="1:7" s="224" customFormat="1" ht="36" customHeight="1">
      <c r="A27" s="1900"/>
      <c r="B27" s="1903"/>
      <c r="C27" s="1910" t="s">
        <v>727</v>
      </c>
      <c r="D27" s="30" t="s">
        <v>730</v>
      </c>
      <c r="E27" s="29" t="s">
        <v>729</v>
      </c>
      <c r="F27" s="221"/>
      <c r="G27" s="1911" t="s">
        <v>734</v>
      </c>
    </row>
    <row r="28" spans="1:7" s="224" customFormat="1" ht="36" customHeight="1">
      <c r="A28" s="1900"/>
      <c r="B28" s="1903"/>
      <c r="C28" s="1914"/>
      <c r="D28" s="30" t="s">
        <v>728</v>
      </c>
      <c r="E28" s="29" t="s">
        <v>731</v>
      </c>
      <c r="F28" s="221"/>
      <c r="G28" s="1913"/>
    </row>
    <row r="29" spans="1:7" s="224" customFormat="1" ht="36" customHeight="1" thickBot="1">
      <c r="A29" s="1900"/>
      <c r="B29" s="1903"/>
      <c r="C29" s="1906"/>
      <c r="D29" s="30" t="s">
        <v>732</v>
      </c>
      <c r="E29" s="29" t="s">
        <v>733</v>
      </c>
      <c r="F29" s="221"/>
      <c r="G29" s="1912"/>
    </row>
    <row r="30" spans="1:7" s="224" customFormat="1" ht="36" hidden="1" customHeight="1">
      <c r="A30" s="1900"/>
      <c r="B30" s="1903"/>
      <c r="C30" s="223"/>
      <c r="D30" s="28"/>
      <c r="E30" s="27"/>
      <c r="F30" s="191"/>
      <c r="G30" s="225"/>
    </row>
    <row r="31" spans="1:7" s="202" customFormat="1" ht="36" hidden="1" customHeight="1" thickBot="1">
      <c r="A31" s="1900"/>
      <c r="B31" s="1903"/>
      <c r="C31" s="214"/>
      <c r="D31" s="26"/>
      <c r="E31" s="25"/>
      <c r="F31" s="172"/>
      <c r="G31" s="217"/>
    </row>
    <row r="32" spans="1:7" s="202" customFormat="1" ht="36" customHeight="1" thickBot="1">
      <c r="A32" s="1901"/>
      <c r="B32" s="1904"/>
      <c r="C32" s="12"/>
      <c r="D32" s="11"/>
      <c r="E32" s="10"/>
      <c r="F32" s="10"/>
      <c r="G32" s="9"/>
    </row>
    <row r="33" spans="1:8" s="202" customFormat="1" ht="36" customHeight="1">
      <c r="A33" s="1899">
        <v>44901</v>
      </c>
      <c r="B33" s="1902" t="s">
        <v>3</v>
      </c>
      <c r="C33" s="1905" t="s">
        <v>650</v>
      </c>
      <c r="D33" s="24" t="s">
        <v>651</v>
      </c>
      <c r="E33" s="24" t="s">
        <v>652</v>
      </c>
      <c r="F33" s="229"/>
      <c r="G33" s="227"/>
    </row>
    <row r="34" spans="1:8" s="206" customFormat="1" ht="36" customHeight="1">
      <c r="A34" s="1900"/>
      <c r="B34" s="1903"/>
      <c r="C34" s="1914"/>
      <c r="D34" s="24" t="s">
        <v>653</v>
      </c>
      <c r="E34" s="24" t="s">
        <v>654</v>
      </c>
      <c r="F34" s="229"/>
      <c r="G34" s="227"/>
    </row>
    <row r="35" spans="1:8" s="206" customFormat="1" ht="36" customHeight="1">
      <c r="A35" s="1900"/>
      <c r="B35" s="1903"/>
      <c r="C35" s="1914"/>
      <c r="D35" s="32" t="s">
        <v>735</v>
      </c>
      <c r="E35" s="31" t="s">
        <v>655</v>
      </c>
      <c r="F35" s="229"/>
      <c r="G35" s="227"/>
    </row>
    <row r="36" spans="1:8" s="202" customFormat="1" ht="36" customHeight="1">
      <c r="A36" s="1900"/>
      <c r="B36" s="1903"/>
      <c r="C36" s="1906"/>
      <c r="D36" s="32" t="s">
        <v>20</v>
      </c>
      <c r="E36" s="31" t="s">
        <v>572</v>
      </c>
      <c r="F36" s="229" t="s">
        <v>736</v>
      </c>
      <c r="G36" s="227"/>
    </row>
    <row r="37" spans="1:8" s="202" customFormat="1" ht="36" customHeight="1">
      <c r="A37" s="1900"/>
      <c r="B37" s="1903"/>
      <c r="C37" s="230" t="s">
        <v>656</v>
      </c>
      <c r="D37" s="32" t="s">
        <v>657</v>
      </c>
      <c r="E37" s="31" t="s">
        <v>658</v>
      </c>
      <c r="F37" s="229" t="s">
        <v>659</v>
      </c>
      <c r="G37" s="227"/>
    </row>
    <row r="38" spans="1:8" s="224" customFormat="1" ht="36" customHeight="1">
      <c r="A38" s="1900"/>
      <c r="B38" s="1903"/>
      <c r="C38" s="230" t="s">
        <v>726</v>
      </c>
      <c r="D38" s="32" t="s">
        <v>48</v>
      </c>
      <c r="E38" s="31" t="s">
        <v>751</v>
      </c>
      <c r="F38" s="24" t="s">
        <v>46</v>
      </c>
      <c r="G38" s="33" t="s">
        <v>45</v>
      </c>
    </row>
    <row r="39" spans="1:8" s="202" customFormat="1" ht="36" customHeight="1">
      <c r="A39" s="1900"/>
      <c r="B39" s="1903"/>
      <c r="C39" s="238" t="s">
        <v>740</v>
      </c>
      <c r="D39" s="32" t="s">
        <v>20</v>
      </c>
      <c r="E39" s="31" t="s">
        <v>741</v>
      </c>
      <c r="F39" s="24" t="s">
        <v>201</v>
      </c>
      <c r="G39" s="33" t="s">
        <v>18</v>
      </c>
    </row>
    <row r="40" spans="1:8" s="232" customFormat="1" ht="36" customHeight="1">
      <c r="A40" s="1900"/>
      <c r="B40" s="1903"/>
      <c r="C40" s="1910" t="s">
        <v>745</v>
      </c>
      <c r="D40" s="32" t="s">
        <v>746</v>
      </c>
      <c r="E40" s="31" t="s">
        <v>747</v>
      </c>
      <c r="F40" s="24"/>
      <c r="G40" s="1911" t="s">
        <v>749</v>
      </c>
    </row>
    <row r="41" spans="1:8" s="232" customFormat="1" ht="36" customHeight="1">
      <c r="A41" s="1900"/>
      <c r="B41" s="1903"/>
      <c r="C41" s="1906"/>
      <c r="D41" s="32" t="s">
        <v>20</v>
      </c>
      <c r="E41" s="29" t="s">
        <v>748</v>
      </c>
      <c r="F41" s="229" t="s">
        <v>750</v>
      </c>
      <c r="G41" s="1912"/>
    </row>
    <row r="42" spans="1:8" s="232" customFormat="1" ht="36" customHeight="1" thickBot="1">
      <c r="A42" s="1900"/>
      <c r="B42" s="1903"/>
      <c r="C42" s="226" t="s">
        <v>772</v>
      </c>
      <c r="D42" s="30" t="s">
        <v>773</v>
      </c>
      <c r="E42" s="29" t="s">
        <v>774</v>
      </c>
      <c r="F42" s="229" t="s">
        <v>775</v>
      </c>
      <c r="G42" s="228" t="s">
        <v>771</v>
      </c>
    </row>
    <row r="43" spans="1:8" s="202" customFormat="1" ht="36" customHeight="1" thickBot="1">
      <c r="A43" s="1901"/>
      <c r="B43" s="1904"/>
      <c r="C43" s="12"/>
      <c r="D43" s="11"/>
      <c r="E43" s="10"/>
      <c r="F43" s="10"/>
      <c r="G43" s="9"/>
    </row>
    <row r="44" spans="1:8" s="232" customFormat="1" ht="36" customHeight="1">
      <c r="A44" s="1899">
        <v>44902</v>
      </c>
      <c r="B44" s="1916" t="s">
        <v>2</v>
      </c>
      <c r="C44" s="248" t="s">
        <v>243</v>
      </c>
      <c r="D44" s="49" t="s">
        <v>20</v>
      </c>
      <c r="E44" s="62" t="s">
        <v>739</v>
      </c>
      <c r="F44" s="62" t="s">
        <v>240</v>
      </c>
      <c r="G44" s="249" t="s">
        <v>752</v>
      </c>
    </row>
    <row r="45" spans="1:8" s="232" customFormat="1" ht="36" customHeight="1">
      <c r="A45" s="1900"/>
      <c r="B45" s="1917"/>
      <c r="C45" s="234" t="s">
        <v>243</v>
      </c>
      <c r="D45" s="30" t="s">
        <v>176</v>
      </c>
      <c r="E45" s="29" t="s">
        <v>181</v>
      </c>
      <c r="F45" s="237" t="s">
        <v>618</v>
      </c>
      <c r="G45" s="236" t="s">
        <v>769</v>
      </c>
      <c r="H45" s="232" t="s">
        <v>770</v>
      </c>
    </row>
    <row r="46" spans="1:8" s="202" customFormat="1" ht="36" customHeight="1">
      <c r="A46" s="1900"/>
      <c r="B46" s="1917"/>
      <c r="C46" s="1914" t="s">
        <v>672</v>
      </c>
      <c r="D46" s="237" t="s">
        <v>686</v>
      </c>
      <c r="E46" s="237" t="s">
        <v>687</v>
      </c>
      <c r="F46" s="237"/>
      <c r="G46" s="1911" t="s">
        <v>753</v>
      </c>
    </row>
    <row r="47" spans="1:8" s="202" customFormat="1" ht="36" customHeight="1">
      <c r="A47" s="1900"/>
      <c r="B47" s="1917"/>
      <c r="C47" s="1914"/>
      <c r="D47" s="24" t="s">
        <v>688</v>
      </c>
      <c r="E47" s="24" t="s">
        <v>689</v>
      </c>
      <c r="F47" s="237"/>
      <c r="G47" s="1913"/>
    </row>
    <row r="48" spans="1:8" s="224" customFormat="1" ht="36" customHeight="1">
      <c r="A48" s="1900"/>
      <c r="B48" s="1917"/>
      <c r="C48" s="1906"/>
      <c r="D48" s="24" t="s">
        <v>724</v>
      </c>
      <c r="E48" s="24" t="s">
        <v>725</v>
      </c>
      <c r="F48" s="237"/>
      <c r="G48" s="1912"/>
    </row>
    <row r="49" spans="1:8" s="216" customFormat="1" ht="36" customHeight="1">
      <c r="A49" s="1900"/>
      <c r="B49" s="1917"/>
      <c r="C49" s="1910" t="s">
        <v>622</v>
      </c>
      <c r="D49" s="24" t="s">
        <v>680</v>
      </c>
      <c r="E49" s="24" t="s">
        <v>197</v>
      </c>
      <c r="F49" s="237"/>
      <c r="G49" s="235"/>
    </row>
    <row r="50" spans="1:8" s="216" customFormat="1" ht="36" customHeight="1">
      <c r="A50" s="1900"/>
      <c r="B50" s="1917"/>
      <c r="C50" s="1914"/>
      <c r="D50" s="24" t="s">
        <v>278</v>
      </c>
      <c r="E50" s="24" t="s">
        <v>249</v>
      </c>
      <c r="F50" s="237"/>
      <c r="G50" s="235"/>
    </row>
    <row r="51" spans="1:8" s="216" customFormat="1" ht="36" customHeight="1">
      <c r="A51" s="1900"/>
      <c r="B51" s="1917"/>
      <c r="C51" s="1914"/>
      <c r="D51" s="24" t="s">
        <v>378</v>
      </c>
      <c r="E51" s="24" t="s">
        <v>254</v>
      </c>
      <c r="F51" s="237"/>
      <c r="G51" s="235"/>
    </row>
    <row r="52" spans="1:8" s="216" customFormat="1" ht="36" customHeight="1">
      <c r="A52" s="1900"/>
      <c r="B52" s="1917"/>
      <c r="C52" s="1906"/>
      <c r="D52" s="24" t="s">
        <v>224</v>
      </c>
      <c r="E52" s="24" t="s">
        <v>299</v>
      </c>
      <c r="F52" s="237"/>
      <c r="G52" s="235"/>
    </row>
    <row r="53" spans="1:8" s="202" customFormat="1" ht="36" customHeight="1">
      <c r="A53" s="1900"/>
      <c r="B53" s="1917"/>
      <c r="C53" s="238" t="s">
        <v>722</v>
      </c>
      <c r="D53" s="32" t="s">
        <v>720</v>
      </c>
      <c r="E53" s="31" t="s">
        <v>721</v>
      </c>
      <c r="F53" s="237" t="s">
        <v>723</v>
      </c>
      <c r="G53" s="235"/>
    </row>
    <row r="54" spans="1:8" s="202" customFormat="1" ht="36" customHeight="1">
      <c r="A54" s="1900"/>
      <c r="B54" s="1917"/>
      <c r="C54" s="238" t="s">
        <v>742</v>
      </c>
      <c r="D54" s="32" t="s">
        <v>20</v>
      </c>
      <c r="E54" s="31" t="s">
        <v>54</v>
      </c>
      <c r="F54" s="24" t="s">
        <v>632</v>
      </c>
      <c r="G54" s="33" t="s">
        <v>743</v>
      </c>
      <c r="H54" s="202" t="s">
        <v>744</v>
      </c>
    </row>
    <row r="55" spans="1:8" s="232" customFormat="1" ht="36" customHeight="1">
      <c r="A55" s="1900"/>
      <c r="B55" s="1917"/>
      <c r="C55" s="242" t="s">
        <v>781</v>
      </c>
      <c r="D55" s="30" t="s">
        <v>782</v>
      </c>
      <c r="E55" s="29" t="s">
        <v>783</v>
      </c>
      <c r="F55" s="245" t="s">
        <v>786</v>
      </c>
      <c r="G55" s="244" t="s">
        <v>784</v>
      </c>
      <c r="H55" s="232" t="s">
        <v>785</v>
      </c>
    </row>
    <row r="56" spans="1:8" s="232" customFormat="1" ht="36" customHeight="1" thickBot="1">
      <c r="A56" s="1900"/>
      <c r="B56" s="1917"/>
      <c r="C56" s="231"/>
      <c r="D56" s="26"/>
      <c r="E56" s="25"/>
      <c r="F56" s="172"/>
      <c r="G56" s="233"/>
    </row>
    <row r="57" spans="1:8" s="202" customFormat="1" ht="36" customHeight="1" thickBot="1">
      <c r="A57" s="1901"/>
      <c r="B57" s="1918"/>
      <c r="C57" s="12"/>
      <c r="D57" s="11"/>
      <c r="E57" s="10"/>
      <c r="F57" s="10"/>
      <c r="G57" s="9"/>
    </row>
    <row r="58" spans="1:8" s="202" customFormat="1" ht="36" customHeight="1">
      <c r="A58" s="1899">
        <v>44903</v>
      </c>
      <c r="B58" s="1902" t="s">
        <v>1</v>
      </c>
      <c r="C58" s="246" t="s">
        <v>679</v>
      </c>
      <c r="D58" s="24" t="s">
        <v>207</v>
      </c>
      <c r="E58" s="24" t="s">
        <v>570</v>
      </c>
      <c r="F58" s="245"/>
      <c r="G58" s="243" t="s">
        <v>758</v>
      </c>
    </row>
    <row r="59" spans="1:8" s="202" customFormat="1" ht="36" customHeight="1">
      <c r="A59" s="1900"/>
      <c r="B59" s="1903"/>
      <c r="C59" s="246" t="s">
        <v>738</v>
      </c>
      <c r="D59" s="32" t="s">
        <v>20</v>
      </c>
      <c r="E59" s="24" t="s">
        <v>739</v>
      </c>
      <c r="F59" s="245" t="s">
        <v>766</v>
      </c>
      <c r="G59" s="1911" t="s">
        <v>759</v>
      </c>
    </row>
    <row r="60" spans="1:8" s="202" customFormat="1" ht="36" customHeight="1">
      <c r="A60" s="1900"/>
      <c r="B60" s="1903"/>
      <c r="C60" s="246" t="s">
        <v>754</v>
      </c>
      <c r="D60" s="32" t="s">
        <v>755</v>
      </c>
      <c r="E60" s="31" t="s">
        <v>756</v>
      </c>
      <c r="F60" s="245" t="s">
        <v>757</v>
      </c>
      <c r="G60" s="1912"/>
    </row>
    <row r="61" spans="1:8" s="240" customFormat="1" ht="36" customHeight="1">
      <c r="A61" s="1900"/>
      <c r="B61" s="1903"/>
      <c r="C61" s="242" t="s">
        <v>777</v>
      </c>
      <c r="D61" s="30" t="s">
        <v>778</v>
      </c>
      <c r="E61" s="29" t="s">
        <v>779</v>
      </c>
      <c r="F61" s="245"/>
      <c r="G61" s="244" t="s">
        <v>780</v>
      </c>
    </row>
    <row r="62" spans="1:8" s="247" customFormat="1" ht="36" customHeight="1">
      <c r="A62" s="1900"/>
      <c r="B62" s="1903"/>
      <c r="C62" s="1910" t="s">
        <v>787</v>
      </c>
      <c r="D62" s="24" t="s">
        <v>262</v>
      </c>
      <c r="E62" s="31" t="s">
        <v>788</v>
      </c>
      <c r="F62" s="24"/>
      <c r="G62" s="1911" t="s">
        <v>261</v>
      </c>
    </row>
    <row r="63" spans="1:8" s="247" customFormat="1" ht="36" customHeight="1">
      <c r="A63" s="1900"/>
      <c r="B63" s="1903"/>
      <c r="C63" s="1906"/>
      <c r="D63" s="24" t="s">
        <v>242</v>
      </c>
      <c r="E63" s="29" t="s">
        <v>789</v>
      </c>
      <c r="F63" s="245"/>
      <c r="G63" s="1912"/>
    </row>
    <row r="64" spans="1:8" s="247" customFormat="1" ht="36" customHeight="1">
      <c r="A64" s="1900"/>
      <c r="B64" s="1903"/>
      <c r="C64" s="246" t="s">
        <v>791</v>
      </c>
      <c r="D64" s="32" t="s">
        <v>20</v>
      </c>
      <c r="E64" s="29" t="s">
        <v>793</v>
      </c>
      <c r="F64" s="245" t="s">
        <v>240</v>
      </c>
      <c r="G64" s="33" t="s">
        <v>792</v>
      </c>
    </row>
    <row r="65" spans="1:8" s="240" customFormat="1" ht="36" customHeight="1" thickBot="1">
      <c r="A65" s="1900"/>
      <c r="B65" s="1903"/>
      <c r="C65" s="239"/>
      <c r="D65" s="26"/>
      <c r="E65" s="25"/>
      <c r="F65" s="172"/>
      <c r="G65" s="241"/>
    </row>
    <row r="66" spans="1:8" s="202" customFormat="1" ht="36" customHeight="1" thickBot="1">
      <c r="A66" s="1901"/>
      <c r="B66" s="1904"/>
      <c r="C66" s="12"/>
      <c r="D66" s="11"/>
      <c r="E66" s="10"/>
      <c r="F66" s="10"/>
      <c r="G66" s="9"/>
    </row>
    <row r="67" spans="1:8" s="202" customFormat="1" ht="36" customHeight="1">
      <c r="A67" s="1899">
        <v>44904</v>
      </c>
      <c r="B67" s="1902" t="s">
        <v>0</v>
      </c>
      <c r="C67" s="1905" t="s">
        <v>660</v>
      </c>
      <c r="D67" s="24" t="s">
        <v>661</v>
      </c>
      <c r="E67" s="24" t="s">
        <v>796</v>
      </c>
      <c r="F67" s="254"/>
      <c r="G67" s="252"/>
    </row>
    <row r="68" spans="1:8" s="202" customFormat="1" ht="36" customHeight="1">
      <c r="A68" s="1900"/>
      <c r="B68" s="1903"/>
      <c r="C68" s="1906"/>
      <c r="D68" s="24" t="s">
        <v>662</v>
      </c>
      <c r="E68" s="24" t="s">
        <v>663</v>
      </c>
      <c r="F68" s="254"/>
      <c r="G68" s="252"/>
    </row>
    <row r="69" spans="1:8" s="232" customFormat="1" ht="36" customHeight="1">
      <c r="A69" s="1900"/>
      <c r="B69" s="1903"/>
      <c r="C69" s="1910" t="s">
        <v>237</v>
      </c>
      <c r="D69" s="24" t="s">
        <v>760</v>
      </c>
      <c r="E69" s="24" t="s">
        <v>761</v>
      </c>
      <c r="F69" s="254"/>
      <c r="G69" s="190"/>
    </row>
    <row r="70" spans="1:8" s="232" customFormat="1" ht="36" customHeight="1">
      <c r="A70" s="1900"/>
      <c r="B70" s="1903"/>
      <c r="C70" s="1914"/>
      <c r="D70" s="24" t="s">
        <v>764</v>
      </c>
      <c r="E70" s="24" t="s">
        <v>761</v>
      </c>
      <c r="F70" s="254"/>
      <c r="G70" s="190"/>
    </row>
    <row r="71" spans="1:8" s="232" customFormat="1" ht="36" customHeight="1">
      <c r="A71" s="1900"/>
      <c r="B71" s="1903"/>
      <c r="C71" s="1914"/>
      <c r="D71" s="32" t="s">
        <v>20</v>
      </c>
      <c r="E71" s="24" t="s">
        <v>762</v>
      </c>
      <c r="F71" s="254" t="s">
        <v>201</v>
      </c>
      <c r="G71" s="190"/>
    </row>
    <row r="72" spans="1:8" s="232" customFormat="1" ht="36" customHeight="1">
      <c r="A72" s="1900"/>
      <c r="B72" s="1903"/>
      <c r="C72" s="1906"/>
      <c r="D72" s="32" t="s">
        <v>765</v>
      </c>
      <c r="E72" s="24" t="s">
        <v>763</v>
      </c>
      <c r="F72" s="254"/>
      <c r="G72" s="194"/>
    </row>
    <row r="73" spans="1:8" s="247" customFormat="1" ht="36" customHeight="1">
      <c r="A73" s="1900"/>
      <c r="B73" s="1903"/>
      <c r="C73" s="255" t="s">
        <v>621</v>
      </c>
      <c r="D73" s="32" t="s">
        <v>767</v>
      </c>
      <c r="E73" s="31" t="s">
        <v>768</v>
      </c>
      <c r="F73" s="24"/>
      <c r="G73" s="33" t="s">
        <v>812</v>
      </c>
      <c r="H73" s="247" t="s">
        <v>790</v>
      </c>
    </row>
    <row r="74" spans="1:8" s="202" customFormat="1" ht="36" customHeight="1">
      <c r="A74" s="1900"/>
      <c r="B74" s="1903"/>
      <c r="C74" s="255" t="s">
        <v>808</v>
      </c>
      <c r="D74" s="32" t="s">
        <v>809</v>
      </c>
      <c r="E74" s="31" t="s">
        <v>810</v>
      </c>
      <c r="F74" s="254"/>
      <c r="G74" s="252" t="s">
        <v>811</v>
      </c>
    </row>
    <row r="75" spans="1:8" s="202" customFormat="1" ht="36" customHeight="1" thickBot="1">
      <c r="A75" s="1900"/>
      <c r="B75" s="1903"/>
      <c r="C75" s="251" t="s">
        <v>815</v>
      </c>
      <c r="D75" s="257" t="s">
        <v>816</v>
      </c>
      <c r="E75" s="37" t="s">
        <v>817</v>
      </c>
      <c r="F75" s="253" t="s">
        <v>818</v>
      </c>
      <c r="G75" s="252" t="s">
        <v>819</v>
      </c>
    </row>
    <row r="76" spans="1:8" s="202" customFormat="1" ht="36" customHeight="1" thickBot="1">
      <c r="A76" s="1901"/>
      <c r="B76" s="1904"/>
      <c r="C76" s="12" t="s">
        <v>643</v>
      </c>
      <c r="D76" s="11" t="s">
        <v>644</v>
      </c>
      <c r="E76" s="10" t="s">
        <v>645</v>
      </c>
      <c r="F76" s="10" t="s">
        <v>804</v>
      </c>
      <c r="G76" s="9"/>
    </row>
    <row r="77" spans="1:8" s="202" customFormat="1" ht="60" customHeight="1" thickBot="1">
      <c r="A77" s="1907" t="s">
        <v>5</v>
      </c>
      <c r="B77" s="1908"/>
      <c r="C77" s="1908"/>
      <c r="D77" s="1908"/>
      <c r="E77" s="1908"/>
      <c r="F77" s="1908"/>
      <c r="G77" s="1909"/>
    </row>
    <row r="78" spans="1:8" s="202" customFormat="1" ht="36" customHeight="1">
      <c r="A78" s="1899">
        <v>44907</v>
      </c>
      <c r="B78" s="1902" t="s">
        <v>4</v>
      </c>
      <c r="C78" s="255" t="s">
        <v>798</v>
      </c>
      <c r="D78" s="24" t="s">
        <v>799</v>
      </c>
      <c r="E78" s="24" t="s">
        <v>803</v>
      </c>
      <c r="F78" s="254" t="s">
        <v>568</v>
      </c>
      <c r="G78" s="252"/>
    </row>
    <row r="79" spans="1:8" s="202" customFormat="1" ht="36" customHeight="1">
      <c r="A79" s="1900"/>
      <c r="B79" s="1903"/>
      <c r="C79" s="255" t="s">
        <v>146</v>
      </c>
      <c r="D79" s="24" t="s">
        <v>800</v>
      </c>
      <c r="E79" s="24" t="s">
        <v>801</v>
      </c>
      <c r="F79" s="254"/>
      <c r="G79" s="252"/>
    </row>
    <row r="80" spans="1:8" s="202" customFormat="1" ht="36" customHeight="1">
      <c r="A80" s="1900"/>
      <c r="B80" s="1903"/>
      <c r="C80" s="255" t="s">
        <v>825</v>
      </c>
      <c r="D80" s="32" t="s">
        <v>826</v>
      </c>
      <c r="E80" s="31" t="s">
        <v>827</v>
      </c>
      <c r="F80" s="254" t="s">
        <v>828</v>
      </c>
      <c r="G80" s="252" t="s">
        <v>830</v>
      </c>
      <c r="H80" s="202" t="s">
        <v>829</v>
      </c>
    </row>
    <row r="81" spans="1:8" s="202" customFormat="1" ht="36" customHeight="1" thickBot="1">
      <c r="A81" s="1900"/>
      <c r="B81" s="1903"/>
      <c r="C81" s="259" t="s">
        <v>835</v>
      </c>
      <c r="D81" s="269" t="s">
        <v>831</v>
      </c>
      <c r="E81" s="37" t="s">
        <v>832</v>
      </c>
      <c r="F81" s="263"/>
      <c r="G81" s="260" t="s">
        <v>833</v>
      </c>
      <c r="H81" s="256" t="s">
        <v>834</v>
      </c>
    </row>
    <row r="82" spans="1:8" s="202" customFormat="1" ht="36" customHeight="1" thickBot="1">
      <c r="A82" s="1901"/>
      <c r="B82" s="1904"/>
      <c r="C82" s="12"/>
      <c r="D82" s="11"/>
      <c r="E82" s="10"/>
      <c r="F82" s="10"/>
      <c r="G82" s="9"/>
      <c r="H82" s="256" t="s">
        <v>797</v>
      </c>
    </row>
    <row r="83" spans="1:8" s="202" customFormat="1" ht="36" customHeight="1">
      <c r="A83" s="1899">
        <v>44908</v>
      </c>
      <c r="B83" s="1902" t="s">
        <v>3</v>
      </c>
      <c r="C83" s="265" t="s">
        <v>776</v>
      </c>
      <c r="D83" s="24" t="s">
        <v>244</v>
      </c>
      <c r="E83" s="24" t="s">
        <v>795</v>
      </c>
      <c r="F83" s="264"/>
      <c r="G83" s="260"/>
    </row>
    <row r="84" spans="1:8" s="268" customFormat="1" ht="36" customHeight="1">
      <c r="A84" s="1900"/>
      <c r="B84" s="1903"/>
      <c r="C84" s="1910" t="s">
        <v>840</v>
      </c>
      <c r="D84" s="24" t="s">
        <v>61</v>
      </c>
      <c r="E84" s="24" t="s">
        <v>841</v>
      </c>
      <c r="F84" s="264"/>
      <c r="G84" s="1911" t="s">
        <v>843</v>
      </c>
    </row>
    <row r="85" spans="1:8" s="268" customFormat="1" ht="36" customHeight="1">
      <c r="A85" s="1900"/>
      <c r="B85" s="1903"/>
      <c r="C85" s="1906"/>
      <c r="D85" s="24" t="s">
        <v>20</v>
      </c>
      <c r="E85" s="24" t="s">
        <v>842</v>
      </c>
      <c r="F85" s="264" t="s">
        <v>316</v>
      </c>
      <c r="G85" s="1912"/>
    </row>
    <row r="86" spans="1:8" s="268" customFormat="1" ht="30" customHeight="1">
      <c r="A86" s="1900"/>
      <c r="B86" s="1903"/>
      <c r="C86" s="1914" t="s">
        <v>436</v>
      </c>
      <c r="D86" s="264" t="s">
        <v>218</v>
      </c>
      <c r="E86" s="264" t="s">
        <v>287</v>
      </c>
      <c r="F86" s="264" t="s">
        <v>240</v>
      </c>
      <c r="G86" s="1913" t="s">
        <v>261</v>
      </c>
    </row>
    <row r="87" spans="1:8" s="268" customFormat="1" ht="30" customHeight="1">
      <c r="A87" s="1900"/>
      <c r="B87" s="1903"/>
      <c r="C87" s="1906"/>
      <c r="D87" s="24" t="s">
        <v>20</v>
      </c>
      <c r="E87" s="24" t="s">
        <v>300</v>
      </c>
      <c r="F87" s="264" t="s">
        <v>435</v>
      </c>
      <c r="G87" s="1912"/>
    </row>
    <row r="88" spans="1:8" s="268" customFormat="1" ht="36" customHeight="1">
      <c r="A88" s="1900"/>
      <c r="B88" s="1903"/>
      <c r="C88" s="258" t="s">
        <v>208</v>
      </c>
      <c r="D88" s="264" t="s">
        <v>20</v>
      </c>
      <c r="E88" s="264" t="s">
        <v>72</v>
      </c>
      <c r="F88" s="264" t="s">
        <v>289</v>
      </c>
      <c r="G88" s="261"/>
    </row>
    <row r="89" spans="1:8" s="202" customFormat="1" ht="36" customHeight="1">
      <c r="A89" s="1900"/>
      <c r="B89" s="1903"/>
      <c r="C89" s="277" t="s">
        <v>847</v>
      </c>
      <c r="D89" s="24" t="s">
        <v>20</v>
      </c>
      <c r="E89" s="31" t="s">
        <v>848</v>
      </c>
      <c r="F89" s="276" t="s">
        <v>172</v>
      </c>
      <c r="G89" s="274" t="s">
        <v>849</v>
      </c>
      <c r="H89" s="202" t="s">
        <v>850</v>
      </c>
    </row>
    <row r="90" spans="1:8" s="268" customFormat="1" ht="36" customHeight="1">
      <c r="A90" s="1900"/>
      <c r="B90" s="1903"/>
      <c r="C90" s="1910" t="s">
        <v>279</v>
      </c>
      <c r="D90" s="24" t="s">
        <v>851</v>
      </c>
      <c r="E90" s="31" t="s">
        <v>852</v>
      </c>
      <c r="F90" s="24" t="s">
        <v>858</v>
      </c>
      <c r="G90" s="33" t="s">
        <v>853</v>
      </c>
      <c r="H90" s="268" t="s">
        <v>856</v>
      </c>
    </row>
    <row r="91" spans="1:8" s="268" customFormat="1" ht="36" customHeight="1">
      <c r="A91" s="1900"/>
      <c r="B91" s="1903"/>
      <c r="C91" s="1906"/>
      <c r="D91" s="264" t="s">
        <v>851</v>
      </c>
      <c r="E91" s="29" t="s">
        <v>854</v>
      </c>
      <c r="F91" s="270" t="s">
        <v>857</v>
      </c>
      <c r="G91" s="262" t="s">
        <v>855</v>
      </c>
      <c r="H91" s="268" t="s">
        <v>868</v>
      </c>
    </row>
    <row r="92" spans="1:8" s="202" customFormat="1" ht="36" customHeight="1" thickBot="1">
      <c r="A92" s="1900"/>
      <c r="B92" s="1903"/>
      <c r="C92" s="266"/>
      <c r="D92" s="26"/>
      <c r="E92" s="25"/>
      <c r="F92" s="172"/>
      <c r="G92" s="271"/>
      <c r="H92" s="268"/>
    </row>
    <row r="93" spans="1:8" s="202" customFormat="1" ht="36" customHeight="1" thickBot="1">
      <c r="A93" s="1901"/>
      <c r="B93" s="1904"/>
      <c r="C93" s="12" t="s">
        <v>836</v>
      </c>
      <c r="D93" s="11" t="s">
        <v>837</v>
      </c>
      <c r="E93" s="10" t="s">
        <v>838</v>
      </c>
      <c r="F93" s="10" t="s">
        <v>839</v>
      </c>
      <c r="G93" s="9"/>
    </row>
    <row r="94" spans="1:8" s="256" customFormat="1" ht="36" customHeight="1">
      <c r="A94" s="1899">
        <v>44909</v>
      </c>
      <c r="B94" s="1916" t="s">
        <v>2</v>
      </c>
      <c r="C94" s="248" t="s">
        <v>822</v>
      </c>
      <c r="D94" s="49" t="s">
        <v>207</v>
      </c>
      <c r="E94" s="62" t="s">
        <v>823</v>
      </c>
      <c r="F94" s="62"/>
      <c r="G94" s="249"/>
    </row>
    <row r="95" spans="1:8" s="202" customFormat="1" ht="36" customHeight="1">
      <c r="A95" s="1900"/>
      <c r="B95" s="1917"/>
      <c r="C95" s="1910" t="s">
        <v>276</v>
      </c>
      <c r="D95" s="24" t="s">
        <v>20</v>
      </c>
      <c r="E95" s="24" t="s">
        <v>794</v>
      </c>
      <c r="F95" s="276" t="s">
        <v>408</v>
      </c>
      <c r="G95" s="1911"/>
    </row>
    <row r="96" spans="1:8" s="250" customFormat="1" ht="36" customHeight="1">
      <c r="A96" s="1900"/>
      <c r="B96" s="1917"/>
      <c r="C96" s="1906"/>
      <c r="D96" s="24" t="s">
        <v>814</v>
      </c>
      <c r="E96" s="24" t="s">
        <v>813</v>
      </c>
      <c r="F96" s="276"/>
      <c r="G96" s="1912"/>
    </row>
    <row r="97" spans="1:8" s="250" customFormat="1" ht="36" customHeight="1">
      <c r="A97" s="1900"/>
      <c r="B97" s="1917"/>
      <c r="C97" s="277" t="s">
        <v>798</v>
      </c>
      <c r="D97" s="24" t="s">
        <v>799</v>
      </c>
      <c r="E97" s="24" t="s">
        <v>802</v>
      </c>
      <c r="F97" s="276" t="s">
        <v>568</v>
      </c>
      <c r="G97" s="33"/>
    </row>
    <row r="98" spans="1:8" s="202" customFormat="1" ht="36" customHeight="1">
      <c r="A98" s="1900"/>
      <c r="B98" s="1917"/>
      <c r="C98" s="277" t="s">
        <v>844</v>
      </c>
      <c r="D98" s="32" t="s">
        <v>845</v>
      </c>
      <c r="E98" s="31" t="s">
        <v>846</v>
      </c>
      <c r="F98" s="276"/>
      <c r="G98" s="274" t="s">
        <v>343</v>
      </c>
    </row>
    <row r="99" spans="1:8" s="202" customFormat="1" ht="36" customHeight="1">
      <c r="A99" s="1900"/>
      <c r="B99" s="1917"/>
      <c r="C99" s="277" t="s">
        <v>869</v>
      </c>
      <c r="D99" s="32" t="s">
        <v>872</v>
      </c>
      <c r="E99" s="31" t="s">
        <v>870</v>
      </c>
      <c r="F99" s="24" t="s">
        <v>873</v>
      </c>
      <c r="G99" s="33" t="s">
        <v>871</v>
      </c>
    </row>
    <row r="100" spans="1:8" s="268" customFormat="1" ht="36" customHeight="1">
      <c r="A100" s="1900"/>
      <c r="B100" s="1917"/>
      <c r="C100" s="273" t="s">
        <v>42</v>
      </c>
      <c r="D100" s="30" t="s">
        <v>20</v>
      </c>
      <c r="E100" s="29" t="s">
        <v>874</v>
      </c>
      <c r="F100" s="276" t="s">
        <v>172</v>
      </c>
      <c r="G100" s="275" t="s">
        <v>502</v>
      </c>
      <c r="H100" s="280" t="s">
        <v>590</v>
      </c>
    </row>
    <row r="101" spans="1:8" s="268" customFormat="1" ht="36" customHeight="1" thickBot="1">
      <c r="A101" s="1900"/>
      <c r="B101" s="1917"/>
      <c r="C101" s="266"/>
      <c r="D101" s="26"/>
      <c r="E101" s="25"/>
      <c r="F101" s="172"/>
      <c r="G101" s="271"/>
    </row>
    <row r="102" spans="1:8" s="202" customFormat="1" ht="36" customHeight="1" thickBot="1">
      <c r="A102" s="1901"/>
      <c r="B102" s="1918"/>
      <c r="C102" s="12" t="s">
        <v>859</v>
      </c>
      <c r="D102" s="11" t="s">
        <v>860</v>
      </c>
      <c r="E102" s="10" t="s">
        <v>861</v>
      </c>
      <c r="F102" s="10" t="s">
        <v>862</v>
      </c>
      <c r="G102" s="9"/>
    </row>
    <row r="103" spans="1:8" s="202" customFormat="1" ht="36" customHeight="1">
      <c r="A103" s="1899">
        <v>44910</v>
      </c>
      <c r="B103" s="1902" t="s">
        <v>1</v>
      </c>
      <c r="C103" s="1905" t="s">
        <v>664</v>
      </c>
      <c r="D103" s="24" t="s">
        <v>665</v>
      </c>
      <c r="E103" s="24" t="s">
        <v>737</v>
      </c>
      <c r="F103" s="286"/>
      <c r="G103" s="285"/>
    </row>
    <row r="104" spans="1:8" s="202" customFormat="1" ht="36" customHeight="1">
      <c r="A104" s="1900"/>
      <c r="B104" s="1903"/>
      <c r="C104" s="1906"/>
      <c r="D104" s="24" t="s">
        <v>666</v>
      </c>
      <c r="E104" s="24" t="s">
        <v>663</v>
      </c>
      <c r="F104" s="286"/>
      <c r="G104" s="285"/>
    </row>
    <row r="105" spans="1:8" s="202" customFormat="1" ht="36" customHeight="1">
      <c r="A105" s="1900"/>
      <c r="B105" s="1903"/>
      <c r="C105" s="287" t="s">
        <v>805</v>
      </c>
      <c r="D105" s="32" t="s">
        <v>806</v>
      </c>
      <c r="E105" s="31" t="s">
        <v>824</v>
      </c>
      <c r="F105" s="286"/>
      <c r="G105" s="285" t="s">
        <v>807</v>
      </c>
    </row>
    <row r="106" spans="1:8" s="280" customFormat="1" ht="36" customHeight="1">
      <c r="A106" s="1900"/>
      <c r="B106" s="1903"/>
      <c r="C106" s="287" t="s">
        <v>883</v>
      </c>
      <c r="D106" s="24" t="s">
        <v>20</v>
      </c>
      <c r="E106" s="31" t="s">
        <v>884</v>
      </c>
      <c r="F106" s="24" t="s">
        <v>885</v>
      </c>
      <c r="G106" s="33" t="s">
        <v>886</v>
      </c>
      <c r="H106" s="280" t="s">
        <v>887</v>
      </c>
    </row>
    <row r="107" spans="1:8" s="280" customFormat="1" ht="36" customHeight="1" thickBot="1">
      <c r="A107" s="1900"/>
      <c r="B107" s="1903"/>
      <c r="C107" s="279"/>
      <c r="D107" s="28"/>
      <c r="E107" s="27"/>
      <c r="F107" s="191"/>
      <c r="G107" s="281"/>
    </row>
    <row r="108" spans="1:8" s="280" customFormat="1" ht="36" hidden="1" customHeight="1">
      <c r="A108" s="1900"/>
      <c r="B108" s="1903"/>
      <c r="C108" s="21"/>
      <c r="D108" s="20"/>
      <c r="E108" s="19"/>
      <c r="F108" s="22"/>
      <c r="G108" s="64"/>
    </row>
    <row r="109" spans="1:8" s="280" customFormat="1" ht="36" hidden="1" customHeight="1">
      <c r="A109" s="1900"/>
      <c r="B109" s="1903"/>
      <c r="C109" s="279"/>
      <c r="D109" s="28"/>
      <c r="E109" s="27"/>
      <c r="F109" s="191"/>
      <c r="G109" s="281"/>
    </row>
    <row r="110" spans="1:8" s="202" customFormat="1" ht="36" hidden="1" customHeight="1" thickBot="1">
      <c r="A110" s="1900"/>
      <c r="B110" s="1903"/>
      <c r="C110" s="278"/>
      <c r="D110" s="26"/>
      <c r="E110" s="25"/>
      <c r="F110" s="172"/>
      <c r="G110" s="271"/>
    </row>
    <row r="111" spans="1:8" s="202" customFormat="1" ht="36" customHeight="1" thickBot="1">
      <c r="A111" s="1901"/>
      <c r="B111" s="1904"/>
      <c r="C111" s="12"/>
      <c r="D111" s="11"/>
      <c r="E111" s="10"/>
      <c r="F111" s="10"/>
      <c r="G111" s="9"/>
    </row>
    <row r="112" spans="1:8" s="202" customFormat="1" ht="36" customHeight="1">
      <c r="A112" s="1899">
        <v>44911</v>
      </c>
      <c r="B112" s="1902" t="s">
        <v>0</v>
      </c>
      <c r="C112" s="295" t="s">
        <v>820</v>
      </c>
      <c r="D112" s="24" t="s">
        <v>821</v>
      </c>
      <c r="E112" s="24" t="s">
        <v>896</v>
      </c>
      <c r="F112" s="294"/>
      <c r="G112" s="292"/>
    </row>
    <row r="113" spans="1:7" s="202" customFormat="1" ht="36" customHeight="1">
      <c r="A113" s="1900"/>
      <c r="B113" s="1903"/>
      <c r="C113" s="1910" t="s">
        <v>892</v>
      </c>
      <c r="D113" s="24" t="s">
        <v>893</v>
      </c>
      <c r="E113" s="24" t="s">
        <v>903</v>
      </c>
      <c r="F113" s="294"/>
      <c r="G113" s="1911" t="s">
        <v>905</v>
      </c>
    </row>
    <row r="114" spans="1:7" s="202" customFormat="1" ht="36" customHeight="1">
      <c r="A114" s="1900"/>
      <c r="B114" s="1903"/>
      <c r="C114" s="1906"/>
      <c r="D114" s="32" t="s">
        <v>221</v>
      </c>
      <c r="E114" s="31" t="s">
        <v>904</v>
      </c>
      <c r="F114" s="294"/>
      <c r="G114" s="1912"/>
    </row>
    <row r="115" spans="1:7" s="288" customFormat="1" ht="36" customHeight="1">
      <c r="A115" s="1900"/>
      <c r="B115" s="1903"/>
      <c r="C115" s="291" t="s">
        <v>920</v>
      </c>
      <c r="D115" s="32" t="s">
        <v>921</v>
      </c>
      <c r="E115" s="31" t="s">
        <v>922</v>
      </c>
      <c r="F115" s="294" t="s">
        <v>923</v>
      </c>
      <c r="G115" s="293" t="s">
        <v>924</v>
      </c>
    </row>
    <row r="116" spans="1:7" s="202" customFormat="1" ht="36" customHeight="1">
      <c r="A116" s="1900"/>
      <c r="B116" s="1903"/>
      <c r="C116" s="295" t="s">
        <v>195</v>
      </c>
      <c r="D116" s="32" t="s">
        <v>497</v>
      </c>
      <c r="E116" s="31" t="s">
        <v>907</v>
      </c>
      <c r="F116" s="24" t="s">
        <v>618</v>
      </c>
      <c r="G116" s="33" t="s">
        <v>906</v>
      </c>
    </row>
    <row r="117" spans="1:7" s="288" customFormat="1" ht="36" customHeight="1">
      <c r="A117" s="1900"/>
      <c r="B117" s="1903"/>
      <c r="C117" s="1910" t="s">
        <v>908</v>
      </c>
      <c r="D117" s="30" t="s">
        <v>909</v>
      </c>
      <c r="E117" s="29" t="s">
        <v>910</v>
      </c>
      <c r="F117" s="294"/>
      <c r="G117" s="1911" t="s">
        <v>913</v>
      </c>
    </row>
    <row r="118" spans="1:7" s="288" customFormat="1" ht="36" customHeight="1">
      <c r="A118" s="1900"/>
      <c r="B118" s="1903"/>
      <c r="C118" s="1906"/>
      <c r="D118" s="30" t="s">
        <v>911</v>
      </c>
      <c r="E118" s="29" t="s">
        <v>912</v>
      </c>
      <c r="F118" s="294"/>
      <c r="G118" s="1912"/>
    </row>
    <row r="119" spans="1:7" s="288" customFormat="1" ht="36" customHeight="1" thickBot="1">
      <c r="A119" s="1900"/>
      <c r="B119" s="1903"/>
      <c r="C119" s="59"/>
      <c r="D119" s="39"/>
      <c r="E119" s="25"/>
      <c r="F119" s="38"/>
      <c r="G119" s="284"/>
    </row>
    <row r="120" spans="1:7" s="202" customFormat="1" ht="36" customHeight="1" thickBot="1">
      <c r="A120" s="1901"/>
      <c r="B120" s="1904"/>
      <c r="C120" s="12"/>
      <c r="D120" s="11"/>
      <c r="E120" s="10"/>
      <c r="F120" s="10"/>
      <c r="G120" s="9"/>
    </row>
    <row r="121" spans="1:7" s="202" customFormat="1" ht="60" customHeight="1" thickBot="1">
      <c r="A121" s="1907" t="s">
        <v>5</v>
      </c>
      <c r="B121" s="1908"/>
      <c r="C121" s="1908"/>
      <c r="D121" s="1908"/>
      <c r="E121" s="1908"/>
      <c r="F121" s="1908"/>
      <c r="G121" s="1909"/>
    </row>
    <row r="122" spans="1:7" s="202" customFormat="1" ht="36" customHeight="1">
      <c r="A122" s="1899">
        <v>44914</v>
      </c>
      <c r="B122" s="1902" t="s">
        <v>4</v>
      </c>
      <c r="C122" s="1905" t="s">
        <v>899</v>
      </c>
      <c r="D122" s="24" t="s">
        <v>66</v>
      </c>
      <c r="E122" s="24" t="s">
        <v>898</v>
      </c>
      <c r="F122" s="294"/>
      <c r="G122" s="292"/>
    </row>
    <row r="123" spans="1:7" s="283" customFormat="1" ht="36" customHeight="1">
      <c r="A123" s="1900"/>
      <c r="B123" s="1903"/>
      <c r="C123" s="1914"/>
      <c r="D123" s="24" t="s">
        <v>900</v>
      </c>
      <c r="E123" s="24" t="s">
        <v>901</v>
      </c>
      <c r="F123" s="294"/>
      <c r="G123" s="292"/>
    </row>
    <row r="124" spans="1:7" s="268" customFormat="1" ht="36" customHeight="1">
      <c r="A124" s="1900"/>
      <c r="B124" s="1903"/>
      <c r="C124" s="1914"/>
      <c r="D124" s="24" t="s">
        <v>67</v>
      </c>
      <c r="E124" s="24" t="s">
        <v>351</v>
      </c>
      <c r="F124" s="294"/>
      <c r="G124" s="292"/>
    </row>
    <row r="125" spans="1:7" s="202" customFormat="1" ht="36" customHeight="1">
      <c r="A125" s="1900"/>
      <c r="B125" s="1903"/>
      <c r="C125" s="1906"/>
      <c r="D125" s="24" t="s">
        <v>350</v>
      </c>
      <c r="E125" s="24" t="s">
        <v>57</v>
      </c>
      <c r="F125" s="294"/>
      <c r="G125" s="292"/>
    </row>
    <row r="126" spans="1:7" s="202" customFormat="1" ht="36" customHeight="1" thickBot="1">
      <c r="A126" s="1900"/>
      <c r="B126" s="1903"/>
      <c r="C126" s="295" t="s">
        <v>925</v>
      </c>
      <c r="D126" s="24" t="s">
        <v>20</v>
      </c>
      <c r="E126" s="24" t="s">
        <v>891</v>
      </c>
      <c r="F126" s="294" t="s">
        <v>172</v>
      </c>
      <c r="G126" s="292" t="s">
        <v>926</v>
      </c>
    </row>
    <row r="127" spans="1:7" s="202" customFormat="1" ht="36" customHeight="1" thickBot="1">
      <c r="A127" s="1901"/>
      <c r="B127" s="1904"/>
      <c r="C127" s="12" t="s">
        <v>863</v>
      </c>
      <c r="D127" s="11" t="s">
        <v>864</v>
      </c>
      <c r="E127" s="10" t="s">
        <v>865</v>
      </c>
      <c r="F127" s="10" t="s">
        <v>866</v>
      </c>
      <c r="G127" s="9"/>
    </row>
    <row r="128" spans="1:7" s="202" customFormat="1" ht="36" customHeight="1">
      <c r="A128" s="1899">
        <v>44915</v>
      </c>
      <c r="B128" s="1902" t="s">
        <v>3</v>
      </c>
      <c r="C128" s="1905" t="s">
        <v>875</v>
      </c>
      <c r="D128" s="24" t="s">
        <v>880</v>
      </c>
      <c r="E128" s="24" t="s">
        <v>876</v>
      </c>
      <c r="F128" s="298"/>
      <c r="G128" s="297"/>
    </row>
    <row r="129" spans="1:8" s="202" customFormat="1" ht="36" customHeight="1">
      <c r="A129" s="1900"/>
      <c r="B129" s="1903"/>
      <c r="C129" s="1914"/>
      <c r="D129" s="24" t="s">
        <v>881</v>
      </c>
      <c r="E129" s="24" t="s">
        <v>877</v>
      </c>
      <c r="F129" s="298"/>
      <c r="G129" s="297"/>
    </row>
    <row r="130" spans="1:8" s="202" customFormat="1" ht="36" customHeight="1">
      <c r="A130" s="1900"/>
      <c r="B130" s="1903"/>
      <c r="C130" s="1906"/>
      <c r="D130" s="32" t="s">
        <v>878</v>
      </c>
      <c r="E130" s="31" t="s">
        <v>879</v>
      </c>
      <c r="F130" s="298"/>
      <c r="G130" s="297"/>
    </row>
    <row r="131" spans="1:8" s="280" customFormat="1" ht="36" customHeight="1">
      <c r="A131" s="1900"/>
      <c r="B131" s="1903"/>
      <c r="C131" s="1910" t="s">
        <v>888</v>
      </c>
      <c r="D131" s="302" t="s">
        <v>889</v>
      </c>
      <c r="E131" s="37" t="s">
        <v>890</v>
      </c>
      <c r="F131" s="24"/>
      <c r="G131" s="297"/>
    </row>
    <row r="132" spans="1:8" s="280" customFormat="1" ht="36" customHeight="1">
      <c r="A132" s="1900"/>
      <c r="B132" s="1903"/>
      <c r="C132" s="1906"/>
      <c r="D132" s="24" t="s">
        <v>20</v>
      </c>
      <c r="E132" s="37" t="s">
        <v>927</v>
      </c>
      <c r="F132" s="24" t="s">
        <v>928</v>
      </c>
      <c r="G132" s="297"/>
    </row>
    <row r="133" spans="1:8" s="301" customFormat="1" ht="36" customHeight="1">
      <c r="A133" s="1900"/>
      <c r="B133" s="1903"/>
      <c r="C133" s="299" t="s">
        <v>929</v>
      </c>
      <c r="D133" s="24" t="s">
        <v>930</v>
      </c>
      <c r="E133" s="31" t="s">
        <v>931</v>
      </c>
      <c r="F133" s="24"/>
      <c r="G133" s="33" t="s">
        <v>932</v>
      </c>
      <c r="H133" s="301" t="s">
        <v>933</v>
      </c>
    </row>
    <row r="134" spans="1:8" s="301" customFormat="1" ht="36" customHeight="1">
      <c r="A134" s="1900"/>
      <c r="B134" s="1903"/>
      <c r="C134" s="1910" t="s">
        <v>934</v>
      </c>
      <c r="D134" s="24" t="s">
        <v>20</v>
      </c>
      <c r="E134" s="29" t="s">
        <v>936</v>
      </c>
      <c r="F134" s="298" t="s">
        <v>172</v>
      </c>
      <c r="G134" s="1911" t="s">
        <v>937</v>
      </c>
    </row>
    <row r="135" spans="1:8" s="301" customFormat="1" ht="36" customHeight="1">
      <c r="A135" s="1900"/>
      <c r="B135" s="1903"/>
      <c r="C135" s="1906"/>
      <c r="D135" s="24" t="s">
        <v>938</v>
      </c>
      <c r="E135" s="31" t="s">
        <v>939</v>
      </c>
      <c r="F135" s="24"/>
      <c r="G135" s="1912"/>
      <c r="H135" s="301" t="s">
        <v>940</v>
      </c>
    </row>
    <row r="136" spans="1:8" s="301" customFormat="1" ht="36" customHeight="1">
      <c r="A136" s="1900"/>
      <c r="B136" s="1903"/>
      <c r="C136" s="296" t="s">
        <v>941</v>
      </c>
      <c r="D136" s="298" t="s">
        <v>242</v>
      </c>
      <c r="E136" s="29" t="s">
        <v>949</v>
      </c>
      <c r="F136" s="298"/>
      <c r="G136" s="297" t="s">
        <v>261</v>
      </c>
    </row>
    <row r="137" spans="1:8" s="301" customFormat="1" ht="36" customHeight="1">
      <c r="A137" s="1900"/>
      <c r="B137" s="1903"/>
      <c r="C137" s="1910" t="s">
        <v>946</v>
      </c>
      <c r="D137" s="24" t="s">
        <v>20</v>
      </c>
      <c r="E137" s="31" t="s">
        <v>935</v>
      </c>
      <c r="F137" s="24" t="s">
        <v>952</v>
      </c>
      <c r="G137" s="1911" t="s">
        <v>951</v>
      </c>
    </row>
    <row r="138" spans="1:8" s="301" customFormat="1" ht="36" customHeight="1">
      <c r="A138" s="1900"/>
      <c r="B138" s="1903"/>
      <c r="C138" s="1914"/>
      <c r="D138" s="298" t="s">
        <v>947</v>
      </c>
      <c r="E138" s="29" t="s">
        <v>948</v>
      </c>
      <c r="F138" s="298"/>
      <c r="G138" s="1913"/>
    </row>
    <row r="139" spans="1:8" s="301" customFormat="1" ht="36" customHeight="1">
      <c r="A139" s="1900"/>
      <c r="B139" s="1903"/>
      <c r="C139" s="1914"/>
      <c r="D139" s="32" t="s">
        <v>242</v>
      </c>
      <c r="E139" s="31" t="s">
        <v>949</v>
      </c>
      <c r="F139" s="24"/>
      <c r="G139" s="1913"/>
    </row>
    <row r="140" spans="1:8" s="301" customFormat="1" ht="36" customHeight="1">
      <c r="A140" s="1900"/>
      <c r="B140" s="1903"/>
      <c r="C140" s="1906"/>
      <c r="D140" s="298" t="s">
        <v>950</v>
      </c>
      <c r="E140" s="29" t="s">
        <v>949</v>
      </c>
      <c r="F140" s="298"/>
      <c r="G140" s="1912"/>
    </row>
    <row r="141" spans="1:8" s="301" customFormat="1" ht="36" customHeight="1">
      <c r="A141" s="1900"/>
      <c r="B141" s="1903"/>
      <c r="C141" s="1910" t="s">
        <v>425</v>
      </c>
      <c r="D141" s="298" t="s">
        <v>961</v>
      </c>
      <c r="E141" s="29" t="s">
        <v>962</v>
      </c>
      <c r="F141" s="298"/>
      <c r="G141" s="1911" t="s">
        <v>261</v>
      </c>
    </row>
    <row r="142" spans="1:8" s="301" customFormat="1" ht="36" customHeight="1">
      <c r="A142" s="1900"/>
      <c r="B142" s="1903"/>
      <c r="C142" s="1914"/>
      <c r="D142" s="298" t="s">
        <v>960</v>
      </c>
      <c r="E142" s="29" t="s">
        <v>959</v>
      </c>
      <c r="F142" s="298"/>
      <c r="G142" s="1913"/>
    </row>
    <row r="143" spans="1:8" s="301" customFormat="1" ht="36" customHeight="1">
      <c r="A143" s="1900"/>
      <c r="B143" s="1903"/>
      <c r="C143" s="1906"/>
      <c r="D143" s="298" t="s">
        <v>957</v>
      </c>
      <c r="E143" s="29" t="s">
        <v>958</v>
      </c>
      <c r="F143" s="298"/>
      <c r="G143" s="1912"/>
    </row>
    <row r="144" spans="1:8" s="202" customFormat="1" ht="36" customHeight="1" thickBot="1">
      <c r="A144" s="1900"/>
      <c r="B144" s="1903"/>
      <c r="C144" s="300"/>
      <c r="D144" s="26"/>
      <c r="E144" s="25"/>
      <c r="F144" s="172"/>
      <c r="G144" s="271"/>
    </row>
    <row r="145" spans="1:7" s="202" customFormat="1" ht="36" customHeight="1" thickBot="1">
      <c r="A145" s="1901"/>
      <c r="B145" s="1904"/>
      <c r="C145" s="12"/>
      <c r="D145" s="11"/>
      <c r="E145" s="10"/>
      <c r="F145" s="10"/>
      <c r="G145" s="9"/>
    </row>
    <row r="146" spans="1:7" s="202" customFormat="1" ht="36" customHeight="1">
      <c r="A146" s="1899">
        <v>44916</v>
      </c>
      <c r="B146" s="1916" t="s">
        <v>2</v>
      </c>
      <c r="C146" s="304" t="s">
        <v>869</v>
      </c>
      <c r="D146" s="32" t="s">
        <v>872</v>
      </c>
      <c r="E146" s="31" t="s">
        <v>954</v>
      </c>
      <c r="F146" s="24" t="s">
        <v>966</v>
      </c>
      <c r="G146" s="33"/>
    </row>
    <row r="147" spans="1:7" s="283" customFormat="1" ht="36" customHeight="1">
      <c r="A147" s="1900"/>
      <c r="B147" s="1917"/>
      <c r="C147" s="304" t="s">
        <v>902</v>
      </c>
      <c r="D147" s="30" t="s">
        <v>882</v>
      </c>
      <c r="E147" s="29" t="s">
        <v>376</v>
      </c>
      <c r="F147" s="303" t="s">
        <v>379</v>
      </c>
      <c r="G147" s="33"/>
    </row>
    <row r="148" spans="1:7" s="280" customFormat="1" ht="36" customHeight="1">
      <c r="A148" s="1900"/>
      <c r="B148" s="1917"/>
      <c r="C148" s="1910" t="s">
        <v>963</v>
      </c>
      <c r="D148" s="30" t="s">
        <v>938</v>
      </c>
      <c r="E148" s="29" t="s">
        <v>964</v>
      </c>
      <c r="F148" s="303"/>
      <c r="G148" s="1913" t="s">
        <v>932</v>
      </c>
    </row>
    <row r="149" spans="1:7" s="301" customFormat="1" ht="36" customHeight="1">
      <c r="A149" s="1900"/>
      <c r="B149" s="1917"/>
      <c r="C149" s="1914"/>
      <c r="D149" s="30" t="s">
        <v>20</v>
      </c>
      <c r="E149" s="29" t="s">
        <v>965</v>
      </c>
      <c r="F149" s="303"/>
      <c r="G149" s="1913"/>
    </row>
    <row r="150" spans="1:7" s="280" customFormat="1" ht="36" customHeight="1" thickBot="1">
      <c r="A150" s="1900"/>
      <c r="B150" s="1917"/>
      <c r="C150" s="1906"/>
      <c r="D150" s="30" t="s">
        <v>43</v>
      </c>
      <c r="E150" s="29" t="s">
        <v>970</v>
      </c>
      <c r="F150" s="303"/>
      <c r="G150" s="1912"/>
    </row>
    <row r="151" spans="1:7" s="280" customFormat="1" ht="36" hidden="1" customHeight="1">
      <c r="A151" s="1900"/>
      <c r="B151" s="1917"/>
      <c r="C151" s="290"/>
      <c r="D151" s="43"/>
      <c r="E151" s="27"/>
      <c r="F151" s="42"/>
      <c r="G151" s="41"/>
    </row>
    <row r="152" spans="1:7" s="280" customFormat="1" ht="36" hidden="1" customHeight="1">
      <c r="A152" s="1900"/>
      <c r="B152" s="1917"/>
      <c r="C152" s="289"/>
      <c r="D152" s="43"/>
      <c r="E152" s="27"/>
      <c r="F152" s="42"/>
      <c r="G152" s="41"/>
    </row>
    <row r="153" spans="1:7" s="268" customFormat="1" ht="36" hidden="1" customHeight="1">
      <c r="A153" s="1900"/>
      <c r="B153" s="1917"/>
      <c r="C153" s="267"/>
      <c r="D153" s="28"/>
      <c r="E153" s="27"/>
      <c r="F153" s="191"/>
      <c r="G153" s="272"/>
    </row>
    <row r="154" spans="1:7" s="268" customFormat="1" ht="36" hidden="1" customHeight="1" thickBot="1">
      <c r="A154" s="1900"/>
      <c r="B154" s="1917"/>
      <c r="C154" s="266"/>
      <c r="D154" s="26"/>
      <c r="E154" s="25"/>
      <c r="F154" s="172"/>
      <c r="G154" s="271"/>
    </row>
    <row r="155" spans="1:7" s="202" customFormat="1" ht="36" customHeight="1" thickBot="1">
      <c r="A155" s="1901"/>
      <c r="B155" s="1918"/>
      <c r="C155" s="12" t="s">
        <v>967</v>
      </c>
      <c r="D155" s="11" t="s">
        <v>968</v>
      </c>
      <c r="E155" s="10" t="s">
        <v>969</v>
      </c>
      <c r="F155" s="10" t="s">
        <v>491</v>
      </c>
      <c r="G155" s="9"/>
    </row>
    <row r="156" spans="1:7" s="202" customFormat="1" ht="36" customHeight="1">
      <c r="A156" s="1899">
        <v>44917</v>
      </c>
      <c r="B156" s="1902" t="s">
        <v>1</v>
      </c>
      <c r="C156" s="1905" t="s">
        <v>701</v>
      </c>
      <c r="D156" s="24" t="s">
        <v>702</v>
      </c>
      <c r="E156" s="24" t="s">
        <v>897</v>
      </c>
      <c r="F156" s="306"/>
      <c r="G156" s="305"/>
    </row>
    <row r="157" spans="1:7" s="202" customFormat="1" ht="36" customHeight="1">
      <c r="A157" s="1900"/>
      <c r="B157" s="1903"/>
      <c r="C157" s="1906"/>
      <c r="D157" s="24" t="s">
        <v>703</v>
      </c>
      <c r="E157" s="24" t="s">
        <v>704</v>
      </c>
      <c r="F157" s="306"/>
      <c r="G157" s="305"/>
    </row>
    <row r="158" spans="1:7" s="202" customFormat="1" ht="36" customHeight="1">
      <c r="A158" s="1900"/>
      <c r="B158" s="1903"/>
      <c r="C158" s="1910" t="s">
        <v>914</v>
      </c>
      <c r="D158" s="32" t="s">
        <v>915</v>
      </c>
      <c r="E158" s="31" t="s">
        <v>916</v>
      </c>
      <c r="F158" s="24"/>
      <c r="G158" s="1911" t="s">
        <v>919</v>
      </c>
    </row>
    <row r="159" spans="1:7" s="202" customFormat="1" ht="36" customHeight="1" thickBot="1">
      <c r="A159" s="1900"/>
      <c r="B159" s="1903"/>
      <c r="C159" s="1906"/>
      <c r="D159" s="32" t="s">
        <v>917</v>
      </c>
      <c r="E159" s="31" t="s">
        <v>918</v>
      </c>
      <c r="F159" s="306"/>
      <c r="G159" s="1912"/>
    </row>
    <row r="160" spans="1:7" s="202" customFormat="1" ht="36" customHeight="1" thickBot="1">
      <c r="A160" s="1901"/>
      <c r="B160" s="1904"/>
      <c r="C160" s="12"/>
      <c r="D160" s="11"/>
      <c r="E160" s="10"/>
      <c r="F160" s="10"/>
      <c r="G160" s="9"/>
    </row>
    <row r="161" spans="1:8" s="202" customFormat="1" ht="36" customHeight="1">
      <c r="A161" s="1899">
        <v>44918</v>
      </c>
      <c r="B161" s="1902" t="s">
        <v>0</v>
      </c>
      <c r="C161" s="1910" t="s">
        <v>941</v>
      </c>
      <c r="D161" s="309" t="s">
        <v>242</v>
      </c>
      <c r="E161" s="29" t="s">
        <v>945</v>
      </c>
      <c r="F161" s="309"/>
      <c r="G161" s="1915" t="s">
        <v>974</v>
      </c>
    </row>
    <row r="162" spans="1:8" s="301" customFormat="1" ht="36" customHeight="1">
      <c r="A162" s="1900"/>
      <c r="B162" s="1903"/>
      <c r="C162" s="1914"/>
      <c r="D162" s="309" t="s">
        <v>955</v>
      </c>
      <c r="E162" s="29" t="s">
        <v>956</v>
      </c>
      <c r="F162" s="309"/>
      <c r="G162" s="1913"/>
    </row>
    <row r="163" spans="1:8" s="202" customFormat="1" ht="36" customHeight="1">
      <c r="A163" s="1900"/>
      <c r="B163" s="1903"/>
      <c r="C163" s="1914"/>
      <c r="D163" s="24" t="s">
        <v>20</v>
      </c>
      <c r="E163" s="31" t="s">
        <v>944</v>
      </c>
      <c r="F163" s="24" t="s">
        <v>953</v>
      </c>
      <c r="G163" s="1913"/>
    </row>
    <row r="164" spans="1:8" s="202" customFormat="1" ht="36" customHeight="1">
      <c r="A164" s="1900"/>
      <c r="B164" s="1903"/>
      <c r="C164" s="1906"/>
      <c r="D164" s="24" t="s">
        <v>942</v>
      </c>
      <c r="E164" s="29" t="s">
        <v>943</v>
      </c>
      <c r="F164" s="309"/>
      <c r="G164" s="1912"/>
    </row>
    <row r="165" spans="1:8" s="58" customFormat="1" ht="36" customHeight="1">
      <c r="A165" s="1900"/>
      <c r="B165" s="1903"/>
      <c r="C165" s="1910" t="s">
        <v>973</v>
      </c>
      <c r="D165" s="24" t="s">
        <v>976</v>
      </c>
      <c r="E165" s="31" t="s">
        <v>971</v>
      </c>
      <c r="F165" s="24"/>
      <c r="G165" s="1911" t="s">
        <v>972</v>
      </c>
    </row>
    <row r="166" spans="1:8" s="58" customFormat="1" ht="36" customHeight="1">
      <c r="A166" s="1900"/>
      <c r="B166" s="1903"/>
      <c r="C166" s="1906"/>
      <c r="D166" s="24" t="s">
        <v>221</v>
      </c>
      <c r="E166" s="37" t="s">
        <v>984</v>
      </c>
      <c r="F166" s="24"/>
      <c r="G166" s="1912"/>
    </row>
    <row r="167" spans="1:8" s="58" customFormat="1" ht="36" customHeight="1" thickBot="1">
      <c r="A167" s="1900"/>
      <c r="B167" s="1903"/>
      <c r="C167" s="308"/>
      <c r="D167" s="310" t="s">
        <v>975</v>
      </c>
      <c r="E167" s="37"/>
      <c r="F167" s="24"/>
      <c r="G167" s="33"/>
    </row>
    <row r="168" spans="1:8" s="58" customFormat="1" ht="36" hidden="1" customHeight="1">
      <c r="A168" s="1900"/>
      <c r="B168" s="1903"/>
      <c r="C168" s="181"/>
      <c r="D168" s="189"/>
      <c r="E168" s="15"/>
      <c r="F168" s="46"/>
      <c r="G168" s="307"/>
    </row>
    <row r="169" spans="1:8" s="202" customFormat="1" ht="36" hidden="1" customHeight="1" thickBot="1">
      <c r="A169" s="1900"/>
      <c r="B169" s="1903"/>
      <c r="C169" s="198"/>
      <c r="D169" s="16"/>
      <c r="E169" s="15"/>
      <c r="F169" s="172"/>
      <c r="G169" s="199"/>
    </row>
    <row r="170" spans="1:8" s="202" customFormat="1" ht="36" customHeight="1" thickBot="1">
      <c r="A170" s="1901"/>
      <c r="B170" s="1904"/>
      <c r="C170" s="12"/>
      <c r="D170" s="11"/>
      <c r="E170" s="10"/>
      <c r="F170" s="10"/>
      <c r="G170" s="9"/>
    </row>
    <row r="171" spans="1:8" s="202" customFormat="1" ht="60" customHeight="1" thickBot="1">
      <c r="A171" s="1907" t="s">
        <v>5</v>
      </c>
      <c r="B171" s="1908"/>
      <c r="C171" s="1908"/>
      <c r="D171" s="1908"/>
      <c r="E171" s="1908"/>
      <c r="F171" s="1908"/>
      <c r="G171" s="1909"/>
    </row>
    <row r="172" spans="1:8" s="311" customFormat="1" ht="36" customHeight="1">
      <c r="A172" s="1899">
        <v>44921</v>
      </c>
      <c r="B172" s="1919" t="s">
        <v>4</v>
      </c>
      <c r="C172" s="36" t="s">
        <v>206</v>
      </c>
      <c r="D172" s="49" t="s">
        <v>207</v>
      </c>
      <c r="E172" s="49" t="s">
        <v>977</v>
      </c>
      <c r="F172" s="49"/>
      <c r="G172" s="60"/>
    </row>
    <row r="173" spans="1:8" s="288" customFormat="1" ht="36" customHeight="1">
      <c r="A173" s="1900"/>
      <c r="B173" s="1920"/>
      <c r="C173" s="1910" t="s">
        <v>198</v>
      </c>
      <c r="D173" s="317" t="s">
        <v>867</v>
      </c>
      <c r="E173" s="317" t="s">
        <v>181</v>
      </c>
      <c r="F173" s="317"/>
      <c r="G173" s="1922" t="s">
        <v>583</v>
      </c>
      <c r="H173" s="288" t="s">
        <v>1084</v>
      </c>
    </row>
    <row r="174" spans="1:8" s="288" customFormat="1" ht="36" customHeight="1">
      <c r="A174" s="1900"/>
      <c r="B174" s="1920"/>
      <c r="C174" s="1914"/>
      <c r="D174" s="24" t="s">
        <v>378</v>
      </c>
      <c r="E174" s="24" t="s">
        <v>189</v>
      </c>
      <c r="F174" s="317"/>
      <c r="G174" s="1913"/>
    </row>
    <row r="175" spans="1:8" s="288" customFormat="1" ht="36" customHeight="1">
      <c r="A175" s="1900"/>
      <c r="B175" s="1920"/>
      <c r="C175" s="1906"/>
      <c r="D175" s="32" t="s">
        <v>218</v>
      </c>
      <c r="E175" s="31" t="s">
        <v>538</v>
      </c>
      <c r="F175" s="317" t="s">
        <v>240</v>
      </c>
      <c r="G175" s="1912"/>
    </row>
    <row r="176" spans="1:8" s="202" customFormat="1" ht="36" customHeight="1">
      <c r="A176" s="1900"/>
      <c r="B176" s="1920"/>
      <c r="C176" s="1910" t="s">
        <v>238</v>
      </c>
      <c r="D176" s="32" t="s">
        <v>979</v>
      </c>
      <c r="E176" s="31" t="s">
        <v>981</v>
      </c>
      <c r="F176" s="24"/>
      <c r="G176" s="1911" t="s">
        <v>983</v>
      </c>
    </row>
    <row r="177" spans="1:8" s="311" customFormat="1" ht="36" customHeight="1">
      <c r="A177" s="1900"/>
      <c r="B177" s="1920"/>
      <c r="C177" s="1906"/>
      <c r="D177" s="32" t="s">
        <v>980</v>
      </c>
      <c r="E177" s="31" t="s">
        <v>982</v>
      </c>
      <c r="F177" s="24"/>
      <c r="G177" s="1912"/>
    </row>
    <row r="178" spans="1:8" s="311" customFormat="1" ht="36" customHeight="1">
      <c r="A178" s="1900"/>
      <c r="B178" s="1920"/>
      <c r="C178" s="1910" t="s">
        <v>415</v>
      </c>
      <c r="D178" s="32" t="s">
        <v>61</v>
      </c>
      <c r="E178" s="31" t="s">
        <v>62</v>
      </c>
      <c r="F178" s="24" t="s">
        <v>985</v>
      </c>
      <c r="G178" s="1911" t="s">
        <v>58</v>
      </c>
      <c r="H178" s="311" t="s">
        <v>986</v>
      </c>
    </row>
    <row r="179" spans="1:8" s="318" customFormat="1" ht="36" customHeight="1">
      <c r="A179" s="1900"/>
      <c r="B179" s="1920"/>
      <c r="C179" s="1906"/>
      <c r="D179" s="30" t="s">
        <v>991</v>
      </c>
      <c r="E179" s="29" t="s">
        <v>993</v>
      </c>
      <c r="F179" s="317" t="s">
        <v>992</v>
      </c>
      <c r="G179" s="1912"/>
    </row>
    <row r="180" spans="1:8" s="318" customFormat="1" ht="36" customHeight="1">
      <c r="A180" s="1900"/>
      <c r="B180" s="1920"/>
      <c r="C180" s="313" t="s">
        <v>987</v>
      </c>
      <c r="D180" s="30" t="s">
        <v>988</v>
      </c>
      <c r="E180" s="29" t="s">
        <v>989</v>
      </c>
      <c r="F180" s="317"/>
      <c r="G180" s="314" t="s">
        <v>990</v>
      </c>
    </row>
    <row r="181" spans="1:8" s="318" customFormat="1" ht="36" customHeight="1" thickBot="1">
      <c r="A181" s="1900"/>
      <c r="B181" s="1920"/>
      <c r="C181" s="312" t="s">
        <v>994</v>
      </c>
      <c r="D181" s="32" t="s">
        <v>218</v>
      </c>
      <c r="E181" s="34" t="s">
        <v>995</v>
      </c>
      <c r="F181" s="316" t="s">
        <v>19</v>
      </c>
      <c r="G181" s="315" t="s">
        <v>996</v>
      </c>
      <c r="H181" s="318" t="s">
        <v>997</v>
      </c>
    </row>
    <row r="182" spans="1:8" s="202" customFormat="1" ht="36" customHeight="1" thickBot="1">
      <c r="A182" s="1901"/>
      <c r="B182" s="1921"/>
      <c r="C182" s="12"/>
      <c r="D182" s="11"/>
      <c r="E182" s="10"/>
      <c r="F182" s="10"/>
      <c r="G182" s="9"/>
    </row>
    <row r="183" spans="1:8" s="202" customFormat="1" ht="36" customHeight="1">
      <c r="A183" s="1899">
        <v>44922</v>
      </c>
      <c r="B183" s="1902" t="s">
        <v>3</v>
      </c>
      <c r="C183" s="1905" t="s">
        <v>439</v>
      </c>
      <c r="D183" s="24" t="s">
        <v>998</v>
      </c>
      <c r="E183" s="24" t="s">
        <v>999</v>
      </c>
      <c r="F183" s="325"/>
      <c r="G183" s="324"/>
    </row>
    <row r="184" spans="1:8" s="202" customFormat="1" ht="36" customHeight="1">
      <c r="A184" s="1900"/>
      <c r="B184" s="1903"/>
      <c r="C184" s="1906"/>
      <c r="D184" s="24" t="s">
        <v>915</v>
      </c>
      <c r="E184" s="24" t="s">
        <v>1000</v>
      </c>
      <c r="F184" s="325"/>
      <c r="G184" s="324"/>
    </row>
    <row r="185" spans="1:8" s="202" customFormat="1" ht="36" customHeight="1">
      <c r="A185" s="1900"/>
      <c r="B185" s="1903"/>
      <c r="C185" s="21"/>
      <c r="D185" s="20"/>
      <c r="E185" s="19"/>
      <c r="F185" s="191"/>
      <c r="G185" s="199"/>
    </row>
    <row r="186" spans="1:8" s="202" customFormat="1" ht="36" customHeight="1" thickBot="1">
      <c r="A186" s="1900"/>
      <c r="B186" s="1903"/>
      <c r="C186" s="198"/>
      <c r="D186" s="16"/>
      <c r="E186" s="15"/>
      <c r="F186" s="172"/>
      <c r="G186" s="199"/>
    </row>
    <row r="187" spans="1:8" s="202" customFormat="1" ht="36" customHeight="1" thickBot="1">
      <c r="A187" s="1901"/>
      <c r="B187" s="1904"/>
      <c r="C187" s="12"/>
      <c r="D187" s="11"/>
      <c r="E187" s="10"/>
      <c r="F187" s="10"/>
      <c r="G187" s="9"/>
    </row>
    <row r="188" spans="1:8" s="202" customFormat="1" ht="36" customHeight="1">
      <c r="A188" s="1899">
        <v>44923</v>
      </c>
      <c r="B188" s="1902" t="s">
        <v>2</v>
      </c>
      <c r="C188" s="326" t="s">
        <v>1007</v>
      </c>
      <c r="D188" s="24" t="s">
        <v>1008</v>
      </c>
      <c r="E188" s="24" t="s">
        <v>1009</v>
      </c>
      <c r="F188" s="325"/>
      <c r="G188" s="324" t="s">
        <v>1010</v>
      </c>
      <c r="H188" s="202" t="s">
        <v>1011</v>
      </c>
    </row>
    <row r="189" spans="1:8" s="321" customFormat="1" ht="36" customHeight="1">
      <c r="A189" s="1900"/>
      <c r="B189" s="1903"/>
      <c r="C189" s="323" t="s">
        <v>198</v>
      </c>
      <c r="D189" s="32" t="s">
        <v>218</v>
      </c>
      <c r="E189" s="37" t="s">
        <v>371</v>
      </c>
      <c r="F189" s="24" t="s">
        <v>393</v>
      </c>
      <c r="G189" s="1911" t="s">
        <v>343</v>
      </c>
    </row>
    <row r="190" spans="1:8" s="321" customFormat="1" ht="36" customHeight="1">
      <c r="A190" s="1900"/>
      <c r="B190" s="1903"/>
      <c r="C190" s="322" t="s">
        <v>393</v>
      </c>
      <c r="D190" s="328" t="s">
        <v>199</v>
      </c>
      <c r="E190" s="37" t="s">
        <v>200</v>
      </c>
      <c r="F190" s="24"/>
      <c r="G190" s="1912"/>
    </row>
    <row r="191" spans="1:8" s="202" customFormat="1" ht="36" customHeight="1" thickBot="1">
      <c r="A191" s="1900"/>
      <c r="B191" s="1903"/>
      <c r="C191" s="326" t="s">
        <v>1028</v>
      </c>
      <c r="D191" s="24" t="s">
        <v>20</v>
      </c>
      <c r="E191" s="24" t="s">
        <v>1029</v>
      </c>
      <c r="F191" s="325" t="s">
        <v>1030</v>
      </c>
      <c r="G191" s="324" t="s">
        <v>1031</v>
      </c>
    </row>
    <row r="192" spans="1:8" s="202" customFormat="1" ht="36" hidden="1" customHeight="1">
      <c r="A192" s="1900"/>
      <c r="B192" s="1903"/>
      <c r="C192" s="21"/>
      <c r="D192" s="20"/>
      <c r="E192" s="19"/>
      <c r="F192" s="191"/>
      <c r="G192" s="199"/>
    </row>
    <row r="193" spans="1:8" s="202" customFormat="1" ht="36" hidden="1" customHeight="1" thickBot="1">
      <c r="A193" s="1900"/>
      <c r="B193" s="1903"/>
      <c r="C193" s="198"/>
      <c r="D193" s="16"/>
      <c r="E193" s="15"/>
      <c r="F193" s="172"/>
      <c r="G193" s="199"/>
    </row>
    <row r="194" spans="1:8" s="202" customFormat="1" ht="36" customHeight="1" thickBot="1">
      <c r="A194" s="1901"/>
      <c r="B194" s="1904"/>
      <c r="C194" s="12"/>
      <c r="D194" s="11"/>
      <c r="E194" s="10"/>
      <c r="F194" s="10"/>
      <c r="G194" s="9"/>
    </row>
    <row r="195" spans="1:8" s="202" customFormat="1" ht="36" customHeight="1">
      <c r="A195" s="1899">
        <v>44924</v>
      </c>
      <c r="B195" s="1902" t="s">
        <v>1</v>
      </c>
      <c r="C195" s="1905" t="s">
        <v>894</v>
      </c>
      <c r="D195" s="24" t="s">
        <v>895</v>
      </c>
      <c r="E195" s="24" t="s">
        <v>978</v>
      </c>
      <c r="F195" s="333"/>
      <c r="G195" s="1915" t="s">
        <v>1023</v>
      </c>
    </row>
    <row r="196" spans="1:8" s="318" customFormat="1" ht="36" customHeight="1">
      <c r="A196" s="1900"/>
      <c r="B196" s="1903"/>
      <c r="C196" s="1906"/>
      <c r="D196" s="24" t="s">
        <v>1001</v>
      </c>
      <c r="E196" s="334" t="s">
        <v>1002</v>
      </c>
      <c r="F196" s="333" t="s">
        <v>1003</v>
      </c>
      <c r="G196" s="1912"/>
      <c r="H196" s="318" t="s">
        <v>1012</v>
      </c>
    </row>
    <row r="197" spans="1:8" s="327" customFormat="1" ht="36" customHeight="1">
      <c r="A197" s="1900"/>
      <c r="B197" s="1903"/>
      <c r="C197" s="1910" t="s">
        <v>1020</v>
      </c>
      <c r="D197" s="24" t="s">
        <v>1013</v>
      </c>
      <c r="E197" s="334" t="s">
        <v>1014</v>
      </c>
      <c r="F197" s="333"/>
      <c r="G197" s="1911" t="s">
        <v>1022</v>
      </c>
      <c r="H197" s="327" t="s">
        <v>1021</v>
      </c>
    </row>
    <row r="198" spans="1:8" s="327" customFormat="1" ht="36" customHeight="1">
      <c r="A198" s="1900"/>
      <c r="B198" s="1903"/>
      <c r="C198" s="1914"/>
      <c r="D198" s="24" t="s">
        <v>20</v>
      </c>
      <c r="E198" s="334" t="s">
        <v>1017</v>
      </c>
      <c r="F198" s="333"/>
      <c r="G198" s="1913"/>
    </row>
    <row r="199" spans="1:8" s="327" customFormat="1" ht="36" customHeight="1">
      <c r="A199" s="1900"/>
      <c r="B199" s="1903"/>
      <c r="C199" s="1914"/>
      <c r="D199" s="24" t="s">
        <v>1015</v>
      </c>
      <c r="E199" s="334" t="s">
        <v>1018</v>
      </c>
      <c r="F199" s="333"/>
      <c r="G199" s="1913"/>
    </row>
    <row r="200" spans="1:8" s="202" customFormat="1" ht="36" customHeight="1">
      <c r="A200" s="1900"/>
      <c r="B200" s="1903"/>
      <c r="C200" s="1906"/>
      <c r="D200" s="24" t="s">
        <v>1016</v>
      </c>
      <c r="E200" s="24" t="s">
        <v>1019</v>
      </c>
      <c r="F200" s="333"/>
      <c r="G200" s="1912"/>
    </row>
    <row r="201" spans="1:8" s="202" customFormat="1" ht="36" customHeight="1">
      <c r="A201" s="1900"/>
      <c r="B201" s="1903"/>
      <c r="C201" s="335" t="s">
        <v>1035</v>
      </c>
      <c r="D201" s="32" t="s">
        <v>1036</v>
      </c>
      <c r="E201" s="31" t="s">
        <v>1037</v>
      </c>
      <c r="F201" s="333" t="s">
        <v>1038</v>
      </c>
      <c r="G201" s="331"/>
      <c r="H201" s="202" t="s">
        <v>1039</v>
      </c>
    </row>
    <row r="202" spans="1:8" s="202" customFormat="1" ht="36" customHeight="1">
      <c r="A202" s="1900"/>
      <c r="B202" s="1903"/>
      <c r="C202" s="335" t="s">
        <v>1047</v>
      </c>
      <c r="D202" s="32" t="s">
        <v>1048</v>
      </c>
      <c r="E202" s="31" t="s">
        <v>1049</v>
      </c>
      <c r="F202" s="24" t="s">
        <v>1050</v>
      </c>
      <c r="G202" s="33" t="s">
        <v>1051</v>
      </c>
      <c r="H202" s="329" t="s">
        <v>1052</v>
      </c>
    </row>
    <row r="203" spans="1:8" s="329" customFormat="1" ht="36" customHeight="1" thickBot="1">
      <c r="A203" s="1900"/>
      <c r="B203" s="1903"/>
      <c r="C203" s="330" t="s">
        <v>1053</v>
      </c>
      <c r="D203" s="333" t="s">
        <v>1054</v>
      </c>
      <c r="E203" s="333" t="s">
        <v>1055</v>
      </c>
      <c r="F203" s="333"/>
      <c r="G203" s="332" t="s">
        <v>261</v>
      </c>
    </row>
    <row r="204" spans="1:8" s="202" customFormat="1" ht="36" customHeight="1" thickBot="1">
      <c r="A204" s="1901"/>
      <c r="B204" s="1904"/>
      <c r="C204" s="12"/>
      <c r="D204" s="11"/>
      <c r="E204" s="10"/>
      <c r="F204" s="10"/>
      <c r="G204" s="9"/>
    </row>
    <row r="205" spans="1:8" s="202" customFormat="1" ht="36" customHeight="1">
      <c r="A205" s="1899">
        <v>44925</v>
      </c>
      <c r="B205" s="1902" t="s">
        <v>0</v>
      </c>
      <c r="C205" s="36" t="s">
        <v>1053</v>
      </c>
      <c r="D205" s="24" t="s">
        <v>262</v>
      </c>
      <c r="E205" s="24" t="s">
        <v>1056</v>
      </c>
      <c r="F205" s="339"/>
      <c r="G205" s="338"/>
      <c r="H205" s="341"/>
    </row>
    <row r="206" spans="1:8" s="202" customFormat="1" ht="36" customHeight="1">
      <c r="A206" s="1900"/>
      <c r="B206" s="1903"/>
      <c r="C206" s="337" t="s">
        <v>1078</v>
      </c>
      <c r="D206" s="24" t="s">
        <v>20</v>
      </c>
      <c r="E206" s="24" t="s">
        <v>1079</v>
      </c>
      <c r="F206" s="339" t="s">
        <v>19</v>
      </c>
      <c r="G206" s="338" t="s">
        <v>1080</v>
      </c>
      <c r="H206" s="341" t="s">
        <v>1081</v>
      </c>
    </row>
    <row r="207" spans="1:8" s="202" customFormat="1" ht="36" customHeight="1" thickBot="1">
      <c r="A207" s="1900"/>
      <c r="B207" s="1903"/>
      <c r="C207" s="21"/>
      <c r="D207" s="20"/>
      <c r="E207" s="19"/>
      <c r="F207" s="191"/>
      <c r="G207" s="199"/>
    </row>
    <row r="208" spans="1:8" s="202" customFormat="1" ht="36" hidden="1" customHeight="1" thickBot="1">
      <c r="A208" s="1900"/>
      <c r="B208" s="1903"/>
      <c r="C208" s="198"/>
      <c r="D208" s="16"/>
      <c r="E208" s="15"/>
      <c r="F208" s="172"/>
      <c r="G208" s="199"/>
    </row>
    <row r="209" spans="1:7" s="202" customFormat="1" ht="36" customHeight="1" thickBot="1">
      <c r="A209" s="1901"/>
      <c r="B209" s="1904"/>
      <c r="C209" s="12"/>
      <c r="D209" s="11"/>
      <c r="E209" s="10"/>
      <c r="F209" s="10"/>
      <c r="G209" s="9"/>
    </row>
  </sheetData>
  <mergeCells count="110">
    <mergeCell ref="G178:G179"/>
    <mergeCell ref="C178:C179"/>
    <mergeCell ref="C183:C184"/>
    <mergeCell ref="C195:C196"/>
    <mergeCell ref="G173:G175"/>
    <mergeCell ref="C161:C164"/>
    <mergeCell ref="C141:C143"/>
    <mergeCell ref="G141:G143"/>
    <mergeCell ref="C148:C150"/>
    <mergeCell ref="G148:G150"/>
    <mergeCell ref="G158:G159"/>
    <mergeCell ref="G161:G164"/>
    <mergeCell ref="C158:C159"/>
    <mergeCell ref="C156:C157"/>
    <mergeCell ref="G176:G177"/>
    <mergeCell ref="C165:C166"/>
    <mergeCell ref="G165:G166"/>
    <mergeCell ref="C176:C177"/>
    <mergeCell ref="C173:C175"/>
    <mergeCell ref="G189:G190"/>
    <mergeCell ref="B58:B66"/>
    <mergeCell ref="G134:G135"/>
    <mergeCell ref="C137:C140"/>
    <mergeCell ref="G137:G140"/>
    <mergeCell ref="A78:A82"/>
    <mergeCell ref="A112:A120"/>
    <mergeCell ref="B112:B120"/>
    <mergeCell ref="A121:G121"/>
    <mergeCell ref="G113:G114"/>
    <mergeCell ref="C113:C114"/>
    <mergeCell ref="C117:C118"/>
    <mergeCell ref="G117:G118"/>
    <mergeCell ref="A122:A127"/>
    <mergeCell ref="B122:B127"/>
    <mergeCell ref="A128:A145"/>
    <mergeCell ref="C128:C130"/>
    <mergeCell ref="C122:C125"/>
    <mergeCell ref="C134:C135"/>
    <mergeCell ref="B19:B32"/>
    <mergeCell ref="A67:A76"/>
    <mergeCell ref="B67:B76"/>
    <mergeCell ref="B146:B155"/>
    <mergeCell ref="A172:A182"/>
    <mergeCell ref="B172:B182"/>
    <mergeCell ref="C69:C72"/>
    <mergeCell ref="A146:A155"/>
    <mergeCell ref="A77:G77"/>
    <mergeCell ref="G59:G60"/>
    <mergeCell ref="C62:C63"/>
    <mergeCell ref="G62:G63"/>
    <mergeCell ref="C103:C104"/>
    <mergeCell ref="A83:A93"/>
    <mergeCell ref="B83:B93"/>
    <mergeCell ref="C95:C96"/>
    <mergeCell ref="A94:A102"/>
    <mergeCell ref="B94:B102"/>
    <mergeCell ref="C86:C87"/>
    <mergeCell ref="G86:G87"/>
    <mergeCell ref="B103:B111"/>
    <mergeCell ref="C90:C91"/>
    <mergeCell ref="G95:G96"/>
    <mergeCell ref="C84:C85"/>
    <mergeCell ref="C197:C200"/>
    <mergeCell ref="G197:G200"/>
    <mergeCell ref="G195:G196"/>
    <mergeCell ref="B78:B82"/>
    <mergeCell ref="A1:G1"/>
    <mergeCell ref="A2:A7"/>
    <mergeCell ref="B2:B7"/>
    <mergeCell ref="A8:A17"/>
    <mergeCell ref="B8:B17"/>
    <mergeCell ref="A18:G18"/>
    <mergeCell ref="C19:C20"/>
    <mergeCell ref="C21:C22"/>
    <mergeCell ref="C11:C12"/>
    <mergeCell ref="C49:C52"/>
    <mergeCell ref="C46:C48"/>
    <mergeCell ref="C27:C29"/>
    <mergeCell ref="C33:C36"/>
    <mergeCell ref="C67:C68"/>
    <mergeCell ref="B33:B43"/>
    <mergeCell ref="A58:A66"/>
    <mergeCell ref="A33:A43"/>
    <mergeCell ref="A44:A57"/>
    <mergeCell ref="B44:B57"/>
    <mergeCell ref="A19:A32"/>
    <mergeCell ref="A205:A209"/>
    <mergeCell ref="B205:B209"/>
    <mergeCell ref="C2:C3"/>
    <mergeCell ref="A183:A187"/>
    <mergeCell ref="B183:B187"/>
    <mergeCell ref="A188:A194"/>
    <mergeCell ref="B188:B194"/>
    <mergeCell ref="A195:A204"/>
    <mergeCell ref="B195:B204"/>
    <mergeCell ref="A156:A160"/>
    <mergeCell ref="B156:B160"/>
    <mergeCell ref="A161:A170"/>
    <mergeCell ref="B161:B170"/>
    <mergeCell ref="A171:G171"/>
    <mergeCell ref="C131:C132"/>
    <mergeCell ref="A103:A111"/>
    <mergeCell ref="G84:G85"/>
    <mergeCell ref="B128:B145"/>
    <mergeCell ref="G27:G29"/>
    <mergeCell ref="G11:G12"/>
    <mergeCell ref="C23:C25"/>
    <mergeCell ref="C40:C41"/>
    <mergeCell ref="G40:G41"/>
    <mergeCell ref="G46:G48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Views>
    <sheetView zoomScale="70" zoomScaleNormal="70" zoomScaleSheetLayoutView="70" workbookViewId="0">
      <pane ySplit="1" topLeftCell="A30" activePane="bottomLeft" state="frozen"/>
      <selection pane="bottomLeft" activeCell="D30" sqref="D30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10.375" style="321" customWidth="1"/>
    <col min="9" max="16384" width="9" style="1"/>
  </cols>
  <sheetData>
    <row r="1" spans="1:10" ht="36" customHeight="1" thickBot="1">
      <c r="A1" s="1930" t="s">
        <v>1112</v>
      </c>
      <c r="B1" s="1930"/>
      <c r="C1" s="1930"/>
      <c r="D1" s="1930"/>
      <c r="E1" s="1930"/>
      <c r="F1" s="1930"/>
      <c r="G1" s="1930"/>
      <c r="H1" s="340"/>
    </row>
    <row r="2" spans="1:10" s="321" customFormat="1" ht="60" customHeight="1" thickBot="1">
      <c r="A2" s="1907" t="s">
        <v>5</v>
      </c>
      <c r="B2" s="1908"/>
      <c r="C2" s="1908"/>
      <c r="D2" s="1908"/>
      <c r="E2" s="1908"/>
      <c r="F2" s="1908"/>
      <c r="G2" s="1909"/>
    </row>
    <row r="3" spans="1:10" s="321" customFormat="1" ht="30" customHeight="1">
      <c r="A3" s="1899">
        <v>44563</v>
      </c>
      <c r="B3" s="1902" t="s">
        <v>4</v>
      </c>
      <c r="C3" s="1905" t="s">
        <v>1040</v>
      </c>
      <c r="D3" s="24" t="s">
        <v>1043</v>
      </c>
      <c r="E3" s="24" t="s">
        <v>1044</v>
      </c>
      <c r="F3" s="347" t="s">
        <v>1045</v>
      </c>
      <c r="G3" s="343"/>
    </row>
    <row r="4" spans="1:10" s="321" customFormat="1" ht="30" customHeight="1">
      <c r="A4" s="1900"/>
      <c r="B4" s="1903"/>
      <c r="C4" s="1906"/>
      <c r="D4" s="24" t="s">
        <v>1041</v>
      </c>
      <c r="E4" s="24" t="s">
        <v>1042</v>
      </c>
      <c r="F4" s="347"/>
      <c r="G4" s="343"/>
    </row>
    <row r="5" spans="1:10" s="321" customFormat="1" ht="30" customHeight="1">
      <c r="A5" s="1900"/>
      <c r="B5" s="1903"/>
      <c r="C5" s="349" t="s">
        <v>1085</v>
      </c>
      <c r="D5" s="32" t="s">
        <v>1086</v>
      </c>
      <c r="E5" s="31" t="s">
        <v>1087</v>
      </c>
      <c r="F5" s="347"/>
      <c r="G5" s="343" t="s">
        <v>1088</v>
      </c>
    </row>
    <row r="6" spans="1:10" s="340" customFormat="1" ht="30" customHeight="1">
      <c r="A6" s="1900"/>
      <c r="B6" s="1903"/>
      <c r="C6" s="349" t="s">
        <v>1089</v>
      </c>
      <c r="D6" s="32" t="s">
        <v>20</v>
      </c>
      <c r="E6" s="31" t="s">
        <v>22</v>
      </c>
      <c r="F6" s="24" t="s">
        <v>19</v>
      </c>
      <c r="G6" s="33" t="s">
        <v>18</v>
      </c>
      <c r="H6" s="340" t="s">
        <v>1090</v>
      </c>
    </row>
    <row r="7" spans="1:10" s="340" customFormat="1" ht="30" customHeight="1">
      <c r="A7" s="1900"/>
      <c r="B7" s="1903"/>
      <c r="C7" s="1910" t="s">
        <v>1091</v>
      </c>
      <c r="D7" s="30" t="s">
        <v>1092</v>
      </c>
      <c r="E7" s="29" t="s">
        <v>1094</v>
      </c>
      <c r="F7" s="347"/>
      <c r="G7" s="345"/>
    </row>
    <row r="8" spans="1:10" s="340" customFormat="1" ht="30" customHeight="1">
      <c r="A8" s="1900"/>
      <c r="B8" s="1903"/>
      <c r="C8" s="1914"/>
      <c r="D8" s="32" t="s">
        <v>1093</v>
      </c>
      <c r="E8" s="31" t="s">
        <v>1095</v>
      </c>
      <c r="F8" s="24"/>
      <c r="G8" s="33"/>
    </row>
    <row r="9" spans="1:10" s="321" customFormat="1" ht="30" customHeight="1" thickBot="1">
      <c r="A9" s="1900"/>
      <c r="B9" s="1903"/>
      <c r="C9" s="1932"/>
      <c r="D9" s="35" t="s">
        <v>20</v>
      </c>
      <c r="E9" s="34" t="s">
        <v>1096</v>
      </c>
      <c r="F9" s="346" t="s">
        <v>1097</v>
      </c>
      <c r="G9" s="344"/>
    </row>
    <row r="10" spans="1:10" s="321" customFormat="1" ht="30" customHeight="1" thickBot="1">
      <c r="A10" s="1901"/>
      <c r="B10" s="1904"/>
      <c r="C10" s="12" t="s">
        <v>1024</v>
      </c>
      <c r="D10" s="11" t="s">
        <v>1025</v>
      </c>
      <c r="E10" s="10" t="s">
        <v>1026</v>
      </c>
      <c r="F10" s="10" t="s">
        <v>1027</v>
      </c>
      <c r="G10" s="9"/>
    </row>
    <row r="11" spans="1:10" ht="30" customHeight="1">
      <c r="A11" s="1899">
        <v>44564</v>
      </c>
      <c r="B11" s="1902" t="s">
        <v>3</v>
      </c>
      <c r="C11" s="1905" t="s">
        <v>1005</v>
      </c>
      <c r="D11" s="24" t="s">
        <v>194</v>
      </c>
      <c r="E11" s="24" t="s">
        <v>217</v>
      </c>
      <c r="F11" s="347"/>
      <c r="G11" s="1915" t="s">
        <v>1046</v>
      </c>
      <c r="H11" s="1931" t="s">
        <v>1006</v>
      </c>
    </row>
    <row r="12" spans="1:10" ht="30" customHeight="1">
      <c r="A12" s="1900"/>
      <c r="B12" s="1903"/>
      <c r="C12" s="1906"/>
      <c r="D12" s="24" t="s">
        <v>215</v>
      </c>
      <c r="E12" s="24" t="s">
        <v>182</v>
      </c>
      <c r="F12" s="347"/>
      <c r="G12" s="1912"/>
      <c r="H12" s="1931"/>
    </row>
    <row r="13" spans="1:10" ht="30" customHeight="1">
      <c r="A13" s="1900"/>
      <c r="B13" s="1903"/>
      <c r="C13" s="349" t="s">
        <v>1032</v>
      </c>
      <c r="D13" s="32" t="s">
        <v>1057</v>
      </c>
      <c r="E13" s="31" t="s">
        <v>1058</v>
      </c>
      <c r="F13" s="347"/>
      <c r="G13" s="343" t="s">
        <v>1111</v>
      </c>
    </row>
    <row r="14" spans="1:10" ht="36" customHeight="1">
      <c r="A14" s="1900"/>
      <c r="B14" s="1903"/>
      <c r="C14" s="349" t="s">
        <v>577</v>
      </c>
      <c r="D14" s="24" t="s">
        <v>1004</v>
      </c>
      <c r="E14" s="24" t="s">
        <v>1098</v>
      </c>
      <c r="F14" s="24"/>
      <c r="G14" s="343" t="s">
        <v>1099</v>
      </c>
      <c r="H14" s="340" t="s">
        <v>1034</v>
      </c>
      <c r="J14" s="351" t="s">
        <v>1130</v>
      </c>
    </row>
    <row r="15" spans="1:10" ht="36" customHeight="1">
      <c r="A15" s="1900"/>
      <c r="B15" s="1903"/>
      <c r="C15" s="342" t="s">
        <v>1113</v>
      </c>
      <c r="D15" s="348" t="s">
        <v>1114</v>
      </c>
      <c r="E15" s="348" t="s">
        <v>1115</v>
      </c>
      <c r="F15" s="24"/>
      <c r="G15" s="343" t="s">
        <v>1116</v>
      </c>
      <c r="H15" s="351" t="s">
        <v>1117</v>
      </c>
    </row>
    <row r="16" spans="1:10" ht="30" customHeight="1">
      <c r="A16" s="1900"/>
      <c r="B16" s="1903"/>
      <c r="C16" s="1910" t="s">
        <v>1119</v>
      </c>
      <c r="D16" s="32" t="s">
        <v>20</v>
      </c>
      <c r="E16" s="31" t="s">
        <v>1120</v>
      </c>
      <c r="F16" s="24" t="s">
        <v>172</v>
      </c>
      <c r="G16" s="1911" t="s">
        <v>1123</v>
      </c>
    </row>
    <row r="17" spans="1:8" ht="30" customHeight="1">
      <c r="A17" s="1900"/>
      <c r="B17" s="1903"/>
      <c r="C17" s="1906"/>
      <c r="D17" s="30" t="s">
        <v>1121</v>
      </c>
      <c r="E17" s="29" t="s">
        <v>1122</v>
      </c>
      <c r="F17" s="347"/>
      <c r="G17" s="1912"/>
      <c r="H17" s="351"/>
    </row>
    <row r="18" spans="1:8" ht="30" customHeight="1" thickBot="1">
      <c r="A18" s="1900"/>
      <c r="B18" s="1903"/>
      <c r="C18" s="350"/>
      <c r="D18" s="26"/>
      <c r="E18" s="25"/>
      <c r="F18" s="172"/>
      <c r="G18" s="352"/>
      <c r="H18" s="351"/>
    </row>
    <row r="19" spans="1:8" ht="30" customHeight="1" thickBot="1">
      <c r="A19" s="1901"/>
      <c r="B19" s="1904"/>
      <c r="C19" s="12"/>
      <c r="D19" s="11"/>
      <c r="E19" s="10"/>
      <c r="F19" s="10"/>
      <c r="G19" s="9"/>
    </row>
    <row r="20" spans="1:8" ht="30" customHeight="1">
      <c r="A20" s="1899">
        <v>44565</v>
      </c>
      <c r="B20" s="1902" t="s">
        <v>2</v>
      </c>
      <c r="C20" s="21"/>
      <c r="D20" s="22" t="s">
        <v>1077</v>
      </c>
      <c r="E20" s="22"/>
      <c r="F20" s="191"/>
      <c r="G20" s="199"/>
    </row>
    <row r="21" spans="1:8" ht="30" customHeight="1">
      <c r="A21" s="1900"/>
      <c r="B21" s="1903"/>
      <c r="C21" s="354" t="s">
        <v>1124</v>
      </c>
      <c r="D21" s="358" t="s">
        <v>1125</v>
      </c>
      <c r="E21" s="37" t="s">
        <v>1126</v>
      </c>
      <c r="F21" s="24"/>
      <c r="G21" s="1911" t="s">
        <v>1127</v>
      </c>
    </row>
    <row r="22" spans="1:8" ht="30" customHeight="1">
      <c r="A22" s="1900"/>
      <c r="B22" s="1903"/>
      <c r="C22" s="356" t="s">
        <v>1068</v>
      </c>
      <c r="D22" s="24" t="s">
        <v>20</v>
      </c>
      <c r="E22" s="24" t="s">
        <v>396</v>
      </c>
      <c r="F22" s="355" t="s">
        <v>632</v>
      </c>
      <c r="G22" s="1912"/>
      <c r="H22" s="351"/>
    </row>
    <row r="23" spans="1:8" s="58" customFormat="1" ht="36" customHeight="1">
      <c r="A23" s="1900"/>
      <c r="B23" s="1903"/>
      <c r="C23" s="363" t="s">
        <v>587</v>
      </c>
      <c r="D23" s="32" t="s">
        <v>20</v>
      </c>
      <c r="E23" s="31" t="s">
        <v>301</v>
      </c>
      <c r="F23" s="24" t="s">
        <v>1131</v>
      </c>
      <c r="G23" s="33" t="s">
        <v>1141</v>
      </c>
    </row>
    <row r="24" spans="1:8" s="58" customFormat="1" ht="36" customHeight="1">
      <c r="A24" s="1900"/>
      <c r="B24" s="1903"/>
      <c r="C24" s="359" t="s">
        <v>1132</v>
      </c>
      <c r="D24" s="30" t="s">
        <v>1133</v>
      </c>
      <c r="E24" s="29" t="s">
        <v>1134</v>
      </c>
      <c r="F24" s="362" t="s">
        <v>1135</v>
      </c>
      <c r="G24" s="361" t="s">
        <v>204</v>
      </c>
    </row>
    <row r="25" spans="1:8" s="58" customFormat="1" ht="36" customHeight="1">
      <c r="A25" s="1900"/>
      <c r="B25" s="1903"/>
      <c r="C25" s="1910" t="s">
        <v>1142</v>
      </c>
      <c r="D25" s="32" t="s">
        <v>1143</v>
      </c>
      <c r="E25" s="31" t="s">
        <v>1144</v>
      </c>
      <c r="F25" s="24" t="s">
        <v>1145</v>
      </c>
      <c r="G25" s="1911" t="s">
        <v>1146</v>
      </c>
    </row>
    <row r="26" spans="1:8" s="58" customFormat="1" ht="36" customHeight="1">
      <c r="A26" s="1900"/>
      <c r="B26" s="1903"/>
      <c r="C26" s="1906"/>
      <c r="D26" s="32" t="s">
        <v>1143</v>
      </c>
      <c r="E26" s="29" t="s">
        <v>1147</v>
      </c>
      <c r="F26" s="362" t="s">
        <v>1148</v>
      </c>
      <c r="G26" s="1912"/>
    </row>
    <row r="27" spans="1:8" s="58" customFormat="1" ht="36" customHeight="1" thickBot="1">
      <c r="A27" s="1900"/>
      <c r="B27" s="1903"/>
      <c r="C27" s="59"/>
      <c r="D27" s="39"/>
      <c r="E27" s="25"/>
      <c r="F27" s="38"/>
      <c r="G27" s="353"/>
    </row>
    <row r="28" spans="1:8" ht="30" customHeight="1" thickBot="1">
      <c r="A28" s="1901"/>
      <c r="B28" s="1904"/>
      <c r="C28" s="12"/>
      <c r="D28" s="11"/>
      <c r="E28" s="10"/>
      <c r="F28" s="10"/>
      <c r="G28" s="9"/>
    </row>
    <row r="29" spans="1:8" ht="30" customHeight="1">
      <c r="A29" s="1899">
        <v>44566</v>
      </c>
      <c r="B29" s="1902" t="s">
        <v>1</v>
      </c>
      <c r="C29" s="363" t="s">
        <v>1033</v>
      </c>
      <c r="D29" s="24" t="s">
        <v>1060</v>
      </c>
      <c r="E29" s="24" t="s">
        <v>1059</v>
      </c>
      <c r="F29" s="362"/>
      <c r="G29" s="360" t="s">
        <v>1110</v>
      </c>
    </row>
    <row r="30" spans="1:8" ht="30" customHeight="1">
      <c r="A30" s="1900"/>
      <c r="B30" s="1903"/>
      <c r="C30" s="1910" t="s">
        <v>1100</v>
      </c>
      <c r="D30" s="24" t="s">
        <v>1101</v>
      </c>
      <c r="E30" s="24" t="s">
        <v>1102</v>
      </c>
      <c r="F30" s="362"/>
      <c r="G30" s="1911" t="s">
        <v>1109</v>
      </c>
    </row>
    <row r="31" spans="1:8" ht="30" customHeight="1">
      <c r="A31" s="1900"/>
      <c r="B31" s="1903"/>
      <c r="C31" s="1914"/>
      <c r="D31" s="24" t="s">
        <v>1103</v>
      </c>
      <c r="E31" s="24" t="s">
        <v>1129</v>
      </c>
      <c r="F31" s="362"/>
      <c r="G31" s="1913"/>
      <c r="H31" s="340"/>
    </row>
    <row r="32" spans="1:8" ht="30" customHeight="1">
      <c r="A32" s="1900"/>
      <c r="B32" s="1903"/>
      <c r="C32" s="1914"/>
      <c r="D32" s="24" t="s">
        <v>1104</v>
      </c>
      <c r="E32" s="24" t="s">
        <v>1105</v>
      </c>
      <c r="F32" s="362"/>
      <c r="G32" s="1913"/>
      <c r="H32" s="340"/>
    </row>
    <row r="33" spans="1:8" ht="30" customHeight="1">
      <c r="A33" s="1900"/>
      <c r="B33" s="1903"/>
      <c r="C33" s="1914"/>
      <c r="D33" s="32" t="s">
        <v>1106</v>
      </c>
      <c r="E33" s="31" t="s">
        <v>1107</v>
      </c>
      <c r="F33" s="362" t="s">
        <v>1108</v>
      </c>
      <c r="G33" s="1913"/>
    </row>
    <row r="34" spans="1:8" ht="30" customHeight="1">
      <c r="A34" s="1900"/>
      <c r="B34" s="1903"/>
      <c r="C34" s="1906"/>
      <c r="D34" s="32" t="s">
        <v>1152</v>
      </c>
      <c r="E34" s="31" t="s">
        <v>1153</v>
      </c>
      <c r="F34" s="362"/>
      <c r="G34" s="1912"/>
      <c r="H34" s="357"/>
    </row>
    <row r="35" spans="1:8" ht="30" customHeight="1">
      <c r="A35" s="1900"/>
      <c r="B35" s="1903"/>
      <c r="C35" s="363" t="s">
        <v>1082</v>
      </c>
      <c r="D35" s="24" t="s">
        <v>625</v>
      </c>
      <c r="E35" s="24" t="s">
        <v>1083</v>
      </c>
      <c r="F35" s="362"/>
      <c r="G35" s="360" t="s">
        <v>1136</v>
      </c>
      <c r="H35" s="340"/>
    </row>
    <row r="36" spans="1:8" ht="30" customHeight="1">
      <c r="A36" s="1900"/>
      <c r="B36" s="1903"/>
      <c r="C36" s="363" t="s">
        <v>1163</v>
      </c>
      <c r="D36" s="24" t="s">
        <v>1164</v>
      </c>
      <c r="E36" s="24" t="s">
        <v>1165</v>
      </c>
      <c r="F36" s="24" t="s">
        <v>1166</v>
      </c>
      <c r="G36" s="33" t="s">
        <v>204</v>
      </c>
      <c r="H36" s="365" t="s">
        <v>1167</v>
      </c>
    </row>
    <row r="37" spans="1:8" ht="30" customHeight="1">
      <c r="A37" s="1900"/>
      <c r="B37" s="1903"/>
      <c r="C37" s="359" t="s">
        <v>1168</v>
      </c>
      <c r="D37" s="362" t="s">
        <v>1169</v>
      </c>
      <c r="E37" s="362" t="s">
        <v>1170</v>
      </c>
      <c r="F37" s="362"/>
      <c r="G37" s="361" t="s">
        <v>1171</v>
      </c>
      <c r="H37" s="365" t="s">
        <v>1172</v>
      </c>
    </row>
    <row r="38" spans="1:8" ht="36" customHeight="1">
      <c r="A38" s="1900"/>
      <c r="B38" s="1903"/>
      <c r="C38" s="1910" t="s">
        <v>1160</v>
      </c>
      <c r="D38" s="24" t="s">
        <v>1156</v>
      </c>
      <c r="E38" s="24" t="s">
        <v>1157</v>
      </c>
      <c r="F38" s="362"/>
      <c r="G38" s="1911" t="s">
        <v>1173</v>
      </c>
      <c r="H38" s="365"/>
    </row>
    <row r="39" spans="1:8" ht="36" customHeight="1">
      <c r="A39" s="1900"/>
      <c r="B39" s="1903"/>
      <c r="C39" s="1906"/>
      <c r="D39" s="24" t="s">
        <v>1159</v>
      </c>
      <c r="E39" s="24" t="s">
        <v>1158</v>
      </c>
      <c r="F39" s="362"/>
      <c r="G39" s="1912"/>
      <c r="H39" s="365"/>
    </row>
    <row r="40" spans="1:8" ht="36" customHeight="1">
      <c r="A40" s="1900"/>
      <c r="B40" s="1903"/>
      <c r="C40" s="1910" t="s">
        <v>1177</v>
      </c>
      <c r="D40" s="24" t="s">
        <v>20</v>
      </c>
      <c r="E40" s="24" t="s">
        <v>1178</v>
      </c>
      <c r="F40" s="24" t="s">
        <v>1182</v>
      </c>
      <c r="G40" s="1911" t="s">
        <v>1181</v>
      </c>
      <c r="H40" s="365"/>
    </row>
    <row r="41" spans="1:8" ht="36" customHeight="1">
      <c r="A41" s="1900"/>
      <c r="B41" s="1903"/>
      <c r="C41" s="1906"/>
      <c r="D41" s="362" t="s">
        <v>1179</v>
      </c>
      <c r="E41" s="362" t="s">
        <v>1180</v>
      </c>
      <c r="F41" s="362"/>
      <c r="G41" s="1912"/>
      <c r="H41" s="365"/>
    </row>
    <row r="42" spans="1:8" ht="30" customHeight="1" thickBot="1">
      <c r="A42" s="1900"/>
      <c r="B42" s="1903"/>
      <c r="C42" s="364"/>
      <c r="D42" s="26"/>
      <c r="E42" s="25"/>
      <c r="F42" s="172"/>
      <c r="G42" s="367"/>
    </row>
    <row r="43" spans="1:8" ht="30" customHeight="1" thickBot="1">
      <c r="A43" s="1901"/>
      <c r="B43" s="1904"/>
      <c r="C43" s="12"/>
      <c r="D43" s="11"/>
      <c r="E43" s="10"/>
      <c r="F43" s="10"/>
      <c r="G43" s="9"/>
    </row>
    <row r="44" spans="1:8" ht="30" customHeight="1">
      <c r="A44" s="1899">
        <v>44567</v>
      </c>
      <c r="B44" s="1902" t="s">
        <v>0</v>
      </c>
      <c r="C44" s="1905" t="s">
        <v>1033</v>
      </c>
      <c r="D44" s="24" t="s">
        <v>1060</v>
      </c>
      <c r="E44" s="24" t="s">
        <v>1061</v>
      </c>
      <c r="F44" s="372"/>
      <c r="G44" s="370"/>
    </row>
    <row r="45" spans="1:8" ht="30" customHeight="1">
      <c r="A45" s="1900"/>
      <c r="B45" s="1903"/>
      <c r="C45" s="1906"/>
      <c r="D45" s="24" t="s">
        <v>1063</v>
      </c>
      <c r="E45" s="24" t="s">
        <v>1062</v>
      </c>
      <c r="F45" s="372"/>
      <c r="G45" s="370"/>
    </row>
    <row r="46" spans="1:8" ht="30" customHeight="1">
      <c r="A46" s="1900"/>
      <c r="B46" s="1903"/>
      <c r="C46" s="1910" t="s">
        <v>1069</v>
      </c>
      <c r="D46" s="24" t="s">
        <v>1070</v>
      </c>
      <c r="E46" s="24" t="s">
        <v>1118</v>
      </c>
      <c r="F46" s="372"/>
      <c r="G46" s="370"/>
      <c r="H46" s="336"/>
    </row>
    <row r="47" spans="1:8" ht="30" customHeight="1">
      <c r="A47" s="1900"/>
      <c r="B47" s="1903"/>
      <c r="C47" s="1914"/>
      <c r="D47" s="24" t="s">
        <v>1071</v>
      </c>
      <c r="E47" s="24" t="s">
        <v>1072</v>
      </c>
      <c r="F47" s="372"/>
      <c r="G47" s="370"/>
      <c r="H47" s="336"/>
    </row>
    <row r="48" spans="1:8" ht="30" customHeight="1">
      <c r="A48" s="1900"/>
      <c r="B48" s="1903"/>
      <c r="C48" s="1914"/>
      <c r="D48" s="24" t="s">
        <v>194</v>
      </c>
      <c r="E48" s="24" t="s">
        <v>1073</v>
      </c>
      <c r="F48" s="372"/>
      <c r="G48" s="370"/>
      <c r="H48" s="336"/>
    </row>
    <row r="49" spans="1:8" ht="30" customHeight="1">
      <c r="A49" s="1900"/>
      <c r="B49" s="1903"/>
      <c r="C49" s="1914"/>
      <c r="D49" s="32" t="s">
        <v>1074</v>
      </c>
      <c r="E49" s="31" t="s">
        <v>1075</v>
      </c>
      <c r="F49" s="372"/>
      <c r="G49" s="370"/>
      <c r="H49" s="336"/>
    </row>
    <row r="50" spans="1:8" ht="30" customHeight="1">
      <c r="A50" s="1900"/>
      <c r="B50" s="1903"/>
      <c r="C50" s="1906"/>
      <c r="D50" s="24" t="s">
        <v>1154</v>
      </c>
      <c r="E50" s="24" t="s">
        <v>1076</v>
      </c>
      <c r="F50" s="372" t="s">
        <v>38</v>
      </c>
      <c r="G50" s="370"/>
      <c r="H50" s="336"/>
    </row>
    <row r="51" spans="1:8" ht="30" customHeight="1">
      <c r="A51" s="1900"/>
      <c r="B51" s="1903"/>
      <c r="C51" s="369" t="s">
        <v>1183</v>
      </c>
      <c r="D51" s="24" t="s">
        <v>1184</v>
      </c>
      <c r="E51" s="24" t="s">
        <v>1185</v>
      </c>
      <c r="F51" s="372" t="s">
        <v>1187</v>
      </c>
      <c r="G51" s="370" t="s">
        <v>1186</v>
      </c>
      <c r="H51" s="368"/>
    </row>
    <row r="52" spans="1:8" ht="30" customHeight="1" thickBot="1">
      <c r="A52" s="1900"/>
      <c r="B52" s="1903"/>
      <c r="C52" s="21"/>
      <c r="D52" s="20"/>
      <c r="E52" s="19"/>
      <c r="F52" s="191"/>
      <c r="G52" s="199"/>
    </row>
    <row r="53" spans="1:8" ht="30" hidden="1" customHeight="1" thickBot="1">
      <c r="A53" s="1900"/>
      <c r="B53" s="1903"/>
      <c r="C53" s="198"/>
      <c r="D53" s="16"/>
      <c r="E53" s="15"/>
      <c r="F53" s="172"/>
      <c r="G53" s="199"/>
    </row>
    <row r="54" spans="1:8" ht="30" customHeight="1" thickBot="1">
      <c r="A54" s="1901"/>
      <c r="B54" s="1904"/>
      <c r="C54" s="12" t="s">
        <v>1149</v>
      </c>
      <c r="D54" s="11" t="s">
        <v>1150</v>
      </c>
      <c r="E54" s="10"/>
      <c r="F54" s="10" t="s">
        <v>1151</v>
      </c>
      <c r="G54" s="9"/>
    </row>
    <row r="55" spans="1:8" ht="60" customHeight="1" thickBot="1">
      <c r="A55" s="1907" t="s">
        <v>5</v>
      </c>
      <c r="B55" s="1908"/>
      <c r="C55" s="1908"/>
      <c r="D55" s="1908"/>
      <c r="E55" s="1908"/>
      <c r="F55" s="1908"/>
      <c r="G55" s="1909"/>
    </row>
    <row r="56" spans="1:8" ht="36" customHeight="1">
      <c r="A56" s="1899">
        <v>44570</v>
      </c>
      <c r="B56" s="1902" t="s">
        <v>4</v>
      </c>
      <c r="C56" s="1905" t="s">
        <v>1113</v>
      </c>
      <c r="D56" s="24" t="s">
        <v>1114</v>
      </c>
      <c r="E56" s="24" t="s">
        <v>1233</v>
      </c>
      <c r="F56" s="372"/>
      <c r="G56" s="384"/>
    </row>
    <row r="57" spans="1:8" ht="36" customHeight="1">
      <c r="A57" s="1900"/>
      <c r="B57" s="1903"/>
      <c r="C57" s="1906"/>
      <c r="D57" s="24" t="s">
        <v>1155</v>
      </c>
      <c r="E57" s="24" t="s">
        <v>1203</v>
      </c>
      <c r="F57" s="372"/>
      <c r="G57" s="194"/>
    </row>
    <row r="58" spans="1:8" ht="36" customHeight="1">
      <c r="A58" s="1900"/>
      <c r="B58" s="1903"/>
      <c r="C58" s="369" t="s">
        <v>1201</v>
      </c>
      <c r="D58" s="372" t="s">
        <v>207</v>
      </c>
      <c r="E58" s="372" t="s">
        <v>1202</v>
      </c>
      <c r="F58" s="372"/>
      <c r="G58" s="371"/>
      <c r="H58" s="374"/>
    </row>
    <row r="59" spans="1:8" ht="36" customHeight="1">
      <c r="A59" s="1900"/>
      <c r="B59" s="1903"/>
      <c r="C59" s="376" t="s">
        <v>1137</v>
      </c>
      <c r="D59" s="30" t="s">
        <v>1140</v>
      </c>
      <c r="E59" s="29" t="s">
        <v>1138</v>
      </c>
      <c r="F59" s="379"/>
      <c r="G59" s="377" t="s">
        <v>1139</v>
      </c>
      <c r="H59" s="357"/>
    </row>
    <row r="60" spans="1:8" ht="36" customHeight="1">
      <c r="A60" s="1900"/>
      <c r="B60" s="1903"/>
      <c r="C60" s="380" t="s">
        <v>428</v>
      </c>
      <c r="D60" s="24" t="s">
        <v>569</v>
      </c>
      <c r="E60" s="24" t="s">
        <v>54</v>
      </c>
      <c r="F60" s="379"/>
      <c r="G60" s="33" t="s">
        <v>261</v>
      </c>
      <c r="H60" s="365"/>
    </row>
    <row r="61" spans="1:8" ht="36" customHeight="1">
      <c r="A61" s="1900"/>
      <c r="B61" s="1903"/>
      <c r="C61" s="380" t="s">
        <v>344</v>
      </c>
      <c r="D61" s="24" t="s">
        <v>1188</v>
      </c>
      <c r="E61" s="24" t="s">
        <v>1189</v>
      </c>
      <c r="F61" s="378" t="s">
        <v>35</v>
      </c>
      <c r="G61" s="33" t="s">
        <v>1190</v>
      </c>
      <c r="H61" s="374" t="s">
        <v>34</v>
      </c>
    </row>
    <row r="62" spans="1:8" ht="36" customHeight="1">
      <c r="A62" s="1900"/>
      <c r="B62" s="1903"/>
      <c r="C62" s="1910" t="s">
        <v>1192</v>
      </c>
      <c r="D62" s="32" t="s">
        <v>375</v>
      </c>
      <c r="E62" s="31" t="s">
        <v>217</v>
      </c>
      <c r="F62" s="24"/>
      <c r="G62" s="1911" t="s">
        <v>1191</v>
      </c>
      <c r="H62" s="374" t="s">
        <v>613</v>
      </c>
    </row>
    <row r="63" spans="1:8" ht="36" customHeight="1">
      <c r="A63" s="1900"/>
      <c r="B63" s="1903"/>
      <c r="C63" s="1914"/>
      <c r="D63" s="32" t="s">
        <v>270</v>
      </c>
      <c r="E63" s="31" t="s">
        <v>217</v>
      </c>
      <c r="F63" s="379" t="s">
        <v>595</v>
      </c>
      <c r="G63" s="1913"/>
      <c r="H63" s="374"/>
    </row>
    <row r="64" spans="1:8" ht="36" customHeight="1">
      <c r="A64" s="1900"/>
      <c r="B64" s="1903"/>
      <c r="C64" s="1906"/>
      <c r="D64" s="32" t="s">
        <v>268</v>
      </c>
      <c r="E64" s="31" t="s">
        <v>269</v>
      </c>
      <c r="F64" s="379"/>
      <c r="G64" s="1912"/>
      <c r="H64" s="374"/>
    </row>
    <row r="65" spans="1:8" ht="36" customHeight="1">
      <c r="A65" s="1900"/>
      <c r="B65" s="1903"/>
      <c r="C65" s="380" t="s">
        <v>243</v>
      </c>
      <c r="D65" s="32" t="s">
        <v>1193</v>
      </c>
      <c r="E65" s="31" t="s">
        <v>1194</v>
      </c>
      <c r="F65" s="24" t="s">
        <v>1195</v>
      </c>
      <c r="G65" s="33" t="s">
        <v>1196</v>
      </c>
      <c r="H65" s="357"/>
    </row>
    <row r="66" spans="1:8" ht="36" customHeight="1">
      <c r="A66" s="1900"/>
      <c r="B66" s="1903"/>
      <c r="C66" s="376" t="s">
        <v>1222</v>
      </c>
      <c r="D66" s="30" t="s">
        <v>1223</v>
      </c>
      <c r="E66" s="29" t="s">
        <v>1224</v>
      </c>
      <c r="F66" s="379" t="s">
        <v>1225</v>
      </c>
      <c r="G66" s="377" t="s">
        <v>1226</v>
      </c>
      <c r="H66" s="58" t="s">
        <v>1227</v>
      </c>
    </row>
    <row r="67" spans="1:8" ht="36" customHeight="1" thickBot="1">
      <c r="A67" s="1900"/>
      <c r="B67" s="1903"/>
      <c r="C67" s="376" t="s">
        <v>191</v>
      </c>
      <c r="D67" s="30" t="s">
        <v>20</v>
      </c>
      <c r="E67" s="29" t="s">
        <v>1234</v>
      </c>
      <c r="F67" s="379" t="s">
        <v>19</v>
      </c>
      <c r="G67" s="377" t="s">
        <v>18</v>
      </c>
      <c r="H67" s="58" t="s">
        <v>1235</v>
      </c>
    </row>
    <row r="68" spans="1:8" ht="36" customHeight="1" thickBot="1">
      <c r="A68" s="1901"/>
      <c r="B68" s="1904"/>
      <c r="C68" s="12"/>
      <c r="D68" s="11"/>
      <c r="E68" s="10"/>
      <c r="F68" s="10"/>
      <c r="G68" s="9"/>
    </row>
    <row r="69" spans="1:8" ht="36" customHeight="1">
      <c r="A69" s="1899">
        <v>44571</v>
      </c>
      <c r="B69" s="1902" t="s">
        <v>3</v>
      </c>
      <c r="C69" s="21" t="s">
        <v>1064</v>
      </c>
      <c r="D69" s="22" t="s">
        <v>1060</v>
      </c>
      <c r="E69" s="22" t="s">
        <v>1065</v>
      </c>
      <c r="F69" s="191"/>
      <c r="G69" s="199"/>
    </row>
    <row r="70" spans="1:8" ht="36" customHeight="1">
      <c r="A70" s="1900"/>
      <c r="B70" s="1903"/>
      <c r="C70" s="375" t="s">
        <v>267</v>
      </c>
      <c r="D70" s="20" t="s">
        <v>194</v>
      </c>
      <c r="E70" s="19" t="s">
        <v>209</v>
      </c>
      <c r="F70" s="22"/>
      <c r="G70" s="1927" t="s">
        <v>1252</v>
      </c>
      <c r="H70" s="365" t="s">
        <v>1128</v>
      </c>
    </row>
    <row r="71" spans="1:8" ht="36" customHeight="1">
      <c r="A71" s="1900"/>
      <c r="B71" s="1903"/>
      <c r="C71" s="21" t="s">
        <v>1197</v>
      </c>
      <c r="D71" s="20" t="s">
        <v>20</v>
      </c>
      <c r="E71" s="19" t="s">
        <v>396</v>
      </c>
      <c r="F71" s="191" t="s">
        <v>632</v>
      </c>
      <c r="G71" s="1928"/>
    </row>
    <row r="72" spans="1:8" ht="36" customHeight="1">
      <c r="A72" s="1900"/>
      <c r="B72" s="1903"/>
      <c r="C72" s="21" t="s">
        <v>243</v>
      </c>
      <c r="D72" s="20" t="s">
        <v>1250</v>
      </c>
      <c r="E72" s="19" t="s">
        <v>1251</v>
      </c>
      <c r="F72" s="191" t="s">
        <v>1253</v>
      </c>
      <c r="G72" s="1929"/>
      <c r="H72" s="381"/>
    </row>
    <row r="73" spans="1:8" ht="36" customHeight="1">
      <c r="A73" s="1900"/>
      <c r="B73" s="1903"/>
      <c r="C73" s="21" t="s">
        <v>1200</v>
      </c>
      <c r="D73" s="20" t="s">
        <v>1198</v>
      </c>
      <c r="E73" s="19" t="s">
        <v>1199</v>
      </c>
      <c r="F73" s="22"/>
      <c r="G73" s="64"/>
    </row>
    <row r="74" spans="1:8" ht="36" customHeight="1" thickBot="1">
      <c r="A74" s="1900"/>
      <c r="B74" s="1903"/>
      <c r="C74" s="382" t="s">
        <v>1240</v>
      </c>
      <c r="D74" s="179" t="s">
        <v>1241</v>
      </c>
      <c r="E74" s="180" t="s">
        <v>1243</v>
      </c>
      <c r="F74" s="178" t="s">
        <v>1242</v>
      </c>
      <c r="G74" s="383" t="s">
        <v>1244</v>
      </c>
      <c r="H74" s="381" t="s">
        <v>44</v>
      </c>
    </row>
    <row r="75" spans="1:8" ht="36" customHeight="1" thickBot="1">
      <c r="A75" s="1901"/>
      <c r="B75" s="1904"/>
      <c r="C75" s="12"/>
      <c r="D75" s="11"/>
      <c r="E75" s="10"/>
      <c r="F75" s="10"/>
      <c r="G75" s="9"/>
    </row>
    <row r="76" spans="1:8" ht="36" customHeight="1">
      <c r="A76" s="1899">
        <v>44572</v>
      </c>
      <c r="B76" s="1902" t="s">
        <v>2</v>
      </c>
      <c r="C76" s="1923" t="s">
        <v>1228</v>
      </c>
      <c r="D76" s="22" t="s">
        <v>1254</v>
      </c>
      <c r="E76" s="22" t="s">
        <v>1255</v>
      </c>
      <c r="F76" s="191" t="s">
        <v>172</v>
      </c>
      <c r="G76" s="199"/>
    </row>
    <row r="77" spans="1:8" ht="36" customHeight="1">
      <c r="A77" s="1900"/>
      <c r="B77" s="1903"/>
      <c r="C77" s="1924"/>
      <c r="D77" s="22" t="s">
        <v>20</v>
      </c>
      <c r="E77" s="22" t="s">
        <v>1256</v>
      </c>
      <c r="F77" s="191"/>
      <c r="G77" s="386"/>
      <c r="H77" s="385"/>
    </row>
    <row r="78" spans="1:8" ht="36" customHeight="1">
      <c r="A78" s="1900"/>
      <c r="B78" s="1903"/>
      <c r="C78" s="1924"/>
      <c r="D78" s="22" t="s">
        <v>1257</v>
      </c>
      <c r="E78" s="22" t="s">
        <v>1258</v>
      </c>
      <c r="F78" s="191"/>
      <c r="G78" s="386"/>
      <c r="H78" s="385"/>
    </row>
    <row r="79" spans="1:8" ht="36" customHeight="1">
      <c r="A79" s="1900"/>
      <c r="B79" s="1903"/>
      <c r="C79" s="1925"/>
      <c r="D79" s="22" t="s">
        <v>1260</v>
      </c>
      <c r="E79" s="22" t="s">
        <v>1259</v>
      </c>
      <c r="F79" s="191"/>
      <c r="G79" s="386"/>
      <c r="H79" s="385"/>
    </row>
    <row r="80" spans="1:8" ht="36" customHeight="1">
      <c r="A80" s="1900"/>
      <c r="B80" s="1903"/>
      <c r="C80" s="21" t="s">
        <v>12</v>
      </c>
      <c r="D80" s="22" t="s">
        <v>6</v>
      </c>
      <c r="E80" s="22" t="s">
        <v>1209</v>
      </c>
      <c r="F80" s="191"/>
      <c r="G80" s="199"/>
    </row>
    <row r="81" spans="1:8" ht="36" customHeight="1">
      <c r="A81" s="1900"/>
      <c r="B81" s="1903"/>
      <c r="C81" s="373" t="s">
        <v>1245</v>
      </c>
      <c r="D81" s="20" t="s">
        <v>1249</v>
      </c>
      <c r="E81" s="19" t="s">
        <v>1246</v>
      </c>
      <c r="F81" s="191" t="s">
        <v>1247</v>
      </c>
      <c r="G81" s="199" t="s">
        <v>1248</v>
      </c>
    </row>
    <row r="82" spans="1:8" ht="36" customHeight="1" thickBot="1">
      <c r="A82" s="1900"/>
      <c r="B82" s="1903"/>
      <c r="C82" s="198"/>
      <c r="D82" s="16"/>
      <c r="E82" s="15"/>
      <c r="F82" s="172"/>
      <c r="G82" s="199"/>
    </row>
    <row r="83" spans="1:8" ht="36" customHeight="1" thickBot="1">
      <c r="A83" s="1901"/>
      <c r="B83" s="1904"/>
      <c r="C83" s="12"/>
      <c r="D83" s="11"/>
      <c r="E83" s="10"/>
      <c r="F83" s="10"/>
      <c r="G83" s="9"/>
    </row>
    <row r="84" spans="1:8" ht="36" customHeight="1">
      <c r="A84" s="1899">
        <v>44573</v>
      </c>
      <c r="B84" s="1902" t="s">
        <v>1</v>
      </c>
      <c r="C84" s="1923" t="s">
        <v>1066</v>
      </c>
      <c r="D84" s="22" t="s">
        <v>1060</v>
      </c>
      <c r="E84" s="22" t="s">
        <v>1067</v>
      </c>
      <c r="F84" s="191"/>
      <c r="G84" s="199"/>
    </row>
    <row r="85" spans="1:8" ht="36" customHeight="1">
      <c r="A85" s="1900"/>
      <c r="B85" s="1903"/>
      <c r="C85" s="1924"/>
      <c r="D85" s="22" t="s">
        <v>1063</v>
      </c>
      <c r="E85" s="22" t="s">
        <v>1062</v>
      </c>
      <c r="F85" s="191"/>
      <c r="G85" s="199"/>
    </row>
    <row r="86" spans="1:8" ht="36" customHeight="1">
      <c r="A86" s="1900"/>
      <c r="B86" s="1903"/>
      <c r="C86" s="1925"/>
      <c r="D86" s="20" t="s">
        <v>1207</v>
      </c>
      <c r="E86" s="19" t="s">
        <v>1208</v>
      </c>
      <c r="F86" s="191"/>
      <c r="G86" s="199"/>
    </row>
    <row r="87" spans="1:8" ht="36" customHeight="1">
      <c r="A87" s="1900"/>
      <c r="B87" s="1903"/>
      <c r="C87" s="1926" t="s">
        <v>1229</v>
      </c>
      <c r="D87" s="22" t="s">
        <v>1232</v>
      </c>
      <c r="E87" s="22" t="s">
        <v>1230</v>
      </c>
      <c r="F87" s="191"/>
      <c r="G87" s="366"/>
      <c r="H87" s="374"/>
    </row>
    <row r="88" spans="1:8" ht="36" customHeight="1">
      <c r="A88" s="1900"/>
      <c r="B88" s="1903"/>
      <c r="C88" s="1924"/>
      <c r="D88" s="22" t="s">
        <v>242</v>
      </c>
      <c r="E88" s="22" t="s">
        <v>1230</v>
      </c>
      <c r="F88" s="191"/>
      <c r="G88" s="366"/>
      <c r="H88" s="374"/>
    </row>
    <row r="89" spans="1:8" ht="36" customHeight="1">
      <c r="A89" s="1900"/>
      <c r="B89" s="1903"/>
      <c r="C89" s="1925"/>
      <c r="D89" s="20" t="s">
        <v>20</v>
      </c>
      <c r="E89" s="19" t="s">
        <v>1231</v>
      </c>
      <c r="F89" s="191"/>
      <c r="G89" s="366"/>
      <c r="H89" s="374"/>
    </row>
    <row r="90" spans="1:8" ht="36" customHeight="1" thickBot="1">
      <c r="A90" s="1900"/>
      <c r="B90" s="1903"/>
      <c r="C90" s="198"/>
      <c r="D90" s="16"/>
      <c r="E90" s="15"/>
      <c r="F90" s="172"/>
      <c r="G90" s="199"/>
    </row>
    <row r="91" spans="1:8" ht="36" customHeight="1" thickBot="1">
      <c r="A91" s="1901"/>
      <c r="B91" s="1904"/>
      <c r="C91" s="12"/>
      <c r="D91" s="11"/>
      <c r="E91" s="10"/>
      <c r="F91" s="10"/>
      <c r="G91" s="9"/>
    </row>
    <row r="92" spans="1:8" ht="36" customHeight="1">
      <c r="A92" s="1899">
        <v>44574</v>
      </c>
      <c r="B92" s="1902" t="s">
        <v>0</v>
      </c>
      <c r="C92" s="21" t="s">
        <v>1174</v>
      </c>
      <c r="D92" s="22" t="s">
        <v>1175</v>
      </c>
      <c r="E92" s="22" t="s">
        <v>1176</v>
      </c>
      <c r="F92" s="191"/>
      <c r="G92" s="199"/>
    </row>
    <row r="93" spans="1:8" ht="36" customHeight="1">
      <c r="A93" s="1900"/>
      <c r="B93" s="1903"/>
      <c r="C93" s="1926" t="s">
        <v>1204</v>
      </c>
      <c r="D93" s="22" t="s">
        <v>61</v>
      </c>
      <c r="E93" s="22" t="s">
        <v>1205</v>
      </c>
      <c r="F93" s="191"/>
      <c r="G93" s="366"/>
      <c r="H93" s="374"/>
    </row>
    <row r="94" spans="1:8" ht="36" customHeight="1">
      <c r="A94" s="1900"/>
      <c r="B94" s="1903"/>
      <c r="C94" s="1925"/>
      <c r="D94" s="20" t="s">
        <v>20</v>
      </c>
      <c r="E94" s="19" t="s">
        <v>1206</v>
      </c>
      <c r="F94" s="191"/>
      <c r="G94" s="366"/>
      <c r="H94" s="374"/>
    </row>
    <row r="95" spans="1:8" ht="36" customHeight="1" thickBot="1">
      <c r="A95" s="1900"/>
      <c r="B95" s="1903"/>
      <c r="C95" s="21"/>
      <c r="D95" s="22"/>
      <c r="E95" s="22"/>
      <c r="F95" s="191"/>
      <c r="G95" s="199"/>
    </row>
    <row r="96" spans="1:8" ht="36" hidden="1" customHeight="1">
      <c r="A96" s="1900"/>
      <c r="B96" s="1903"/>
      <c r="C96" s="21"/>
      <c r="D96" s="20"/>
      <c r="E96" s="19"/>
      <c r="F96" s="191"/>
      <c r="G96" s="199"/>
    </row>
    <row r="97" spans="1:8" ht="36" hidden="1" customHeight="1" thickBot="1">
      <c r="A97" s="1900"/>
      <c r="B97" s="1903"/>
      <c r="C97" s="21"/>
      <c r="D97" s="22"/>
      <c r="E97" s="22"/>
      <c r="F97" s="172"/>
      <c r="G97" s="199"/>
    </row>
    <row r="98" spans="1:8" ht="36" customHeight="1" thickBot="1">
      <c r="A98" s="1901"/>
      <c r="B98" s="1904"/>
      <c r="C98" s="12"/>
      <c r="D98" s="11"/>
      <c r="E98" s="10"/>
      <c r="F98" s="10"/>
      <c r="G98" s="9"/>
    </row>
    <row r="99" spans="1:8" ht="60" customHeight="1" thickBot="1">
      <c r="A99" s="1907" t="s">
        <v>5</v>
      </c>
      <c r="B99" s="1908"/>
      <c r="C99" s="1908"/>
      <c r="D99" s="1908"/>
      <c r="E99" s="1908"/>
      <c r="F99" s="1908"/>
      <c r="G99" s="1909"/>
    </row>
    <row r="100" spans="1:8" ht="36" customHeight="1">
      <c r="A100" s="1899">
        <v>44577</v>
      </c>
      <c r="B100" s="1902" t="s">
        <v>4</v>
      </c>
      <c r="C100" s="21"/>
      <c r="D100" s="22"/>
      <c r="E100" s="22"/>
      <c r="F100" s="191"/>
      <c r="G100" s="199"/>
    </row>
    <row r="101" spans="1:8" ht="36" customHeight="1">
      <c r="A101" s="1900"/>
      <c r="B101" s="1903"/>
      <c r="C101" s="21"/>
      <c r="D101" s="22"/>
      <c r="E101" s="22"/>
      <c r="F101" s="191"/>
      <c r="G101" s="199"/>
    </row>
    <row r="102" spans="1:8" ht="36" customHeight="1">
      <c r="A102" s="1900"/>
      <c r="B102" s="1903"/>
      <c r="C102" s="21"/>
      <c r="D102" s="20"/>
      <c r="E102" s="19"/>
      <c r="F102" s="191"/>
      <c r="G102" s="199"/>
    </row>
    <row r="103" spans="1:8" ht="36" customHeight="1" thickBot="1">
      <c r="A103" s="1900"/>
      <c r="B103" s="1903"/>
      <c r="C103" s="198"/>
      <c r="D103" s="16"/>
      <c r="E103" s="15"/>
      <c r="F103" s="172"/>
      <c r="G103" s="199"/>
    </row>
    <row r="104" spans="1:8" ht="36" customHeight="1" thickBot="1">
      <c r="A104" s="1901"/>
      <c r="B104" s="1904"/>
      <c r="C104" s="12"/>
      <c r="D104" s="11"/>
      <c r="E104" s="10"/>
      <c r="F104" s="10"/>
      <c r="G104" s="9"/>
    </row>
    <row r="105" spans="1:8" ht="36" customHeight="1">
      <c r="A105" s="1899">
        <v>44578</v>
      </c>
      <c r="B105" s="1902" t="s">
        <v>15</v>
      </c>
      <c r="C105" s="1923" t="s">
        <v>1162</v>
      </c>
      <c r="D105" s="22" t="s">
        <v>1210</v>
      </c>
      <c r="E105" s="22" t="s">
        <v>1211</v>
      </c>
      <c r="F105" s="191"/>
      <c r="G105" s="199"/>
    </row>
    <row r="106" spans="1:8" ht="36" customHeight="1">
      <c r="A106" s="1900"/>
      <c r="B106" s="1903"/>
      <c r="C106" s="1925"/>
      <c r="D106" s="22" t="s">
        <v>1212</v>
      </c>
      <c r="E106" s="22" t="s">
        <v>1213</v>
      </c>
      <c r="F106" s="191"/>
      <c r="G106" s="199"/>
    </row>
    <row r="107" spans="1:8" ht="36" customHeight="1">
      <c r="A107" s="1900"/>
      <c r="B107" s="1903"/>
      <c r="C107" s="21"/>
      <c r="D107" s="20"/>
      <c r="E107" s="19"/>
      <c r="F107" s="191"/>
      <c r="G107" s="199"/>
    </row>
    <row r="108" spans="1:8" ht="36" customHeight="1" thickBot="1">
      <c r="A108" s="1900"/>
      <c r="B108" s="1903"/>
      <c r="C108" s="198"/>
      <c r="D108" s="16"/>
      <c r="E108" s="15"/>
      <c r="F108" s="172"/>
      <c r="G108" s="199"/>
    </row>
    <row r="109" spans="1:8" ht="36" customHeight="1" thickBot="1">
      <c r="A109" s="1901"/>
      <c r="B109" s="1904"/>
      <c r="C109" s="12" t="s">
        <v>1236</v>
      </c>
      <c r="D109" s="11" t="s">
        <v>1237</v>
      </c>
      <c r="E109" s="10" t="s">
        <v>1238</v>
      </c>
      <c r="F109" s="10" t="s">
        <v>1239</v>
      </c>
      <c r="G109" s="9"/>
    </row>
    <row r="110" spans="1:8" ht="36" customHeight="1">
      <c r="A110" s="1899">
        <v>44579</v>
      </c>
      <c r="B110" s="1902" t="s">
        <v>2</v>
      </c>
      <c r="C110" s="21" t="s">
        <v>1161</v>
      </c>
      <c r="D110" s="22" t="s">
        <v>207</v>
      </c>
      <c r="E110" s="22" t="s">
        <v>1214</v>
      </c>
      <c r="F110" s="191"/>
      <c r="G110" s="199"/>
      <c r="H110" s="321" t="s">
        <v>1215</v>
      </c>
    </row>
    <row r="111" spans="1:8" ht="36" customHeight="1">
      <c r="A111" s="1900"/>
      <c r="B111" s="1903"/>
      <c r="C111" s="21"/>
      <c r="D111" s="22"/>
      <c r="E111" s="22"/>
      <c r="F111" s="191"/>
      <c r="G111" s="199"/>
    </row>
    <row r="112" spans="1:8" ht="36" customHeight="1">
      <c r="A112" s="1900"/>
      <c r="B112" s="1903"/>
      <c r="C112" s="21"/>
      <c r="D112" s="20"/>
      <c r="E112" s="19"/>
      <c r="F112" s="191"/>
      <c r="G112" s="199"/>
    </row>
    <row r="113" spans="1:7" ht="36" customHeight="1" thickBot="1">
      <c r="A113" s="1900"/>
      <c r="B113" s="1903"/>
      <c r="C113" s="198"/>
      <c r="D113" s="16"/>
      <c r="E113" s="15"/>
      <c r="F113" s="172"/>
      <c r="G113" s="199"/>
    </row>
    <row r="114" spans="1:7" ht="36" customHeight="1" thickBot="1">
      <c r="A114" s="1901"/>
      <c r="B114" s="1904"/>
      <c r="C114" s="12"/>
      <c r="D114" s="11"/>
      <c r="E114" s="10"/>
      <c r="F114" s="10"/>
      <c r="G114" s="9"/>
    </row>
    <row r="115" spans="1:7" ht="36" customHeight="1">
      <c r="A115" s="1899">
        <v>44580</v>
      </c>
      <c r="B115" s="1902" t="s">
        <v>1</v>
      </c>
      <c r="C115" s="21"/>
      <c r="D115" s="22"/>
      <c r="E115" s="22"/>
      <c r="F115" s="191"/>
      <c r="G115" s="199"/>
    </row>
    <row r="116" spans="1:7" ht="36" customHeight="1">
      <c r="A116" s="1900"/>
      <c r="B116" s="1903"/>
      <c r="C116" s="21"/>
      <c r="D116" s="22"/>
      <c r="E116" s="22"/>
      <c r="F116" s="191"/>
      <c r="G116" s="199"/>
    </row>
    <row r="117" spans="1:7" ht="36" customHeight="1">
      <c r="A117" s="1900"/>
      <c r="B117" s="1903"/>
      <c r="C117" s="21"/>
      <c r="D117" s="20"/>
      <c r="E117" s="19"/>
      <c r="F117" s="191"/>
      <c r="G117" s="199"/>
    </row>
    <row r="118" spans="1:7" ht="36" customHeight="1" thickBot="1">
      <c r="A118" s="1900"/>
      <c r="B118" s="1903"/>
      <c r="C118" s="198"/>
      <c r="D118" s="16"/>
      <c r="E118" s="15"/>
      <c r="F118" s="172"/>
      <c r="G118" s="199"/>
    </row>
    <row r="119" spans="1:7" ht="36" customHeight="1" thickBot="1">
      <c r="A119" s="1901"/>
      <c r="B119" s="1904"/>
      <c r="C119" s="12"/>
      <c r="D119" s="11"/>
      <c r="E119" s="10"/>
      <c r="F119" s="10"/>
      <c r="G119" s="9"/>
    </row>
    <row r="120" spans="1:7" ht="36" customHeight="1">
      <c r="A120" s="1899">
        <v>44581</v>
      </c>
      <c r="B120" s="1902" t="s">
        <v>0</v>
      </c>
      <c r="C120" s="21"/>
      <c r="D120" s="22"/>
      <c r="E120" s="22"/>
      <c r="F120" s="191"/>
      <c r="G120" s="199"/>
    </row>
    <row r="121" spans="1:7" ht="36" customHeight="1">
      <c r="A121" s="1900"/>
      <c r="B121" s="1903"/>
      <c r="C121" s="21"/>
      <c r="D121" s="22"/>
      <c r="E121" s="22"/>
      <c r="F121" s="191"/>
      <c r="G121" s="199"/>
    </row>
    <row r="122" spans="1:7" ht="36" customHeight="1">
      <c r="A122" s="1900"/>
      <c r="B122" s="1903"/>
      <c r="C122" s="21"/>
      <c r="D122" s="20"/>
      <c r="E122" s="19"/>
      <c r="F122" s="191"/>
      <c r="G122" s="199"/>
    </row>
    <row r="123" spans="1:7" ht="36" customHeight="1" thickBot="1">
      <c r="A123" s="1900"/>
      <c r="B123" s="1903"/>
      <c r="C123" s="198"/>
      <c r="D123" s="16"/>
      <c r="E123" s="15"/>
      <c r="F123" s="172"/>
      <c r="G123" s="199"/>
    </row>
    <row r="124" spans="1:7" ht="36" customHeight="1" thickBot="1">
      <c r="A124" s="1901"/>
      <c r="B124" s="1904"/>
      <c r="C124" s="12"/>
      <c r="D124" s="11"/>
      <c r="E124" s="10"/>
      <c r="F124" s="10"/>
      <c r="G124" s="9"/>
    </row>
    <row r="125" spans="1:7" ht="60" customHeight="1" thickBot="1">
      <c r="A125" s="1907" t="s">
        <v>5</v>
      </c>
      <c r="B125" s="1908"/>
      <c r="C125" s="1908"/>
      <c r="D125" s="1908"/>
      <c r="E125" s="1908"/>
      <c r="F125" s="1908"/>
      <c r="G125" s="1909"/>
    </row>
    <row r="126" spans="1:7" ht="36" customHeight="1">
      <c r="A126" s="1899">
        <v>44951</v>
      </c>
      <c r="B126" s="1902" t="s">
        <v>32</v>
      </c>
      <c r="C126" s="21"/>
      <c r="D126" s="22"/>
      <c r="E126" s="22"/>
      <c r="F126" s="191"/>
      <c r="G126" s="199"/>
    </row>
    <row r="127" spans="1:7" ht="36" customHeight="1">
      <c r="A127" s="1900"/>
      <c r="B127" s="1903"/>
      <c r="C127" s="21"/>
      <c r="D127" s="22"/>
      <c r="E127" s="22"/>
      <c r="F127" s="191"/>
      <c r="G127" s="199"/>
    </row>
    <row r="128" spans="1:7" ht="36" customHeight="1">
      <c r="A128" s="1900"/>
      <c r="B128" s="1903"/>
      <c r="C128" s="21"/>
      <c r="D128" s="20"/>
      <c r="E128" s="19"/>
      <c r="F128" s="191"/>
      <c r="G128" s="199"/>
    </row>
    <row r="129" spans="1:7" ht="36" customHeight="1" thickBot="1">
      <c r="A129" s="1900"/>
      <c r="B129" s="1903"/>
      <c r="C129" s="198"/>
      <c r="D129" s="16"/>
      <c r="E129" s="15"/>
      <c r="F129" s="172"/>
      <c r="G129" s="199"/>
    </row>
    <row r="130" spans="1:7" ht="36" customHeight="1" thickBot="1">
      <c r="A130" s="1901"/>
      <c r="B130" s="1904"/>
      <c r="C130" s="12"/>
      <c r="D130" s="11"/>
      <c r="E130" s="10"/>
      <c r="F130" s="10"/>
      <c r="G130" s="9"/>
    </row>
    <row r="131" spans="1:7" ht="36" customHeight="1">
      <c r="A131" s="1899">
        <v>44952</v>
      </c>
      <c r="B131" s="1902" t="s">
        <v>1</v>
      </c>
      <c r="C131" s="1923" t="s">
        <v>1216</v>
      </c>
      <c r="D131" s="22" t="s">
        <v>1217</v>
      </c>
      <c r="E131" s="22" t="s">
        <v>1218</v>
      </c>
      <c r="F131" s="191"/>
      <c r="G131" s="199"/>
    </row>
    <row r="132" spans="1:7" ht="36" customHeight="1">
      <c r="A132" s="1900"/>
      <c r="B132" s="1903"/>
      <c r="C132" s="1925"/>
      <c r="D132" s="22" t="s">
        <v>1212</v>
      </c>
      <c r="E132" s="22" t="s">
        <v>1199</v>
      </c>
      <c r="F132" s="191"/>
      <c r="G132" s="199"/>
    </row>
    <row r="133" spans="1:7" ht="36" customHeight="1">
      <c r="A133" s="1900"/>
      <c r="B133" s="1903"/>
      <c r="C133" s="21"/>
      <c r="D133" s="20"/>
      <c r="E133" s="19"/>
      <c r="F133" s="191"/>
      <c r="G133" s="199"/>
    </row>
    <row r="134" spans="1:7" ht="36" customHeight="1" thickBot="1">
      <c r="A134" s="1900"/>
      <c r="B134" s="1903"/>
      <c r="C134" s="198"/>
      <c r="D134" s="16"/>
      <c r="E134" s="15"/>
      <c r="F134" s="172"/>
      <c r="G134" s="199"/>
    </row>
    <row r="135" spans="1:7" ht="36" customHeight="1" thickBot="1">
      <c r="A135" s="1901"/>
      <c r="B135" s="1904"/>
      <c r="C135" s="12"/>
      <c r="D135" s="11"/>
      <c r="E135" s="10"/>
      <c r="F135" s="10"/>
      <c r="G135" s="9"/>
    </row>
    <row r="136" spans="1:7" ht="36" customHeight="1">
      <c r="A136" s="1899">
        <v>44953</v>
      </c>
      <c r="B136" s="1902" t="s">
        <v>0</v>
      </c>
      <c r="C136" s="21" t="s">
        <v>1219</v>
      </c>
      <c r="D136" s="22" t="s">
        <v>1210</v>
      </c>
      <c r="E136" s="22" t="s">
        <v>1220</v>
      </c>
      <c r="F136" s="191"/>
      <c r="G136" s="199"/>
    </row>
    <row r="137" spans="1:7" ht="36" customHeight="1">
      <c r="A137" s="1900"/>
      <c r="B137" s="1903"/>
      <c r="C137" s="21"/>
      <c r="D137" s="22"/>
      <c r="E137" s="22"/>
      <c r="F137" s="191"/>
      <c r="G137" s="199"/>
    </row>
    <row r="138" spans="1:7" ht="36" customHeight="1">
      <c r="A138" s="1900"/>
      <c r="B138" s="1903"/>
      <c r="C138" s="21"/>
      <c r="D138" s="20"/>
      <c r="E138" s="19"/>
      <c r="F138" s="191"/>
      <c r="G138" s="199"/>
    </row>
    <row r="139" spans="1:7" ht="36" customHeight="1" thickBot="1">
      <c r="A139" s="1900"/>
      <c r="B139" s="1903"/>
      <c r="C139" s="198"/>
      <c r="D139" s="16"/>
      <c r="E139" s="15"/>
      <c r="F139" s="172"/>
      <c r="G139" s="199"/>
    </row>
    <row r="140" spans="1:7" ht="36" customHeight="1" thickBot="1">
      <c r="A140" s="1901"/>
      <c r="B140" s="1904"/>
      <c r="C140" s="12"/>
      <c r="D140" s="11"/>
      <c r="E140" s="10"/>
      <c r="F140" s="10"/>
      <c r="G140" s="9"/>
    </row>
    <row r="141" spans="1:7" ht="60" customHeight="1" thickBot="1">
      <c r="A141" s="1907" t="s">
        <v>5</v>
      </c>
      <c r="B141" s="1908"/>
      <c r="C141" s="1908"/>
      <c r="D141" s="1908"/>
      <c r="E141" s="1908"/>
      <c r="F141" s="1908"/>
      <c r="G141" s="1909"/>
    </row>
    <row r="142" spans="1:7" ht="36" customHeight="1">
      <c r="A142" s="1899">
        <v>44956</v>
      </c>
      <c r="B142" s="1902" t="s">
        <v>4</v>
      </c>
      <c r="C142" s="21"/>
      <c r="D142" s="22"/>
      <c r="E142" s="22"/>
      <c r="F142" s="191"/>
      <c r="G142" s="199"/>
    </row>
    <row r="143" spans="1:7" ht="36" customHeight="1">
      <c r="A143" s="1900"/>
      <c r="B143" s="1903"/>
      <c r="C143" s="21"/>
      <c r="D143" s="22"/>
      <c r="E143" s="22"/>
      <c r="F143" s="191"/>
      <c r="G143" s="199"/>
    </row>
    <row r="144" spans="1:7" ht="36" customHeight="1">
      <c r="A144" s="1900"/>
      <c r="B144" s="1903"/>
      <c r="C144" s="21"/>
      <c r="D144" s="20"/>
      <c r="E144" s="19"/>
      <c r="F144" s="191"/>
      <c r="G144" s="199"/>
    </row>
    <row r="145" spans="1:7" ht="36" customHeight="1" thickBot="1">
      <c r="A145" s="1900"/>
      <c r="B145" s="1903"/>
      <c r="C145" s="198"/>
      <c r="D145" s="16"/>
      <c r="E145" s="15"/>
      <c r="F145" s="172"/>
      <c r="G145" s="199"/>
    </row>
    <row r="146" spans="1:7" ht="36" customHeight="1" thickBot="1">
      <c r="A146" s="1901"/>
      <c r="B146" s="1904"/>
      <c r="C146" s="12"/>
      <c r="D146" s="11"/>
      <c r="E146" s="10"/>
      <c r="F146" s="10"/>
      <c r="G146" s="9"/>
    </row>
    <row r="147" spans="1:7" ht="36" customHeight="1">
      <c r="A147" s="1899">
        <v>44957</v>
      </c>
      <c r="B147" s="1902" t="s">
        <v>3</v>
      </c>
      <c r="C147" s="21" t="s">
        <v>1201</v>
      </c>
      <c r="D147" s="22" t="s">
        <v>207</v>
      </c>
      <c r="E147" s="22" t="s">
        <v>1221</v>
      </c>
      <c r="F147" s="191"/>
      <c r="G147" s="199"/>
    </row>
    <row r="148" spans="1:7" ht="36" customHeight="1">
      <c r="A148" s="1900"/>
      <c r="B148" s="1903"/>
      <c r="C148" s="21"/>
      <c r="D148" s="22"/>
      <c r="E148" s="22"/>
      <c r="F148" s="191"/>
      <c r="G148" s="199"/>
    </row>
    <row r="149" spans="1:7" ht="36" customHeight="1">
      <c r="A149" s="1900"/>
      <c r="B149" s="1903"/>
      <c r="C149" s="21"/>
      <c r="D149" s="20"/>
      <c r="E149" s="19"/>
      <c r="F149" s="191"/>
      <c r="G149" s="199"/>
    </row>
    <row r="150" spans="1:7" ht="36" customHeight="1" thickBot="1">
      <c r="A150" s="1900"/>
      <c r="B150" s="1903"/>
      <c r="C150" s="198"/>
      <c r="D150" s="16"/>
      <c r="E150" s="15"/>
      <c r="F150" s="172"/>
      <c r="G150" s="199"/>
    </row>
    <row r="151" spans="1:7" ht="36" customHeight="1" thickBot="1">
      <c r="A151" s="1901"/>
      <c r="B151" s="1904"/>
      <c r="C151" s="12"/>
      <c r="D151" s="11"/>
      <c r="E151" s="10"/>
      <c r="F151" s="10"/>
      <c r="G151" s="9"/>
    </row>
    <row r="152" spans="1:7" ht="36" customHeight="1">
      <c r="A152" s="1899"/>
      <c r="B152" s="1902" t="s">
        <v>2</v>
      </c>
      <c r="C152" s="21"/>
      <c r="D152" s="22"/>
      <c r="E152" s="22"/>
      <c r="F152" s="191"/>
      <c r="G152" s="199"/>
    </row>
    <row r="153" spans="1:7" ht="36" customHeight="1">
      <c r="A153" s="1900"/>
      <c r="B153" s="1903"/>
      <c r="C153" s="21"/>
      <c r="D153" s="22"/>
      <c r="E153" s="22"/>
      <c r="F153" s="191"/>
      <c r="G153" s="199"/>
    </row>
    <row r="154" spans="1:7" ht="36" customHeight="1">
      <c r="A154" s="1900"/>
      <c r="B154" s="1903"/>
      <c r="C154" s="21"/>
      <c r="D154" s="20"/>
      <c r="E154" s="19"/>
      <c r="F154" s="191"/>
      <c r="G154" s="199"/>
    </row>
    <row r="155" spans="1:7" ht="36" customHeight="1" thickBot="1">
      <c r="A155" s="1900"/>
      <c r="B155" s="1903"/>
      <c r="C155" s="198"/>
      <c r="D155" s="16"/>
      <c r="E155" s="15"/>
      <c r="F155" s="172"/>
      <c r="G155" s="199"/>
    </row>
    <row r="156" spans="1:7" ht="36" customHeight="1" thickBot="1">
      <c r="A156" s="1901"/>
      <c r="B156" s="1904"/>
      <c r="C156" s="12"/>
      <c r="D156" s="11"/>
      <c r="E156" s="10"/>
      <c r="F156" s="10"/>
      <c r="G156" s="9"/>
    </row>
    <row r="157" spans="1:7" ht="36" customHeight="1">
      <c r="A157" s="1899"/>
      <c r="B157" s="1902" t="s">
        <v>1</v>
      </c>
      <c r="C157" s="21"/>
      <c r="D157" s="22"/>
      <c r="E157" s="22"/>
      <c r="F157" s="191"/>
      <c r="G157" s="199"/>
    </row>
    <row r="158" spans="1:7" ht="36" customHeight="1">
      <c r="A158" s="1900"/>
      <c r="B158" s="1903"/>
      <c r="C158" s="21"/>
      <c r="D158" s="22"/>
      <c r="E158" s="22"/>
      <c r="F158" s="191"/>
      <c r="G158" s="199"/>
    </row>
    <row r="159" spans="1:7" ht="36" customHeight="1">
      <c r="A159" s="1900"/>
      <c r="B159" s="1903"/>
      <c r="C159" s="21"/>
      <c r="D159" s="20"/>
      <c r="E159" s="19"/>
      <c r="F159" s="191"/>
      <c r="G159" s="199"/>
    </row>
    <row r="160" spans="1:7" ht="36" customHeight="1" thickBot="1">
      <c r="A160" s="1900"/>
      <c r="B160" s="1903"/>
      <c r="C160" s="198"/>
      <c r="D160" s="16"/>
      <c r="E160" s="15"/>
      <c r="F160" s="172"/>
      <c r="G160" s="199"/>
    </row>
    <row r="161" spans="1:7" ht="36" customHeight="1" thickBot="1">
      <c r="A161" s="1901"/>
      <c r="B161" s="1904"/>
      <c r="C161" s="12"/>
      <c r="D161" s="11"/>
      <c r="E161" s="10"/>
      <c r="F161" s="10"/>
      <c r="G161" s="9"/>
    </row>
    <row r="162" spans="1:7" ht="36" customHeight="1">
      <c r="A162" s="1899"/>
      <c r="B162" s="1902" t="s">
        <v>0</v>
      </c>
      <c r="C162" s="21"/>
      <c r="D162" s="22"/>
      <c r="E162" s="22"/>
      <c r="F162" s="191"/>
      <c r="G162" s="199"/>
    </row>
    <row r="163" spans="1:7" ht="36" customHeight="1">
      <c r="A163" s="1900"/>
      <c r="B163" s="1903"/>
      <c r="C163" s="21"/>
      <c r="D163" s="22"/>
      <c r="E163" s="22"/>
      <c r="F163" s="191"/>
      <c r="G163" s="199"/>
    </row>
    <row r="164" spans="1:7" ht="36" customHeight="1">
      <c r="A164" s="1900"/>
      <c r="B164" s="1903"/>
      <c r="C164" s="21"/>
      <c r="D164" s="20"/>
      <c r="E164" s="19"/>
      <c r="F164" s="191"/>
      <c r="G164" s="199"/>
    </row>
    <row r="165" spans="1:7" ht="36" customHeight="1" thickBot="1">
      <c r="A165" s="1900"/>
      <c r="B165" s="1903"/>
      <c r="C165" s="198"/>
      <c r="D165" s="16"/>
      <c r="E165" s="15"/>
      <c r="F165" s="172"/>
      <c r="G165" s="199"/>
    </row>
    <row r="166" spans="1:7" ht="36" customHeight="1" thickBot="1">
      <c r="A166" s="1901"/>
      <c r="B166" s="1904"/>
      <c r="C166" s="12"/>
      <c r="D166" s="11"/>
      <c r="E166" s="10"/>
      <c r="F166" s="10"/>
      <c r="G166" s="9"/>
    </row>
  </sheetData>
  <mergeCells count="80">
    <mergeCell ref="C46:C50"/>
    <mergeCell ref="C7:C9"/>
    <mergeCell ref="C16:C17"/>
    <mergeCell ref="G16:G17"/>
    <mergeCell ref="A56:A68"/>
    <mergeCell ref="C44:C45"/>
    <mergeCell ref="C25:C26"/>
    <mergeCell ref="G25:G26"/>
    <mergeCell ref="G30:G34"/>
    <mergeCell ref="C30:C34"/>
    <mergeCell ref="G21:G22"/>
    <mergeCell ref="A55:G55"/>
    <mergeCell ref="C11:C12"/>
    <mergeCell ref="C38:C39"/>
    <mergeCell ref="C56:C57"/>
    <mergeCell ref="G38:G39"/>
    <mergeCell ref="A1:G1"/>
    <mergeCell ref="H11:H12"/>
    <mergeCell ref="C3:C4"/>
    <mergeCell ref="G11:G12"/>
    <mergeCell ref="B56:B68"/>
    <mergeCell ref="A2:G2"/>
    <mergeCell ref="A3:A10"/>
    <mergeCell ref="B3:B10"/>
    <mergeCell ref="A11:A19"/>
    <mergeCell ref="B11:B19"/>
    <mergeCell ref="A20:A28"/>
    <mergeCell ref="B20:B28"/>
    <mergeCell ref="A29:A43"/>
    <mergeCell ref="B29:B43"/>
    <mergeCell ref="A44:A54"/>
    <mergeCell ref="B44:B54"/>
    <mergeCell ref="A105:A109"/>
    <mergeCell ref="B105:B109"/>
    <mergeCell ref="A69:A75"/>
    <mergeCell ref="B69:B75"/>
    <mergeCell ref="A76:A83"/>
    <mergeCell ref="B76:B83"/>
    <mergeCell ref="A84:A91"/>
    <mergeCell ref="B84:B91"/>
    <mergeCell ref="A92:A98"/>
    <mergeCell ref="B92:B98"/>
    <mergeCell ref="A99:G99"/>
    <mergeCell ref="A100:A104"/>
    <mergeCell ref="B100:B104"/>
    <mergeCell ref="G70:G72"/>
    <mergeCell ref="A110:A114"/>
    <mergeCell ref="B110:B114"/>
    <mergeCell ref="A115:A119"/>
    <mergeCell ref="B115:B119"/>
    <mergeCell ref="A120:A124"/>
    <mergeCell ref="B120:B124"/>
    <mergeCell ref="A131:A135"/>
    <mergeCell ref="B131:B135"/>
    <mergeCell ref="A136:A140"/>
    <mergeCell ref="B136:B140"/>
    <mergeCell ref="A141:G141"/>
    <mergeCell ref="C131:C132"/>
    <mergeCell ref="C40:C41"/>
    <mergeCell ref="G40:G41"/>
    <mergeCell ref="A162:A166"/>
    <mergeCell ref="B162:B166"/>
    <mergeCell ref="A147:A151"/>
    <mergeCell ref="B147:B151"/>
    <mergeCell ref="A152:A156"/>
    <mergeCell ref="B152:B156"/>
    <mergeCell ref="A157:A161"/>
    <mergeCell ref="B157:B161"/>
    <mergeCell ref="A142:A146"/>
    <mergeCell ref="B142:B146"/>
    <mergeCell ref="A125:G125"/>
    <mergeCell ref="A126:A130"/>
    <mergeCell ref="B126:B130"/>
    <mergeCell ref="G62:G64"/>
    <mergeCell ref="C62:C64"/>
    <mergeCell ref="C84:C86"/>
    <mergeCell ref="C105:C106"/>
    <mergeCell ref="C87:C89"/>
    <mergeCell ref="C93:C94"/>
    <mergeCell ref="C76:C7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3"/>
  <sheetViews>
    <sheetView topLeftCell="A66" zoomScale="70" zoomScaleNormal="70" zoomScaleSheetLayoutView="70" workbookViewId="0">
      <selection activeCell="C76" sqref="C7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394" customWidth="1"/>
    <col min="9" max="16384" width="9" style="1"/>
  </cols>
  <sheetData>
    <row r="1" spans="1:7" s="394" customFormat="1" ht="60" customHeight="1" thickBot="1">
      <c r="A1" s="1907" t="s">
        <v>5</v>
      </c>
      <c r="B1" s="1908"/>
      <c r="C1" s="1908"/>
      <c r="D1" s="1908"/>
      <c r="E1" s="1908"/>
      <c r="F1" s="1908"/>
      <c r="G1" s="1909"/>
    </row>
    <row r="2" spans="1:7" s="394" customFormat="1" ht="30" customHeight="1">
      <c r="A2" s="1899">
        <v>44986</v>
      </c>
      <c r="B2" s="1902" t="s">
        <v>2</v>
      </c>
      <c r="C2" s="1905" t="s">
        <v>1261</v>
      </c>
      <c r="D2" s="24" t="s">
        <v>1262</v>
      </c>
      <c r="E2" s="24" t="s">
        <v>1263</v>
      </c>
      <c r="F2" s="392"/>
      <c r="G2" s="389"/>
    </row>
    <row r="3" spans="1:7" s="394" customFormat="1" ht="30" customHeight="1">
      <c r="A3" s="1900"/>
      <c r="B3" s="1903"/>
      <c r="C3" s="1914"/>
      <c r="D3" s="24" t="s">
        <v>1264</v>
      </c>
      <c r="E3" s="24" t="s">
        <v>1267</v>
      </c>
      <c r="F3" s="392"/>
      <c r="G3" s="389"/>
    </row>
    <row r="4" spans="1:7" s="394" customFormat="1" ht="30" customHeight="1">
      <c r="A4" s="1900"/>
      <c r="B4" s="1903"/>
      <c r="C4" s="1914"/>
      <c r="D4" s="24" t="s">
        <v>1265</v>
      </c>
      <c r="E4" s="24" t="s">
        <v>464</v>
      </c>
      <c r="F4" s="392"/>
      <c r="G4" s="389"/>
    </row>
    <row r="5" spans="1:7" s="394" customFormat="1" ht="30" customHeight="1">
      <c r="A5" s="1900"/>
      <c r="B5" s="1903"/>
      <c r="C5" s="1906"/>
      <c r="D5" s="24" t="s">
        <v>1266</v>
      </c>
      <c r="E5" s="24" t="s">
        <v>1268</v>
      </c>
      <c r="F5" s="392"/>
      <c r="G5" s="389"/>
    </row>
    <row r="6" spans="1:7" s="394" customFormat="1" ht="30" customHeight="1">
      <c r="A6" s="1900"/>
      <c r="B6" s="1903"/>
      <c r="C6" s="1910" t="s">
        <v>1269</v>
      </c>
      <c r="D6" s="24" t="s">
        <v>1265</v>
      </c>
      <c r="E6" s="24" t="s">
        <v>1271</v>
      </c>
      <c r="F6" s="392" t="s">
        <v>381</v>
      </c>
      <c r="G6" s="1911" t="s">
        <v>1273</v>
      </c>
    </row>
    <row r="7" spans="1:7" s="394" customFormat="1" ht="30" customHeight="1">
      <c r="A7" s="1900"/>
      <c r="B7" s="1903"/>
      <c r="C7" s="1906"/>
      <c r="D7" s="24" t="s">
        <v>1270</v>
      </c>
      <c r="E7" s="24" t="s">
        <v>1272</v>
      </c>
      <c r="F7" s="392"/>
      <c r="G7" s="1912"/>
    </row>
    <row r="8" spans="1:7" s="394" customFormat="1" ht="30" customHeight="1">
      <c r="A8" s="1900"/>
      <c r="B8" s="1903"/>
      <c r="C8" s="1910" t="s">
        <v>1531</v>
      </c>
      <c r="D8" s="24" t="s">
        <v>194</v>
      </c>
      <c r="E8" s="24" t="s">
        <v>1532</v>
      </c>
      <c r="F8" s="24"/>
      <c r="G8" s="1911" t="s">
        <v>1513</v>
      </c>
    </row>
    <row r="9" spans="1:7" s="394" customFormat="1" ht="30" customHeight="1" thickBot="1">
      <c r="A9" s="1900"/>
      <c r="B9" s="1903"/>
      <c r="C9" s="1932"/>
      <c r="D9" s="24" t="s">
        <v>1265</v>
      </c>
      <c r="E9" s="391" t="s">
        <v>1533</v>
      </c>
      <c r="F9" s="391"/>
      <c r="G9" s="1933"/>
    </row>
    <row r="10" spans="1:7" s="394" customFormat="1" ht="30" customHeight="1" thickBot="1">
      <c r="A10" s="1901"/>
      <c r="B10" s="1904"/>
      <c r="C10" s="12"/>
      <c r="D10" s="11"/>
      <c r="E10" s="10"/>
      <c r="F10" s="10"/>
      <c r="G10" s="9"/>
    </row>
    <row r="11" spans="1:7" s="394" customFormat="1" ht="30" customHeight="1">
      <c r="A11" s="1899">
        <v>44987</v>
      </c>
      <c r="B11" s="1902" t="s">
        <v>1</v>
      </c>
      <c r="C11" s="1905" t="s">
        <v>1274</v>
      </c>
      <c r="D11" s="24" t="s">
        <v>1275</v>
      </c>
      <c r="E11" s="24" t="s">
        <v>1277</v>
      </c>
      <c r="F11" s="392"/>
      <c r="G11" s="1915" t="s">
        <v>1279</v>
      </c>
    </row>
    <row r="12" spans="1:7" s="394" customFormat="1" ht="30" customHeight="1">
      <c r="A12" s="1900"/>
      <c r="B12" s="1903"/>
      <c r="C12" s="1906"/>
      <c r="D12" s="24" t="s">
        <v>1276</v>
      </c>
      <c r="E12" s="24" t="s">
        <v>1278</v>
      </c>
      <c r="F12" s="392"/>
      <c r="G12" s="1912"/>
    </row>
    <row r="13" spans="1:7" s="394" customFormat="1" ht="30" customHeight="1">
      <c r="A13" s="1900"/>
      <c r="B13" s="1903"/>
      <c r="C13" s="393"/>
      <c r="D13" s="32" t="s">
        <v>1280</v>
      </c>
      <c r="E13" s="31"/>
      <c r="F13" s="392"/>
      <c r="G13" s="389"/>
    </row>
    <row r="14" spans="1:7" s="394" customFormat="1" ht="30" customHeight="1">
      <c r="A14" s="1900"/>
      <c r="B14" s="1903"/>
      <c r="C14" s="388" t="s">
        <v>1517</v>
      </c>
      <c r="D14" s="395" t="s">
        <v>1518</v>
      </c>
      <c r="E14" s="37" t="s">
        <v>1519</v>
      </c>
      <c r="F14" s="24" t="s">
        <v>1497</v>
      </c>
      <c r="G14" s="389" t="s">
        <v>345</v>
      </c>
    </row>
    <row r="15" spans="1:7" s="394" customFormat="1" ht="30" customHeight="1">
      <c r="A15" s="1900"/>
      <c r="B15" s="1903"/>
      <c r="C15" s="388" t="s">
        <v>1520</v>
      </c>
      <c r="D15" s="395" t="s">
        <v>1521</v>
      </c>
      <c r="E15" s="37" t="s">
        <v>437</v>
      </c>
      <c r="F15" s="24" t="s">
        <v>591</v>
      </c>
      <c r="G15" s="389" t="s">
        <v>204</v>
      </c>
    </row>
    <row r="16" spans="1:7" s="394" customFormat="1" ht="30" customHeight="1">
      <c r="A16" s="1900"/>
      <c r="B16" s="1903"/>
      <c r="C16" s="1910" t="s">
        <v>198</v>
      </c>
      <c r="D16" s="395" t="s">
        <v>1522</v>
      </c>
      <c r="E16" s="37" t="s">
        <v>177</v>
      </c>
      <c r="F16" s="200" t="s">
        <v>1525</v>
      </c>
      <c r="G16" s="1911" t="s">
        <v>178</v>
      </c>
    </row>
    <row r="17" spans="1:7" s="394" customFormat="1" ht="30" customHeight="1">
      <c r="A17" s="1900"/>
      <c r="B17" s="1903"/>
      <c r="C17" s="1914"/>
      <c r="D17" s="395" t="s">
        <v>176</v>
      </c>
      <c r="E17" s="37" t="s">
        <v>1524</v>
      </c>
      <c r="F17" s="1934" t="s">
        <v>1526</v>
      </c>
      <c r="G17" s="1913"/>
    </row>
    <row r="18" spans="1:7" s="394" customFormat="1" ht="30" customHeight="1">
      <c r="A18" s="1900"/>
      <c r="B18" s="1903"/>
      <c r="C18" s="1906"/>
      <c r="D18" s="395" t="s">
        <v>1523</v>
      </c>
      <c r="E18" s="37" t="s">
        <v>234</v>
      </c>
      <c r="F18" s="1935"/>
      <c r="G18" s="1912"/>
    </row>
    <row r="19" spans="1:7" s="394" customFormat="1" ht="30" customHeight="1">
      <c r="A19" s="1900"/>
      <c r="B19" s="1903"/>
      <c r="C19" s="388" t="s">
        <v>1527</v>
      </c>
      <c r="D19" s="395" t="s">
        <v>1523</v>
      </c>
      <c r="E19" s="37" t="s">
        <v>1528</v>
      </c>
      <c r="F19" s="24" t="s">
        <v>1529</v>
      </c>
      <c r="G19" s="389" t="s">
        <v>1530</v>
      </c>
    </row>
    <row r="20" spans="1:7" s="394" customFormat="1" ht="30" customHeight="1">
      <c r="A20" s="1900"/>
      <c r="B20" s="1903"/>
      <c r="C20" s="397"/>
      <c r="D20" s="16"/>
      <c r="E20" s="15"/>
      <c r="F20" s="22"/>
      <c r="G20" s="396"/>
    </row>
    <row r="21" spans="1:7" s="394" customFormat="1" ht="30" customHeight="1" thickBot="1">
      <c r="A21" s="1900"/>
      <c r="B21" s="1903"/>
      <c r="C21" s="397"/>
      <c r="D21" s="16"/>
      <c r="E21" s="15"/>
      <c r="F21" s="172"/>
      <c r="G21" s="396"/>
    </row>
    <row r="22" spans="1:7" s="394" customFormat="1" ht="30" customHeight="1" thickBot="1">
      <c r="A22" s="1901"/>
      <c r="B22" s="1904"/>
      <c r="C22" s="12"/>
      <c r="D22" s="11"/>
      <c r="E22" s="10"/>
      <c r="F22" s="10"/>
      <c r="G22" s="9"/>
    </row>
    <row r="23" spans="1:7" s="394" customFormat="1" ht="30" customHeight="1">
      <c r="A23" s="1899">
        <v>44988</v>
      </c>
      <c r="B23" s="1902" t="s">
        <v>31</v>
      </c>
      <c r="C23" s="393" t="s">
        <v>629</v>
      </c>
      <c r="D23" s="24" t="s">
        <v>194</v>
      </c>
      <c r="E23" s="24" t="s">
        <v>1281</v>
      </c>
      <c r="F23" s="392" t="s">
        <v>630</v>
      </c>
      <c r="G23" s="389" t="s">
        <v>1282</v>
      </c>
    </row>
    <row r="24" spans="1:7" s="394" customFormat="1" ht="30" customHeight="1">
      <c r="A24" s="1900"/>
      <c r="B24" s="1903"/>
      <c r="C24" s="21"/>
      <c r="D24" s="22"/>
      <c r="E24" s="22"/>
      <c r="F24" s="191"/>
      <c r="G24" s="396"/>
    </row>
    <row r="25" spans="1:7" s="394" customFormat="1" ht="30" customHeight="1">
      <c r="A25" s="1900"/>
      <c r="B25" s="1903"/>
      <c r="C25" s="21"/>
      <c r="D25" s="20"/>
      <c r="E25" s="19"/>
      <c r="F25" s="191"/>
      <c r="G25" s="396"/>
    </row>
    <row r="26" spans="1:7" s="394" customFormat="1" ht="30" customHeight="1" thickBot="1">
      <c r="A26" s="1900"/>
      <c r="B26" s="1903"/>
      <c r="C26" s="397"/>
      <c r="D26" s="16"/>
      <c r="E26" s="15"/>
      <c r="F26" s="172"/>
      <c r="G26" s="396"/>
    </row>
    <row r="27" spans="1:7" s="394" customFormat="1" ht="30" customHeight="1" thickBot="1">
      <c r="A27" s="1901"/>
      <c r="B27" s="1904"/>
      <c r="C27" s="12"/>
      <c r="D27" s="11"/>
      <c r="E27" s="10"/>
      <c r="F27" s="10"/>
      <c r="G27" s="9"/>
    </row>
    <row r="28" spans="1:7" s="394" customFormat="1" ht="60" customHeight="1" thickBot="1">
      <c r="A28" s="1907" t="s">
        <v>5</v>
      </c>
      <c r="B28" s="1908"/>
      <c r="C28" s="1908"/>
      <c r="D28" s="1908"/>
      <c r="E28" s="1908"/>
      <c r="F28" s="1908"/>
      <c r="G28" s="1909"/>
    </row>
    <row r="29" spans="1:7" s="394" customFormat="1" ht="36" customHeight="1">
      <c r="A29" s="1899">
        <v>44991</v>
      </c>
      <c r="B29" s="1902" t="s">
        <v>4</v>
      </c>
      <c r="C29" s="1905" t="s">
        <v>1499</v>
      </c>
      <c r="D29" s="395" t="s">
        <v>218</v>
      </c>
      <c r="E29" s="24" t="s">
        <v>1509</v>
      </c>
      <c r="F29" s="392"/>
      <c r="G29" s="389"/>
    </row>
    <row r="30" spans="1:7" s="394" customFormat="1" ht="36" customHeight="1">
      <c r="A30" s="1900"/>
      <c r="B30" s="1903"/>
      <c r="C30" s="1906"/>
      <c r="D30" s="395" t="s">
        <v>221</v>
      </c>
      <c r="E30" s="24" t="s">
        <v>437</v>
      </c>
      <c r="F30" s="392"/>
      <c r="G30" s="389"/>
    </row>
    <row r="31" spans="1:7" s="394" customFormat="1" ht="36" customHeight="1">
      <c r="A31" s="1900"/>
      <c r="B31" s="1903"/>
      <c r="C31" s="393" t="s">
        <v>1500</v>
      </c>
      <c r="D31" s="24" t="s">
        <v>1330</v>
      </c>
      <c r="E31" s="24" t="s">
        <v>1510</v>
      </c>
      <c r="F31" s="392"/>
      <c r="G31" s="389" t="s">
        <v>183</v>
      </c>
    </row>
    <row r="32" spans="1:7" s="394" customFormat="1" ht="36" customHeight="1">
      <c r="A32" s="1900"/>
      <c r="B32" s="1903"/>
      <c r="C32" s="1910" t="s">
        <v>1501</v>
      </c>
      <c r="D32" s="395" t="s">
        <v>1387</v>
      </c>
      <c r="E32" s="24" t="s">
        <v>463</v>
      </c>
      <c r="F32" s="392" t="s">
        <v>1512</v>
      </c>
      <c r="G32" s="1911" t="s">
        <v>1513</v>
      </c>
    </row>
    <row r="33" spans="1:7" s="394" customFormat="1" ht="36" customHeight="1">
      <c r="A33" s="1900"/>
      <c r="B33" s="1903"/>
      <c r="C33" s="1914"/>
      <c r="D33" s="24" t="s">
        <v>1502</v>
      </c>
      <c r="E33" s="24" t="s">
        <v>1388</v>
      </c>
      <c r="F33" s="392"/>
      <c r="G33" s="1913"/>
    </row>
    <row r="34" spans="1:7" s="394" customFormat="1" ht="36" customHeight="1">
      <c r="A34" s="1900"/>
      <c r="B34" s="1903"/>
      <c r="C34" s="1914"/>
      <c r="D34" s="24" t="s">
        <v>1503</v>
      </c>
      <c r="E34" s="24" t="s">
        <v>1511</v>
      </c>
      <c r="F34" s="392"/>
      <c r="G34" s="1913"/>
    </row>
    <row r="35" spans="1:7" s="394" customFormat="1" ht="36" customHeight="1">
      <c r="A35" s="1900"/>
      <c r="B35" s="1903"/>
      <c r="C35" s="1906"/>
      <c r="D35" s="395" t="s">
        <v>221</v>
      </c>
      <c r="E35" s="24" t="s">
        <v>230</v>
      </c>
      <c r="F35" s="392"/>
      <c r="G35" s="1912"/>
    </row>
    <row r="36" spans="1:7" s="394" customFormat="1" ht="36" customHeight="1">
      <c r="A36" s="1900"/>
      <c r="B36" s="1903"/>
      <c r="C36" s="393"/>
      <c r="D36" s="24" t="s">
        <v>1504</v>
      </c>
      <c r="E36" s="24"/>
      <c r="F36" s="392"/>
      <c r="G36" s="389"/>
    </row>
    <row r="37" spans="1:7" s="394" customFormat="1" ht="36" customHeight="1">
      <c r="A37" s="1900"/>
      <c r="B37" s="1903"/>
      <c r="C37" s="393" t="s">
        <v>1505</v>
      </c>
      <c r="D37" s="24" t="s">
        <v>321</v>
      </c>
      <c r="E37" s="24" t="s">
        <v>572</v>
      </c>
      <c r="F37" s="392" t="s">
        <v>1514</v>
      </c>
      <c r="G37" s="389"/>
    </row>
    <row r="38" spans="1:7" s="394" customFormat="1" ht="36" customHeight="1">
      <c r="A38" s="1900"/>
      <c r="B38" s="1903"/>
      <c r="C38" s="1910" t="s">
        <v>1506</v>
      </c>
      <c r="D38" s="32" t="s">
        <v>176</v>
      </c>
      <c r="E38" s="31" t="s">
        <v>177</v>
      </c>
      <c r="F38" s="392"/>
      <c r="G38" s="1911" t="s">
        <v>1508</v>
      </c>
    </row>
    <row r="39" spans="1:7" s="394" customFormat="1" ht="36" customHeight="1" thickBot="1">
      <c r="A39" s="1900"/>
      <c r="B39" s="1903"/>
      <c r="C39" s="1932"/>
      <c r="D39" s="395" t="s">
        <v>1430</v>
      </c>
      <c r="E39" s="37" t="s">
        <v>1507</v>
      </c>
      <c r="F39" s="391"/>
      <c r="G39" s="1933"/>
    </row>
    <row r="40" spans="1:7" s="394" customFormat="1" ht="36" customHeight="1" thickBot="1">
      <c r="A40" s="1901"/>
      <c r="B40" s="1904"/>
      <c r="C40" s="12"/>
      <c r="D40" s="11"/>
      <c r="E40" s="10"/>
      <c r="F40" s="10"/>
      <c r="G40" s="9"/>
    </row>
    <row r="41" spans="1:7" s="394" customFormat="1" ht="36" customHeight="1">
      <c r="A41" s="1899">
        <v>44992</v>
      </c>
      <c r="B41" s="1902" t="s">
        <v>3</v>
      </c>
      <c r="C41" s="393" t="s">
        <v>1488</v>
      </c>
      <c r="D41" s="24" t="s">
        <v>1489</v>
      </c>
      <c r="E41" s="24" t="s">
        <v>1490</v>
      </c>
      <c r="F41" s="392"/>
      <c r="G41" s="389"/>
    </row>
    <row r="42" spans="1:7" s="394" customFormat="1" ht="36" customHeight="1">
      <c r="A42" s="1900"/>
      <c r="B42" s="1903"/>
      <c r="C42" s="1910" t="s">
        <v>1491</v>
      </c>
      <c r="D42" s="24" t="s">
        <v>1515</v>
      </c>
      <c r="E42" s="24" t="s">
        <v>189</v>
      </c>
      <c r="F42" s="392"/>
      <c r="G42" s="389"/>
    </row>
    <row r="43" spans="1:7" s="394" customFormat="1" ht="36" customHeight="1">
      <c r="A43" s="1900"/>
      <c r="B43" s="1903"/>
      <c r="C43" s="1914"/>
      <c r="D43" s="24" t="s">
        <v>194</v>
      </c>
      <c r="E43" s="24" t="s">
        <v>1494</v>
      </c>
      <c r="F43" s="392"/>
      <c r="G43" s="389"/>
    </row>
    <row r="44" spans="1:7" s="394" customFormat="1" ht="36" customHeight="1">
      <c r="A44" s="1900"/>
      <c r="B44" s="1903"/>
      <c r="C44" s="1914"/>
      <c r="D44" s="24" t="s">
        <v>1516</v>
      </c>
      <c r="E44" s="24" t="s">
        <v>1495</v>
      </c>
      <c r="F44" s="392"/>
      <c r="G44" s="389"/>
    </row>
    <row r="45" spans="1:7" s="394" customFormat="1" ht="36" customHeight="1">
      <c r="A45" s="1900"/>
      <c r="B45" s="1903"/>
      <c r="C45" s="1914"/>
      <c r="D45" s="24" t="s">
        <v>1492</v>
      </c>
      <c r="E45" s="24" t="s">
        <v>225</v>
      </c>
      <c r="F45" s="392"/>
      <c r="G45" s="389"/>
    </row>
    <row r="46" spans="1:7" s="394" customFormat="1" ht="36" customHeight="1">
      <c r="A46" s="1900"/>
      <c r="B46" s="1903"/>
      <c r="C46" s="1906"/>
      <c r="D46" s="395" t="s">
        <v>1493</v>
      </c>
      <c r="E46" s="31" t="s">
        <v>1496</v>
      </c>
      <c r="F46" s="392"/>
      <c r="G46" s="389"/>
    </row>
    <row r="47" spans="1:7" s="394" customFormat="1" ht="36" customHeight="1" thickBot="1">
      <c r="A47" s="1900"/>
      <c r="B47" s="1903"/>
      <c r="C47" s="388" t="s">
        <v>192</v>
      </c>
      <c r="D47" s="395" t="s">
        <v>218</v>
      </c>
      <c r="E47" s="37" t="s">
        <v>1465</v>
      </c>
      <c r="F47" s="391" t="s">
        <v>1497</v>
      </c>
      <c r="G47" s="389" t="s">
        <v>1498</v>
      </c>
    </row>
    <row r="48" spans="1:7" s="394" customFormat="1" ht="36" customHeight="1" thickBot="1">
      <c r="A48" s="1901"/>
      <c r="B48" s="1904"/>
      <c r="C48" s="12"/>
      <c r="D48" s="11"/>
      <c r="E48" s="10"/>
      <c r="F48" s="10"/>
      <c r="G48" s="9"/>
    </row>
    <row r="49" spans="1:7" s="394" customFormat="1" ht="36" customHeight="1">
      <c r="A49" s="1899">
        <v>44993</v>
      </c>
      <c r="B49" s="1916" t="s">
        <v>2</v>
      </c>
      <c r="C49" s="393" t="s">
        <v>292</v>
      </c>
      <c r="D49" s="24" t="s">
        <v>1470</v>
      </c>
      <c r="E49" s="24" t="s">
        <v>1471</v>
      </c>
      <c r="F49" s="392"/>
      <c r="G49" s="389" t="s">
        <v>178</v>
      </c>
    </row>
    <row r="50" spans="1:7" s="394" customFormat="1" ht="36" customHeight="1">
      <c r="A50" s="1900"/>
      <c r="B50" s="1917"/>
      <c r="C50" s="1910" t="s">
        <v>1472</v>
      </c>
      <c r="D50" s="395" t="s">
        <v>218</v>
      </c>
      <c r="E50" s="24" t="s">
        <v>1473</v>
      </c>
      <c r="F50" s="392"/>
      <c r="G50" s="389"/>
    </row>
    <row r="51" spans="1:7" s="394" customFormat="1" ht="36" customHeight="1">
      <c r="A51" s="1900"/>
      <c r="B51" s="1917"/>
      <c r="C51" s="1914"/>
      <c r="D51" s="395" t="s">
        <v>1450</v>
      </c>
      <c r="E51" s="24" t="s">
        <v>291</v>
      </c>
      <c r="F51" s="392"/>
      <c r="G51" s="389"/>
    </row>
    <row r="52" spans="1:7" s="394" customFormat="1" ht="36" customHeight="1">
      <c r="A52" s="1900"/>
      <c r="B52" s="1917"/>
      <c r="C52" s="1914"/>
      <c r="D52" s="395" t="s">
        <v>222</v>
      </c>
      <c r="E52" s="24" t="s">
        <v>1474</v>
      </c>
      <c r="F52" s="392"/>
      <c r="G52" s="389"/>
    </row>
    <row r="53" spans="1:7" s="394" customFormat="1" ht="36" customHeight="1">
      <c r="A53" s="1900"/>
      <c r="B53" s="1917"/>
      <c r="C53" s="1906"/>
      <c r="D53" s="24" t="s">
        <v>1441</v>
      </c>
      <c r="E53" s="24"/>
      <c r="F53" s="392"/>
      <c r="G53" s="389"/>
    </row>
    <row r="54" spans="1:7" s="394" customFormat="1" ht="36" customHeight="1">
      <c r="A54" s="1900"/>
      <c r="B54" s="1917"/>
      <c r="C54" s="393" t="s">
        <v>175</v>
      </c>
      <c r="D54" s="24" t="s">
        <v>1479</v>
      </c>
      <c r="E54" s="24" t="s">
        <v>1480</v>
      </c>
      <c r="F54" s="392" t="s">
        <v>430</v>
      </c>
      <c r="G54" s="389"/>
    </row>
    <row r="55" spans="1:7" s="394" customFormat="1" ht="36" customHeight="1">
      <c r="A55" s="1900"/>
      <c r="B55" s="1917"/>
      <c r="C55" s="1910" t="s">
        <v>1475</v>
      </c>
      <c r="D55" s="24" t="s">
        <v>1476</v>
      </c>
      <c r="E55" s="24" t="s">
        <v>1481</v>
      </c>
      <c r="F55" s="392"/>
      <c r="G55" s="389"/>
    </row>
    <row r="56" spans="1:7" s="394" customFormat="1" ht="36" customHeight="1">
      <c r="A56" s="1900"/>
      <c r="B56" s="1917"/>
      <c r="C56" s="1914"/>
      <c r="D56" s="24" t="s">
        <v>1477</v>
      </c>
      <c r="E56" s="24" t="s">
        <v>1481</v>
      </c>
      <c r="F56" s="392"/>
      <c r="G56" s="389"/>
    </row>
    <row r="57" spans="1:7" s="394" customFormat="1" ht="36" customHeight="1">
      <c r="A57" s="1900"/>
      <c r="B57" s="1917"/>
      <c r="C57" s="1906"/>
      <c r="D57" s="32" t="s">
        <v>1478</v>
      </c>
      <c r="E57" s="31" t="s">
        <v>1482</v>
      </c>
      <c r="F57" s="392"/>
      <c r="G57" s="389"/>
    </row>
    <row r="58" spans="1:7" s="394" customFormat="1" ht="36" customHeight="1" thickBot="1">
      <c r="A58" s="1900"/>
      <c r="B58" s="1917"/>
      <c r="C58" s="397"/>
      <c r="D58" s="16"/>
      <c r="E58" s="15"/>
      <c r="F58" s="172"/>
      <c r="G58" s="396"/>
    </row>
    <row r="59" spans="1:7" s="394" customFormat="1" ht="36" customHeight="1" thickBot="1">
      <c r="A59" s="1900"/>
      <c r="B59" s="1917"/>
      <c r="C59" s="12" t="s">
        <v>1483</v>
      </c>
      <c r="D59" s="11" t="s">
        <v>1468</v>
      </c>
      <c r="E59" s="10" t="s">
        <v>1484</v>
      </c>
      <c r="F59" s="10" t="s">
        <v>1485</v>
      </c>
      <c r="G59" s="9"/>
    </row>
    <row r="60" spans="1:7" s="394" customFormat="1" ht="36" customHeight="1" thickBot="1">
      <c r="A60" s="1901"/>
      <c r="B60" s="1918"/>
      <c r="C60" s="12" t="s">
        <v>296</v>
      </c>
      <c r="D60" s="11" t="s">
        <v>1486</v>
      </c>
      <c r="E60" s="10" t="s">
        <v>1487</v>
      </c>
      <c r="F60" s="10" t="s">
        <v>546</v>
      </c>
      <c r="G60" s="9"/>
    </row>
    <row r="61" spans="1:7" s="394" customFormat="1" ht="36" customHeight="1">
      <c r="A61" s="1899">
        <v>44994</v>
      </c>
      <c r="B61" s="1902" t="s">
        <v>1</v>
      </c>
      <c r="C61" s="387" t="s">
        <v>1467</v>
      </c>
      <c r="D61" s="392" t="s">
        <v>1468</v>
      </c>
      <c r="E61" s="392" t="s">
        <v>1469</v>
      </c>
      <c r="F61" s="392"/>
      <c r="G61" s="390"/>
    </row>
    <row r="62" spans="1:7" s="394" customFormat="1" ht="36" customHeight="1">
      <c r="A62" s="1900"/>
      <c r="B62" s="1903"/>
      <c r="C62" s="21"/>
      <c r="D62" s="22"/>
      <c r="E62" s="22"/>
      <c r="F62" s="191"/>
      <c r="G62" s="396"/>
    </row>
    <row r="63" spans="1:7" s="394" customFormat="1" ht="36" customHeight="1">
      <c r="A63" s="1900"/>
      <c r="B63" s="1903"/>
      <c r="C63" s="21"/>
      <c r="D63" s="20"/>
      <c r="E63" s="19"/>
      <c r="F63" s="191"/>
      <c r="G63" s="396"/>
    </row>
    <row r="64" spans="1:7" s="394" customFormat="1" ht="36" customHeight="1" thickBot="1">
      <c r="A64" s="1900"/>
      <c r="B64" s="1903"/>
      <c r="C64" s="397"/>
      <c r="D64" s="16"/>
      <c r="E64" s="15"/>
      <c r="F64" s="172"/>
      <c r="G64" s="396"/>
    </row>
    <row r="65" spans="1:7" s="394" customFormat="1" ht="36" customHeight="1" thickBot="1">
      <c r="A65" s="1901"/>
      <c r="B65" s="1904"/>
      <c r="C65" s="12"/>
      <c r="D65" s="11"/>
      <c r="E65" s="10"/>
      <c r="F65" s="10"/>
      <c r="G65" s="9"/>
    </row>
    <row r="66" spans="1:7" s="394" customFormat="1" ht="36" customHeight="1">
      <c r="A66" s="1899">
        <v>44995</v>
      </c>
      <c r="B66" s="1902" t="s">
        <v>0</v>
      </c>
      <c r="C66" s="1905" t="s">
        <v>267</v>
      </c>
      <c r="D66" s="24" t="s">
        <v>1458</v>
      </c>
      <c r="E66" s="24" t="s">
        <v>1459</v>
      </c>
      <c r="F66" s="392"/>
      <c r="G66" s="389" t="s">
        <v>1460</v>
      </c>
    </row>
    <row r="67" spans="1:7" s="394" customFormat="1" ht="36" customHeight="1">
      <c r="A67" s="1900"/>
      <c r="B67" s="1903"/>
      <c r="C67" s="1906"/>
      <c r="D67" s="24" t="s">
        <v>194</v>
      </c>
      <c r="E67" s="24" t="s">
        <v>1461</v>
      </c>
      <c r="F67" s="392"/>
      <c r="G67" s="389" t="s">
        <v>1462</v>
      </c>
    </row>
    <row r="68" spans="1:7" s="394" customFormat="1" ht="36" customHeight="1">
      <c r="A68" s="1900"/>
      <c r="B68" s="1903"/>
      <c r="C68" s="1910" t="s">
        <v>1386</v>
      </c>
      <c r="D68" s="395" t="s">
        <v>1450</v>
      </c>
      <c r="E68" s="24" t="s">
        <v>1463</v>
      </c>
      <c r="F68" s="392"/>
      <c r="G68" s="389"/>
    </row>
    <row r="69" spans="1:7" s="394" customFormat="1" ht="36" customHeight="1">
      <c r="A69" s="1900"/>
      <c r="B69" s="1903"/>
      <c r="C69" s="1914"/>
      <c r="D69" s="395" t="s">
        <v>218</v>
      </c>
      <c r="E69" s="24" t="s">
        <v>1464</v>
      </c>
      <c r="F69" s="392" t="s">
        <v>240</v>
      </c>
      <c r="G69" s="389"/>
    </row>
    <row r="70" spans="1:7" s="394" customFormat="1" ht="36" customHeight="1">
      <c r="A70" s="1900"/>
      <c r="B70" s="1903"/>
      <c r="C70" s="1914"/>
      <c r="D70" s="395" t="s">
        <v>247</v>
      </c>
      <c r="E70" s="24" t="s">
        <v>1465</v>
      </c>
      <c r="F70" s="392"/>
      <c r="G70" s="389"/>
    </row>
    <row r="71" spans="1:7" s="394" customFormat="1" ht="36" customHeight="1">
      <c r="A71" s="1900"/>
      <c r="B71" s="1903"/>
      <c r="C71" s="1906"/>
      <c r="D71" s="24" t="s">
        <v>1376</v>
      </c>
      <c r="E71" s="24" t="s">
        <v>213</v>
      </c>
      <c r="F71" s="392" t="s">
        <v>1466</v>
      </c>
      <c r="G71" s="389"/>
    </row>
    <row r="72" spans="1:7" s="394" customFormat="1" ht="36" customHeight="1">
      <c r="A72" s="1900"/>
      <c r="B72" s="1903"/>
      <c r="C72" s="21"/>
      <c r="D72" s="20"/>
      <c r="E72" s="19"/>
      <c r="F72" s="191"/>
      <c r="G72" s="396"/>
    </row>
    <row r="73" spans="1:7" s="394" customFormat="1" ht="36" customHeight="1" thickBot="1">
      <c r="A73" s="1900"/>
      <c r="B73" s="1903"/>
      <c r="C73" s="21"/>
      <c r="D73" s="16"/>
      <c r="E73" s="15"/>
      <c r="F73" s="172"/>
      <c r="G73" s="396"/>
    </row>
    <row r="74" spans="1:7" s="394" customFormat="1" ht="36" customHeight="1" thickBot="1">
      <c r="A74" s="1901"/>
      <c r="B74" s="1904"/>
      <c r="C74" s="12"/>
      <c r="D74" s="11"/>
      <c r="E74" s="10"/>
      <c r="F74" s="10"/>
      <c r="G74" s="9"/>
    </row>
    <row r="75" spans="1:7" s="394" customFormat="1" ht="60" customHeight="1" thickBot="1">
      <c r="A75" s="1907" t="s">
        <v>5</v>
      </c>
      <c r="B75" s="1908"/>
      <c r="C75" s="1908"/>
      <c r="D75" s="1908"/>
      <c r="E75" s="1908"/>
      <c r="F75" s="1908"/>
      <c r="G75" s="1909"/>
    </row>
    <row r="76" spans="1:7" s="394" customFormat="1" ht="36" customHeight="1">
      <c r="A76" s="1899">
        <v>44998</v>
      </c>
      <c r="B76" s="1902" t="s">
        <v>4</v>
      </c>
      <c r="C76" s="393" t="s">
        <v>185</v>
      </c>
      <c r="D76" s="24" t="s">
        <v>262</v>
      </c>
      <c r="E76" s="24" t="s">
        <v>1453</v>
      </c>
      <c r="F76" s="392"/>
      <c r="G76" s="389" t="s">
        <v>330</v>
      </c>
    </row>
    <row r="77" spans="1:7" s="394" customFormat="1" ht="36" customHeight="1">
      <c r="A77" s="1900"/>
      <c r="B77" s="1903"/>
      <c r="C77" s="393" t="s">
        <v>198</v>
      </c>
      <c r="D77" s="24" t="s">
        <v>1454</v>
      </c>
      <c r="E77" s="24" t="s">
        <v>334</v>
      </c>
      <c r="F77" s="392"/>
      <c r="G77" s="389"/>
    </row>
    <row r="78" spans="1:7" s="394" customFormat="1" ht="36" customHeight="1">
      <c r="A78" s="1900"/>
      <c r="B78" s="1903"/>
      <c r="C78" s="393" t="s">
        <v>1455</v>
      </c>
      <c r="D78" s="24" t="s">
        <v>1456</v>
      </c>
      <c r="E78" s="24" t="s">
        <v>1457</v>
      </c>
      <c r="F78" s="392"/>
      <c r="G78" s="389" t="s">
        <v>235</v>
      </c>
    </row>
    <row r="79" spans="1:7" s="394" customFormat="1" ht="36" customHeight="1" thickBot="1">
      <c r="A79" s="1900"/>
      <c r="B79" s="1903"/>
      <c r="C79" s="388" t="s">
        <v>1427</v>
      </c>
      <c r="D79" s="395" t="s">
        <v>207</v>
      </c>
      <c r="E79" s="37" t="s">
        <v>446</v>
      </c>
      <c r="F79" s="391"/>
      <c r="G79" s="389"/>
    </row>
    <row r="80" spans="1:7" s="394" customFormat="1" ht="36" customHeight="1" thickBot="1">
      <c r="A80" s="1901"/>
      <c r="B80" s="1904"/>
      <c r="C80" s="12"/>
      <c r="D80" s="11"/>
      <c r="E80" s="10"/>
      <c r="F80" s="10"/>
      <c r="G80" s="9"/>
    </row>
    <row r="81" spans="1:7" s="394" customFormat="1" ht="36" customHeight="1">
      <c r="A81" s="1899">
        <v>44999</v>
      </c>
      <c r="B81" s="1902" t="s">
        <v>15</v>
      </c>
      <c r="C81" s="393" t="s">
        <v>272</v>
      </c>
      <c r="D81" s="24" t="s">
        <v>1441</v>
      </c>
      <c r="E81" s="24" t="s">
        <v>1442</v>
      </c>
      <c r="F81" s="392" t="s">
        <v>355</v>
      </c>
      <c r="G81" s="389" t="s">
        <v>1443</v>
      </c>
    </row>
    <row r="82" spans="1:7" s="394" customFormat="1" ht="36" customHeight="1">
      <c r="A82" s="1900"/>
      <c r="B82" s="1903"/>
      <c r="C82" s="393" t="s">
        <v>1444</v>
      </c>
      <c r="D82" s="24" t="s">
        <v>1445</v>
      </c>
      <c r="E82" s="24" t="s">
        <v>338</v>
      </c>
      <c r="F82" s="392"/>
      <c r="G82" s="389"/>
    </row>
    <row r="83" spans="1:7" s="394" customFormat="1" ht="36" customHeight="1">
      <c r="A83" s="1900"/>
      <c r="B83" s="1903"/>
      <c r="C83" s="393" t="s">
        <v>1446</v>
      </c>
      <c r="D83" s="32" t="s">
        <v>1447</v>
      </c>
      <c r="E83" s="31" t="s">
        <v>1448</v>
      </c>
      <c r="F83" s="392"/>
      <c r="G83" s="389" t="s">
        <v>1335</v>
      </c>
    </row>
    <row r="84" spans="1:7" s="394" customFormat="1" ht="36" customHeight="1" thickBot="1">
      <c r="A84" s="1900"/>
      <c r="B84" s="1903"/>
      <c r="C84" s="388" t="s">
        <v>1449</v>
      </c>
      <c r="D84" s="395" t="s">
        <v>1450</v>
      </c>
      <c r="E84" s="37" t="s">
        <v>1451</v>
      </c>
      <c r="F84" s="391"/>
      <c r="G84" s="389" t="s">
        <v>1452</v>
      </c>
    </row>
    <row r="85" spans="1:7" s="394" customFormat="1" ht="36" customHeight="1" thickBot="1">
      <c r="A85" s="1901"/>
      <c r="B85" s="1904"/>
      <c r="C85" s="12"/>
      <c r="D85" s="11"/>
      <c r="E85" s="10"/>
      <c r="F85" s="10"/>
      <c r="G85" s="9"/>
    </row>
    <row r="86" spans="1:7" s="394" customFormat="1" ht="36" customHeight="1">
      <c r="A86" s="1899">
        <v>45000</v>
      </c>
      <c r="B86" s="1902" t="s">
        <v>2</v>
      </c>
      <c r="C86" s="393" t="s">
        <v>1427</v>
      </c>
      <c r="D86" s="24" t="s">
        <v>1428</v>
      </c>
      <c r="E86" s="24" t="s">
        <v>1429</v>
      </c>
      <c r="F86" s="392"/>
      <c r="G86" s="389" t="s">
        <v>275</v>
      </c>
    </row>
    <row r="87" spans="1:7" s="394" customFormat="1" ht="36" customHeight="1">
      <c r="A87" s="1900"/>
      <c r="B87" s="1903"/>
      <c r="C87" s="393" t="s">
        <v>198</v>
      </c>
      <c r="D87" s="24" t="s">
        <v>1430</v>
      </c>
      <c r="E87" s="24" t="s">
        <v>1431</v>
      </c>
      <c r="F87" s="392"/>
      <c r="G87" s="389" t="s">
        <v>490</v>
      </c>
    </row>
    <row r="88" spans="1:7" s="394" customFormat="1" ht="36" customHeight="1">
      <c r="A88" s="1900"/>
      <c r="B88" s="1903"/>
      <c r="C88" s="393" t="s">
        <v>1432</v>
      </c>
      <c r="D88" s="32" t="s">
        <v>1433</v>
      </c>
      <c r="E88" s="31" t="s">
        <v>1434</v>
      </c>
      <c r="F88" s="392"/>
      <c r="G88" s="389" t="s">
        <v>330</v>
      </c>
    </row>
    <row r="89" spans="1:7" s="394" customFormat="1" ht="36" customHeight="1" thickBot="1">
      <c r="A89" s="1900"/>
      <c r="B89" s="1903"/>
      <c r="C89" s="388" t="s">
        <v>1435</v>
      </c>
      <c r="D89" s="395" t="s">
        <v>1436</v>
      </c>
      <c r="E89" s="37" t="s">
        <v>1437</v>
      </c>
      <c r="F89" s="391" t="s">
        <v>1399</v>
      </c>
      <c r="G89" s="389" t="s">
        <v>235</v>
      </c>
    </row>
    <row r="90" spans="1:7" s="394" customFormat="1" ht="36" customHeight="1" thickBot="1">
      <c r="A90" s="1901"/>
      <c r="B90" s="1904"/>
      <c r="C90" s="12" t="s">
        <v>397</v>
      </c>
      <c r="D90" s="11" t="s">
        <v>1438</v>
      </c>
      <c r="E90" s="10" t="s">
        <v>1439</v>
      </c>
      <c r="F90" s="10" t="s">
        <v>1440</v>
      </c>
      <c r="G90" s="9"/>
    </row>
    <row r="91" spans="1:7" s="394" customFormat="1" ht="36" customHeight="1">
      <c r="A91" s="1899">
        <v>45001</v>
      </c>
      <c r="B91" s="1902" t="s">
        <v>1</v>
      </c>
      <c r="C91" s="1905" t="s">
        <v>1405</v>
      </c>
      <c r="D91" s="24" t="s">
        <v>176</v>
      </c>
      <c r="E91" s="24" t="s">
        <v>1406</v>
      </c>
      <c r="F91" s="392"/>
      <c r="G91" s="1939" t="s">
        <v>540</v>
      </c>
    </row>
    <row r="92" spans="1:7" s="394" customFormat="1" ht="36" customHeight="1">
      <c r="A92" s="1900"/>
      <c r="B92" s="1903"/>
      <c r="C92" s="1914"/>
      <c r="D92" s="24" t="s">
        <v>1410</v>
      </c>
      <c r="E92" s="24" t="s">
        <v>1407</v>
      </c>
      <c r="F92" s="392" t="s">
        <v>1413</v>
      </c>
      <c r="G92" s="1913"/>
    </row>
    <row r="93" spans="1:7" s="394" customFormat="1" ht="36" customHeight="1">
      <c r="A93" s="1900"/>
      <c r="B93" s="1903"/>
      <c r="C93" s="1914"/>
      <c r="D93" s="24" t="s">
        <v>1411</v>
      </c>
      <c r="E93" s="24" t="s">
        <v>1408</v>
      </c>
      <c r="F93" s="392"/>
      <c r="G93" s="1913"/>
    </row>
    <row r="94" spans="1:7" s="394" customFormat="1" ht="36" customHeight="1">
      <c r="A94" s="1900"/>
      <c r="B94" s="1903"/>
      <c r="C94" s="1914"/>
      <c r="D94" s="24" t="s">
        <v>1412</v>
      </c>
      <c r="E94" s="24" t="s">
        <v>1409</v>
      </c>
      <c r="F94" s="392"/>
      <c r="G94" s="1913"/>
    </row>
    <row r="95" spans="1:7" s="394" customFormat="1" ht="36" customHeight="1">
      <c r="A95" s="1900"/>
      <c r="B95" s="1903"/>
      <c r="C95" s="1906"/>
      <c r="D95" s="24" t="s">
        <v>1331</v>
      </c>
      <c r="E95" s="24" t="s">
        <v>1333</v>
      </c>
      <c r="F95" s="392"/>
      <c r="G95" s="1912"/>
    </row>
    <row r="96" spans="1:7" s="394" customFormat="1" ht="36" customHeight="1">
      <c r="A96" s="1900"/>
      <c r="B96" s="1903"/>
      <c r="C96" s="1910" t="s">
        <v>1274</v>
      </c>
      <c r="D96" s="24" t="s">
        <v>1262</v>
      </c>
      <c r="E96" s="24" t="s">
        <v>1415</v>
      </c>
      <c r="F96" s="392"/>
      <c r="G96" s="389"/>
    </row>
    <row r="97" spans="1:7" s="394" customFormat="1" ht="36" customHeight="1">
      <c r="A97" s="1900"/>
      <c r="B97" s="1903"/>
      <c r="C97" s="1906"/>
      <c r="D97" s="24" t="s">
        <v>1414</v>
      </c>
      <c r="E97" s="24" t="s">
        <v>202</v>
      </c>
      <c r="F97" s="392" t="s">
        <v>1416</v>
      </c>
      <c r="G97" s="389"/>
    </row>
    <row r="98" spans="1:7" s="394" customFormat="1" ht="36" customHeight="1">
      <c r="A98" s="1900"/>
      <c r="B98" s="1903"/>
      <c r="C98" s="393" t="s">
        <v>1417</v>
      </c>
      <c r="D98" s="24" t="s">
        <v>1414</v>
      </c>
      <c r="E98" s="24" t="s">
        <v>202</v>
      </c>
      <c r="F98" s="392" t="s">
        <v>1418</v>
      </c>
      <c r="G98" s="389" t="s">
        <v>204</v>
      </c>
    </row>
    <row r="99" spans="1:7" s="394" customFormat="1" ht="36" customHeight="1">
      <c r="A99" s="1900"/>
      <c r="B99" s="1903"/>
      <c r="C99" s="393" t="s">
        <v>1419</v>
      </c>
      <c r="D99" s="24" t="s">
        <v>1414</v>
      </c>
      <c r="E99" s="24" t="s">
        <v>1420</v>
      </c>
      <c r="F99" s="392" t="s">
        <v>201</v>
      </c>
      <c r="G99" s="389" t="s">
        <v>236</v>
      </c>
    </row>
    <row r="100" spans="1:7" s="394" customFormat="1" ht="36" customHeight="1">
      <c r="A100" s="1900"/>
      <c r="B100" s="1903"/>
      <c r="C100" s="393" t="s">
        <v>1421</v>
      </c>
      <c r="D100" s="24" t="s">
        <v>1414</v>
      </c>
      <c r="E100" s="24" t="s">
        <v>1422</v>
      </c>
      <c r="F100" s="392" t="s">
        <v>1423</v>
      </c>
      <c r="G100" s="389" t="s">
        <v>1424</v>
      </c>
    </row>
    <row r="101" spans="1:7" s="394" customFormat="1" ht="36" customHeight="1">
      <c r="A101" s="1900"/>
      <c r="B101" s="1903"/>
      <c r="C101" s="393" t="s">
        <v>237</v>
      </c>
      <c r="D101" s="32" t="s">
        <v>614</v>
      </c>
      <c r="E101" s="31" t="s">
        <v>1425</v>
      </c>
      <c r="F101" s="392" t="s">
        <v>1426</v>
      </c>
      <c r="G101" s="389" t="s">
        <v>204</v>
      </c>
    </row>
    <row r="102" spans="1:7" s="394" customFormat="1" ht="36" customHeight="1" thickBot="1">
      <c r="A102" s="1900"/>
      <c r="B102" s="1903"/>
      <c r="C102" s="397"/>
      <c r="D102" s="16"/>
      <c r="E102" s="15"/>
      <c r="F102" s="172"/>
      <c r="G102" s="396"/>
    </row>
    <row r="103" spans="1:7" s="394" customFormat="1" ht="36" customHeight="1" thickBot="1">
      <c r="A103" s="1901"/>
      <c r="B103" s="1904"/>
      <c r="C103" s="12"/>
      <c r="D103" s="11"/>
      <c r="E103" s="10"/>
      <c r="F103" s="10"/>
      <c r="G103" s="9"/>
    </row>
    <row r="104" spans="1:7" s="394" customFormat="1" ht="36" customHeight="1">
      <c r="A104" s="1899">
        <v>45002</v>
      </c>
      <c r="B104" s="1902" t="s">
        <v>0</v>
      </c>
      <c r="C104" s="393" t="s">
        <v>1402</v>
      </c>
      <c r="D104" s="24" t="s">
        <v>411</v>
      </c>
      <c r="E104" s="24" t="s">
        <v>1403</v>
      </c>
      <c r="F104" s="392"/>
      <c r="G104" s="389" t="s">
        <v>1404</v>
      </c>
    </row>
    <row r="105" spans="1:7" s="394" customFormat="1" ht="36" customHeight="1">
      <c r="A105" s="1900"/>
      <c r="B105" s="1903"/>
      <c r="C105" s="21"/>
      <c r="D105" s="22"/>
      <c r="E105" s="22"/>
      <c r="F105" s="191"/>
      <c r="G105" s="396"/>
    </row>
    <row r="106" spans="1:7" s="394" customFormat="1" ht="36" customHeight="1">
      <c r="A106" s="1900"/>
      <c r="B106" s="1903"/>
      <c r="C106" s="21"/>
      <c r="D106" s="20"/>
      <c r="E106" s="19"/>
      <c r="F106" s="191"/>
      <c r="G106" s="396"/>
    </row>
    <row r="107" spans="1:7" s="394" customFormat="1" ht="36" customHeight="1" thickBot="1">
      <c r="A107" s="1900"/>
      <c r="B107" s="1903"/>
      <c r="C107" s="397"/>
      <c r="D107" s="16"/>
      <c r="E107" s="15"/>
      <c r="F107" s="172"/>
      <c r="G107" s="396"/>
    </row>
    <row r="108" spans="1:7" s="394" customFormat="1" ht="36" customHeight="1" thickBot="1">
      <c r="A108" s="1901"/>
      <c r="B108" s="1904"/>
      <c r="C108" s="12"/>
      <c r="D108" s="11"/>
      <c r="E108" s="10"/>
      <c r="F108" s="10"/>
      <c r="G108" s="9"/>
    </row>
    <row r="109" spans="1:7" s="394" customFormat="1" ht="60" customHeight="1" thickBot="1">
      <c r="A109" s="1907" t="s">
        <v>5</v>
      </c>
      <c r="B109" s="1908"/>
      <c r="C109" s="1908"/>
      <c r="D109" s="1908"/>
      <c r="E109" s="1908"/>
      <c r="F109" s="1908"/>
      <c r="G109" s="1909"/>
    </row>
    <row r="110" spans="1:7" s="394" customFormat="1" ht="36" customHeight="1">
      <c r="A110" s="1899">
        <v>45005</v>
      </c>
      <c r="B110" s="1902" t="s">
        <v>4</v>
      </c>
      <c r="C110" s="393" t="s">
        <v>1391</v>
      </c>
      <c r="D110" s="24" t="s">
        <v>1394</v>
      </c>
      <c r="E110" s="24" t="s">
        <v>189</v>
      </c>
      <c r="F110" s="392" t="s">
        <v>184</v>
      </c>
      <c r="G110" s="389" t="s">
        <v>1396</v>
      </c>
    </row>
    <row r="111" spans="1:7" s="394" customFormat="1" ht="36" customHeight="1">
      <c r="A111" s="1900"/>
      <c r="B111" s="1903"/>
      <c r="C111" s="1910" t="s">
        <v>1392</v>
      </c>
      <c r="D111" s="24" t="s">
        <v>1262</v>
      </c>
      <c r="E111" s="24" t="s">
        <v>193</v>
      </c>
      <c r="F111" s="392"/>
      <c r="G111" s="1911" t="s">
        <v>1401</v>
      </c>
    </row>
    <row r="112" spans="1:7" s="394" customFormat="1" ht="36" customHeight="1">
      <c r="A112" s="1900"/>
      <c r="B112" s="1903"/>
      <c r="C112" s="1914"/>
      <c r="D112" s="24" t="s">
        <v>1395</v>
      </c>
      <c r="E112" s="24" t="s">
        <v>1397</v>
      </c>
      <c r="F112" s="392"/>
      <c r="G112" s="1913"/>
    </row>
    <row r="113" spans="1:7" s="394" customFormat="1" ht="36" customHeight="1">
      <c r="A113" s="1900"/>
      <c r="B113" s="1903"/>
      <c r="C113" s="1914"/>
      <c r="D113" s="24" t="s">
        <v>203</v>
      </c>
      <c r="E113" s="24" t="s">
        <v>1398</v>
      </c>
      <c r="F113" s="392"/>
      <c r="G113" s="1913"/>
    </row>
    <row r="114" spans="1:7" s="394" customFormat="1" ht="36" customHeight="1">
      <c r="A114" s="1900"/>
      <c r="B114" s="1903"/>
      <c r="C114" s="1906"/>
      <c r="D114" s="24" t="s">
        <v>1363</v>
      </c>
      <c r="E114" s="24" t="s">
        <v>202</v>
      </c>
      <c r="F114" s="392" t="s">
        <v>1399</v>
      </c>
      <c r="G114" s="1912"/>
    </row>
    <row r="115" spans="1:7" s="394" customFormat="1" ht="36" customHeight="1">
      <c r="A115" s="1900"/>
      <c r="B115" s="1903"/>
      <c r="C115" s="393" t="s">
        <v>185</v>
      </c>
      <c r="D115" s="24" t="s">
        <v>1350</v>
      </c>
      <c r="E115" s="24" t="s">
        <v>177</v>
      </c>
      <c r="F115" s="392"/>
      <c r="G115" s="389" t="s">
        <v>1385</v>
      </c>
    </row>
    <row r="116" spans="1:7" s="394" customFormat="1" ht="36" customHeight="1">
      <c r="A116" s="1900"/>
      <c r="B116" s="1903"/>
      <c r="C116" s="393" t="s">
        <v>1393</v>
      </c>
      <c r="D116" s="24" t="s">
        <v>1382</v>
      </c>
      <c r="E116" s="31" t="s">
        <v>1400</v>
      </c>
      <c r="F116" s="392"/>
      <c r="G116" s="389" t="s">
        <v>261</v>
      </c>
    </row>
    <row r="117" spans="1:7" s="394" customFormat="1" ht="36" customHeight="1" thickBot="1">
      <c r="A117" s="1900"/>
      <c r="B117" s="1903"/>
      <c r="C117" s="397"/>
      <c r="D117" s="16"/>
      <c r="E117" s="15"/>
      <c r="F117" s="172"/>
      <c r="G117" s="396"/>
    </row>
    <row r="118" spans="1:7" s="394" customFormat="1" ht="36" customHeight="1" thickBot="1">
      <c r="A118" s="1901"/>
      <c r="B118" s="1904"/>
      <c r="C118" s="12"/>
      <c r="D118" s="11"/>
      <c r="E118" s="10"/>
      <c r="F118" s="10"/>
      <c r="G118" s="9"/>
    </row>
    <row r="119" spans="1:7" s="394" customFormat="1" ht="36" customHeight="1">
      <c r="A119" s="1899">
        <v>45006</v>
      </c>
      <c r="B119" s="1902" t="s">
        <v>3</v>
      </c>
      <c r="C119" s="393" t="s">
        <v>206</v>
      </c>
      <c r="D119" s="24" t="s">
        <v>1375</v>
      </c>
      <c r="E119" s="24" t="s">
        <v>1202</v>
      </c>
      <c r="F119" s="392"/>
      <c r="G119" s="389"/>
    </row>
    <row r="120" spans="1:7" s="394" customFormat="1" ht="36" customHeight="1">
      <c r="A120" s="1900"/>
      <c r="B120" s="1903"/>
      <c r="C120" s="393" t="s">
        <v>431</v>
      </c>
      <c r="D120" s="24" t="s">
        <v>1376</v>
      </c>
      <c r="E120" s="24" t="s">
        <v>193</v>
      </c>
      <c r="F120" s="392"/>
      <c r="G120" s="389"/>
    </row>
    <row r="121" spans="1:7" s="394" customFormat="1" ht="36" customHeight="1">
      <c r="A121" s="1900"/>
      <c r="B121" s="1903"/>
      <c r="C121" s="393" t="s">
        <v>274</v>
      </c>
      <c r="D121" s="24" t="s">
        <v>1363</v>
      </c>
      <c r="E121" s="24" t="s">
        <v>1377</v>
      </c>
      <c r="F121" s="392"/>
      <c r="G121" s="389"/>
    </row>
    <row r="122" spans="1:7" s="394" customFormat="1" ht="36" customHeight="1">
      <c r="A122" s="1900"/>
      <c r="B122" s="1903"/>
      <c r="C122" s="393" t="s">
        <v>1378</v>
      </c>
      <c r="D122" s="24" t="s">
        <v>176</v>
      </c>
      <c r="E122" s="24" t="s">
        <v>1379</v>
      </c>
      <c r="F122" s="392"/>
      <c r="G122" s="389" t="s">
        <v>178</v>
      </c>
    </row>
    <row r="123" spans="1:7" s="394" customFormat="1" ht="36" customHeight="1">
      <c r="A123" s="1900"/>
      <c r="B123" s="1903"/>
      <c r="C123" s="393" t="s">
        <v>288</v>
      </c>
      <c r="D123" s="24" t="s">
        <v>1380</v>
      </c>
      <c r="E123" s="24" t="s">
        <v>1381</v>
      </c>
      <c r="F123" s="392"/>
      <c r="G123" s="389" t="s">
        <v>178</v>
      </c>
    </row>
    <row r="124" spans="1:7" s="394" customFormat="1" ht="36" customHeight="1">
      <c r="A124" s="1900"/>
      <c r="B124" s="1903"/>
      <c r="C124" s="393" t="s">
        <v>198</v>
      </c>
      <c r="D124" s="24" t="s">
        <v>1382</v>
      </c>
      <c r="E124" s="24" t="s">
        <v>1383</v>
      </c>
      <c r="F124" s="392" t="s">
        <v>1384</v>
      </c>
      <c r="G124" s="389" t="s">
        <v>1385</v>
      </c>
    </row>
    <row r="125" spans="1:7" s="394" customFormat="1" ht="36" customHeight="1">
      <c r="A125" s="1900"/>
      <c r="B125" s="1903"/>
      <c r="C125" s="1910" t="s">
        <v>1386</v>
      </c>
      <c r="D125" s="24" t="s">
        <v>176</v>
      </c>
      <c r="E125" s="24" t="s">
        <v>225</v>
      </c>
      <c r="F125" s="392"/>
      <c r="G125" s="1911" t="s">
        <v>1390</v>
      </c>
    </row>
    <row r="126" spans="1:7" s="394" customFormat="1" ht="36" customHeight="1">
      <c r="A126" s="1900"/>
      <c r="B126" s="1903"/>
      <c r="C126" s="1914"/>
      <c r="D126" s="24" t="s">
        <v>1350</v>
      </c>
      <c r="E126" s="24" t="s">
        <v>1388</v>
      </c>
      <c r="F126" s="392"/>
      <c r="G126" s="1913"/>
    </row>
    <row r="127" spans="1:7" s="394" customFormat="1" ht="36" customHeight="1">
      <c r="A127" s="1900"/>
      <c r="B127" s="1903"/>
      <c r="C127" s="1914"/>
      <c r="D127" s="24" t="s">
        <v>1382</v>
      </c>
      <c r="E127" s="24" t="s">
        <v>463</v>
      </c>
      <c r="F127" s="392"/>
      <c r="G127" s="1913"/>
    </row>
    <row r="128" spans="1:7" s="394" customFormat="1" ht="36" customHeight="1">
      <c r="A128" s="1900"/>
      <c r="B128" s="1903"/>
      <c r="C128" s="1914"/>
      <c r="D128" s="24" t="s">
        <v>1363</v>
      </c>
      <c r="E128" s="31" t="s">
        <v>463</v>
      </c>
      <c r="F128" s="392"/>
      <c r="G128" s="1913"/>
    </row>
    <row r="129" spans="1:7" s="394" customFormat="1" ht="36" customHeight="1" thickBot="1">
      <c r="A129" s="1900"/>
      <c r="B129" s="1903"/>
      <c r="C129" s="1932"/>
      <c r="D129" s="24" t="s">
        <v>1387</v>
      </c>
      <c r="E129" s="37" t="s">
        <v>1389</v>
      </c>
      <c r="F129" s="391"/>
      <c r="G129" s="1933"/>
    </row>
    <row r="130" spans="1:7" s="394" customFormat="1" ht="36" customHeight="1" thickBot="1">
      <c r="A130" s="1901"/>
      <c r="B130" s="1904"/>
      <c r="C130" s="12"/>
      <c r="D130" s="11"/>
      <c r="E130" s="10"/>
      <c r="F130" s="10"/>
      <c r="G130" s="9"/>
    </row>
    <row r="131" spans="1:7" s="394" customFormat="1" ht="36" customHeight="1">
      <c r="A131" s="1899">
        <v>45007</v>
      </c>
      <c r="B131" s="1902" t="s">
        <v>32</v>
      </c>
      <c r="C131" s="393" t="s">
        <v>1362</v>
      </c>
      <c r="D131" s="24" t="s">
        <v>411</v>
      </c>
      <c r="E131" s="24" t="s">
        <v>182</v>
      </c>
      <c r="F131" s="392"/>
      <c r="G131" s="389"/>
    </row>
    <row r="132" spans="1:7" s="394" customFormat="1" ht="36" customHeight="1">
      <c r="A132" s="1900"/>
      <c r="B132" s="1903"/>
      <c r="C132" s="393" t="s">
        <v>1365</v>
      </c>
      <c r="D132" s="24" t="s">
        <v>411</v>
      </c>
      <c r="E132" s="24" t="s">
        <v>299</v>
      </c>
      <c r="F132" s="392"/>
      <c r="G132" s="389"/>
    </row>
    <row r="133" spans="1:7" s="394" customFormat="1" ht="36" customHeight="1">
      <c r="A133" s="1900"/>
      <c r="B133" s="1903"/>
      <c r="C133" s="1910" t="s">
        <v>243</v>
      </c>
      <c r="D133" s="24" t="s">
        <v>1363</v>
      </c>
      <c r="E133" s="24" t="s">
        <v>1368</v>
      </c>
      <c r="F133" s="392" t="s">
        <v>1369</v>
      </c>
      <c r="G133" s="1911" t="s">
        <v>1371</v>
      </c>
    </row>
    <row r="134" spans="1:7" s="394" customFormat="1" ht="36" customHeight="1">
      <c r="A134" s="1900"/>
      <c r="B134" s="1903"/>
      <c r="C134" s="1906"/>
      <c r="D134" s="24" t="s">
        <v>247</v>
      </c>
      <c r="E134" s="24" t="s">
        <v>1370</v>
      </c>
      <c r="F134" s="392"/>
      <c r="G134" s="1912"/>
    </row>
    <row r="135" spans="1:7" s="394" customFormat="1" ht="36" customHeight="1">
      <c r="A135" s="1900"/>
      <c r="B135" s="1903"/>
      <c r="C135" s="393" t="s">
        <v>1366</v>
      </c>
      <c r="D135" s="24" t="s">
        <v>1364</v>
      </c>
      <c r="E135" s="24" t="s">
        <v>1372</v>
      </c>
      <c r="F135" s="392"/>
      <c r="G135" s="389"/>
    </row>
    <row r="136" spans="1:7" s="394" customFormat="1" ht="36" customHeight="1">
      <c r="A136" s="1900"/>
      <c r="B136" s="1903"/>
      <c r="C136" s="393" t="s">
        <v>223</v>
      </c>
      <c r="D136" s="24" t="s">
        <v>224</v>
      </c>
      <c r="E136" s="24" t="s">
        <v>225</v>
      </c>
      <c r="F136" s="392"/>
      <c r="G136" s="389" t="s">
        <v>261</v>
      </c>
    </row>
    <row r="137" spans="1:7" s="394" customFormat="1" ht="36" customHeight="1">
      <c r="A137" s="1900"/>
      <c r="B137" s="1903"/>
      <c r="C137" s="393" t="s">
        <v>1367</v>
      </c>
      <c r="D137" s="32" t="s">
        <v>508</v>
      </c>
      <c r="E137" s="31" t="s">
        <v>1373</v>
      </c>
      <c r="F137" s="392" t="s">
        <v>1374</v>
      </c>
      <c r="G137" s="389" t="s">
        <v>261</v>
      </c>
    </row>
    <row r="138" spans="1:7" s="394" customFormat="1" ht="36" customHeight="1" thickBot="1">
      <c r="A138" s="1900"/>
      <c r="B138" s="1903"/>
      <c r="C138" s="397"/>
      <c r="D138" s="16"/>
      <c r="E138" s="15"/>
      <c r="F138" s="172"/>
      <c r="G138" s="396"/>
    </row>
    <row r="139" spans="1:7" s="394" customFormat="1" ht="36" customHeight="1" thickBot="1">
      <c r="A139" s="1901"/>
      <c r="B139" s="1904"/>
      <c r="C139" s="12"/>
      <c r="D139" s="11"/>
      <c r="E139" s="10"/>
      <c r="F139" s="10"/>
      <c r="G139" s="9"/>
    </row>
    <row r="140" spans="1:7" s="394" customFormat="1" ht="36" customHeight="1">
      <c r="A140" s="1899">
        <v>45008</v>
      </c>
      <c r="B140" s="1902" t="s">
        <v>1</v>
      </c>
      <c r="C140" s="393" t="s">
        <v>1349</v>
      </c>
      <c r="D140" s="24" t="s">
        <v>1350</v>
      </c>
      <c r="E140" s="24" t="s">
        <v>1351</v>
      </c>
      <c r="F140" s="392" t="s">
        <v>1352</v>
      </c>
      <c r="G140" s="389" t="s">
        <v>490</v>
      </c>
    </row>
    <row r="141" spans="1:7" s="394" customFormat="1" ht="36" customHeight="1">
      <c r="A141" s="1900"/>
      <c r="B141" s="1903"/>
      <c r="C141" s="1910" t="s">
        <v>1353</v>
      </c>
      <c r="D141" s="24" t="s">
        <v>1354</v>
      </c>
      <c r="E141" s="24" t="s">
        <v>193</v>
      </c>
      <c r="F141" s="392"/>
      <c r="G141" s="389"/>
    </row>
    <row r="142" spans="1:7" s="394" customFormat="1" ht="36" customHeight="1">
      <c r="A142" s="1900"/>
      <c r="B142" s="1903"/>
      <c r="C142" s="1906"/>
      <c r="D142" s="24" t="s">
        <v>1355</v>
      </c>
      <c r="E142" s="24" t="s">
        <v>180</v>
      </c>
      <c r="F142" s="392"/>
      <c r="G142" s="389"/>
    </row>
    <row r="143" spans="1:7" s="394" customFormat="1" ht="36" customHeight="1">
      <c r="A143" s="1900"/>
      <c r="B143" s="1903"/>
      <c r="C143" s="1910" t="s">
        <v>1356</v>
      </c>
      <c r="D143" s="24" t="s">
        <v>1357</v>
      </c>
      <c r="E143" s="24" t="s">
        <v>1358</v>
      </c>
      <c r="F143" s="1936" t="s">
        <v>240</v>
      </c>
      <c r="G143" s="1911" t="s">
        <v>1361</v>
      </c>
    </row>
    <row r="144" spans="1:7" s="394" customFormat="1" ht="36" customHeight="1">
      <c r="A144" s="1900"/>
      <c r="B144" s="1903"/>
      <c r="C144" s="1914"/>
      <c r="D144" s="24" t="s">
        <v>233</v>
      </c>
      <c r="E144" s="31" t="s">
        <v>1359</v>
      </c>
      <c r="F144" s="1937"/>
      <c r="G144" s="1913"/>
    </row>
    <row r="145" spans="1:7" s="394" customFormat="1" ht="36" customHeight="1" thickBot="1">
      <c r="A145" s="1900"/>
      <c r="B145" s="1903"/>
      <c r="C145" s="1932"/>
      <c r="D145" s="24" t="s">
        <v>474</v>
      </c>
      <c r="E145" s="37" t="s">
        <v>1360</v>
      </c>
      <c r="F145" s="1943"/>
      <c r="G145" s="1933"/>
    </row>
    <row r="146" spans="1:7" s="394" customFormat="1" ht="36" customHeight="1" thickBot="1">
      <c r="A146" s="1901"/>
      <c r="B146" s="1904"/>
      <c r="C146" s="12"/>
      <c r="D146" s="11"/>
      <c r="E146" s="10"/>
      <c r="F146" s="10"/>
      <c r="G146" s="9"/>
    </row>
    <row r="147" spans="1:7" s="394" customFormat="1" ht="36" customHeight="1">
      <c r="A147" s="1899">
        <v>45009</v>
      </c>
      <c r="B147" s="1902" t="s">
        <v>0</v>
      </c>
      <c r="C147" s="1905" t="s">
        <v>190</v>
      </c>
      <c r="D147" s="24" t="s">
        <v>188</v>
      </c>
      <c r="E147" s="24" t="s">
        <v>189</v>
      </c>
      <c r="F147" s="392"/>
      <c r="G147" s="389"/>
    </row>
    <row r="148" spans="1:7" s="394" customFormat="1" ht="36" customHeight="1">
      <c r="A148" s="1900"/>
      <c r="B148" s="1903"/>
      <c r="C148" s="1906"/>
      <c r="D148" s="24" t="s">
        <v>1337</v>
      </c>
      <c r="E148" s="24" t="s">
        <v>499</v>
      </c>
      <c r="F148" s="392"/>
      <c r="G148" s="389"/>
    </row>
    <row r="149" spans="1:7" s="394" customFormat="1" ht="36" customHeight="1">
      <c r="A149" s="1900"/>
      <c r="B149" s="1903"/>
      <c r="C149" s="393" t="s">
        <v>272</v>
      </c>
      <c r="D149" s="24" t="s">
        <v>1338</v>
      </c>
      <c r="E149" s="24" t="s">
        <v>1339</v>
      </c>
      <c r="F149" s="392" t="s">
        <v>1340</v>
      </c>
      <c r="G149" s="389"/>
    </row>
    <row r="150" spans="1:7" s="394" customFormat="1" ht="36" customHeight="1">
      <c r="A150" s="1900"/>
      <c r="B150" s="1903"/>
      <c r="C150" s="1910" t="s">
        <v>1341</v>
      </c>
      <c r="D150" s="24" t="s">
        <v>1342</v>
      </c>
      <c r="E150" s="24" t="s">
        <v>1343</v>
      </c>
      <c r="F150" s="392"/>
      <c r="G150" s="389"/>
    </row>
    <row r="151" spans="1:7" s="394" customFormat="1" ht="36" customHeight="1">
      <c r="A151" s="1900"/>
      <c r="B151" s="1903"/>
      <c r="C151" s="1906"/>
      <c r="D151" s="24" t="s">
        <v>196</v>
      </c>
      <c r="E151" s="24" t="s">
        <v>1344</v>
      </c>
      <c r="F151" s="392"/>
      <c r="G151" s="389"/>
    </row>
    <row r="152" spans="1:7" s="394" customFormat="1" ht="36" customHeight="1">
      <c r="A152" s="1900"/>
      <c r="B152" s="1903"/>
      <c r="C152" s="1910" t="s">
        <v>192</v>
      </c>
      <c r="D152" s="24" t="s">
        <v>176</v>
      </c>
      <c r="E152" s="24" t="s">
        <v>182</v>
      </c>
      <c r="F152" s="392"/>
      <c r="G152" s="389"/>
    </row>
    <row r="153" spans="1:7" s="394" customFormat="1" ht="36" customHeight="1">
      <c r="A153" s="1900"/>
      <c r="B153" s="1903"/>
      <c r="C153" s="1914"/>
      <c r="D153" s="32" t="s">
        <v>218</v>
      </c>
      <c r="E153" s="31" t="s">
        <v>1346</v>
      </c>
      <c r="F153" s="392"/>
      <c r="G153" s="389"/>
    </row>
    <row r="154" spans="1:7" s="394" customFormat="1" ht="36" customHeight="1" thickBot="1">
      <c r="A154" s="1900"/>
      <c r="B154" s="1903"/>
      <c r="C154" s="1932"/>
      <c r="D154" s="395" t="s">
        <v>1345</v>
      </c>
      <c r="E154" s="37" t="s">
        <v>1347</v>
      </c>
      <c r="F154" s="391"/>
      <c r="G154" s="389"/>
    </row>
    <row r="155" spans="1:7" s="394" customFormat="1" ht="36" customHeight="1" thickBot="1">
      <c r="A155" s="1901"/>
      <c r="B155" s="1904"/>
      <c r="C155" s="12"/>
      <c r="D155" s="11"/>
      <c r="E155" s="10"/>
      <c r="F155" s="10"/>
      <c r="G155" s="9"/>
    </row>
    <row r="156" spans="1:7" s="394" customFormat="1" ht="60" customHeight="1" thickBot="1">
      <c r="A156" s="1907" t="s">
        <v>5</v>
      </c>
      <c r="B156" s="1908"/>
      <c r="C156" s="1908"/>
      <c r="D156" s="1908"/>
      <c r="E156" s="1908"/>
      <c r="F156" s="1908"/>
      <c r="G156" s="1909"/>
    </row>
    <row r="157" spans="1:7" s="394" customFormat="1" ht="36" customHeight="1">
      <c r="A157" s="1899">
        <v>45012</v>
      </c>
      <c r="B157" s="1902" t="s">
        <v>4</v>
      </c>
      <c r="C157" s="1905" t="s">
        <v>198</v>
      </c>
      <c r="D157" s="24" t="s">
        <v>20</v>
      </c>
      <c r="E157" s="24" t="s">
        <v>1332</v>
      </c>
      <c r="F157" s="392"/>
      <c r="G157" s="389"/>
    </row>
    <row r="158" spans="1:7" s="394" customFormat="1" ht="36" customHeight="1">
      <c r="A158" s="1900"/>
      <c r="B158" s="1903"/>
      <c r="C158" s="1914"/>
      <c r="D158" s="24" t="s">
        <v>1331</v>
      </c>
      <c r="E158" s="24" t="s">
        <v>1333</v>
      </c>
      <c r="F158" s="392"/>
      <c r="G158" s="389"/>
    </row>
    <row r="159" spans="1:7" s="394" customFormat="1" ht="36" customHeight="1">
      <c r="A159" s="1900"/>
      <c r="B159" s="1903"/>
      <c r="C159" s="1906"/>
      <c r="D159" s="24" t="s">
        <v>1330</v>
      </c>
      <c r="E159" s="24" t="s">
        <v>1334</v>
      </c>
      <c r="F159" s="392"/>
      <c r="G159" s="389"/>
    </row>
    <row r="160" spans="1:7" s="394" customFormat="1" ht="36" customHeight="1">
      <c r="A160" s="1900"/>
      <c r="B160" s="1903"/>
      <c r="C160" s="393" t="s">
        <v>288</v>
      </c>
      <c r="D160" s="32" t="s">
        <v>442</v>
      </c>
      <c r="E160" s="31" t="s">
        <v>217</v>
      </c>
      <c r="F160" s="392"/>
      <c r="G160" s="389" t="s">
        <v>1335</v>
      </c>
    </row>
    <row r="161" spans="1:8" s="394" customFormat="1" ht="36" customHeight="1" thickBot="1">
      <c r="A161" s="1900"/>
      <c r="B161" s="1903"/>
      <c r="C161" s="388" t="s">
        <v>192</v>
      </c>
      <c r="D161" s="24" t="s">
        <v>1331</v>
      </c>
      <c r="E161" s="37" t="s">
        <v>407</v>
      </c>
      <c r="F161" s="391"/>
      <c r="G161" s="389" t="s">
        <v>1336</v>
      </c>
    </row>
    <row r="162" spans="1:8" s="394" customFormat="1" ht="36" customHeight="1" thickBot="1">
      <c r="A162" s="1901"/>
      <c r="B162" s="1904"/>
      <c r="C162" s="12"/>
      <c r="D162" s="11"/>
      <c r="E162" s="10"/>
      <c r="F162" s="10"/>
      <c r="G162" s="9"/>
    </row>
    <row r="163" spans="1:8" s="394" customFormat="1" ht="36" customHeight="1">
      <c r="A163" s="1899">
        <v>45013</v>
      </c>
      <c r="B163" s="1916" t="s">
        <v>3</v>
      </c>
      <c r="C163" s="1940" t="s">
        <v>1327</v>
      </c>
      <c r="D163" s="49" t="s">
        <v>270</v>
      </c>
      <c r="E163" s="62" t="s">
        <v>601</v>
      </c>
      <c r="F163" s="62"/>
      <c r="G163" s="1939" t="s">
        <v>178</v>
      </c>
    </row>
    <row r="164" spans="1:8" s="394" customFormat="1" ht="36" customHeight="1">
      <c r="A164" s="1900"/>
      <c r="B164" s="1917"/>
      <c r="C164" s="1941"/>
      <c r="D164" s="392" t="s">
        <v>1328</v>
      </c>
      <c r="E164" s="30" t="s">
        <v>182</v>
      </c>
      <c r="F164" s="30"/>
      <c r="G164" s="1942"/>
    </row>
    <row r="165" spans="1:8" s="394" customFormat="1" ht="36" customHeight="1">
      <c r="A165" s="1900"/>
      <c r="B165" s="1917"/>
      <c r="C165" s="1914" t="s">
        <v>1319</v>
      </c>
      <c r="D165" s="392" t="s">
        <v>1320</v>
      </c>
      <c r="E165" s="392" t="s">
        <v>1325</v>
      </c>
      <c r="F165" s="392"/>
      <c r="G165" s="390"/>
      <c r="H165" s="394" t="s">
        <v>1348</v>
      </c>
    </row>
    <row r="166" spans="1:8" s="394" customFormat="1" ht="36" customHeight="1">
      <c r="A166" s="1900"/>
      <c r="B166" s="1917"/>
      <c r="C166" s="1914"/>
      <c r="D166" s="24" t="s">
        <v>1321</v>
      </c>
      <c r="E166" s="24" t="s">
        <v>1324</v>
      </c>
      <c r="F166" s="392"/>
      <c r="G166" s="389"/>
    </row>
    <row r="167" spans="1:8" s="394" customFormat="1" ht="36" customHeight="1">
      <c r="A167" s="1900"/>
      <c r="B167" s="1917"/>
      <c r="C167" s="1906"/>
      <c r="D167" s="24" t="s">
        <v>1322</v>
      </c>
      <c r="E167" s="24" t="s">
        <v>1323</v>
      </c>
      <c r="F167" s="392" t="s">
        <v>1326</v>
      </c>
      <c r="G167" s="389"/>
    </row>
    <row r="168" spans="1:8" s="394" customFormat="1" ht="36" customHeight="1">
      <c r="A168" s="1900"/>
      <c r="B168" s="1917"/>
      <c r="C168" s="1914" t="s">
        <v>1310</v>
      </c>
      <c r="D168" s="24" t="s">
        <v>1311</v>
      </c>
      <c r="E168" s="24" t="s">
        <v>1202</v>
      </c>
      <c r="F168" s="392"/>
      <c r="G168" s="389"/>
    </row>
    <row r="169" spans="1:8" s="394" customFormat="1" ht="36" customHeight="1">
      <c r="A169" s="1900"/>
      <c r="B169" s="1917"/>
      <c r="C169" s="1914"/>
      <c r="D169" s="24" t="s">
        <v>1312</v>
      </c>
      <c r="E169" s="24" t="s">
        <v>1315</v>
      </c>
      <c r="F169" s="392"/>
      <c r="G169" s="389"/>
    </row>
    <row r="170" spans="1:8" s="394" customFormat="1" ht="36" customHeight="1">
      <c r="A170" s="1900"/>
      <c r="B170" s="1917"/>
      <c r="C170" s="1914"/>
      <c r="D170" s="24" t="s">
        <v>1313</v>
      </c>
      <c r="E170" s="24" t="s">
        <v>1316</v>
      </c>
      <c r="F170" s="392"/>
      <c r="G170" s="389"/>
    </row>
    <row r="171" spans="1:8" s="394" customFormat="1" ht="36" customHeight="1">
      <c r="A171" s="1900"/>
      <c r="B171" s="1917"/>
      <c r="C171" s="1906"/>
      <c r="D171" s="24" t="s">
        <v>1314</v>
      </c>
      <c r="E171" s="24" t="s">
        <v>1317</v>
      </c>
      <c r="F171" s="392" t="s">
        <v>1318</v>
      </c>
      <c r="G171" s="389"/>
    </row>
    <row r="172" spans="1:8" s="394" customFormat="1" ht="36" customHeight="1" thickBot="1">
      <c r="A172" s="1900"/>
      <c r="B172" s="1917"/>
      <c r="C172" s="388" t="s">
        <v>232</v>
      </c>
      <c r="D172" s="395" t="s">
        <v>1329</v>
      </c>
      <c r="E172" s="37" t="s">
        <v>226</v>
      </c>
      <c r="F172" s="391" t="s">
        <v>489</v>
      </c>
      <c r="G172" s="389"/>
    </row>
    <row r="173" spans="1:8" s="394" customFormat="1" ht="36" customHeight="1" thickBot="1">
      <c r="A173" s="1901"/>
      <c r="B173" s="1918"/>
      <c r="C173" s="12"/>
      <c r="D173" s="11"/>
      <c r="E173" s="10"/>
      <c r="F173" s="10"/>
      <c r="G173" s="9"/>
    </row>
    <row r="174" spans="1:8" s="394" customFormat="1" ht="36" customHeight="1">
      <c r="A174" s="1899">
        <v>45014</v>
      </c>
      <c r="B174" s="1902" t="s">
        <v>2</v>
      </c>
      <c r="C174" s="393" t="s">
        <v>1297</v>
      </c>
      <c r="D174" s="24" t="s">
        <v>1298</v>
      </c>
      <c r="E174" s="24" t="s">
        <v>335</v>
      </c>
      <c r="F174" s="392"/>
      <c r="G174" s="389"/>
    </row>
    <row r="175" spans="1:8" s="394" customFormat="1" ht="36" customHeight="1">
      <c r="A175" s="1900"/>
      <c r="B175" s="1903"/>
      <c r="C175" s="393" t="s">
        <v>185</v>
      </c>
      <c r="D175" s="24" t="s">
        <v>1299</v>
      </c>
      <c r="E175" s="24" t="s">
        <v>180</v>
      </c>
      <c r="F175" s="392" t="s">
        <v>1300</v>
      </c>
      <c r="G175" s="389"/>
    </row>
    <row r="176" spans="1:8" s="394" customFormat="1" ht="36" customHeight="1">
      <c r="A176" s="1900"/>
      <c r="B176" s="1903"/>
      <c r="C176" s="393" t="s">
        <v>1301</v>
      </c>
      <c r="D176" s="32" t="s">
        <v>218</v>
      </c>
      <c r="E176" s="31" t="s">
        <v>1302</v>
      </c>
      <c r="F176" s="392" t="s">
        <v>435</v>
      </c>
      <c r="G176" s="389" t="s">
        <v>1295</v>
      </c>
    </row>
    <row r="177" spans="1:8" s="394" customFormat="1" ht="36" customHeight="1">
      <c r="A177" s="1900"/>
      <c r="B177" s="1903"/>
      <c r="C177" s="1910" t="s">
        <v>237</v>
      </c>
      <c r="D177" s="395" t="s">
        <v>1303</v>
      </c>
      <c r="E177" s="37" t="s">
        <v>1304</v>
      </c>
      <c r="F177" s="24"/>
      <c r="G177" s="1911" t="s">
        <v>1308</v>
      </c>
    </row>
    <row r="178" spans="1:8" s="394" customFormat="1" ht="36" customHeight="1">
      <c r="A178" s="1900"/>
      <c r="B178" s="1903"/>
      <c r="C178" s="1914"/>
      <c r="D178" s="32" t="s">
        <v>218</v>
      </c>
      <c r="E178" s="37" t="s">
        <v>1306</v>
      </c>
      <c r="F178" s="24" t="s">
        <v>1309</v>
      </c>
      <c r="G178" s="1913"/>
    </row>
    <row r="179" spans="1:8" s="394" customFormat="1" ht="36" customHeight="1">
      <c r="A179" s="1900"/>
      <c r="B179" s="1903"/>
      <c r="C179" s="1906"/>
      <c r="D179" s="32" t="s">
        <v>1305</v>
      </c>
      <c r="E179" s="37" t="s">
        <v>1307</v>
      </c>
      <c r="F179" s="24"/>
      <c r="G179" s="1912"/>
    </row>
    <row r="180" spans="1:8" s="394" customFormat="1" ht="36" customHeight="1" thickBot="1">
      <c r="A180" s="1900"/>
      <c r="B180" s="1903"/>
      <c r="C180" s="398" t="s">
        <v>1539</v>
      </c>
      <c r="D180" s="32" t="s">
        <v>218</v>
      </c>
      <c r="E180" s="37" t="s">
        <v>230</v>
      </c>
      <c r="F180" s="400" t="s">
        <v>240</v>
      </c>
      <c r="G180" s="399" t="s">
        <v>1498</v>
      </c>
    </row>
    <row r="181" spans="1:8" s="394" customFormat="1" ht="36" customHeight="1" thickBot="1">
      <c r="A181" s="1901"/>
      <c r="B181" s="1904"/>
      <c r="C181" s="12"/>
      <c r="D181" s="11"/>
      <c r="E181" s="10"/>
      <c r="F181" s="10"/>
      <c r="G181" s="9"/>
    </row>
    <row r="182" spans="1:8" s="394" customFormat="1" ht="36" customHeight="1">
      <c r="A182" s="1899">
        <v>45015</v>
      </c>
      <c r="B182" s="1902" t="s">
        <v>1</v>
      </c>
      <c r="C182" s="1905" t="s">
        <v>1288</v>
      </c>
      <c r="D182" s="24" t="s">
        <v>1540</v>
      </c>
      <c r="E182" s="24" t="s">
        <v>217</v>
      </c>
      <c r="F182" s="405"/>
      <c r="G182" s="403"/>
    </row>
    <row r="183" spans="1:8" s="394" customFormat="1" ht="36" customHeight="1">
      <c r="A183" s="1900"/>
      <c r="B183" s="1903"/>
      <c r="C183" s="1914"/>
      <c r="D183" s="24" t="s">
        <v>221</v>
      </c>
      <c r="E183" s="24" t="s">
        <v>202</v>
      </c>
      <c r="F183" s="405"/>
      <c r="G183" s="403"/>
    </row>
    <row r="184" spans="1:8" s="394" customFormat="1" ht="36" customHeight="1">
      <c r="A184" s="1900"/>
      <c r="B184" s="1903"/>
      <c r="C184" s="1914"/>
      <c r="D184" s="24" t="s">
        <v>218</v>
      </c>
      <c r="E184" s="24" t="s">
        <v>1289</v>
      </c>
      <c r="F184" s="405" t="s">
        <v>240</v>
      </c>
      <c r="G184" s="403"/>
    </row>
    <row r="185" spans="1:8" s="401" customFormat="1" ht="36" customHeight="1">
      <c r="A185" s="1900"/>
      <c r="B185" s="1903"/>
      <c r="C185" s="1906"/>
      <c r="D185" s="24" t="s">
        <v>176</v>
      </c>
      <c r="E185" s="404" t="s">
        <v>1834</v>
      </c>
      <c r="F185" s="405"/>
      <c r="G185" s="403" t="s">
        <v>1835</v>
      </c>
    </row>
    <row r="186" spans="1:8" s="394" customFormat="1" ht="36" customHeight="1">
      <c r="A186" s="1900"/>
      <c r="B186" s="1903"/>
      <c r="C186" s="402" t="s">
        <v>1534</v>
      </c>
      <c r="D186" s="408" t="s">
        <v>514</v>
      </c>
      <c r="E186" s="37" t="s">
        <v>1480</v>
      </c>
      <c r="F186" s="24" t="s">
        <v>1535</v>
      </c>
      <c r="G186" s="403" t="s">
        <v>1536</v>
      </c>
    </row>
    <row r="187" spans="1:8" s="394" customFormat="1" ht="36" customHeight="1">
      <c r="A187" s="1900"/>
      <c r="B187" s="1903"/>
      <c r="C187" s="406" t="s">
        <v>1290</v>
      </c>
      <c r="D187" s="24" t="s">
        <v>1291</v>
      </c>
      <c r="E187" s="24" t="s">
        <v>1292</v>
      </c>
      <c r="F187" s="405"/>
      <c r="G187" s="403" t="s">
        <v>1295</v>
      </c>
    </row>
    <row r="188" spans="1:8" s="394" customFormat="1" ht="36" customHeight="1">
      <c r="A188" s="1900"/>
      <c r="B188" s="1903"/>
      <c r="C188" s="406" t="s">
        <v>634</v>
      </c>
      <c r="D188" s="24" t="s">
        <v>1541</v>
      </c>
      <c r="E188" s="24" t="s">
        <v>1293</v>
      </c>
      <c r="F188" s="405" t="s">
        <v>1294</v>
      </c>
      <c r="G188" s="403" t="s">
        <v>591</v>
      </c>
    </row>
    <row r="189" spans="1:8" s="394" customFormat="1" ht="36" customHeight="1">
      <c r="A189" s="1900"/>
      <c r="B189" s="1903"/>
      <c r="C189" s="406" t="s">
        <v>516</v>
      </c>
      <c r="D189" s="24" t="s">
        <v>194</v>
      </c>
      <c r="E189" s="24" t="s">
        <v>217</v>
      </c>
      <c r="F189" s="405"/>
      <c r="G189" s="403"/>
      <c r="H189" s="394" t="s">
        <v>1869</v>
      </c>
    </row>
    <row r="190" spans="1:8" s="394" customFormat="1" ht="36" customHeight="1">
      <c r="A190" s="1900"/>
      <c r="B190" s="1903"/>
      <c r="C190" s="406" t="s">
        <v>1846</v>
      </c>
      <c r="D190" s="32" t="s">
        <v>1847</v>
      </c>
      <c r="E190" s="31" t="s">
        <v>1848</v>
      </c>
      <c r="F190" s="405"/>
      <c r="G190" s="403" t="s">
        <v>339</v>
      </c>
      <c r="H190" s="401" t="s">
        <v>1849</v>
      </c>
    </row>
    <row r="191" spans="1:8" s="394" customFormat="1" ht="36" customHeight="1" thickBot="1">
      <c r="A191" s="1900"/>
      <c r="B191" s="1903"/>
      <c r="C191" s="397"/>
      <c r="D191" s="16"/>
      <c r="E191" s="15"/>
      <c r="F191" s="172"/>
      <c r="G191" s="396"/>
    </row>
    <row r="192" spans="1:8" s="394" customFormat="1" ht="36" customHeight="1" thickBot="1">
      <c r="A192" s="1901"/>
      <c r="B192" s="1904"/>
      <c r="C192" s="12"/>
      <c r="D192" s="11"/>
      <c r="E192" s="10"/>
      <c r="F192" s="10"/>
      <c r="G192" s="9"/>
    </row>
    <row r="193" spans="1:7" s="394" customFormat="1" ht="36" customHeight="1">
      <c r="A193" s="1899">
        <v>45016</v>
      </c>
      <c r="B193" s="1919" t="s">
        <v>0</v>
      </c>
      <c r="C193" s="406" t="s">
        <v>1283</v>
      </c>
      <c r="D193" s="24" t="s">
        <v>1284</v>
      </c>
      <c r="E193" s="24" t="s">
        <v>217</v>
      </c>
      <c r="F193" s="405"/>
      <c r="G193" s="403" t="s">
        <v>1296</v>
      </c>
    </row>
    <row r="194" spans="1:7" s="394" customFormat="1" ht="36" customHeight="1">
      <c r="A194" s="1900"/>
      <c r="B194" s="1920"/>
      <c r="C194" s="1910" t="s">
        <v>1274</v>
      </c>
      <c r="D194" s="24" t="s">
        <v>1285</v>
      </c>
      <c r="E194" s="24" t="s">
        <v>182</v>
      </c>
      <c r="F194" s="405" t="s">
        <v>1542</v>
      </c>
      <c r="G194" s="403"/>
    </row>
    <row r="195" spans="1:7" s="394" customFormat="1" ht="36" customHeight="1">
      <c r="A195" s="1900"/>
      <c r="B195" s="1920"/>
      <c r="C195" s="1914"/>
      <c r="D195" s="24" t="s">
        <v>1286</v>
      </c>
      <c r="E195" s="24" t="s">
        <v>1287</v>
      </c>
      <c r="F195" s="405"/>
      <c r="G195" s="403"/>
    </row>
    <row r="196" spans="1:7" s="394" customFormat="1" ht="36" customHeight="1">
      <c r="A196" s="1900"/>
      <c r="B196" s="1920"/>
      <c r="C196" s="1906"/>
      <c r="D196" s="24" t="s">
        <v>241</v>
      </c>
      <c r="E196" s="24" t="s">
        <v>1287</v>
      </c>
      <c r="F196" s="405"/>
      <c r="G196" s="403"/>
    </row>
    <row r="197" spans="1:7" s="407" customFormat="1" ht="36" customHeight="1">
      <c r="A197" s="1900"/>
      <c r="B197" s="1920"/>
      <c r="C197" s="1910" t="s">
        <v>1862</v>
      </c>
      <c r="D197" s="24" t="s">
        <v>1863</v>
      </c>
      <c r="E197" s="24" t="s">
        <v>1933</v>
      </c>
      <c r="F197" s="1936" t="s">
        <v>1866</v>
      </c>
      <c r="G197" s="1936" t="s">
        <v>1867</v>
      </c>
    </row>
    <row r="198" spans="1:7" s="407" customFormat="1" ht="36" customHeight="1">
      <c r="A198" s="1900"/>
      <c r="B198" s="1920"/>
      <c r="C198" s="1914"/>
      <c r="D198" s="24" t="s">
        <v>1864</v>
      </c>
      <c r="E198" s="24" t="s">
        <v>1934</v>
      </c>
      <c r="F198" s="1937"/>
      <c r="G198" s="1937"/>
    </row>
    <row r="199" spans="1:7" s="407" customFormat="1" ht="36" customHeight="1">
      <c r="A199" s="1900"/>
      <c r="B199" s="1920"/>
      <c r="C199" s="1906"/>
      <c r="D199" s="24" t="s">
        <v>1865</v>
      </c>
      <c r="E199" s="24" t="s">
        <v>1935</v>
      </c>
      <c r="F199" s="1938"/>
      <c r="G199" s="1938"/>
    </row>
    <row r="200" spans="1:7" s="394" customFormat="1" ht="36" customHeight="1">
      <c r="A200" s="1900"/>
      <c r="B200" s="1920"/>
      <c r="C200" s="21"/>
      <c r="D200" s="20"/>
      <c r="E200" s="19"/>
      <c r="F200" s="191"/>
      <c r="G200" s="396"/>
    </row>
    <row r="201" spans="1:7" s="394" customFormat="1" ht="36" customHeight="1" thickBot="1">
      <c r="A201" s="1900"/>
      <c r="B201" s="1920"/>
      <c r="C201" s="397"/>
      <c r="D201" s="16"/>
      <c r="E201" s="15"/>
      <c r="F201" s="172"/>
      <c r="G201" s="396"/>
    </row>
    <row r="202" spans="1:7" s="394" customFormat="1" ht="36" customHeight="1" thickBot="1">
      <c r="A202" s="1900"/>
      <c r="B202" s="1920"/>
      <c r="C202" s="410" t="s">
        <v>1836</v>
      </c>
      <c r="D202" s="411" t="s">
        <v>1837</v>
      </c>
      <c r="E202" s="412" t="s">
        <v>1838</v>
      </c>
      <c r="F202" s="412" t="s">
        <v>1839</v>
      </c>
      <c r="G202" s="413"/>
    </row>
    <row r="203" spans="1:7" s="401" customFormat="1" ht="36" customHeight="1" thickBot="1">
      <c r="A203" s="1901"/>
      <c r="B203" s="1921"/>
      <c r="C203" s="12" t="s">
        <v>1840</v>
      </c>
      <c r="D203" s="11" t="s">
        <v>1841</v>
      </c>
      <c r="E203" s="10" t="s">
        <v>1842</v>
      </c>
      <c r="F203" s="10" t="s">
        <v>1843</v>
      </c>
      <c r="G203" s="9"/>
    </row>
  </sheetData>
  <mergeCells count="99">
    <mergeCell ref="A49:A60"/>
    <mergeCell ref="B49:B60"/>
    <mergeCell ref="C66:C67"/>
    <mergeCell ref="C68:C71"/>
    <mergeCell ref="C133:C134"/>
    <mergeCell ref="C125:C129"/>
    <mergeCell ref="C91:C95"/>
    <mergeCell ref="C96:C97"/>
    <mergeCell ref="B76:B80"/>
    <mergeCell ref="A131:A139"/>
    <mergeCell ref="B131:B139"/>
    <mergeCell ref="A119:A130"/>
    <mergeCell ref="B119:B130"/>
    <mergeCell ref="G38:G39"/>
    <mergeCell ref="G32:G35"/>
    <mergeCell ref="C16:C18"/>
    <mergeCell ref="F17:F18"/>
    <mergeCell ref="C197:C199"/>
    <mergeCell ref="F197:F199"/>
    <mergeCell ref="G197:G199"/>
    <mergeCell ref="G133:G134"/>
    <mergeCell ref="G125:G129"/>
    <mergeCell ref="G91:G95"/>
    <mergeCell ref="C163:C164"/>
    <mergeCell ref="G163:G164"/>
    <mergeCell ref="C194:C196"/>
    <mergeCell ref="C141:C142"/>
    <mergeCell ref="C143:C145"/>
    <mergeCell ref="F143:F145"/>
    <mergeCell ref="A157:A162"/>
    <mergeCell ref="B157:B162"/>
    <mergeCell ref="C8:C9"/>
    <mergeCell ref="G8:G9"/>
    <mergeCell ref="C50:C53"/>
    <mergeCell ref="C55:C57"/>
    <mergeCell ref="G16:G18"/>
    <mergeCell ref="C38:C39"/>
    <mergeCell ref="C42:C46"/>
    <mergeCell ref="A11:A22"/>
    <mergeCell ref="B11:B22"/>
    <mergeCell ref="A23:A27"/>
    <mergeCell ref="B23:B27"/>
    <mergeCell ref="A28:G28"/>
    <mergeCell ref="A29:A40"/>
    <mergeCell ref="B29:B40"/>
    <mergeCell ref="A182:A192"/>
    <mergeCell ref="B182:B192"/>
    <mergeCell ref="A163:A173"/>
    <mergeCell ref="B163:B173"/>
    <mergeCell ref="G177:G179"/>
    <mergeCell ref="C168:C171"/>
    <mergeCell ref="C165:C167"/>
    <mergeCell ref="A174:A181"/>
    <mergeCell ref="B174:B181"/>
    <mergeCell ref="C177:C179"/>
    <mergeCell ref="C2:C5"/>
    <mergeCell ref="C6:C7"/>
    <mergeCell ref="G6:G7"/>
    <mergeCell ref="G11:G12"/>
    <mergeCell ref="C11:C12"/>
    <mergeCell ref="C157:C159"/>
    <mergeCell ref="C147:C148"/>
    <mergeCell ref="C150:C151"/>
    <mergeCell ref="C152:C154"/>
    <mergeCell ref="C29:C30"/>
    <mergeCell ref="C32:C35"/>
    <mergeCell ref="C111:C114"/>
    <mergeCell ref="A140:A146"/>
    <mergeCell ref="B140:B146"/>
    <mergeCell ref="A147:A155"/>
    <mergeCell ref="B147:B155"/>
    <mergeCell ref="A156:G156"/>
    <mergeCell ref="G143:G145"/>
    <mergeCell ref="G111:G114"/>
    <mergeCell ref="A86:A90"/>
    <mergeCell ref="B86:B90"/>
    <mergeCell ref="A91:A103"/>
    <mergeCell ref="B91:B103"/>
    <mergeCell ref="A104:A108"/>
    <mergeCell ref="B104:B108"/>
    <mergeCell ref="A109:G109"/>
    <mergeCell ref="A110:A118"/>
    <mergeCell ref="B110:B118"/>
    <mergeCell ref="A1:G1"/>
    <mergeCell ref="A2:A10"/>
    <mergeCell ref="B2:B10"/>
    <mergeCell ref="C182:C185"/>
    <mergeCell ref="A193:A203"/>
    <mergeCell ref="B193:B203"/>
    <mergeCell ref="A81:A85"/>
    <mergeCell ref="B81:B85"/>
    <mergeCell ref="A41:A48"/>
    <mergeCell ref="B41:B48"/>
    <mergeCell ref="A61:A65"/>
    <mergeCell ref="B61:B65"/>
    <mergeCell ref="A66:A74"/>
    <mergeCell ref="B66:B74"/>
    <mergeCell ref="A75:G75"/>
    <mergeCell ref="A76:A8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6"/>
  <sheetViews>
    <sheetView topLeftCell="A16" zoomScale="70" zoomScaleNormal="70" zoomScaleSheetLayoutView="70" workbookViewId="0">
      <selection activeCell="C30" sqref="A30:XFD30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394" customWidth="1"/>
    <col min="9" max="16384" width="9" style="1"/>
  </cols>
  <sheetData>
    <row r="1" spans="1:8" s="394" customFormat="1" ht="60" customHeight="1" thickBot="1">
      <c r="A1" s="1907" t="s">
        <v>5</v>
      </c>
      <c r="B1" s="1908"/>
      <c r="C1" s="1908"/>
      <c r="D1" s="1908"/>
      <c r="E1" s="1908"/>
      <c r="F1" s="1908"/>
      <c r="G1" s="1909"/>
    </row>
    <row r="2" spans="1:8" s="394" customFormat="1" ht="30" customHeight="1">
      <c r="A2" s="1899">
        <v>45019</v>
      </c>
      <c r="B2" s="1902" t="s">
        <v>4</v>
      </c>
      <c r="C2" s="417" t="s">
        <v>1854</v>
      </c>
      <c r="D2" s="24" t="s">
        <v>1855</v>
      </c>
      <c r="E2" s="24" t="s">
        <v>1856</v>
      </c>
      <c r="F2" s="416"/>
      <c r="G2" s="414"/>
    </row>
    <row r="3" spans="1:8" s="394" customFormat="1" ht="30" customHeight="1">
      <c r="A3" s="1900"/>
      <c r="B3" s="1903"/>
      <c r="C3" s="1910" t="s">
        <v>1857</v>
      </c>
      <c r="D3" s="32" t="s">
        <v>1858</v>
      </c>
      <c r="E3" s="31" t="s">
        <v>1859</v>
      </c>
      <c r="F3" s="24"/>
      <c r="G3" s="423"/>
    </row>
    <row r="4" spans="1:8" s="394" customFormat="1" ht="30" customHeight="1">
      <c r="A4" s="1900"/>
      <c r="B4" s="1903"/>
      <c r="C4" s="1906"/>
      <c r="D4" s="32" t="s">
        <v>1860</v>
      </c>
      <c r="E4" s="31" t="s">
        <v>1861</v>
      </c>
      <c r="F4" s="427"/>
      <c r="G4" s="33"/>
    </row>
    <row r="5" spans="1:8" s="407" customFormat="1" ht="30" customHeight="1">
      <c r="A5" s="1900"/>
      <c r="B5" s="1903"/>
      <c r="C5" s="1914" t="s">
        <v>1872</v>
      </c>
      <c r="D5" s="427" t="s">
        <v>1873</v>
      </c>
      <c r="E5" s="427" t="s">
        <v>1874</v>
      </c>
      <c r="F5" s="427"/>
      <c r="G5" s="424"/>
    </row>
    <row r="6" spans="1:8" s="407" customFormat="1" ht="30" customHeight="1">
      <c r="A6" s="1900"/>
      <c r="B6" s="1903"/>
      <c r="C6" s="1914"/>
      <c r="D6" s="427" t="s">
        <v>1875</v>
      </c>
      <c r="E6" s="427" t="s">
        <v>1876</v>
      </c>
      <c r="F6" s="427"/>
      <c r="G6" s="424"/>
    </row>
    <row r="7" spans="1:8" s="407" customFormat="1" ht="30" customHeight="1">
      <c r="A7" s="1900"/>
      <c r="B7" s="1903"/>
      <c r="C7" s="1914"/>
      <c r="D7" s="427" t="s">
        <v>1877</v>
      </c>
      <c r="E7" s="427" t="s">
        <v>1878</v>
      </c>
      <c r="F7" s="427"/>
      <c r="G7" s="424"/>
    </row>
    <row r="8" spans="1:8" s="407" customFormat="1" ht="30" customHeight="1">
      <c r="A8" s="1900"/>
      <c r="B8" s="1903"/>
      <c r="C8" s="1906"/>
      <c r="D8" s="427" t="s">
        <v>20</v>
      </c>
      <c r="E8" s="427" t="s">
        <v>1879</v>
      </c>
      <c r="F8" s="427" t="s">
        <v>1880</v>
      </c>
      <c r="G8" s="424"/>
    </row>
    <row r="9" spans="1:8" s="407" customFormat="1" ht="30" customHeight="1">
      <c r="A9" s="1900"/>
      <c r="B9" s="1903"/>
      <c r="C9" s="421" t="s">
        <v>51</v>
      </c>
      <c r="D9" s="24" t="s">
        <v>20</v>
      </c>
      <c r="E9" s="24" t="s">
        <v>631</v>
      </c>
      <c r="F9" s="427" t="s">
        <v>632</v>
      </c>
      <c r="G9" s="423" t="s">
        <v>37</v>
      </c>
    </row>
    <row r="10" spans="1:8" s="407" customFormat="1" ht="30" customHeight="1">
      <c r="A10" s="1900"/>
      <c r="B10" s="1903"/>
      <c r="C10" s="417" t="s">
        <v>1871</v>
      </c>
      <c r="D10" s="24" t="s">
        <v>55</v>
      </c>
      <c r="E10" s="24" t="s">
        <v>1892</v>
      </c>
      <c r="F10" s="24"/>
      <c r="G10" s="33" t="s">
        <v>501</v>
      </c>
      <c r="H10" s="407" t="s">
        <v>1870</v>
      </c>
    </row>
    <row r="11" spans="1:8" s="418" customFormat="1" ht="30" customHeight="1">
      <c r="A11" s="1900"/>
      <c r="B11" s="1903"/>
      <c r="C11" s="1910" t="s">
        <v>1901</v>
      </c>
      <c r="D11" s="24" t="s">
        <v>1902</v>
      </c>
      <c r="E11" s="24" t="s">
        <v>1903</v>
      </c>
      <c r="F11" s="24"/>
      <c r="G11" s="1911" t="s">
        <v>1906</v>
      </c>
    </row>
    <row r="12" spans="1:8" s="418" customFormat="1" ht="30" customHeight="1">
      <c r="A12" s="1900"/>
      <c r="B12" s="1903"/>
      <c r="C12" s="1914"/>
      <c r="D12" s="24" t="s">
        <v>1908</v>
      </c>
      <c r="E12" s="24" t="s">
        <v>1904</v>
      </c>
      <c r="F12" s="24"/>
      <c r="G12" s="1913"/>
    </row>
    <row r="13" spans="1:8" s="418" customFormat="1" ht="30" customHeight="1" thickBot="1">
      <c r="A13" s="1900"/>
      <c r="B13" s="1903"/>
      <c r="C13" s="1906"/>
      <c r="D13" s="416" t="s">
        <v>20</v>
      </c>
      <c r="E13" s="24" t="s">
        <v>1905</v>
      </c>
      <c r="F13" s="24" t="s">
        <v>1909</v>
      </c>
      <c r="G13" s="1912"/>
    </row>
    <row r="14" spans="1:8" s="407" customFormat="1" ht="30" hidden="1" customHeight="1">
      <c r="A14" s="1900"/>
      <c r="B14" s="1903"/>
      <c r="C14" s="48"/>
      <c r="D14" s="46"/>
      <c r="E14" s="46"/>
      <c r="F14" s="46"/>
      <c r="G14" s="45"/>
    </row>
    <row r="15" spans="1:8" s="418" customFormat="1" ht="30" hidden="1" customHeight="1" thickBot="1">
      <c r="A15" s="1900"/>
      <c r="B15" s="1903"/>
      <c r="C15" s="419"/>
      <c r="D15" s="38"/>
      <c r="E15" s="38"/>
      <c r="F15" s="38"/>
      <c r="G15" s="415"/>
    </row>
    <row r="16" spans="1:8" s="394" customFormat="1" ht="30" customHeight="1" thickBot="1">
      <c r="A16" s="1901"/>
      <c r="B16" s="1904"/>
      <c r="C16" s="12" t="s">
        <v>1844</v>
      </c>
      <c r="D16" s="11" t="s">
        <v>1845</v>
      </c>
      <c r="E16" s="10"/>
      <c r="F16" s="10" t="s">
        <v>1868</v>
      </c>
      <c r="G16" s="9"/>
    </row>
    <row r="17" spans="1:8" ht="30" customHeight="1">
      <c r="A17" s="1899">
        <v>45020</v>
      </c>
      <c r="B17" s="1902" t="s">
        <v>3</v>
      </c>
      <c r="C17" s="428" t="s">
        <v>1537</v>
      </c>
      <c r="D17" s="24" t="s">
        <v>1538</v>
      </c>
      <c r="E17" s="24" t="s">
        <v>226</v>
      </c>
      <c r="F17" s="427"/>
      <c r="G17" s="423"/>
    </row>
    <row r="18" spans="1:8" ht="30" customHeight="1">
      <c r="A18" s="1900"/>
      <c r="B18" s="1903"/>
      <c r="C18" s="422" t="s">
        <v>1886</v>
      </c>
      <c r="D18" s="24" t="s">
        <v>1887</v>
      </c>
      <c r="E18" s="24" t="s">
        <v>1888</v>
      </c>
      <c r="F18" s="427"/>
      <c r="G18" s="423"/>
      <c r="H18" s="418"/>
    </row>
    <row r="19" spans="1:8" ht="30" customHeight="1">
      <c r="A19" s="1900"/>
      <c r="B19" s="1903"/>
      <c r="C19" s="1910" t="s">
        <v>1853</v>
      </c>
      <c r="D19" s="24" t="s">
        <v>1851</v>
      </c>
      <c r="E19" s="24" t="s">
        <v>1910</v>
      </c>
      <c r="F19" s="427"/>
      <c r="G19" s="1911" t="s">
        <v>1885</v>
      </c>
      <c r="H19" s="394" t="s">
        <v>1919</v>
      </c>
    </row>
    <row r="20" spans="1:8" ht="30" customHeight="1">
      <c r="A20" s="1900"/>
      <c r="B20" s="1903"/>
      <c r="C20" s="1914"/>
      <c r="D20" s="32" t="s">
        <v>20</v>
      </c>
      <c r="E20" s="31" t="s">
        <v>1852</v>
      </c>
      <c r="F20" s="427" t="s">
        <v>1914</v>
      </c>
      <c r="G20" s="1912"/>
    </row>
    <row r="21" spans="1:8" ht="30" customHeight="1">
      <c r="A21" s="1900"/>
      <c r="B21" s="1903"/>
      <c r="C21" s="1906"/>
      <c r="D21" s="32" t="s">
        <v>1911</v>
      </c>
      <c r="E21" s="31" t="s">
        <v>1912</v>
      </c>
      <c r="F21" s="427"/>
      <c r="G21" s="424" t="s">
        <v>1913</v>
      </c>
      <c r="H21" s="418"/>
    </row>
    <row r="22" spans="1:8" s="418" customFormat="1" ht="30" customHeight="1">
      <c r="A22" s="1900"/>
      <c r="B22" s="1903"/>
      <c r="C22" s="1910" t="s">
        <v>288</v>
      </c>
      <c r="D22" s="24" t="s">
        <v>1898</v>
      </c>
      <c r="E22" s="24" t="s">
        <v>1899</v>
      </c>
      <c r="F22" s="24" t="s">
        <v>1907</v>
      </c>
      <c r="G22" s="33" t="s">
        <v>1900</v>
      </c>
      <c r="H22" s="418" t="s">
        <v>1918</v>
      </c>
    </row>
    <row r="23" spans="1:8" ht="30" customHeight="1">
      <c r="A23" s="1900"/>
      <c r="B23" s="1903"/>
      <c r="C23" s="1906"/>
      <c r="D23" s="24" t="s">
        <v>358</v>
      </c>
      <c r="E23" s="24" t="s">
        <v>1889</v>
      </c>
      <c r="F23" s="427" t="s">
        <v>366</v>
      </c>
      <c r="G23" s="33" t="s">
        <v>183</v>
      </c>
      <c r="H23" s="431"/>
    </row>
    <row r="24" spans="1:8" ht="30" customHeight="1">
      <c r="A24" s="1900"/>
      <c r="B24" s="1903"/>
      <c r="C24" s="421" t="s">
        <v>1915</v>
      </c>
      <c r="D24" s="30" t="s">
        <v>1916</v>
      </c>
      <c r="E24" s="29" t="s">
        <v>1917</v>
      </c>
      <c r="F24" s="427" t="s">
        <v>591</v>
      </c>
      <c r="G24" s="424"/>
      <c r="H24" s="418"/>
    </row>
    <row r="25" spans="1:8" ht="30" customHeight="1" thickBot="1">
      <c r="A25" s="1900"/>
      <c r="B25" s="1903"/>
      <c r="C25" s="420" t="s">
        <v>1924</v>
      </c>
      <c r="D25" s="35" t="s">
        <v>1925</v>
      </c>
      <c r="E25" s="34" t="s">
        <v>1926</v>
      </c>
      <c r="F25" s="426"/>
      <c r="G25" s="425"/>
      <c r="H25" s="418"/>
    </row>
    <row r="26" spans="1:8" ht="30" customHeight="1" thickBot="1">
      <c r="A26" s="1901"/>
      <c r="B26" s="1904"/>
      <c r="C26" s="12"/>
      <c r="D26" s="11"/>
      <c r="E26" s="10"/>
      <c r="F26" s="10"/>
      <c r="G26" s="9"/>
    </row>
    <row r="27" spans="1:8" ht="30" customHeight="1">
      <c r="A27" s="1899">
        <v>45021</v>
      </c>
      <c r="B27" s="1902" t="s">
        <v>2</v>
      </c>
      <c r="C27" s="441" t="s">
        <v>1881</v>
      </c>
      <c r="D27" s="24" t="s">
        <v>1882</v>
      </c>
      <c r="E27" s="24" t="s">
        <v>1883</v>
      </c>
      <c r="F27" s="440" t="s">
        <v>1884</v>
      </c>
      <c r="G27" s="438"/>
    </row>
    <row r="28" spans="1:8" ht="30" customHeight="1">
      <c r="A28" s="1900"/>
      <c r="B28" s="1903"/>
      <c r="C28" s="1910" t="s">
        <v>1893</v>
      </c>
      <c r="D28" s="24" t="s">
        <v>1894</v>
      </c>
      <c r="E28" s="24" t="s">
        <v>1895</v>
      </c>
      <c r="F28" s="440"/>
      <c r="G28" s="438"/>
    </row>
    <row r="29" spans="1:8" ht="30" customHeight="1">
      <c r="A29" s="1900"/>
      <c r="B29" s="1903"/>
      <c r="C29" s="1906"/>
      <c r="D29" s="32" t="s">
        <v>1896</v>
      </c>
      <c r="E29" s="31" t="s">
        <v>1897</v>
      </c>
      <c r="F29" s="24"/>
      <c r="G29" s="33"/>
    </row>
    <row r="30" spans="1:8" ht="30" customHeight="1">
      <c r="A30" s="1900"/>
      <c r="B30" s="1903"/>
      <c r="C30" s="436" t="s">
        <v>1920</v>
      </c>
      <c r="D30" s="30" t="s">
        <v>1921</v>
      </c>
      <c r="E30" s="29" t="s">
        <v>1922</v>
      </c>
      <c r="F30" s="440" t="s">
        <v>1923</v>
      </c>
      <c r="G30" s="439" t="s">
        <v>45</v>
      </c>
      <c r="H30" s="431"/>
    </row>
    <row r="31" spans="1:8" ht="30" customHeight="1">
      <c r="A31" s="1900"/>
      <c r="B31" s="1903"/>
      <c r="C31" s="441" t="s">
        <v>1928</v>
      </c>
      <c r="D31" s="32" t="s">
        <v>1929</v>
      </c>
      <c r="E31" s="31" t="s">
        <v>1927</v>
      </c>
      <c r="F31" s="24"/>
      <c r="G31" s="33"/>
    </row>
    <row r="32" spans="1:8" ht="30" customHeight="1" thickBot="1">
      <c r="A32" s="1900"/>
      <c r="B32" s="1903"/>
      <c r="C32" s="430"/>
      <c r="D32" s="28"/>
      <c r="E32" s="27"/>
      <c r="F32" s="434"/>
      <c r="G32" s="433"/>
      <c r="H32" s="431"/>
    </row>
    <row r="33" spans="1:8" ht="30" hidden="1" customHeight="1" thickBot="1">
      <c r="A33" s="1900"/>
      <c r="B33" s="1903"/>
      <c r="C33" s="429"/>
      <c r="D33" s="26"/>
      <c r="E33" s="25"/>
      <c r="F33" s="172"/>
      <c r="G33" s="432"/>
      <c r="H33" s="431"/>
    </row>
    <row r="34" spans="1:8" ht="30" customHeight="1" thickBot="1">
      <c r="A34" s="1901"/>
      <c r="B34" s="1904"/>
      <c r="C34" s="12"/>
      <c r="D34" s="11"/>
      <c r="E34" s="10"/>
      <c r="F34" s="10"/>
      <c r="G34" s="9"/>
    </row>
    <row r="35" spans="1:8" ht="30" customHeight="1">
      <c r="A35" s="1899">
        <v>45022</v>
      </c>
      <c r="B35" s="1902" t="s">
        <v>1</v>
      </c>
      <c r="C35" s="1905" t="s">
        <v>562</v>
      </c>
      <c r="D35" s="32" t="s">
        <v>224</v>
      </c>
      <c r="E35" s="31" t="s">
        <v>225</v>
      </c>
      <c r="F35" s="24"/>
      <c r="G35" s="1915" t="s">
        <v>606</v>
      </c>
      <c r="H35" s="435" t="s">
        <v>1891</v>
      </c>
    </row>
    <row r="36" spans="1:8" ht="30" customHeight="1">
      <c r="A36" s="1900"/>
      <c r="B36" s="1903"/>
      <c r="C36" s="1906"/>
      <c r="D36" s="30" t="s">
        <v>503</v>
      </c>
      <c r="E36" s="29" t="s">
        <v>180</v>
      </c>
      <c r="F36" s="440"/>
      <c r="G36" s="1913"/>
      <c r="H36" s="435" t="s">
        <v>1890</v>
      </c>
    </row>
    <row r="37" spans="1:8" ht="30" customHeight="1">
      <c r="A37" s="1900"/>
      <c r="B37" s="1903"/>
      <c r="C37" s="441" t="s">
        <v>212</v>
      </c>
      <c r="D37" s="24" t="s">
        <v>215</v>
      </c>
      <c r="E37" s="24" t="s">
        <v>213</v>
      </c>
      <c r="F37" s="440" t="s">
        <v>214</v>
      </c>
      <c r="G37" s="1912"/>
      <c r="H37" s="435"/>
    </row>
    <row r="38" spans="1:8" ht="30" customHeight="1">
      <c r="A38" s="1900"/>
      <c r="B38" s="1903"/>
      <c r="C38" s="437" t="s">
        <v>1274</v>
      </c>
      <c r="D38" s="445" t="s">
        <v>186</v>
      </c>
      <c r="E38" s="37" t="s">
        <v>326</v>
      </c>
      <c r="F38" s="440"/>
      <c r="G38" s="194"/>
    </row>
    <row r="39" spans="1:8" ht="30" customHeight="1" thickBot="1">
      <c r="A39" s="1900"/>
      <c r="B39" s="1903"/>
      <c r="C39" s="441" t="s">
        <v>1947</v>
      </c>
      <c r="D39" s="32" t="s">
        <v>1948</v>
      </c>
      <c r="E39" s="31" t="s">
        <v>1949</v>
      </c>
      <c r="F39" s="440" t="s">
        <v>1950</v>
      </c>
      <c r="G39" s="438" t="s">
        <v>1951</v>
      </c>
      <c r="H39" s="394" t="s">
        <v>1953</v>
      </c>
    </row>
    <row r="40" spans="1:8" ht="30" hidden="1" customHeight="1">
      <c r="A40" s="1900"/>
      <c r="B40" s="1903"/>
      <c r="C40" s="21"/>
      <c r="D40" s="20"/>
      <c r="E40" s="19"/>
      <c r="F40" s="22"/>
      <c r="G40" s="64"/>
      <c r="H40" s="444"/>
    </row>
    <row r="41" spans="1:8" ht="30" hidden="1" customHeight="1" thickBot="1">
      <c r="A41" s="1900"/>
      <c r="B41" s="1903"/>
      <c r="C41" s="442"/>
      <c r="D41" s="26"/>
      <c r="E41" s="25"/>
      <c r="F41" s="172"/>
      <c r="G41" s="446"/>
    </row>
    <row r="42" spans="1:8" ht="30" customHeight="1" thickBot="1">
      <c r="A42" s="1901"/>
      <c r="B42" s="1904"/>
      <c r="C42" s="12"/>
      <c r="D42" s="11"/>
      <c r="E42" s="10"/>
      <c r="F42" s="10"/>
      <c r="G42" s="9"/>
    </row>
    <row r="43" spans="1:8" ht="30" customHeight="1">
      <c r="A43" s="1899">
        <v>45023</v>
      </c>
      <c r="B43" s="1902" t="s">
        <v>31</v>
      </c>
      <c r="C43" s="1905" t="s">
        <v>479</v>
      </c>
      <c r="D43" s="24" t="s">
        <v>347</v>
      </c>
      <c r="E43" s="24" t="s">
        <v>245</v>
      </c>
      <c r="F43" s="451"/>
      <c r="G43" s="450"/>
    </row>
    <row r="44" spans="1:8" ht="30" customHeight="1">
      <c r="A44" s="1900"/>
      <c r="B44" s="1903"/>
      <c r="C44" s="1914"/>
      <c r="D44" s="32" t="s">
        <v>508</v>
      </c>
      <c r="E44" s="31" t="s">
        <v>259</v>
      </c>
      <c r="F44" s="451"/>
      <c r="G44" s="450"/>
    </row>
    <row r="45" spans="1:8" ht="30" customHeight="1">
      <c r="A45" s="1900"/>
      <c r="B45" s="1903"/>
      <c r="C45" s="1906"/>
      <c r="D45" s="32" t="s">
        <v>273</v>
      </c>
      <c r="E45" s="31" t="s">
        <v>1850</v>
      </c>
      <c r="F45" s="451"/>
      <c r="G45" s="450"/>
    </row>
    <row r="46" spans="1:8" ht="30" customHeight="1" thickBot="1">
      <c r="A46" s="1900"/>
      <c r="B46" s="1903"/>
      <c r="C46" s="452" t="s">
        <v>1944</v>
      </c>
      <c r="D46" s="32" t="s">
        <v>1945</v>
      </c>
      <c r="E46" s="31" t="s">
        <v>1946</v>
      </c>
      <c r="F46" s="24"/>
      <c r="G46" s="33"/>
    </row>
    <row r="47" spans="1:8" ht="30" hidden="1" customHeight="1">
      <c r="A47" s="1900"/>
      <c r="B47" s="1903"/>
      <c r="C47" s="443"/>
      <c r="D47" s="28"/>
      <c r="E47" s="27"/>
      <c r="F47" s="448"/>
      <c r="G47" s="447"/>
      <c r="H47" s="444"/>
    </row>
    <row r="48" spans="1:8" ht="30" hidden="1" customHeight="1" thickBot="1">
      <c r="A48" s="1900"/>
      <c r="B48" s="1903"/>
      <c r="C48" s="442"/>
      <c r="D48" s="26"/>
      <c r="E48" s="25"/>
      <c r="F48" s="172"/>
      <c r="G48" s="446"/>
      <c r="H48" s="444"/>
    </row>
    <row r="49" spans="1:10" ht="30" customHeight="1" thickBot="1">
      <c r="A49" s="1901"/>
      <c r="B49" s="1904"/>
      <c r="C49" s="12"/>
      <c r="D49" s="11"/>
      <c r="E49" s="10"/>
      <c r="F49" s="10"/>
      <c r="G49" s="9"/>
    </row>
    <row r="50" spans="1:10" ht="60" customHeight="1" thickBot="1">
      <c r="A50" s="1907" t="s">
        <v>5</v>
      </c>
      <c r="B50" s="1908"/>
      <c r="C50" s="1908"/>
      <c r="D50" s="1908"/>
      <c r="E50" s="1908"/>
      <c r="F50" s="1908"/>
      <c r="G50" s="1909"/>
    </row>
    <row r="51" spans="1:10" ht="36" customHeight="1">
      <c r="A51" s="1899">
        <v>45026</v>
      </c>
      <c r="B51" s="1902" t="s">
        <v>4</v>
      </c>
      <c r="C51" s="1905" t="s">
        <v>1954</v>
      </c>
      <c r="D51" s="24" t="s">
        <v>1955</v>
      </c>
      <c r="E51" s="24" t="s">
        <v>1956</v>
      </c>
      <c r="F51" s="463"/>
      <c r="G51" s="461"/>
    </row>
    <row r="52" spans="1:10" ht="36" customHeight="1">
      <c r="A52" s="1900"/>
      <c r="B52" s="1903"/>
      <c r="C52" s="1914"/>
      <c r="D52" s="24" t="s">
        <v>1957</v>
      </c>
      <c r="E52" s="24" t="s">
        <v>1958</v>
      </c>
      <c r="F52" s="463"/>
      <c r="G52" s="461"/>
      <c r="H52" s="444"/>
    </row>
    <row r="53" spans="1:10" ht="36" customHeight="1">
      <c r="A53" s="1900"/>
      <c r="B53" s="1903"/>
      <c r="C53" s="1914"/>
      <c r="D53" s="32" t="s">
        <v>1959</v>
      </c>
      <c r="E53" s="31" t="s">
        <v>1960</v>
      </c>
      <c r="F53" s="463"/>
      <c r="G53" s="461"/>
      <c r="H53" s="444"/>
    </row>
    <row r="54" spans="1:10" ht="36" customHeight="1">
      <c r="A54" s="1900"/>
      <c r="B54" s="1903"/>
      <c r="C54" s="1914"/>
      <c r="D54" s="24" t="s">
        <v>1961</v>
      </c>
      <c r="E54" s="24" t="s">
        <v>1956</v>
      </c>
      <c r="F54" s="463"/>
      <c r="G54" s="461"/>
      <c r="H54" s="444"/>
    </row>
    <row r="55" spans="1:10" ht="36" customHeight="1">
      <c r="A55" s="1900"/>
      <c r="B55" s="1903"/>
      <c r="C55" s="1906"/>
      <c r="D55" s="32" t="s">
        <v>1962</v>
      </c>
      <c r="E55" s="31" t="s">
        <v>1963</v>
      </c>
      <c r="F55" s="463"/>
      <c r="G55" s="461"/>
      <c r="H55" s="444"/>
    </row>
    <row r="56" spans="1:10" ht="36" customHeight="1">
      <c r="A56" s="1900"/>
      <c r="B56" s="1903"/>
      <c r="C56" s="464" t="s">
        <v>1969</v>
      </c>
      <c r="D56" s="24" t="s">
        <v>1973</v>
      </c>
      <c r="E56" s="24" t="s">
        <v>1974</v>
      </c>
      <c r="F56" s="463"/>
      <c r="G56" s="461" t="s">
        <v>1975</v>
      </c>
    </row>
    <row r="57" spans="1:10" ht="36" customHeight="1">
      <c r="A57" s="1900"/>
      <c r="B57" s="1903"/>
      <c r="C57" s="464" t="s">
        <v>1970</v>
      </c>
      <c r="D57" s="32" t="s">
        <v>1971</v>
      </c>
      <c r="E57" s="31" t="s">
        <v>1972</v>
      </c>
      <c r="F57" s="463"/>
      <c r="G57" s="461"/>
    </row>
    <row r="58" spans="1:10" ht="36" customHeight="1">
      <c r="A58" s="1900"/>
      <c r="B58" s="1903"/>
      <c r="C58" s="464" t="s">
        <v>1976</v>
      </c>
      <c r="D58" s="32" t="s">
        <v>1977</v>
      </c>
      <c r="E58" s="31" t="s">
        <v>1978</v>
      </c>
      <c r="F58" s="24"/>
      <c r="G58" s="33" t="s">
        <v>1979</v>
      </c>
    </row>
    <row r="59" spans="1:10" ht="36" customHeight="1">
      <c r="A59" s="1900"/>
      <c r="B59" s="1903"/>
      <c r="C59" s="464" t="s">
        <v>1980</v>
      </c>
      <c r="D59" s="32" t="s">
        <v>20</v>
      </c>
      <c r="E59" s="31" t="s">
        <v>1981</v>
      </c>
      <c r="F59" s="24" t="s">
        <v>172</v>
      </c>
      <c r="G59" s="33" t="s">
        <v>1982</v>
      </c>
      <c r="H59" s="455" t="s">
        <v>590</v>
      </c>
    </row>
    <row r="60" spans="1:10" s="455" customFormat="1" ht="36" customHeight="1">
      <c r="A60" s="1900"/>
      <c r="B60" s="1903"/>
      <c r="C60" s="464" t="s">
        <v>367</v>
      </c>
      <c r="D60" s="32" t="s">
        <v>315</v>
      </c>
      <c r="E60" s="31" t="s">
        <v>407</v>
      </c>
      <c r="F60" s="24" t="s">
        <v>316</v>
      </c>
      <c r="G60" s="33" t="s">
        <v>235</v>
      </c>
      <c r="H60" s="455" t="s">
        <v>1999</v>
      </c>
    </row>
    <row r="61" spans="1:10" s="455" customFormat="1" ht="36" customHeight="1">
      <c r="A61" s="1900"/>
      <c r="B61" s="1903"/>
      <c r="C61" s="459" t="s">
        <v>331</v>
      </c>
      <c r="D61" s="463" t="s">
        <v>312</v>
      </c>
      <c r="E61" s="463" t="s">
        <v>322</v>
      </c>
      <c r="F61" s="463" t="s">
        <v>401</v>
      </c>
      <c r="G61" s="462" t="s">
        <v>2000</v>
      </c>
      <c r="H61" s="449" t="s">
        <v>1952</v>
      </c>
    </row>
    <row r="62" spans="1:10" ht="36" customHeight="1">
      <c r="A62" s="1900"/>
      <c r="B62" s="1903"/>
      <c r="C62" s="464" t="s">
        <v>2005</v>
      </c>
      <c r="D62" s="32" t="s">
        <v>2009</v>
      </c>
      <c r="E62" s="31" t="s">
        <v>1981</v>
      </c>
      <c r="F62" s="24"/>
      <c r="G62" s="33" t="s">
        <v>2007</v>
      </c>
      <c r="H62" s="455" t="s">
        <v>2006</v>
      </c>
      <c r="J62" s="1" t="s">
        <v>2008</v>
      </c>
    </row>
    <row r="63" spans="1:10" ht="36" customHeight="1" thickBot="1">
      <c r="A63" s="1900"/>
      <c r="B63" s="1903"/>
      <c r="C63" s="459" t="s">
        <v>2010</v>
      </c>
      <c r="D63" s="463" t="s">
        <v>312</v>
      </c>
      <c r="E63" s="29" t="s">
        <v>2011</v>
      </c>
      <c r="F63" s="463" t="s">
        <v>2012</v>
      </c>
      <c r="G63" s="462" t="s">
        <v>2013</v>
      </c>
      <c r="H63" s="455"/>
    </row>
    <row r="64" spans="1:10" ht="36" hidden="1" customHeight="1">
      <c r="A64" s="1900"/>
      <c r="B64" s="1903"/>
      <c r="C64" s="454"/>
      <c r="D64" s="28"/>
      <c r="E64" s="27"/>
      <c r="F64" s="458"/>
      <c r="G64" s="457"/>
      <c r="H64" s="455"/>
    </row>
    <row r="65" spans="1:8" ht="36" hidden="1" customHeight="1" thickBot="1">
      <c r="A65" s="1900"/>
      <c r="B65" s="1903"/>
      <c r="C65" s="453"/>
      <c r="D65" s="26"/>
      <c r="E65" s="25"/>
      <c r="F65" s="172"/>
      <c r="G65" s="456"/>
      <c r="H65" s="455"/>
    </row>
    <row r="66" spans="1:8" ht="36" customHeight="1" thickBot="1">
      <c r="A66" s="1901"/>
      <c r="B66" s="1904"/>
      <c r="C66" s="12"/>
      <c r="D66" s="11"/>
      <c r="E66" s="10"/>
      <c r="F66" s="10"/>
      <c r="G66" s="9"/>
    </row>
    <row r="67" spans="1:8" ht="36" customHeight="1">
      <c r="A67" s="1900">
        <v>45027</v>
      </c>
      <c r="B67" s="1903" t="s">
        <v>2031</v>
      </c>
      <c r="C67" s="464" t="s">
        <v>1940</v>
      </c>
      <c r="D67" s="24" t="s">
        <v>1941</v>
      </c>
      <c r="E67" s="24" t="s">
        <v>1942</v>
      </c>
      <c r="F67" s="463" t="s">
        <v>2036</v>
      </c>
      <c r="G67" s="461" t="s">
        <v>1943</v>
      </c>
    </row>
    <row r="68" spans="1:8" ht="36" customHeight="1">
      <c r="A68" s="1900"/>
      <c r="B68" s="1903"/>
      <c r="C68" s="460" t="s">
        <v>480</v>
      </c>
      <c r="D68" s="24" t="s">
        <v>1983</v>
      </c>
      <c r="E68" s="24" t="s">
        <v>2017</v>
      </c>
      <c r="F68" s="463"/>
      <c r="G68" s="461" t="s">
        <v>2018</v>
      </c>
      <c r="H68" s="455"/>
    </row>
    <row r="69" spans="1:8" ht="36" customHeight="1">
      <c r="A69" s="1900"/>
      <c r="B69" s="1903"/>
      <c r="C69" s="1910" t="s">
        <v>1964</v>
      </c>
      <c r="D69" s="32" t="s">
        <v>1965</v>
      </c>
      <c r="E69" s="31" t="s">
        <v>1966</v>
      </c>
      <c r="F69" s="24"/>
      <c r="G69" s="1911" t="s">
        <v>2028</v>
      </c>
    </row>
    <row r="70" spans="1:8" ht="36" customHeight="1">
      <c r="A70" s="1900"/>
      <c r="B70" s="1903"/>
      <c r="C70" s="1906"/>
      <c r="D70" s="32" t="s">
        <v>1967</v>
      </c>
      <c r="E70" s="31" t="s">
        <v>1968</v>
      </c>
      <c r="F70" s="463" t="s">
        <v>2032</v>
      </c>
      <c r="G70" s="1912"/>
      <c r="H70" s="444"/>
    </row>
    <row r="71" spans="1:8" ht="36" customHeight="1">
      <c r="A71" s="1900"/>
      <c r="B71" s="1903"/>
      <c r="C71" s="1910" t="s">
        <v>2021</v>
      </c>
      <c r="D71" s="32" t="s">
        <v>315</v>
      </c>
      <c r="E71" s="31" t="s">
        <v>2022</v>
      </c>
      <c r="F71" s="24"/>
      <c r="G71" s="1911" t="s">
        <v>2001</v>
      </c>
      <c r="H71" s="444"/>
    </row>
    <row r="72" spans="1:8" ht="36" customHeight="1">
      <c r="A72" s="1900"/>
      <c r="B72" s="1903"/>
      <c r="C72" s="1914"/>
      <c r="D72" s="30" t="s">
        <v>1983</v>
      </c>
      <c r="E72" s="29" t="s">
        <v>334</v>
      </c>
      <c r="F72" s="463"/>
      <c r="G72" s="1912"/>
      <c r="H72" s="455"/>
    </row>
    <row r="73" spans="1:8" ht="36" customHeight="1">
      <c r="A73" s="1900"/>
      <c r="B73" s="1903"/>
      <c r="C73" s="1906"/>
      <c r="D73" s="30" t="s">
        <v>1983</v>
      </c>
      <c r="E73" s="29" t="s">
        <v>2023</v>
      </c>
      <c r="F73" s="463"/>
      <c r="G73" s="462" t="s">
        <v>2020</v>
      </c>
      <c r="H73" s="455" t="s">
        <v>2019</v>
      </c>
    </row>
    <row r="74" spans="1:8" ht="36" customHeight="1">
      <c r="A74" s="1900"/>
      <c r="B74" s="1903"/>
      <c r="C74" s="454" t="s">
        <v>2016</v>
      </c>
      <c r="D74" s="28" t="s">
        <v>2014</v>
      </c>
      <c r="E74" s="27" t="s">
        <v>2015</v>
      </c>
      <c r="F74" s="458"/>
      <c r="G74" s="457"/>
      <c r="H74" s="455"/>
    </row>
    <row r="75" spans="1:8" ht="36" customHeight="1" thickBot="1">
      <c r="A75" s="1900"/>
      <c r="B75" s="1903"/>
      <c r="C75" s="201"/>
      <c r="D75" s="26"/>
      <c r="E75" s="25"/>
      <c r="F75" s="172"/>
      <c r="G75" s="456"/>
      <c r="H75" s="455"/>
    </row>
    <row r="76" spans="1:8" ht="36" customHeight="1" thickBot="1">
      <c r="A76" s="1901"/>
      <c r="B76" s="1904"/>
      <c r="C76" s="12"/>
      <c r="D76" s="11"/>
      <c r="E76" s="10"/>
      <c r="F76" s="10"/>
      <c r="G76" s="9"/>
    </row>
    <row r="77" spans="1:8" ht="36" customHeight="1">
      <c r="A77" s="1899">
        <v>45028</v>
      </c>
      <c r="B77" s="1902" t="s">
        <v>2</v>
      </c>
      <c r="C77" s="36" t="s">
        <v>1930</v>
      </c>
      <c r="D77" s="49" t="s">
        <v>1931</v>
      </c>
      <c r="E77" s="49" t="s">
        <v>1932</v>
      </c>
      <c r="F77" s="49"/>
      <c r="G77" s="60"/>
    </row>
    <row r="78" spans="1:8" s="469" customFormat="1" ht="36" customHeight="1">
      <c r="A78" s="1900"/>
      <c r="B78" s="1903"/>
      <c r="C78" s="1914" t="s">
        <v>288</v>
      </c>
      <c r="D78" s="467" t="s">
        <v>454</v>
      </c>
      <c r="E78" s="467" t="s">
        <v>182</v>
      </c>
      <c r="F78" s="1937" t="s">
        <v>581</v>
      </c>
      <c r="G78" s="1913" t="s">
        <v>183</v>
      </c>
    </row>
    <row r="79" spans="1:8" s="469" customFormat="1" ht="36" customHeight="1">
      <c r="A79" s="1900"/>
      <c r="B79" s="1903"/>
      <c r="C79" s="1914"/>
      <c r="D79" s="24" t="s">
        <v>328</v>
      </c>
      <c r="E79" s="24" t="s">
        <v>282</v>
      </c>
      <c r="F79" s="1938"/>
      <c r="G79" s="1912"/>
    </row>
    <row r="80" spans="1:8" s="469" customFormat="1" ht="36" customHeight="1">
      <c r="A80" s="1900"/>
      <c r="B80" s="1903"/>
      <c r="C80" s="1914"/>
      <c r="D80" s="24" t="s">
        <v>486</v>
      </c>
      <c r="E80" s="24" t="s">
        <v>299</v>
      </c>
      <c r="F80" s="1936" t="s">
        <v>2042</v>
      </c>
      <c r="G80" s="1911" t="s">
        <v>343</v>
      </c>
    </row>
    <row r="81" spans="1:8" s="469" customFormat="1" ht="36" customHeight="1">
      <c r="A81" s="1900"/>
      <c r="B81" s="1903"/>
      <c r="C81" s="1906"/>
      <c r="D81" s="24" t="s">
        <v>337</v>
      </c>
      <c r="E81" s="24" t="s">
        <v>299</v>
      </c>
      <c r="F81" s="1938"/>
      <c r="G81" s="1912"/>
    </row>
    <row r="82" spans="1:8" ht="36" customHeight="1" thickBot="1">
      <c r="A82" s="1900"/>
      <c r="B82" s="1903"/>
      <c r="C82" s="468" t="s">
        <v>2044</v>
      </c>
      <c r="D82" s="24" t="s">
        <v>2045</v>
      </c>
      <c r="E82" s="24" t="s">
        <v>2046</v>
      </c>
      <c r="F82" s="467"/>
      <c r="G82" s="466" t="s">
        <v>2047</v>
      </c>
    </row>
    <row r="83" spans="1:8" ht="36" hidden="1" customHeight="1">
      <c r="A83" s="1900"/>
      <c r="B83" s="1903"/>
      <c r="C83" s="21"/>
      <c r="D83" s="20"/>
      <c r="E83" s="19"/>
      <c r="F83" s="191"/>
      <c r="G83" s="396"/>
    </row>
    <row r="84" spans="1:8" ht="36" hidden="1" customHeight="1" thickBot="1">
      <c r="A84" s="1900"/>
      <c r="B84" s="1903"/>
      <c r="C84" s="397"/>
      <c r="D84" s="16"/>
      <c r="E84" s="15"/>
      <c r="F84" s="172"/>
      <c r="G84" s="396"/>
    </row>
    <row r="85" spans="1:8" ht="36" customHeight="1" thickBot="1">
      <c r="A85" s="1901"/>
      <c r="B85" s="1904"/>
      <c r="C85" s="12"/>
      <c r="D85" s="11"/>
      <c r="E85" s="10"/>
      <c r="F85" s="10"/>
      <c r="G85" s="9"/>
    </row>
    <row r="86" spans="1:8" s="394" customFormat="1" ht="36" customHeight="1">
      <c r="A86" s="1900">
        <v>45029</v>
      </c>
      <c r="B86" s="1903" t="s">
        <v>2041</v>
      </c>
      <c r="C86" s="1910" t="s">
        <v>1936</v>
      </c>
      <c r="D86" s="24" t="s">
        <v>229</v>
      </c>
      <c r="E86" s="24" t="s">
        <v>1937</v>
      </c>
      <c r="F86" s="1944" t="s">
        <v>2043</v>
      </c>
      <c r="G86" s="473"/>
    </row>
    <row r="87" spans="1:8" s="394" customFormat="1" ht="36" customHeight="1">
      <c r="A87" s="1900"/>
      <c r="B87" s="1903"/>
      <c r="C87" s="1906"/>
      <c r="D87" s="24" t="s">
        <v>1938</v>
      </c>
      <c r="E87" s="24" t="s">
        <v>1939</v>
      </c>
      <c r="F87" s="1938"/>
      <c r="G87" s="473"/>
    </row>
    <row r="88" spans="1:8" s="455" customFormat="1" ht="36" customHeight="1">
      <c r="A88" s="1900"/>
      <c r="B88" s="1903"/>
      <c r="C88" s="472" t="s">
        <v>2002</v>
      </c>
      <c r="D88" s="24" t="s">
        <v>61</v>
      </c>
      <c r="E88" s="24" t="s">
        <v>389</v>
      </c>
      <c r="F88" s="475" t="s">
        <v>2004</v>
      </c>
      <c r="G88" s="1911" t="s">
        <v>63</v>
      </c>
    </row>
    <row r="89" spans="1:8" s="455" customFormat="1" ht="36" customHeight="1">
      <c r="A89" s="1900"/>
      <c r="B89" s="1903"/>
      <c r="C89" s="1910" t="s">
        <v>1984</v>
      </c>
      <c r="D89" s="24" t="s">
        <v>312</v>
      </c>
      <c r="E89" s="24" t="s">
        <v>1985</v>
      </c>
      <c r="F89" s="1936" t="s">
        <v>2003</v>
      </c>
      <c r="G89" s="1913"/>
    </row>
    <row r="90" spans="1:8" s="394" customFormat="1" ht="36" customHeight="1">
      <c r="A90" s="1900"/>
      <c r="B90" s="1903"/>
      <c r="C90" s="1906"/>
      <c r="D90" s="32" t="s">
        <v>1987</v>
      </c>
      <c r="E90" s="31" t="s">
        <v>1986</v>
      </c>
      <c r="F90" s="1938"/>
      <c r="G90" s="1912"/>
    </row>
    <row r="91" spans="1:8" s="470" customFormat="1" ht="36" customHeight="1">
      <c r="A91" s="1900"/>
      <c r="B91" s="1903"/>
      <c r="C91" s="1910" t="s">
        <v>198</v>
      </c>
      <c r="D91" s="32" t="s">
        <v>2038</v>
      </c>
      <c r="E91" s="31" t="s">
        <v>286</v>
      </c>
      <c r="F91" s="1936" t="s">
        <v>377</v>
      </c>
      <c r="G91" s="1911" t="s">
        <v>2055</v>
      </c>
    </row>
    <row r="92" spans="1:8" s="470" customFormat="1" ht="36" customHeight="1">
      <c r="A92" s="1900"/>
      <c r="B92" s="1903"/>
      <c r="C92" s="1914"/>
      <c r="D92" s="32" t="s">
        <v>378</v>
      </c>
      <c r="E92" s="31" t="s">
        <v>376</v>
      </c>
      <c r="F92" s="1937"/>
      <c r="G92" s="1913"/>
    </row>
    <row r="93" spans="1:8" s="470" customFormat="1" ht="36" customHeight="1">
      <c r="A93" s="1900"/>
      <c r="B93" s="1903"/>
      <c r="C93" s="1906"/>
      <c r="D93" s="32" t="s">
        <v>2054</v>
      </c>
      <c r="E93" s="31" t="s">
        <v>2053</v>
      </c>
      <c r="F93" s="1938"/>
      <c r="G93" s="1912"/>
    </row>
    <row r="94" spans="1:8" s="394" customFormat="1" ht="36" customHeight="1" thickBot="1">
      <c r="A94" s="1900"/>
      <c r="B94" s="1903"/>
      <c r="C94" s="397"/>
      <c r="D94" s="16"/>
      <c r="E94" s="15"/>
      <c r="F94" s="172"/>
      <c r="G94" s="396"/>
    </row>
    <row r="95" spans="1:8" s="394" customFormat="1" ht="36" customHeight="1" thickBot="1">
      <c r="A95" s="1901"/>
      <c r="B95" s="1904"/>
      <c r="C95" s="12"/>
      <c r="D95" s="11"/>
      <c r="E95" s="10"/>
      <c r="F95" s="10"/>
      <c r="G95" s="9"/>
    </row>
    <row r="96" spans="1:8" s="394" customFormat="1" ht="36" customHeight="1">
      <c r="A96" s="1899">
        <v>45030</v>
      </c>
      <c r="B96" s="1902" t="s">
        <v>0</v>
      </c>
      <c r="C96" s="1905" t="s">
        <v>2026</v>
      </c>
      <c r="D96" s="49" t="s">
        <v>2030</v>
      </c>
      <c r="E96" s="49" t="s">
        <v>182</v>
      </c>
      <c r="F96" s="49"/>
      <c r="G96" s="60"/>
      <c r="H96" s="58"/>
    </row>
    <row r="97" spans="1:8" s="470" customFormat="1" ht="36" customHeight="1">
      <c r="A97" s="1900"/>
      <c r="B97" s="1903"/>
      <c r="C97" s="1914"/>
      <c r="D97" s="475" t="s">
        <v>2048</v>
      </c>
      <c r="E97" s="475" t="s">
        <v>2049</v>
      </c>
      <c r="F97" s="475"/>
      <c r="G97" s="33"/>
      <c r="H97" s="58"/>
    </row>
    <row r="98" spans="1:8" s="394" customFormat="1" ht="36" customHeight="1">
      <c r="A98" s="1900"/>
      <c r="B98" s="1903"/>
      <c r="C98" s="1906"/>
      <c r="D98" s="475" t="s">
        <v>2024</v>
      </c>
      <c r="E98" s="475" t="s">
        <v>2025</v>
      </c>
      <c r="F98" s="475"/>
      <c r="G98" s="474"/>
      <c r="H98" s="394" t="s">
        <v>2027</v>
      </c>
    </row>
    <row r="99" spans="1:8" s="478" customFormat="1" ht="36" customHeight="1">
      <c r="A99" s="1900"/>
      <c r="B99" s="1903"/>
      <c r="C99" s="471" t="s">
        <v>2061</v>
      </c>
      <c r="D99" s="475" t="s">
        <v>43</v>
      </c>
      <c r="E99" s="475" t="s">
        <v>2062</v>
      </c>
      <c r="F99" s="475" t="s">
        <v>591</v>
      </c>
      <c r="G99" s="474" t="s">
        <v>2063</v>
      </c>
      <c r="H99" s="478" t="s">
        <v>2064</v>
      </c>
    </row>
    <row r="100" spans="1:8" s="478" customFormat="1" ht="36" customHeight="1">
      <c r="A100" s="1900"/>
      <c r="B100" s="1903"/>
      <c r="C100" s="1910" t="s">
        <v>506</v>
      </c>
      <c r="D100" s="475" t="s">
        <v>2065</v>
      </c>
      <c r="E100" s="475" t="s">
        <v>2066</v>
      </c>
      <c r="F100" s="475" t="s">
        <v>2067</v>
      </c>
      <c r="G100" s="1945" t="s">
        <v>2070</v>
      </c>
    </row>
    <row r="101" spans="1:8" s="478" customFormat="1" ht="36" customHeight="1">
      <c r="A101" s="1900"/>
      <c r="B101" s="1903"/>
      <c r="C101" s="1906"/>
      <c r="D101" s="475" t="s">
        <v>2068</v>
      </c>
      <c r="E101" s="475" t="s">
        <v>2069</v>
      </c>
      <c r="F101" s="475"/>
      <c r="G101" s="1912"/>
      <c r="H101" s="478" t="s">
        <v>2071</v>
      </c>
    </row>
    <row r="102" spans="1:8" s="394" customFormat="1" ht="36" customHeight="1">
      <c r="A102" s="1900"/>
      <c r="B102" s="1903"/>
      <c r="C102" s="476" t="s">
        <v>2072</v>
      </c>
      <c r="D102" s="32" t="s">
        <v>20</v>
      </c>
      <c r="E102" s="31" t="s">
        <v>2073</v>
      </c>
      <c r="F102" s="24" t="s">
        <v>2074</v>
      </c>
      <c r="G102" s="33"/>
    </row>
    <row r="103" spans="1:8" s="478" customFormat="1" ht="36" customHeight="1" thickBot="1">
      <c r="A103" s="1900"/>
      <c r="B103" s="1903"/>
      <c r="C103" s="477"/>
      <c r="D103" s="26"/>
      <c r="E103" s="25"/>
      <c r="F103" s="172"/>
      <c r="G103" s="479"/>
    </row>
    <row r="104" spans="1:8" s="394" customFormat="1" ht="36" customHeight="1" thickBot="1">
      <c r="A104" s="1901"/>
      <c r="B104" s="1904"/>
      <c r="C104" s="12"/>
      <c r="D104" s="11"/>
      <c r="E104" s="10"/>
      <c r="F104" s="10"/>
      <c r="G104" s="9"/>
    </row>
    <row r="105" spans="1:8" s="394" customFormat="1" ht="60" customHeight="1" thickBot="1">
      <c r="A105" s="1907" t="s">
        <v>5</v>
      </c>
      <c r="B105" s="1908"/>
      <c r="C105" s="1908"/>
      <c r="D105" s="1908"/>
      <c r="E105" s="1908"/>
      <c r="F105" s="1908"/>
      <c r="G105" s="1909"/>
    </row>
    <row r="106" spans="1:8" ht="36" customHeight="1">
      <c r="A106" s="1900">
        <v>45033</v>
      </c>
      <c r="B106" s="1903" t="s">
        <v>2037</v>
      </c>
      <c r="C106" s="1910" t="s">
        <v>477</v>
      </c>
      <c r="D106" s="24" t="s">
        <v>203</v>
      </c>
      <c r="E106" s="24" t="s">
        <v>193</v>
      </c>
      <c r="F106" s="482"/>
      <c r="G106" s="1911" t="s">
        <v>2035</v>
      </c>
      <c r="H106" s="465"/>
    </row>
    <row r="107" spans="1:8" s="394" customFormat="1" ht="36" customHeight="1">
      <c r="A107" s="1900"/>
      <c r="B107" s="1903"/>
      <c r="C107" s="1914"/>
      <c r="D107" s="24" t="s">
        <v>2033</v>
      </c>
      <c r="E107" s="24" t="s">
        <v>2034</v>
      </c>
      <c r="F107" s="482"/>
      <c r="G107" s="1913"/>
    </row>
    <row r="108" spans="1:8" s="394" customFormat="1" ht="36" customHeight="1">
      <c r="A108" s="1900"/>
      <c r="B108" s="1903"/>
      <c r="C108" s="1906"/>
      <c r="D108" s="32" t="s">
        <v>218</v>
      </c>
      <c r="E108" s="31" t="s">
        <v>1389</v>
      </c>
      <c r="F108" s="482" t="s">
        <v>172</v>
      </c>
      <c r="G108" s="1912"/>
    </row>
    <row r="109" spans="1:8" s="394" customFormat="1" ht="36" customHeight="1">
      <c r="A109" s="1900"/>
      <c r="B109" s="1903"/>
      <c r="C109" s="1910" t="s">
        <v>2075</v>
      </c>
      <c r="D109" s="32" t="s">
        <v>61</v>
      </c>
      <c r="E109" s="31" t="s">
        <v>2077</v>
      </c>
      <c r="F109" s="24"/>
      <c r="G109" s="1911" t="s">
        <v>314</v>
      </c>
    </row>
    <row r="110" spans="1:8" s="484" customFormat="1" ht="36" customHeight="1">
      <c r="A110" s="1900"/>
      <c r="B110" s="1903"/>
      <c r="C110" s="1914"/>
      <c r="D110" s="30" t="s">
        <v>20</v>
      </c>
      <c r="E110" s="29" t="s">
        <v>2078</v>
      </c>
      <c r="F110" s="482" t="s">
        <v>316</v>
      </c>
      <c r="G110" s="1913"/>
    </row>
    <row r="111" spans="1:8" s="484" customFormat="1" ht="36" customHeight="1">
      <c r="A111" s="1900"/>
      <c r="B111" s="1903"/>
      <c r="C111" s="1906"/>
      <c r="D111" s="30" t="s">
        <v>2076</v>
      </c>
      <c r="E111" s="29" t="s">
        <v>2079</v>
      </c>
      <c r="F111" s="482"/>
      <c r="G111" s="1912"/>
    </row>
    <row r="112" spans="1:8" s="484" customFormat="1" ht="36" customHeight="1">
      <c r="A112" s="1900"/>
      <c r="B112" s="1903"/>
      <c r="C112" s="480" t="s">
        <v>2085</v>
      </c>
      <c r="D112" s="30" t="s">
        <v>2086</v>
      </c>
      <c r="E112" s="29" t="s">
        <v>2087</v>
      </c>
      <c r="F112" s="482"/>
      <c r="G112" s="481" t="s">
        <v>2088</v>
      </c>
    </row>
    <row r="113" spans="1:8" s="484" customFormat="1" ht="36" customHeight="1">
      <c r="A113" s="1900"/>
      <c r="B113" s="1903"/>
      <c r="C113" s="1910" t="s">
        <v>367</v>
      </c>
      <c r="D113" s="30" t="s">
        <v>20</v>
      </c>
      <c r="E113" s="31" t="s">
        <v>2090</v>
      </c>
      <c r="F113" s="24" t="s">
        <v>2092</v>
      </c>
      <c r="G113" s="481" t="s">
        <v>380</v>
      </c>
      <c r="H113" s="484" t="s">
        <v>2091</v>
      </c>
    </row>
    <row r="114" spans="1:8" s="484" customFormat="1" ht="36" customHeight="1" thickBot="1">
      <c r="A114" s="1900"/>
      <c r="B114" s="1903"/>
      <c r="C114" s="1906"/>
      <c r="D114" s="30" t="s">
        <v>20</v>
      </c>
      <c r="E114" s="31" t="s">
        <v>2090</v>
      </c>
      <c r="F114" s="24" t="s">
        <v>2092</v>
      </c>
      <c r="G114" s="481" t="s">
        <v>380</v>
      </c>
      <c r="H114" s="484" t="s">
        <v>2103</v>
      </c>
    </row>
    <row r="115" spans="1:8" s="484" customFormat="1" ht="36" hidden="1" customHeight="1">
      <c r="A115" s="1900"/>
      <c r="B115" s="1903"/>
      <c r="C115" s="21"/>
      <c r="D115" s="20"/>
      <c r="E115" s="19"/>
      <c r="F115" s="22"/>
      <c r="G115" s="64"/>
    </row>
    <row r="116" spans="1:8" s="484" customFormat="1" ht="36" hidden="1" customHeight="1" thickBot="1">
      <c r="A116" s="1900"/>
      <c r="B116" s="1903"/>
      <c r="C116" s="483"/>
      <c r="D116" s="26"/>
      <c r="E116" s="25"/>
      <c r="F116" s="172"/>
      <c r="G116" s="485"/>
    </row>
    <row r="117" spans="1:8" s="394" customFormat="1" ht="36" customHeight="1" thickBot="1">
      <c r="A117" s="1901"/>
      <c r="B117" s="1904"/>
      <c r="C117" s="12" t="s">
        <v>496</v>
      </c>
      <c r="D117" s="11" t="s">
        <v>252</v>
      </c>
      <c r="E117" s="10" t="s">
        <v>1988</v>
      </c>
      <c r="F117" s="10" t="s">
        <v>491</v>
      </c>
      <c r="G117" s="9"/>
    </row>
    <row r="118" spans="1:8" s="394" customFormat="1" ht="36" customHeight="1">
      <c r="A118" s="1899">
        <v>45034</v>
      </c>
      <c r="B118" s="1902" t="s">
        <v>15</v>
      </c>
      <c r="C118" s="36" t="s">
        <v>331</v>
      </c>
      <c r="D118" s="49" t="s">
        <v>312</v>
      </c>
      <c r="E118" s="49" t="s">
        <v>322</v>
      </c>
      <c r="F118" s="49" t="s">
        <v>401</v>
      </c>
      <c r="G118" s="60" t="s">
        <v>2109</v>
      </c>
      <c r="H118" s="449" t="s">
        <v>1952</v>
      </c>
    </row>
    <row r="119" spans="1:8" s="470" customFormat="1" ht="36" customHeight="1">
      <c r="A119" s="1900"/>
      <c r="B119" s="1903"/>
      <c r="C119" s="486" t="s">
        <v>2050</v>
      </c>
      <c r="D119" s="30" t="s">
        <v>20</v>
      </c>
      <c r="E119" s="29" t="s">
        <v>2051</v>
      </c>
      <c r="F119" s="488" t="s">
        <v>2084</v>
      </c>
      <c r="G119" s="487" t="s">
        <v>2052</v>
      </c>
    </row>
    <row r="120" spans="1:8" s="465" customFormat="1" ht="36" customHeight="1">
      <c r="A120" s="1900"/>
      <c r="B120" s="1903"/>
      <c r="C120" s="1910" t="s">
        <v>253</v>
      </c>
      <c r="D120" s="24" t="s">
        <v>2029</v>
      </c>
      <c r="E120" s="24" t="s">
        <v>2056</v>
      </c>
      <c r="F120" s="24"/>
      <c r="G120" s="33"/>
    </row>
    <row r="121" spans="1:8" s="470" customFormat="1" ht="36" customHeight="1">
      <c r="A121" s="1900"/>
      <c r="B121" s="1903"/>
      <c r="C121" s="1914"/>
      <c r="D121" s="488" t="s">
        <v>2057</v>
      </c>
      <c r="E121" s="488" t="s">
        <v>2058</v>
      </c>
      <c r="F121" s="488"/>
      <c r="G121" s="487"/>
    </row>
    <row r="122" spans="1:8" s="470" customFormat="1" ht="36" customHeight="1">
      <c r="A122" s="1900"/>
      <c r="B122" s="1903"/>
      <c r="C122" s="1906"/>
      <c r="D122" s="488" t="s">
        <v>2059</v>
      </c>
      <c r="E122" s="488" t="s">
        <v>2060</v>
      </c>
      <c r="F122" s="488"/>
      <c r="G122" s="487"/>
    </row>
    <row r="123" spans="1:8" s="470" customFormat="1" ht="36" customHeight="1">
      <c r="A123" s="1900"/>
      <c r="B123" s="1903"/>
      <c r="C123" s="486" t="s">
        <v>2080</v>
      </c>
      <c r="D123" s="488" t="s">
        <v>2081</v>
      </c>
      <c r="E123" s="488" t="s">
        <v>2082</v>
      </c>
      <c r="F123" s="488"/>
      <c r="G123" s="487" t="s">
        <v>2083</v>
      </c>
    </row>
    <row r="124" spans="1:8" s="484" customFormat="1" ht="36" customHeight="1">
      <c r="A124" s="1900"/>
      <c r="B124" s="1903"/>
      <c r="C124" s="1910" t="s">
        <v>2075</v>
      </c>
      <c r="D124" s="32" t="s">
        <v>61</v>
      </c>
      <c r="E124" s="31" t="s">
        <v>2077</v>
      </c>
      <c r="F124" s="24"/>
      <c r="G124" s="1911" t="s">
        <v>2088</v>
      </c>
    </row>
    <row r="125" spans="1:8" s="490" customFormat="1" ht="36" customHeight="1">
      <c r="A125" s="1900"/>
      <c r="B125" s="1903"/>
      <c r="C125" s="1914"/>
      <c r="D125" s="30" t="s">
        <v>20</v>
      </c>
      <c r="E125" s="31" t="s">
        <v>2121</v>
      </c>
      <c r="F125" s="24"/>
      <c r="G125" s="1913"/>
    </row>
    <row r="126" spans="1:8" s="490" customFormat="1" ht="36" customHeight="1">
      <c r="A126" s="1900"/>
      <c r="B126" s="1903"/>
      <c r="C126" s="1906"/>
      <c r="D126" s="32" t="s">
        <v>43</v>
      </c>
      <c r="E126" s="31" t="s">
        <v>2122</v>
      </c>
      <c r="F126" s="24"/>
      <c r="G126" s="1912"/>
    </row>
    <row r="127" spans="1:8" s="470" customFormat="1" ht="36" customHeight="1">
      <c r="A127" s="1900"/>
      <c r="B127" s="1903"/>
      <c r="C127" s="489" t="s">
        <v>2093</v>
      </c>
      <c r="D127" s="32" t="s">
        <v>2094</v>
      </c>
      <c r="E127" s="31" t="s">
        <v>2095</v>
      </c>
      <c r="F127" s="24" t="s">
        <v>422</v>
      </c>
      <c r="G127" s="33" t="s">
        <v>2097</v>
      </c>
      <c r="H127" s="470" t="s">
        <v>2096</v>
      </c>
    </row>
    <row r="128" spans="1:8" s="484" customFormat="1" ht="36" customHeight="1">
      <c r="A128" s="1900"/>
      <c r="B128" s="1903"/>
      <c r="C128" s="489" t="s">
        <v>2098</v>
      </c>
      <c r="D128" s="32" t="s">
        <v>2104</v>
      </c>
      <c r="E128" s="31" t="s">
        <v>2099</v>
      </c>
      <c r="F128" s="24" t="s">
        <v>2100</v>
      </c>
      <c r="G128" s="33" t="s">
        <v>2101</v>
      </c>
      <c r="H128" s="484" t="s">
        <v>2102</v>
      </c>
    </row>
    <row r="129" spans="1:8" s="484" customFormat="1" ht="36" customHeight="1">
      <c r="A129" s="1900"/>
      <c r="B129" s="1903"/>
      <c r="C129" s="1910" t="s">
        <v>2112</v>
      </c>
      <c r="D129" s="32" t="s">
        <v>2120</v>
      </c>
      <c r="E129" s="31" t="s">
        <v>2111</v>
      </c>
      <c r="F129" s="24"/>
      <c r="G129" s="1911" t="s">
        <v>261</v>
      </c>
    </row>
    <row r="130" spans="1:8" s="490" customFormat="1" ht="36" customHeight="1">
      <c r="A130" s="1900"/>
      <c r="B130" s="1903"/>
      <c r="C130" s="1914"/>
      <c r="D130" s="30" t="s">
        <v>2116</v>
      </c>
      <c r="E130" s="29" t="s">
        <v>2117</v>
      </c>
      <c r="F130" s="488"/>
      <c r="G130" s="1913"/>
    </row>
    <row r="131" spans="1:8" s="490" customFormat="1" ht="36" customHeight="1">
      <c r="A131" s="1900"/>
      <c r="B131" s="1903"/>
      <c r="C131" s="1914"/>
      <c r="D131" s="30" t="s">
        <v>2118</v>
      </c>
      <c r="E131" s="29" t="s">
        <v>2119</v>
      </c>
      <c r="F131" s="488"/>
      <c r="G131" s="1913"/>
    </row>
    <row r="132" spans="1:8" s="484" customFormat="1" ht="36" customHeight="1">
      <c r="A132" s="1900"/>
      <c r="B132" s="1903"/>
      <c r="C132" s="1906"/>
      <c r="D132" s="30" t="s">
        <v>2113</v>
      </c>
      <c r="E132" s="29" t="s">
        <v>2110</v>
      </c>
      <c r="F132" s="488"/>
      <c r="G132" s="1912"/>
    </row>
    <row r="133" spans="1:8" s="490" customFormat="1" ht="36" customHeight="1" thickBot="1">
      <c r="A133" s="1900"/>
      <c r="B133" s="1903"/>
      <c r="C133" s="489" t="s">
        <v>2114</v>
      </c>
      <c r="D133" s="32" t="s">
        <v>20</v>
      </c>
      <c r="E133" s="31" t="s">
        <v>407</v>
      </c>
      <c r="F133" s="24" t="s">
        <v>240</v>
      </c>
      <c r="G133" s="33" t="s">
        <v>235</v>
      </c>
      <c r="H133" s="490" t="s">
        <v>2115</v>
      </c>
    </row>
    <row r="134" spans="1:8" s="394" customFormat="1" ht="36" customHeight="1" thickBot="1">
      <c r="A134" s="1901"/>
      <c r="B134" s="1904"/>
      <c r="C134" s="12" t="s">
        <v>2039</v>
      </c>
      <c r="D134" s="11" t="s">
        <v>398</v>
      </c>
      <c r="E134" s="10" t="s">
        <v>2040</v>
      </c>
      <c r="F134" s="10" t="s">
        <v>2089</v>
      </c>
      <c r="G134" s="9"/>
    </row>
    <row r="135" spans="1:8" s="490" customFormat="1" ht="36" customHeight="1">
      <c r="A135" s="1899">
        <v>45035</v>
      </c>
      <c r="B135" s="1902" t="s">
        <v>2</v>
      </c>
      <c r="C135" s="1905" t="s">
        <v>2123</v>
      </c>
      <c r="D135" s="62" t="s">
        <v>2124</v>
      </c>
      <c r="E135" s="61" t="s">
        <v>2125</v>
      </c>
      <c r="F135" s="49"/>
      <c r="G135" s="1915" t="s">
        <v>2126</v>
      </c>
    </row>
    <row r="136" spans="1:8" s="497" customFormat="1" ht="36" customHeight="1">
      <c r="A136" s="1900"/>
      <c r="B136" s="1903"/>
      <c r="C136" s="1914"/>
      <c r="D136" s="30" t="s">
        <v>2135</v>
      </c>
      <c r="E136" s="29" t="s">
        <v>2136</v>
      </c>
      <c r="F136" s="494"/>
      <c r="G136" s="1913"/>
    </row>
    <row r="137" spans="1:8" s="497" customFormat="1" ht="36" customHeight="1">
      <c r="A137" s="1900"/>
      <c r="B137" s="1903"/>
      <c r="C137" s="1906"/>
      <c r="D137" s="30" t="s">
        <v>20</v>
      </c>
      <c r="E137" s="29" t="s">
        <v>2137</v>
      </c>
      <c r="F137" s="494" t="s">
        <v>2138</v>
      </c>
      <c r="G137" s="1912"/>
    </row>
    <row r="138" spans="1:8" s="394" customFormat="1" ht="36" customHeight="1">
      <c r="A138" s="1900"/>
      <c r="B138" s="1903"/>
      <c r="C138" s="491" t="s">
        <v>506</v>
      </c>
      <c r="D138" s="494" t="s">
        <v>2130</v>
      </c>
      <c r="E138" s="494" t="s">
        <v>2127</v>
      </c>
      <c r="F138" s="494" t="s">
        <v>2128</v>
      </c>
      <c r="G138" s="493" t="s">
        <v>2129</v>
      </c>
      <c r="H138" s="490" t="s">
        <v>2131</v>
      </c>
    </row>
    <row r="139" spans="1:8" s="394" customFormat="1" ht="36" customHeight="1">
      <c r="A139" s="1900"/>
      <c r="B139" s="1903"/>
      <c r="C139" s="495" t="s">
        <v>2132</v>
      </c>
      <c r="D139" s="32" t="s">
        <v>2133</v>
      </c>
      <c r="E139" s="31" t="s">
        <v>2134</v>
      </c>
      <c r="F139" s="494"/>
      <c r="G139" s="492"/>
    </row>
    <row r="140" spans="1:8" s="497" customFormat="1" ht="36" customHeight="1">
      <c r="A140" s="1900"/>
      <c r="B140" s="1903"/>
      <c r="C140" s="495" t="s">
        <v>2142</v>
      </c>
      <c r="D140" s="32" t="s">
        <v>2139</v>
      </c>
      <c r="E140" s="31" t="s">
        <v>2140</v>
      </c>
      <c r="F140" s="24" t="s">
        <v>2143</v>
      </c>
      <c r="G140" s="33" t="s">
        <v>2141</v>
      </c>
    </row>
    <row r="141" spans="1:8" s="394" customFormat="1" ht="36" customHeight="1" thickBot="1">
      <c r="A141" s="1900"/>
      <c r="B141" s="1903"/>
      <c r="C141" s="496"/>
      <c r="D141" s="26"/>
      <c r="E141" s="25"/>
      <c r="F141" s="172"/>
      <c r="G141" s="498"/>
    </row>
    <row r="142" spans="1:8" s="394" customFormat="1" ht="36" customHeight="1" thickBot="1">
      <c r="A142" s="1901"/>
      <c r="B142" s="1904"/>
      <c r="C142" s="12" t="s">
        <v>1989</v>
      </c>
      <c r="D142" s="11" t="s">
        <v>1990</v>
      </c>
      <c r="E142" s="10" t="s">
        <v>1991</v>
      </c>
      <c r="F142" s="10" t="s">
        <v>560</v>
      </c>
      <c r="G142" s="9"/>
    </row>
    <row r="143" spans="1:8" s="394" customFormat="1" ht="36" customHeight="1">
      <c r="A143" s="1899">
        <v>45036</v>
      </c>
      <c r="B143" s="1902" t="s">
        <v>1</v>
      </c>
      <c r="C143" s="504" t="s">
        <v>175</v>
      </c>
      <c r="D143" s="24" t="s">
        <v>2106</v>
      </c>
      <c r="E143" s="24" t="s">
        <v>2107</v>
      </c>
      <c r="F143" s="503" t="s">
        <v>2105</v>
      </c>
      <c r="G143" s="501" t="s">
        <v>2108</v>
      </c>
    </row>
    <row r="144" spans="1:8" s="394" customFormat="1" ht="36" customHeight="1">
      <c r="A144" s="1900"/>
      <c r="B144" s="1903"/>
      <c r="C144" s="504" t="s">
        <v>2151</v>
      </c>
      <c r="D144" s="24" t="s">
        <v>2152</v>
      </c>
      <c r="E144" s="24" t="s">
        <v>2153</v>
      </c>
      <c r="F144" s="503" t="s">
        <v>201</v>
      </c>
      <c r="G144" s="501" t="s">
        <v>2165</v>
      </c>
    </row>
    <row r="145" spans="1:8" s="394" customFormat="1" ht="36" customHeight="1">
      <c r="A145" s="1900"/>
      <c r="B145" s="1903"/>
      <c r="C145" s="504" t="s">
        <v>2160</v>
      </c>
      <c r="D145" s="24" t="s">
        <v>2161</v>
      </c>
      <c r="E145" s="31" t="s">
        <v>2162</v>
      </c>
      <c r="F145" s="503"/>
      <c r="G145" s="501" t="s">
        <v>2163</v>
      </c>
      <c r="H145" s="394" t="s">
        <v>2164</v>
      </c>
    </row>
    <row r="146" spans="1:8" s="394" customFormat="1" ht="36" customHeight="1" thickBot="1">
      <c r="A146" s="1900"/>
      <c r="B146" s="1903"/>
      <c r="C146" s="500" t="s">
        <v>2166</v>
      </c>
      <c r="D146" s="506" t="s">
        <v>2167</v>
      </c>
      <c r="E146" s="37" t="s">
        <v>2168</v>
      </c>
      <c r="F146" s="502"/>
      <c r="G146" s="501" t="s">
        <v>261</v>
      </c>
    </row>
    <row r="147" spans="1:8" s="394" customFormat="1" ht="36" customHeight="1" thickBot="1">
      <c r="A147" s="1901"/>
      <c r="B147" s="1904"/>
      <c r="C147" s="12" t="s">
        <v>1992</v>
      </c>
      <c r="D147" s="11" t="s">
        <v>1993</v>
      </c>
      <c r="E147" s="10" t="s">
        <v>1994</v>
      </c>
      <c r="F147" s="10" t="s">
        <v>1995</v>
      </c>
      <c r="G147" s="9"/>
    </row>
    <row r="148" spans="1:8" s="499" customFormat="1" ht="36" customHeight="1">
      <c r="A148" s="1899">
        <v>45037</v>
      </c>
      <c r="B148" s="1916" t="s">
        <v>0</v>
      </c>
      <c r="C148" s="504" t="s">
        <v>2157</v>
      </c>
      <c r="D148" s="24" t="s">
        <v>2158</v>
      </c>
      <c r="E148" s="24" t="s">
        <v>2159</v>
      </c>
      <c r="F148" s="503"/>
      <c r="G148" s="501"/>
    </row>
    <row r="149" spans="1:8" s="394" customFormat="1" ht="36" customHeight="1">
      <c r="A149" s="1900"/>
      <c r="B149" s="1917"/>
      <c r="C149" s="504" t="s">
        <v>2146</v>
      </c>
      <c r="D149" s="24" t="s">
        <v>2147</v>
      </c>
      <c r="E149" s="24" t="s">
        <v>2148</v>
      </c>
      <c r="F149" s="503" t="s">
        <v>2149</v>
      </c>
      <c r="G149" s="501" t="s">
        <v>2150</v>
      </c>
    </row>
    <row r="150" spans="1:8" s="505" customFormat="1" ht="36" customHeight="1">
      <c r="A150" s="1900"/>
      <c r="B150" s="1917"/>
      <c r="C150" s="504" t="s">
        <v>2178</v>
      </c>
      <c r="D150" s="24" t="s">
        <v>615</v>
      </c>
      <c r="E150" s="24" t="s">
        <v>2179</v>
      </c>
      <c r="F150" s="503"/>
      <c r="G150" s="501"/>
    </row>
    <row r="151" spans="1:8" s="394" customFormat="1" ht="36" customHeight="1" thickBot="1">
      <c r="A151" s="1900"/>
      <c r="B151" s="1917"/>
      <c r="C151" s="504" t="s">
        <v>2154</v>
      </c>
      <c r="D151" s="24" t="s">
        <v>2155</v>
      </c>
      <c r="E151" s="24" t="s">
        <v>2156</v>
      </c>
      <c r="F151" s="503"/>
      <c r="G151" s="501" t="s">
        <v>261</v>
      </c>
    </row>
    <row r="152" spans="1:8" s="394" customFormat="1" ht="36" hidden="1" customHeight="1">
      <c r="A152" s="1900"/>
      <c r="B152" s="1917"/>
      <c r="C152" s="21"/>
      <c r="D152" s="20"/>
      <c r="E152" s="19"/>
      <c r="F152" s="191"/>
      <c r="G152" s="396"/>
    </row>
    <row r="153" spans="1:8" s="394" customFormat="1" ht="36" hidden="1" customHeight="1" thickBot="1">
      <c r="A153" s="1900"/>
      <c r="B153" s="1917"/>
      <c r="C153" s="397"/>
      <c r="D153" s="16"/>
      <c r="E153" s="15"/>
      <c r="F153" s="172"/>
      <c r="G153" s="396"/>
    </row>
    <row r="154" spans="1:8" s="394" customFormat="1" ht="36" customHeight="1" thickBot="1">
      <c r="A154" s="1901"/>
      <c r="B154" s="1918"/>
      <c r="C154" s="12"/>
      <c r="D154" s="11"/>
      <c r="E154" s="10"/>
      <c r="F154" s="10"/>
      <c r="G154" s="9"/>
    </row>
    <row r="155" spans="1:8" s="505" customFormat="1" ht="36" customHeight="1">
      <c r="A155" s="1899">
        <v>45038</v>
      </c>
      <c r="B155" s="1902" t="s">
        <v>33</v>
      </c>
      <c r="C155" s="1905" t="s">
        <v>2184</v>
      </c>
      <c r="D155" s="24" t="s">
        <v>2185</v>
      </c>
      <c r="E155" s="24" t="s">
        <v>2192</v>
      </c>
      <c r="F155" s="512" t="s">
        <v>2186</v>
      </c>
      <c r="G155" s="1915" t="s">
        <v>314</v>
      </c>
    </row>
    <row r="156" spans="1:8" s="505" customFormat="1" ht="36" customHeight="1" thickBot="1">
      <c r="A156" s="1900"/>
      <c r="B156" s="1903"/>
      <c r="C156" s="1906"/>
      <c r="D156" s="24" t="s">
        <v>2182</v>
      </c>
      <c r="E156" s="24" t="s">
        <v>2187</v>
      </c>
      <c r="F156" s="512" t="s">
        <v>2188</v>
      </c>
      <c r="G156" s="1912"/>
    </row>
    <row r="157" spans="1:8" s="505" customFormat="1" ht="36" hidden="1" customHeight="1">
      <c r="A157" s="1900"/>
      <c r="B157" s="1903"/>
      <c r="C157" s="21"/>
      <c r="D157" s="20"/>
      <c r="E157" s="19"/>
      <c r="F157" s="458"/>
      <c r="G157" s="508"/>
    </row>
    <row r="158" spans="1:8" s="505" customFormat="1" ht="36" hidden="1" customHeight="1" thickBot="1">
      <c r="A158" s="1900"/>
      <c r="B158" s="1903"/>
      <c r="C158" s="507"/>
      <c r="D158" s="16"/>
      <c r="E158" s="15"/>
      <c r="F158" s="172"/>
      <c r="G158" s="508"/>
    </row>
    <row r="159" spans="1:8" s="505" customFormat="1" ht="36" customHeight="1" thickBot="1">
      <c r="A159" s="1901"/>
      <c r="B159" s="1904"/>
      <c r="C159" s="12"/>
      <c r="D159" s="11"/>
      <c r="E159" s="10"/>
      <c r="F159" s="10"/>
      <c r="G159" s="9"/>
    </row>
    <row r="160" spans="1:8" s="394" customFormat="1" ht="60" customHeight="1" thickBot="1">
      <c r="A160" s="1907" t="s">
        <v>5</v>
      </c>
      <c r="B160" s="1908"/>
      <c r="C160" s="1908"/>
      <c r="D160" s="1908"/>
      <c r="E160" s="1908"/>
      <c r="F160" s="1908"/>
      <c r="G160" s="1909"/>
    </row>
    <row r="161" spans="1:8" s="516" customFormat="1" ht="36" customHeight="1">
      <c r="A161" s="1900">
        <v>45040</v>
      </c>
      <c r="B161" s="1903" t="s">
        <v>2307</v>
      </c>
      <c r="C161" s="519" t="s">
        <v>2144</v>
      </c>
      <c r="D161" s="24" t="s">
        <v>615</v>
      </c>
      <c r="E161" s="24" t="s">
        <v>259</v>
      </c>
      <c r="F161" s="521" t="s">
        <v>2214</v>
      </c>
      <c r="G161" s="520" t="s">
        <v>250</v>
      </c>
    </row>
    <row r="162" spans="1:8" s="499" customFormat="1" ht="36" customHeight="1">
      <c r="A162" s="1900"/>
      <c r="B162" s="1903"/>
      <c r="C162" s="1910" t="s">
        <v>2169</v>
      </c>
      <c r="D162" s="24" t="s">
        <v>2170</v>
      </c>
      <c r="E162" s="24" t="s">
        <v>2172</v>
      </c>
      <c r="F162" s="512"/>
      <c r="G162" s="1911" t="s">
        <v>2177</v>
      </c>
      <c r="H162" s="499" t="s">
        <v>744</v>
      </c>
    </row>
    <row r="163" spans="1:8" s="499" customFormat="1" ht="36" customHeight="1">
      <c r="A163" s="1900"/>
      <c r="B163" s="1903"/>
      <c r="C163" s="1914"/>
      <c r="D163" s="24" t="s">
        <v>2171</v>
      </c>
      <c r="E163" s="24" t="s">
        <v>2173</v>
      </c>
      <c r="F163" s="512"/>
      <c r="G163" s="1913"/>
    </row>
    <row r="164" spans="1:8" s="499" customFormat="1" ht="36" customHeight="1">
      <c r="A164" s="1900"/>
      <c r="B164" s="1903"/>
      <c r="C164" s="1906"/>
      <c r="D164" s="24" t="s">
        <v>20</v>
      </c>
      <c r="E164" s="24" t="s">
        <v>2174</v>
      </c>
      <c r="F164" s="512" t="s">
        <v>2175</v>
      </c>
      <c r="G164" s="1912"/>
    </row>
    <row r="165" spans="1:8" s="394" customFormat="1" ht="36" customHeight="1">
      <c r="A165" s="1900"/>
      <c r="B165" s="1903"/>
      <c r="C165" s="513" t="s">
        <v>2180</v>
      </c>
      <c r="D165" s="32" t="s">
        <v>207</v>
      </c>
      <c r="E165" s="31" t="s">
        <v>2181</v>
      </c>
      <c r="F165" s="512"/>
      <c r="G165" s="510"/>
    </row>
    <row r="166" spans="1:8" s="394" customFormat="1" ht="36" customHeight="1">
      <c r="A166" s="1900"/>
      <c r="B166" s="1903"/>
      <c r="C166" s="513" t="s">
        <v>480</v>
      </c>
      <c r="D166" s="32" t="s">
        <v>2182</v>
      </c>
      <c r="E166" s="31" t="s">
        <v>2183</v>
      </c>
      <c r="F166" s="24"/>
      <c r="G166" s="33"/>
    </row>
    <row r="167" spans="1:8" s="516" customFormat="1" ht="36" customHeight="1">
      <c r="A167" s="1900"/>
      <c r="B167" s="1903"/>
      <c r="C167" s="513" t="s">
        <v>2176</v>
      </c>
      <c r="D167" s="24" t="s">
        <v>20</v>
      </c>
      <c r="E167" s="24" t="s">
        <v>322</v>
      </c>
      <c r="F167" s="24" t="s">
        <v>38</v>
      </c>
      <c r="G167" s="33"/>
    </row>
    <row r="168" spans="1:8" s="516" customFormat="1" ht="36" customHeight="1" thickBot="1">
      <c r="A168" s="1900"/>
      <c r="B168" s="1903"/>
      <c r="C168" s="509" t="s">
        <v>2206</v>
      </c>
      <c r="D168" s="24" t="s">
        <v>20</v>
      </c>
      <c r="E168" s="512" t="s">
        <v>2207</v>
      </c>
      <c r="F168" s="512" t="s">
        <v>2208</v>
      </c>
      <c r="G168" s="511" t="s">
        <v>2209</v>
      </c>
    </row>
    <row r="169" spans="1:8" s="516" customFormat="1" ht="36" hidden="1" customHeight="1">
      <c r="A169" s="1900"/>
      <c r="B169" s="1903"/>
      <c r="C169" s="515"/>
      <c r="D169" s="458"/>
      <c r="E169" s="458"/>
      <c r="F169" s="458"/>
      <c r="G169" s="518"/>
    </row>
    <row r="170" spans="1:8" s="516" customFormat="1" ht="36" hidden="1" customHeight="1" thickBot="1">
      <c r="A170" s="1900"/>
      <c r="B170" s="1903"/>
      <c r="C170" s="514"/>
      <c r="D170" s="172"/>
      <c r="E170" s="172"/>
      <c r="F170" s="172"/>
      <c r="G170" s="517"/>
    </row>
    <row r="171" spans="1:8" s="394" customFormat="1" ht="36" customHeight="1" thickBot="1">
      <c r="A171" s="1901"/>
      <c r="B171" s="1904"/>
      <c r="C171" s="12"/>
      <c r="D171" s="11"/>
      <c r="E171" s="10"/>
      <c r="F171" s="10"/>
      <c r="G171" s="9"/>
    </row>
    <row r="172" spans="1:8" s="394" customFormat="1" ht="36" customHeight="1">
      <c r="A172" s="1899">
        <v>45041</v>
      </c>
      <c r="B172" s="1902" t="s">
        <v>3</v>
      </c>
      <c r="C172" s="522" t="s">
        <v>2196</v>
      </c>
      <c r="D172" s="24" t="s">
        <v>2197</v>
      </c>
      <c r="E172" s="24" t="s">
        <v>2236</v>
      </c>
      <c r="F172" s="521"/>
      <c r="G172" s="520"/>
    </row>
    <row r="173" spans="1:8" s="394" customFormat="1" ht="36" customHeight="1">
      <c r="A173" s="1900"/>
      <c r="B173" s="1903"/>
      <c r="C173" s="522" t="s">
        <v>2193</v>
      </c>
      <c r="D173" s="32" t="s">
        <v>2194</v>
      </c>
      <c r="E173" s="31" t="s">
        <v>2195</v>
      </c>
      <c r="F173" s="24"/>
      <c r="G173" s="33" t="s">
        <v>2198</v>
      </c>
    </row>
    <row r="174" spans="1:8" s="516" customFormat="1" ht="36" customHeight="1">
      <c r="A174" s="1900"/>
      <c r="B174" s="1903"/>
      <c r="C174" s="1910" t="s">
        <v>506</v>
      </c>
      <c r="D174" s="30" t="s">
        <v>2215</v>
      </c>
      <c r="E174" s="29" t="s">
        <v>2216</v>
      </c>
      <c r="F174" s="521"/>
      <c r="G174" s="1911" t="s">
        <v>285</v>
      </c>
    </row>
    <row r="175" spans="1:8" s="516" customFormat="1" ht="36" customHeight="1">
      <c r="A175" s="1900"/>
      <c r="B175" s="1903"/>
      <c r="C175" s="1906"/>
      <c r="D175" s="30" t="s">
        <v>2217</v>
      </c>
      <c r="E175" s="29" t="s">
        <v>2218</v>
      </c>
      <c r="F175" s="521"/>
      <c r="G175" s="1912"/>
    </row>
    <row r="176" spans="1:8" s="523" customFormat="1" ht="36" customHeight="1">
      <c r="A176" s="1900"/>
      <c r="B176" s="1903"/>
      <c r="C176" s="522" t="s">
        <v>198</v>
      </c>
      <c r="D176" s="32" t="s">
        <v>378</v>
      </c>
      <c r="E176" s="31" t="s">
        <v>438</v>
      </c>
      <c r="F176" s="521" t="s">
        <v>377</v>
      </c>
      <c r="G176" s="520" t="s">
        <v>2055</v>
      </c>
      <c r="H176" s="523" t="s">
        <v>2235</v>
      </c>
    </row>
    <row r="177" spans="1:8" s="516" customFormat="1" ht="36" customHeight="1">
      <c r="A177" s="1900"/>
      <c r="B177" s="1903"/>
      <c r="C177" s="1910" t="s">
        <v>2219</v>
      </c>
      <c r="D177" s="32" t="s">
        <v>2194</v>
      </c>
      <c r="E177" s="31" t="s">
        <v>2220</v>
      </c>
      <c r="F177" s="24"/>
      <c r="G177" s="1911" t="s">
        <v>2229</v>
      </c>
    </row>
    <row r="178" spans="1:8" s="516" customFormat="1" ht="36" customHeight="1">
      <c r="A178" s="1900"/>
      <c r="B178" s="1903"/>
      <c r="C178" s="1914"/>
      <c r="D178" s="30" t="s">
        <v>2221</v>
      </c>
      <c r="E178" s="29" t="s">
        <v>2222</v>
      </c>
      <c r="F178" s="521"/>
      <c r="G178" s="1913"/>
    </row>
    <row r="179" spans="1:8" s="516" customFormat="1" ht="36" customHeight="1">
      <c r="A179" s="1900"/>
      <c r="B179" s="1903"/>
      <c r="C179" s="1914"/>
      <c r="D179" s="32" t="s">
        <v>2223</v>
      </c>
      <c r="E179" s="31" t="s">
        <v>2224</v>
      </c>
      <c r="F179" s="24"/>
      <c r="G179" s="1913"/>
    </row>
    <row r="180" spans="1:8" s="516" customFormat="1" ht="36" customHeight="1">
      <c r="A180" s="1900"/>
      <c r="B180" s="1903"/>
      <c r="C180" s="1914"/>
      <c r="D180" s="30" t="s">
        <v>2225</v>
      </c>
      <c r="E180" s="29" t="s">
        <v>2226</v>
      </c>
      <c r="F180" s="521"/>
      <c r="G180" s="1913"/>
    </row>
    <row r="181" spans="1:8" s="516" customFormat="1" ht="36" customHeight="1">
      <c r="A181" s="1900"/>
      <c r="B181" s="1903"/>
      <c r="C181" s="1906"/>
      <c r="D181" s="30" t="s">
        <v>2227</v>
      </c>
      <c r="E181" s="29" t="s">
        <v>2228</v>
      </c>
      <c r="F181" s="521"/>
      <c r="G181" s="1912"/>
    </row>
    <row r="182" spans="1:8" s="516" customFormat="1" ht="36" customHeight="1">
      <c r="A182" s="1900"/>
      <c r="B182" s="1903"/>
      <c r="C182" s="522" t="s">
        <v>2237</v>
      </c>
      <c r="D182" s="32" t="s">
        <v>2238</v>
      </c>
      <c r="E182" s="31" t="s">
        <v>2239</v>
      </c>
      <c r="F182" s="24"/>
      <c r="G182" s="33" t="s">
        <v>2240</v>
      </c>
    </row>
    <row r="183" spans="1:8" s="516" customFormat="1" ht="36" customHeight="1" thickBot="1">
      <c r="A183" s="1900"/>
      <c r="B183" s="1903"/>
      <c r="C183" s="514"/>
      <c r="D183" s="26"/>
      <c r="E183" s="25"/>
      <c r="F183" s="172"/>
      <c r="G183" s="517"/>
    </row>
    <row r="184" spans="1:8" s="394" customFormat="1" ht="36" customHeight="1" thickBot="1">
      <c r="A184" s="1901"/>
      <c r="B184" s="1904"/>
      <c r="C184" s="12" t="s">
        <v>561</v>
      </c>
      <c r="D184" s="11" t="s">
        <v>2189</v>
      </c>
      <c r="E184" s="10" t="s">
        <v>2190</v>
      </c>
      <c r="F184" s="10" t="s">
        <v>2191</v>
      </c>
      <c r="G184" s="9"/>
    </row>
    <row r="185" spans="1:8" s="523" customFormat="1" ht="36" customHeight="1">
      <c r="A185" s="1899">
        <v>45042</v>
      </c>
      <c r="B185" s="1902" t="s">
        <v>32</v>
      </c>
      <c r="C185" s="524" t="s">
        <v>288</v>
      </c>
      <c r="D185" s="24" t="s">
        <v>176</v>
      </c>
      <c r="E185" s="24" t="s">
        <v>2145</v>
      </c>
      <c r="F185" s="526" t="s">
        <v>2213</v>
      </c>
      <c r="G185" s="525" t="s">
        <v>2252</v>
      </c>
    </row>
    <row r="186" spans="1:8" s="394" customFormat="1" ht="36" customHeight="1">
      <c r="A186" s="1900"/>
      <c r="B186" s="1903"/>
      <c r="C186" s="527" t="s">
        <v>2241</v>
      </c>
      <c r="D186" s="24" t="s">
        <v>43</v>
      </c>
      <c r="E186" s="24" t="s">
        <v>2242</v>
      </c>
      <c r="F186" s="526"/>
      <c r="G186" s="525"/>
    </row>
    <row r="187" spans="1:8" s="394" customFormat="1" ht="36" customHeight="1">
      <c r="A187" s="1900"/>
      <c r="B187" s="1903"/>
      <c r="C187" s="535" t="s">
        <v>2248</v>
      </c>
      <c r="D187" s="32" t="s">
        <v>218</v>
      </c>
      <c r="E187" s="31" t="s">
        <v>2249</v>
      </c>
      <c r="F187" s="534" t="s">
        <v>240</v>
      </c>
      <c r="G187" s="532" t="s">
        <v>2250</v>
      </c>
      <c r="H187" s="529" t="s">
        <v>2251</v>
      </c>
    </row>
    <row r="188" spans="1:8" s="394" customFormat="1" ht="36" customHeight="1" thickBot="1">
      <c r="A188" s="1900"/>
      <c r="B188" s="1903"/>
      <c r="C188" s="397"/>
      <c r="D188" s="16"/>
      <c r="E188" s="15"/>
      <c r="F188" s="172"/>
      <c r="G188" s="396"/>
    </row>
    <row r="189" spans="1:8" s="394" customFormat="1" ht="36" customHeight="1" thickBot="1">
      <c r="A189" s="1901"/>
      <c r="B189" s="1904"/>
      <c r="C189" s="12"/>
      <c r="D189" s="11"/>
      <c r="E189" s="10"/>
      <c r="F189" s="10"/>
      <c r="G189" s="9"/>
    </row>
    <row r="190" spans="1:8" s="394" customFormat="1" ht="36" customHeight="1">
      <c r="A190" s="1899">
        <v>45043</v>
      </c>
      <c r="B190" s="1902" t="s">
        <v>1</v>
      </c>
      <c r="C190" s="535" t="s">
        <v>2211</v>
      </c>
      <c r="D190" s="24" t="s">
        <v>2212</v>
      </c>
      <c r="E190" s="24" t="s">
        <v>2210</v>
      </c>
      <c r="F190" s="534"/>
      <c r="G190" s="532"/>
    </row>
    <row r="191" spans="1:8" s="394" customFormat="1" ht="36" customHeight="1">
      <c r="A191" s="1900"/>
      <c r="B191" s="1903"/>
      <c r="C191" s="1910" t="s">
        <v>2230</v>
      </c>
      <c r="D191" s="24" t="s">
        <v>2231</v>
      </c>
      <c r="E191" s="24" t="s">
        <v>2232</v>
      </c>
      <c r="F191" s="534"/>
      <c r="G191" s="532"/>
    </row>
    <row r="192" spans="1:8" s="394" customFormat="1" ht="36" customHeight="1">
      <c r="A192" s="1900"/>
      <c r="B192" s="1903"/>
      <c r="C192" s="1906"/>
      <c r="D192" s="32" t="s">
        <v>2233</v>
      </c>
      <c r="E192" s="31" t="s">
        <v>2247</v>
      </c>
      <c r="F192" s="534" t="s">
        <v>2234</v>
      </c>
      <c r="G192" s="532"/>
    </row>
    <row r="193" spans="1:8" s="529" customFormat="1" ht="36" customHeight="1">
      <c r="A193" s="1900"/>
      <c r="B193" s="1903"/>
      <c r="C193" s="535" t="s">
        <v>2243</v>
      </c>
      <c r="D193" s="24" t="s">
        <v>43</v>
      </c>
      <c r="E193" s="31" t="s">
        <v>2244</v>
      </c>
      <c r="F193" s="24" t="s">
        <v>2246</v>
      </c>
      <c r="G193" s="33" t="s">
        <v>2245</v>
      </c>
      <c r="H193" s="529" t="s">
        <v>2270</v>
      </c>
    </row>
    <row r="194" spans="1:8" s="529" customFormat="1" ht="36" customHeight="1">
      <c r="A194" s="1900"/>
      <c r="B194" s="1903"/>
      <c r="C194" s="531" t="s">
        <v>288</v>
      </c>
      <c r="D194" s="30" t="s">
        <v>2266</v>
      </c>
      <c r="E194" s="29" t="s">
        <v>2267</v>
      </c>
      <c r="F194" s="534" t="s">
        <v>2268</v>
      </c>
      <c r="G194" s="533" t="s">
        <v>2269</v>
      </c>
    </row>
    <row r="195" spans="1:8" s="394" customFormat="1" ht="36" customHeight="1" thickBot="1">
      <c r="A195" s="1900"/>
      <c r="B195" s="1903"/>
      <c r="C195" s="528"/>
      <c r="D195" s="26"/>
      <c r="E195" s="25"/>
      <c r="F195" s="172"/>
      <c r="G195" s="530"/>
    </row>
    <row r="196" spans="1:8" s="394" customFormat="1" ht="36" customHeight="1" thickBot="1">
      <c r="A196" s="1901"/>
      <c r="B196" s="1904"/>
      <c r="C196" s="12" t="s">
        <v>397</v>
      </c>
      <c r="D196" s="11" t="s">
        <v>398</v>
      </c>
      <c r="E196" s="10" t="s">
        <v>865</v>
      </c>
      <c r="F196" s="10" t="s">
        <v>1843</v>
      </c>
      <c r="G196" s="9"/>
    </row>
    <row r="197" spans="1:8" s="394" customFormat="1" ht="36" customHeight="1">
      <c r="A197" s="1899">
        <v>45044</v>
      </c>
      <c r="B197" s="1902" t="s">
        <v>0</v>
      </c>
      <c r="C197" s="1905" t="s">
        <v>253</v>
      </c>
      <c r="D197" s="24" t="s">
        <v>2199</v>
      </c>
      <c r="E197" s="24" t="s">
        <v>2200</v>
      </c>
      <c r="F197" s="539"/>
      <c r="G197" s="1915" t="s">
        <v>2287</v>
      </c>
    </row>
    <row r="198" spans="1:8" s="394" customFormat="1" ht="36" customHeight="1">
      <c r="A198" s="1900"/>
      <c r="B198" s="1903"/>
      <c r="C198" s="1914"/>
      <c r="D198" s="24" t="s">
        <v>2201</v>
      </c>
      <c r="E198" s="24" t="s">
        <v>2202</v>
      </c>
      <c r="F198" s="539"/>
      <c r="G198" s="1913"/>
    </row>
    <row r="199" spans="1:8" s="394" customFormat="1" ht="36" customHeight="1">
      <c r="A199" s="1900"/>
      <c r="B199" s="1903"/>
      <c r="C199" s="1906"/>
      <c r="D199" s="32" t="s">
        <v>2203</v>
      </c>
      <c r="E199" s="31" t="s">
        <v>2204</v>
      </c>
      <c r="F199" s="539" t="s">
        <v>2205</v>
      </c>
      <c r="G199" s="1912"/>
    </row>
    <row r="200" spans="1:8" s="529" customFormat="1" ht="36" customHeight="1">
      <c r="A200" s="1900"/>
      <c r="B200" s="1903"/>
      <c r="C200" s="1910" t="s">
        <v>2253</v>
      </c>
      <c r="D200" s="32" t="s">
        <v>2254</v>
      </c>
      <c r="E200" s="31" t="s">
        <v>2255</v>
      </c>
      <c r="F200" s="24"/>
      <c r="G200" s="33"/>
    </row>
    <row r="201" spans="1:8" s="529" customFormat="1" ht="36" customHeight="1">
      <c r="A201" s="1900"/>
      <c r="B201" s="1903"/>
      <c r="C201" s="1914"/>
      <c r="D201" s="32" t="s">
        <v>2256</v>
      </c>
      <c r="E201" s="31" t="s">
        <v>2308</v>
      </c>
      <c r="F201" s="24"/>
      <c r="G201" s="33"/>
    </row>
    <row r="202" spans="1:8" s="529" customFormat="1" ht="36" customHeight="1">
      <c r="A202" s="1900"/>
      <c r="B202" s="1903"/>
      <c r="C202" s="1914"/>
      <c r="D202" s="32" t="s">
        <v>2257</v>
      </c>
      <c r="E202" s="31" t="s">
        <v>2260</v>
      </c>
      <c r="F202" s="24"/>
      <c r="G202" s="33"/>
    </row>
    <row r="203" spans="1:8" s="529" customFormat="1" ht="36" customHeight="1">
      <c r="A203" s="1900"/>
      <c r="B203" s="1903"/>
      <c r="C203" s="1914"/>
      <c r="D203" s="32" t="s">
        <v>383</v>
      </c>
      <c r="E203" s="31" t="s">
        <v>2261</v>
      </c>
      <c r="F203" s="24"/>
      <c r="G203" s="33"/>
    </row>
    <row r="204" spans="1:8" s="536" customFormat="1" ht="36" customHeight="1">
      <c r="A204" s="1900"/>
      <c r="B204" s="1903"/>
      <c r="C204" s="1914"/>
      <c r="D204" s="32" t="s">
        <v>2259</v>
      </c>
      <c r="E204" s="31" t="s">
        <v>2262</v>
      </c>
      <c r="F204" s="24"/>
      <c r="G204" s="33"/>
    </row>
    <row r="205" spans="1:8" s="529" customFormat="1" ht="36" customHeight="1">
      <c r="A205" s="1900"/>
      <c r="B205" s="1903"/>
      <c r="C205" s="1914"/>
      <c r="D205" s="32" t="s">
        <v>2258</v>
      </c>
      <c r="E205" s="31" t="s">
        <v>2263</v>
      </c>
      <c r="F205" s="24"/>
      <c r="G205" s="33"/>
    </row>
    <row r="206" spans="1:8" s="529" customFormat="1" ht="36" customHeight="1">
      <c r="A206" s="1900"/>
      <c r="B206" s="1903"/>
      <c r="C206" s="1906"/>
      <c r="D206" s="32" t="s">
        <v>20</v>
      </c>
      <c r="E206" s="31" t="s">
        <v>2264</v>
      </c>
      <c r="F206" s="24" t="s">
        <v>2265</v>
      </c>
      <c r="G206" s="33"/>
    </row>
    <row r="207" spans="1:8" s="394" customFormat="1" ht="36" customHeight="1">
      <c r="A207" s="1900"/>
      <c r="B207" s="1903"/>
      <c r="C207" s="1910" t="s">
        <v>2271</v>
      </c>
      <c r="D207" s="32" t="s">
        <v>2272</v>
      </c>
      <c r="E207" s="31" t="s">
        <v>2273</v>
      </c>
      <c r="F207" s="24"/>
      <c r="G207" s="1911" t="s">
        <v>2278</v>
      </c>
    </row>
    <row r="208" spans="1:8" s="536" customFormat="1" ht="36" customHeight="1">
      <c r="A208" s="1900"/>
      <c r="B208" s="1903"/>
      <c r="C208" s="1906"/>
      <c r="D208" s="32" t="s">
        <v>20</v>
      </c>
      <c r="E208" s="29" t="s">
        <v>2274</v>
      </c>
      <c r="F208" s="539" t="s">
        <v>2275</v>
      </c>
      <c r="G208" s="1913"/>
    </row>
    <row r="209" spans="1:7" s="536" customFormat="1" ht="36" customHeight="1">
      <c r="A209" s="1900"/>
      <c r="B209" s="1903"/>
      <c r="C209" s="1910" t="s">
        <v>506</v>
      </c>
      <c r="D209" s="30" t="s">
        <v>2276</v>
      </c>
      <c r="E209" s="29">
        <v>145</v>
      </c>
      <c r="F209" s="539" t="s">
        <v>2277</v>
      </c>
      <c r="G209" s="1913"/>
    </row>
    <row r="210" spans="1:7" s="543" customFormat="1" ht="36" customHeight="1">
      <c r="A210" s="1900"/>
      <c r="B210" s="1903"/>
      <c r="C210" s="1906"/>
      <c r="D210" s="30" t="s">
        <v>2292</v>
      </c>
      <c r="E210" s="29" t="s">
        <v>2291</v>
      </c>
      <c r="F210" s="539"/>
      <c r="G210" s="1912"/>
    </row>
    <row r="211" spans="1:7" s="536" customFormat="1" ht="36" customHeight="1">
      <c r="A211" s="1900"/>
      <c r="B211" s="1903"/>
      <c r="C211" s="540" t="s">
        <v>2279</v>
      </c>
      <c r="D211" s="32" t="s">
        <v>2280</v>
      </c>
      <c r="E211" s="31" t="s">
        <v>2281</v>
      </c>
      <c r="F211" s="24"/>
      <c r="G211" s="33" t="s">
        <v>2282</v>
      </c>
    </row>
    <row r="212" spans="1:7" s="543" customFormat="1" ht="36" customHeight="1">
      <c r="A212" s="1900"/>
      <c r="B212" s="1903"/>
      <c r="C212" s="537" t="s">
        <v>2283</v>
      </c>
      <c r="D212" s="30" t="s">
        <v>2284</v>
      </c>
      <c r="E212" s="29" t="s">
        <v>2285</v>
      </c>
      <c r="F212" s="539"/>
      <c r="G212" s="538" t="s">
        <v>2286</v>
      </c>
    </row>
    <row r="213" spans="1:7" s="543" customFormat="1" ht="36" customHeight="1" thickBot="1">
      <c r="A213" s="1900"/>
      <c r="B213" s="1903"/>
      <c r="C213" s="537" t="s">
        <v>2288</v>
      </c>
      <c r="D213" s="30" t="s">
        <v>2289</v>
      </c>
      <c r="E213" s="29" t="s">
        <v>2290</v>
      </c>
      <c r="F213" s="539"/>
      <c r="G213" s="538"/>
    </row>
    <row r="214" spans="1:7" s="543" customFormat="1" ht="36" hidden="1" customHeight="1">
      <c r="A214" s="1900"/>
      <c r="B214" s="1903"/>
      <c r="C214" s="542"/>
      <c r="D214" s="28"/>
      <c r="E214" s="27"/>
      <c r="F214" s="458"/>
      <c r="G214" s="546"/>
    </row>
    <row r="215" spans="1:7" s="543" customFormat="1" ht="36" hidden="1" customHeight="1" thickBot="1">
      <c r="A215" s="1900"/>
      <c r="B215" s="1903"/>
      <c r="C215" s="541"/>
      <c r="D215" s="26"/>
      <c r="E215" s="25"/>
      <c r="F215" s="172"/>
      <c r="G215" s="545"/>
    </row>
    <row r="216" spans="1:7" s="394" customFormat="1" ht="36" customHeight="1" thickBot="1">
      <c r="A216" s="1901"/>
      <c r="B216" s="1904"/>
      <c r="C216" s="12"/>
      <c r="D216" s="11"/>
      <c r="E216" s="10"/>
      <c r="F216" s="10"/>
      <c r="G216" s="9"/>
    </row>
  </sheetData>
  <mergeCells count="105">
    <mergeCell ref="A190:A196"/>
    <mergeCell ref="B190:B196"/>
    <mergeCell ref="A197:A216"/>
    <mergeCell ref="C197:C199"/>
    <mergeCell ref="C209:C210"/>
    <mergeCell ref="G207:G210"/>
    <mergeCell ref="C71:C73"/>
    <mergeCell ref="C89:C90"/>
    <mergeCell ref="F89:F90"/>
    <mergeCell ref="G71:G72"/>
    <mergeCell ref="C86:C87"/>
    <mergeCell ref="C78:C81"/>
    <mergeCell ref="F78:F79"/>
    <mergeCell ref="G78:G79"/>
    <mergeCell ref="F80:F81"/>
    <mergeCell ref="G80:G81"/>
    <mergeCell ref="F86:F87"/>
    <mergeCell ref="G88:G90"/>
    <mergeCell ref="G91:G93"/>
    <mergeCell ref="C120:C122"/>
    <mergeCell ref="G106:G108"/>
    <mergeCell ref="G100:G101"/>
    <mergeCell ref="C109:C111"/>
    <mergeCell ref="G109:G111"/>
    <mergeCell ref="A135:A142"/>
    <mergeCell ref="B135:B142"/>
    <mergeCell ref="A143:A147"/>
    <mergeCell ref="B143:B147"/>
    <mergeCell ref="A148:A154"/>
    <mergeCell ref="B148:B154"/>
    <mergeCell ref="A160:G160"/>
    <mergeCell ref="A161:A171"/>
    <mergeCell ref="A172:A184"/>
    <mergeCell ref="B161:B171"/>
    <mergeCell ref="A51:A66"/>
    <mergeCell ref="C51:C55"/>
    <mergeCell ref="C69:C70"/>
    <mergeCell ref="A118:A134"/>
    <mergeCell ref="B118:B134"/>
    <mergeCell ref="A67:A76"/>
    <mergeCell ref="B67:B76"/>
    <mergeCell ref="B51:B66"/>
    <mergeCell ref="C96:C98"/>
    <mergeCell ref="C106:C108"/>
    <mergeCell ref="C100:C101"/>
    <mergeCell ref="C91:C93"/>
    <mergeCell ref="C129:C132"/>
    <mergeCell ref="C124:C126"/>
    <mergeCell ref="A77:A85"/>
    <mergeCell ref="B77:B85"/>
    <mergeCell ref="A86:A95"/>
    <mergeCell ref="B86:B95"/>
    <mergeCell ref="A96:A104"/>
    <mergeCell ref="B96:B104"/>
    <mergeCell ref="A105:G105"/>
    <mergeCell ref="G69:G70"/>
    <mergeCell ref="C113:C114"/>
    <mergeCell ref="G129:G132"/>
    <mergeCell ref="A1:G1"/>
    <mergeCell ref="A2:A16"/>
    <mergeCell ref="B2:B16"/>
    <mergeCell ref="A17:A26"/>
    <mergeCell ref="B17:B26"/>
    <mergeCell ref="C11:C13"/>
    <mergeCell ref="G11:G13"/>
    <mergeCell ref="A50:G50"/>
    <mergeCell ref="G19:G20"/>
    <mergeCell ref="C43:C45"/>
    <mergeCell ref="C22:C23"/>
    <mergeCell ref="C28:C29"/>
    <mergeCell ref="C19:C21"/>
    <mergeCell ref="G35:G37"/>
    <mergeCell ref="C35:C36"/>
    <mergeCell ref="A27:A34"/>
    <mergeCell ref="B27:B34"/>
    <mergeCell ref="A35:A42"/>
    <mergeCell ref="C3:C4"/>
    <mergeCell ref="C5:C8"/>
    <mergeCell ref="B35:B42"/>
    <mergeCell ref="A43:A49"/>
    <mergeCell ref="B43:B49"/>
    <mergeCell ref="G124:G126"/>
    <mergeCell ref="F91:F93"/>
    <mergeCell ref="C200:C206"/>
    <mergeCell ref="C207:C208"/>
    <mergeCell ref="A155:A159"/>
    <mergeCell ref="B155:B159"/>
    <mergeCell ref="C155:C156"/>
    <mergeCell ref="G155:G156"/>
    <mergeCell ref="C135:C137"/>
    <mergeCell ref="G135:G137"/>
    <mergeCell ref="B197:B216"/>
    <mergeCell ref="C162:C164"/>
    <mergeCell ref="G162:G164"/>
    <mergeCell ref="C174:C175"/>
    <mergeCell ref="G197:G199"/>
    <mergeCell ref="C177:C181"/>
    <mergeCell ref="G177:G181"/>
    <mergeCell ref="C191:C192"/>
    <mergeCell ref="A106:A117"/>
    <mergeCell ref="B106:B117"/>
    <mergeCell ref="G174:G175"/>
    <mergeCell ref="B172:B184"/>
    <mergeCell ref="A185:A189"/>
    <mergeCell ref="B185:B18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"/>
  <sheetViews>
    <sheetView topLeftCell="A152" zoomScale="70" zoomScaleNormal="70" zoomScaleSheetLayoutView="70" workbookViewId="0">
      <selection activeCell="C173" sqref="C173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543" customWidth="1"/>
    <col min="9" max="16384" width="9" style="1"/>
  </cols>
  <sheetData>
    <row r="1" spans="1:8" s="543" customFormat="1" ht="60" customHeight="1" thickBot="1">
      <c r="A1" s="1907" t="s">
        <v>5</v>
      </c>
      <c r="B1" s="1908"/>
      <c r="C1" s="1908"/>
      <c r="D1" s="1908"/>
      <c r="E1" s="1908"/>
      <c r="F1" s="1908"/>
      <c r="G1" s="1909"/>
    </row>
    <row r="2" spans="1:8" s="550" customFormat="1" ht="36" customHeight="1">
      <c r="A2" s="1899">
        <v>45048</v>
      </c>
      <c r="B2" s="1902" t="s">
        <v>3</v>
      </c>
      <c r="C2" s="1905" t="s">
        <v>1274</v>
      </c>
      <c r="D2" s="24" t="s">
        <v>262</v>
      </c>
      <c r="E2" s="24" t="s">
        <v>2312</v>
      </c>
      <c r="F2" s="556"/>
      <c r="G2" s="554"/>
    </row>
    <row r="3" spans="1:8" s="550" customFormat="1" ht="36" customHeight="1">
      <c r="A3" s="1900"/>
      <c r="B3" s="1903"/>
      <c r="C3" s="1914"/>
      <c r="D3" s="24" t="s">
        <v>241</v>
      </c>
      <c r="E3" s="24" t="s">
        <v>1278</v>
      </c>
      <c r="F3" s="556"/>
      <c r="G3" s="554"/>
    </row>
    <row r="4" spans="1:8" s="550" customFormat="1" ht="36" customHeight="1">
      <c r="A4" s="1900"/>
      <c r="B4" s="1903"/>
      <c r="C4" s="1906"/>
      <c r="D4" s="32" t="s">
        <v>218</v>
      </c>
      <c r="E4" s="31" t="s">
        <v>202</v>
      </c>
      <c r="F4" s="556" t="s">
        <v>240</v>
      </c>
      <c r="G4" s="554"/>
    </row>
    <row r="5" spans="1:8" s="550" customFormat="1" ht="36" customHeight="1">
      <c r="A5" s="1900"/>
      <c r="B5" s="1903"/>
      <c r="C5" s="557" t="s">
        <v>272</v>
      </c>
      <c r="D5" s="32" t="s">
        <v>176</v>
      </c>
      <c r="E5" s="31" t="s">
        <v>335</v>
      </c>
      <c r="F5" s="24" t="s">
        <v>355</v>
      </c>
      <c r="G5" s="33"/>
    </row>
    <row r="6" spans="1:8" s="550" customFormat="1" ht="36" customHeight="1">
      <c r="A6" s="1900"/>
      <c r="B6" s="1903"/>
      <c r="C6" s="553" t="s">
        <v>288</v>
      </c>
      <c r="D6" s="30" t="s">
        <v>257</v>
      </c>
      <c r="E6" s="29" t="s">
        <v>217</v>
      </c>
      <c r="F6" s="556"/>
      <c r="G6" s="555" t="s">
        <v>178</v>
      </c>
    </row>
    <row r="7" spans="1:8" s="550" customFormat="1" ht="36" customHeight="1">
      <c r="A7" s="1900"/>
      <c r="B7" s="1903"/>
      <c r="C7" s="1910" t="s">
        <v>192</v>
      </c>
      <c r="D7" s="32" t="s">
        <v>176</v>
      </c>
      <c r="E7" s="31">
        <v>50</v>
      </c>
      <c r="F7" s="24"/>
      <c r="G7" s="1911" t="s">
        <v>187</v>
      </c>
    </row>
    <row r="8" spans="1:8" s="550" customFormat="1" ht="36" customHeight="1">
      <c r="A8" s="1900"/>
      <c r="B8" s="1903"/>
      <c r="C8" s="1914"/>
      <c r="D8" s="32" t="s">
        <v>218</v>
      </c>
      <c r="E8" s="29" t="s">
        <v>464</v>
      </c>
      <c r="F8" s="556" t="s">
        <v>316</v>
      </c>
      <c r="G8" s="1913"/>
    </row>
    <row r="9" spans="1:8" s="550" customFormat="1" ht="36" customHeight="1">
      <c r="A9" s="1900"/>
      <c r="B9" s="1903"/>
      <c r="C9" s="1906"/>
      <c r="D9" s="32" t="s">
        <v>221</v>
      </c>
      <c r="E9" s="29" t="s">
        <v>464</v>
      </c>
      <c r="F9" s="556"/>
      <c r="G9" s="1912"/>
    </row>
    <row r="10" spans="1:8" ht="35.1" customHeight="1" thickBot="1">
      <c r="A10" s="1900"/>
      <c r="B10" s="1903"/>
      <c r="C10" s="566" t="s">
        <v>598</v>
      </c>
      <c r="D10" s="32" t="s">
        <v>20</v>
      </c>
      <c r="E10" s="31" t="s">
        <v>2313</v>
      </c>
      <c r="F10" s="565" t="s">
        <v>293</v>
      </c>
      <c r="G10" s="563" t="s">
        <v>294</v>
      </c>
      <c r="H10" s="560" t="s">
        <v>599</v>
      </c>
    </row>
    <row r="11" spans="1:8" s="550" customFormat="1" ht="36" hidden="1" customHeight="1">
      <c r="A11" s="1900"/>
      <c r="B11" s="1903"/>
      <c r="C11" s="549"/>
      <c r="D11" s="28"/>
      <c r="E11" s="27"/>
      <c r="F11" s="458"/>
      <c r="G11" s="552"/>
    </row>
    <row r="12" spans="1:8" s="550" customFormat="1" ht="36" hidden="1" customHeight="1">
      <c r="A12" s="1900"/>
      <c r="B12" s="1903"/>
      <c r="C12" s="549"/>
      <c r="D12" s="28"/>
      <c r="E12" s="27"/>
      <c r="F12" s="458"/>
      <c r="G12" s="552"/>
    </row>
    <row r="13" spans="1:8" s="550" customFormat="1" ht="36" hidden="1" customHeight="1" thickBot="1">
      <c r="A13" s="1900"/>
      <c r="B13" s="1903"/>
      <c r="C13" s="548"/>
      <c r="D13" s="26"/>
      <c r="E13" s="25"/>
      <c r="F13" s="172"/>
      <c r="G13" s="551"/>
    </row>
    <row r="14" spans="1:8" s="550" customFormat="1" ht="36" customHeight="1" thickBot="1">
      <c r="A14" s="1901"/>
      <c r="B14" s="1904"/>
      <c r="C14" s="12"/>
      <c r="D14" s="11"/>
      <c r="E14" s="10"/>
      <c r="F14" s="10"/>
      <c r="G14" s="9"/>
    </row>
    <row r="15" spans="1:8" s="550" customFormat="1" ht="36" customHeight="1">
      <c r="A15" s="1900">
        <v>45049</v>
      </c>
      <c r="B15" s="1903" t="s">
        <v>2328</v>
      </c>
      <c r="C15" s="566" t="s">
        <v>2293</v>
      </c>
      <c r="D15" s="24" t="s">
        <v>2294</v>
      </c>
      <c r="E15" s="24" t="s">
        <v>2318</v>
      </c>
      <c r="F15" s="565"/>
      <c r="G15" s="563"/>
    </row>
    <row r="16" spans="1:8" s="550" customFormat="1" ht="36" customHeight="1">
      <c r="A16" s="1900"/>
      <c r="B16" s="1903"/>
      <c r="C16" s="1910" t="s">
        <v>2295</v>
      </c>
      <c r="D16" s="32" t="s">
        <v>409</v>
      </c>
      <c r="E16" s="31" t="s">
        <v>2296</v>
      </c>
      <c r="F16" s="565"/>
      <c r="G16" s="563"/>
    </row>
    <row r="17" spans="1:8" s="560" customFormat="1" ht="36" customHeight="1">
      <c r="A17" s="1900"/>
      <c r="B17" s="1903"/>
      <c r="C17" s="1906"/>
      <c r="D17" s="32" t="s">
        <v>383</v>
      </c>
      <c r="E17" s="31" t="s">
        <v>2297</v>
      </c>
      <c r="F17" s="24"/>
      <c r="G17" s="33"/>
    </row>
    <row r="18" spans="1:8" s="550" customFormat="1" ht="36" customHeight="1">
      <c r="A18" s="1900"/>
      <c r="B18" s="1903"/>
      <c r="C18" s="1910" t="s">
        <v>2298</v>
      </c>
      <c r="D18" s="32" t="s">
        <v>2299</v>
      </c>
      <c r="E18" s="31" t="s">
        <v>2300</v>
      </c>
      <c r="F18" s="24"/>
      <c r="G18" s="33"/>
    </row>
    <row r="19" spans="1:8" s="560" customFormat="1" ht="36" customHeight="1">
      <c r="A19" s="1900"/>
      <c r="B19" s="1903"/>
      <c r="C19" s="1914"/>
      <c r="D19" s="32" t="s">
        <v>218</v>
      </c>
      <c r="E19" s="29" t="s">
        <v>2302</v>
      </c>
      <c r="F19" s="565"/>
      <c r="G19" s="564"/>
    </row>
    <row r="20" spans="1:8" s="560" customFormat="1" ht="36" customHeight="1">
      <c r="A20" s="1900"/>
      <c r="B20" s="1903"/>
      <c r="C20" s="1906"/>
      <c r="D20" s="32" t="s">
        <v>2301</v>
      </c>
      <c r="E20" s="29" t="s">
        <v>2303</v>
      </c>
      <c r="F20" s="565"/>
      <c r="G20" s="564"/>
    </row>
    <row r="21" spans="1:8" s="560" customFormat="1" ht="36" customHeight="1" thickBot="1">
      <c r="A21" s="1900"/>
      <c r="B21" s="1903"/>
      <c r="C21" s="566" t="s">
        <v>2330</v>
      </c>
      <c r="D21" s="32" t="s">
        <v>2319</v>
      </c>
      <c r="E21" s="31" t="s">
        <v>2320</v>
      </c>
      <c r="F21" s="24" t="s">
        <v>2321</v>
      </c>
      <c r="G21" s="33" t="s">
        <v>2322</v>
      </c>
      <c r="H21" s="560" t="s">
        <v>2323</v>
      </c>
    </row>
    <row r="22" spans="1:8" s="560" customFormat="1" ht="36" hidden="1" customHeight="1">
      <c r="A22" s="1900"/>
      <c r="B22" s="1903"/>
      <c r="C22" s="559"/>
      <c r="D22" s="28"/>
      <c r="E22" s="27"/>
      <c r="F22" s="458"/>
      <c r="G22" s="562"/>
    </row>
    <row r="23" spans="1:8" s="560" customFormat="1" ht="36" hidden="1" customHeight="1" thickBot="1">
      <c r="A23" s="1900"/>
      <c r="B23" s="1903"/>
      <c r="C23" s="558"/>
      <c r="D23" s="26"/>
      <c r="E23" s="25"/>
      <c r="F23" s="172"/>
      <c r="G23" s="561"/>
    </row>
    <row r="24" spans="1:8" s="550" customFormat="1" ht="36" customHeight="1" thickBot="1">
      <c r="A24" s="1901"/>
      <c r="B24" s="1904"/>
      <c r="C24" s="12"/>
      <c r="D24" s="11"/>
      <c r="E24" s="10"/>
      <c r="F24" s="10"/>
      <c r="G24" s="9"/>
    </row>
    <row r="25" spans="1:8" s="550" customFormat="1" ht="36" customHeight="1">
      <c r="A25" s="1900">
        <v>45050</v>
      </c>
      <c r="B25" s="1903" t="s">
        <v>2329</v>
      </c>
      <c r="C25" s="572" t="s">
        <v>2331</v>
      </c>
      <c r="D25" s="24" t="s">
        <v>321</v>
      </c>
      <c r="E25" s="24" t="s">
        <v>226</v>
      </c>
      <c r="F25" s="571" t="s">
        <v>2332</v>
      </c>
      <c r="G25" s="569" t="s">
        <v>2333</v>
      </c>
    </row>
    <row r="26" spans="1:8" s="567" customFormat="1" ht="36" customHeight="1">
      <c r="A26" s="1900"/>
      <c r="B26" s="1903"/>
      <c r="C26" s="572" t="s">
        <v>419</v>
      </c>
      <c r="D26" s="24" t="s">
        <v>420</v>
      </c>
      <c r="E26" s="24" t="s">
        <v>68</v>
      </c>
      <c r="F26" s="571"/>
      <c r="G26" s="569" t="s">
        <v>2334</v>
      </c>
    </row>
    <row r="27" spans="1:8" s="550" customFormat="1" ht="36" customHeight="1">
      <c r="A27" s="1900"/>
      <c r="B27" s="1903"/>
      <c r="C27" s="572" t="s">
        <v>2304</v>
      </c>
      <c r="D27" s="32" t="s">
        <v>2305</v>
      </c>
      <c r="E27" s="31" t="s">
        <v>2306</v>
      </c>
      <c r="F27" s="24"/>
      <c r="G27" s="33"/>
    </row>
    <row r="28" spans="1:8" s="574" customFormat="1" ht="36" customHeight="1">
      <c r="A28" s="1900"/>
      <c r="B28" s="1903"/>
      <c r="C28" s="572" t="s">
        <v>175</v>
      </c>
      <c r="D28" s="32" t="s">
        <v>277</v>
      </c>
      <c r="E28" s="31" t="s">
        <v>283</v>
      </c>
      <c r="F28" s="571"/>
      <c r="G28" s="1911" t="s">
        <v>2340</v>
      </c>
    </row>
    <row r="29" spans="1:8" s="567" customFormat="1" ht="36" customHeight="1">
      <c r="A29" s="1900"/>
      <c r="B29" s="1903"/>
      <c r="C29" s="1910" t="s">
        <v>2335</v>
      </c>
      <c r="D29" s="32" t="s">
        <v>2336</v>
      </c>
      <c r="E29" s="24" t="s">
        <v>2337</v>
      </c>
      <c r="F29" s="571"/>
      <c r="G29" s="1913"/>
    </row>
    <row r="30" spans="1:8" s="560" customFormat="1" ht="36" customHeight="1">
      <c r="A30" s="1900"/>
      <c r="B30" s="1903"/>
      <c r="C30" s="1906"/>
      <c r="D30" s="30" t="s">
        <v>2338</v>
      </c>
      <c r="E30" s="29" t="s">
        <v>2339</v>
      </c>
      <c r="F30" s="571"/>
      <c r="G30" s="1912"/>
    </row>
    <row r="31" spans="1:8" s="574" customFormat="1" ht="36" customHeight="1" thickBot="1">
      <c r="A31" s="1900"/>
      <c r="B31" s="1903"/>
      <c r="C31" s="568" t="s">
        <v>2341</v>
      </c>
      <c r="D31" s="30" t="s">
        <v>20</v>
      </c>
      <c r="E31" s="29" t="s">
        <v>2342</v>
      </c>
      <c r="F31" s="571"/>
      <c r="G31" s="570" t="s">
        <v>2343</v>
      </c>
      <c r="H31" s="574" t="s">
        <v>2344</v>
      </c>
    </row>
    <row r="32" spans="1:8" s="560" customFormat="1" ht="36" hidden="1" customHeight="1">
      <c r="A32" s="1900"/>
      <c r="B32" s="1903"/>
      <c r="C32" s="21"/>
      <c r="D32" s="20"/>
      <c r="E32" s="19"/>
      <c r="F32" s="22"/>
      <c r="G32" s="64"/>
    </row>
    <row r="33" spans="1:8" s="574" customFormat="1" ht="36" hidden="1" customHeight="1" thickBot="1">
      <c r="A33" s="1900"/>
      <c r="B33" s="1903"/>
      <c r="C33" s="573"/>
      <c r="D33" s="26"/>
      <c r="E33" s="25"/>
      <c r="F33" s="172"/>
      <c r="G33" s="575"/>
    </row>
    <row r="34" spans="1:8" s="550" customFormat="1" ht="36" customHeight="1" thickBot="1">
      <c r="A34" s="1901"/>
      <c r="B34" s="1904"/>
      <c r="C34" s="12"/>
      <c r="D34" s="11"/>
      <c r="E34" s="10"/>
      <c r="F34" s="10"/>
      <c r="G34" s="9"/>
    </row>
    <row r="35" spans="1:8" s="550" customFormat="1" ht="60" customHeight="1" thickBot="1">
      <c r="A35" s="1907" t="s">
        <v>5</v>
      </c>
      <c r="B35" s="1908"/>
      <c r="C35" s="1908"/>
      <c r="D35" s="1908"/>
      <c r="E35" s="1908"/>
      <c r="F35" s="1908"/>
      <c r="G35" s="1909"/>
    </row>
    <row r="36" spans="1:8" s="550" customFormat="1" ht="36" customHeight="1">
      <c r="A36" s="1899">
        <v>45054</v>
      </c>
      <c r="B36" s="1916" t="s">
        <v>4</v>
      </c>
      <c r="C36" s="580" t="s">
        <v>74</v>
      </c>
      <c r="D36" s="24" t="s">
        <v>514</v>
      </c>
      <c r="E36" s="24" t="s">
        <v>2309</v>
      </c>
      <c r="F36" s="579" t="s">
        <v>2310</v>
      </c>
      <c r="G36" s="577"/>
    </row>
    <row r="37" spans="1:8" s="550" customFormat="1" ht="36" customHeight="1">
      <c r="A37" s="1900"/>
      <c r="B37" s="1917"/>
      <c r="C37" s="580" t="s">
        <v>2354</v>
      </c>
      <c r="D37" s="32" t="s">
        <v>2355</v>
      </c>
      <c r="E37" s="31" t="s">
        <v>2356</v>
      </c>
      <c r="F37" s="579"/>
      <c r="G37" s="577" t="s">
        <v>2357</v>
      </c>
      <c r="H37" s="582" t="s">
        <v>2358</v>
      </c>
    </row>
    <row r="38" spans="1:8" s="582" customFormat="1" ht="36" customHeight="1">
      <c r="A38" s="1900"/>
      <c r="B38" s="1917"/>
      <c r="C38" s="580" t="s">
        <v>2367</v>
      </c>
      <c r="D38" s="32" t="s">
        <v>2364</v>
      </c>
      <c r="E38" s="31" t="s">
        <v>2368</v>
      </c>
      <c r="F38" s="24" t="s">
        <v>2369</v>
      </c>
      <c r="G38" s="33" t="s">
        <v>2385</v>
      </c>
      <c r="H38" s="582" t="s">
        <v>2382</v>
      </c>
    </row>
    <row r="39" spans="1:8" s="582" customFormat="1" ht="36" customHeight="1">
      <c r="A39" s="1900"/>
      <c r="B39" s="1917"/>
      <c r="C39" s="576" t="s">
        <v>2370</v>
      </c>
      <c r="D39" s="30" t="s">
        <v>2371</v>
      </c>
      <c r="E39" s="29" t="s">
        <v>2372</v>
      </c>
      <c r="F39" s="579" t="s">
        <v>2373</v>
      </c>
      <c r="G39" s="578"/>
    </row>
    <row r="40" spans="1:8" s="582" customFormat="1" ht="36" customHeight="1" thickBot="1">
      <c r="A40" s="1900"/>
      <c r="B40" s="1917"/>
      <c r="C40" s="581"/>
      <c r="D40" s="26"/>
      <c r="E40" s="25"/>
      <c r="F40" s="172"/>
      <c r="G40" s="583"/>
    </row>
    <row r="41" spans="1:8" s="550" customFormat="1" ht="36" customHeight="1" thickBot="1">
      <c r="A41" s="1901"/>
      <c r="B41" s="1918"/>
      <c r="C41" s="12" t="s">
        <v>2315</v>
      </c>
      <c r="D41" s="11" t="s">
        <v>2316</v>
      </c>
      <c r="E41" s="10"/>
      <c r="F41" s="10" t="s">
        <v>2317</v>
      </c>
      <c r="G41" s="9"/>
    </row>
    <row r="42" spans="1:8" s="550" customFormat="1" ht="36" customHeight="1">
      <c r="A42" s="1899">
        <v>45055</v>
      </c>
      <c r="B42" s="1902" t="s">
        <v>3</v>
      </c>
      <c r="C42" s="588" t="s">
        <v>2311</v>
      </c>
      <c r="D42" s="24" t="s">
        <v>262</v>
      </c>
      <c r="E42" s="24" t="s">
        <v>1278</v>
      </c>
      <c r="F42" s="587"/>
      <c r="G42" s="585" t="s">
        <v>2359</v>
      </c>
    </row>
    <row r="43" spans="1:8" s="543" customFormat="1" ht="36" customHeight="1">
      <c r="A43" s="1900"/>
      <c r="B43" s="1903"/>
      <c r="C43" s="1910" t="s">
        <v>2347</v>
      </c>
      <c r="D43" s="32" t="s">
        <v>2348</v>
      </c>
      <c r="E43" s="31" t="s">
        <v>2349</v>
      </c>
      <c r="F43" s="24"/>
      <c r="G43" s="33"/>
    </row>
    <row r="44" spans="1:8" s="582" customFormat="1" ht="36" customHeight="1">
      <c r="A44" s="1900"/>
      <c r="B44" s="1903"/>
      <c r="C44" s="1914"/>
      <c r="D44" s="30" t="s">
        <v>2350</v>
      </c>
      <c r="E44" s="29" t="s">
        <v>2351</v>
      </c>
      <c r="F44" s="587" t="s">
        <v>554</v>
      </c>
      <c r="G44" s="586"/>
    </row>
    <row r="45" spans="1:8" s="582" customFormat="1" ht="36" customHeight="1">
      <c r="A45" s="1900"/>
      <c r="B45" s="1903"/>
      <c r="C45" s="1906"/>
      <c r="D45" s="30" t="s">
        <v>2352</v>
      </c>
      <c r="E45" s="29" t="s">
        <v>2353</v>
      </c>
      <c r="F45" s="587"/>
      <c r="G45" s="586"/>
    </row>
    <row r="46" spans="1:8" s="590" customFormat="1" ht="36" customHeight="1">
      <c r="A46" s="1900"/>
      <c r="B46" s="1903"/>
      <c r="C46" s="1910" t="s">
        <v>198</v>
      </c>
      <c r="D46" s="30" t="s">
        <v>218</v>
      </c>
      <c r="E46" s="31" t="s">
        <v>371</v>
      </c>
      <c r="F46" s="24"/>
      <c r="G46" s="33"/>
    </row>
    <row r="47" spans="1:8" s="590" customFormat="1" ht="36" customHeight="1">
      <c r="A47" s="1900"/>
      <c r="B47" s="1903"/>
      <c r="C47" s="1914"/>
      <c r="D47" s="30" t="s">
        <v>61</v>
      </c>
      <c r="E47" s="29" t="s">
        <v>220</v>
      </c>
      <c r="F47" s="594"/>
      <c r="G47" s="592"/>
    </row>
    <row r="48" spans="1:8" s="590" customFormat="1" ht="36" customHeight="1">
      <c r="A48" s="1900"/>
      <c r="B48" s="1903"/>
      <c r="C48" s="1906"/>
      <c r="D48" s="30" t="s">
        <v>2400</v>
      </c>
      <c r="E48" s="29" t="s">
        <v>2401</v>
      </c>
      <c r="F48" s="594"/>
      <c r="G48" s="593"/>
    </row>
    <row r="49" spans="1:8" s="582" customFormat="1" ht="36" customHeight="1">
      <c r="A49" s="1900"/>
      <c r="B49" s="1903"/>
      <c r="C49" s="588" t="s">
        <v>1007</v>
      </c>
      <c r="D49" s="32" t="s">
        <v>2364</v>
      </c>
      <c r="E49" s="24" t="s">
        <v>2365</v>
      </c>
      <c r="F49" s="587" t="s">
        <v>2366</v>
      </c>
      <c r="G49" s="585" t="s">
        <v>2381</v>
      </c>
    </row>
    <row r="50" spans="1:8" s="582" customFormat="1" ht="36" customHeight="1">
      <c r="A50" s="1900"/>
      <c r="B50" s="1903"/>
      <c r="C50" s="1910" t="s">
        <v>2374</v>
      </c>
      <c r="D50" s="32" t="s">
        <v>2364</v>
      </c>
      <c r="E50" s="31" t="s">
        <v>2375</v>
      </c>
      <c r="F50" s="594" t="s">
        <v>2366</v>
      </c>
      <c r="G50" s="1911" t="s">
        <v>523</v>
      </c>
    </row>
    <row r="51" spans="1:8" s="582" customFormat="1" ht="36" customHeight="1">
      <c r="A51" s="1900"/>
      <c r="B51" s="1903"/>
      <c r="C51" s="1914"/>
      <c r="D51" s="30" t="s">
        <v>2376</v>
      </c>
      <c r="E51" s="29" t="s">
        <v>2377</v>
      </c>
      <c r="F51" s="594"/>
      <c r="G51" s="1913"/>
    </row>
    <row r="52" spans="1:8" s="582" customFormat="1" ht="36" customHeight="1">
      <c r="A52" s="1900"/>
      <c r="B52" s="1903"/>
      <c r="C52" s="1914"/>
      <c r="D52" s="30" t="s">
        <v>2378</v>
      </c>
      <c r="E52" s="29" t="s">
        <v>2379</v>
      </c>
      <c r="F52" s="594"/>
      <c r="G52" s="1913"/>
    </row>
    <row r="53" spans="1:8" s="582" customFormat="1" ht="36" customHeight="1">
      <c r="A53" s="1900"/>
      <c r="B53" s="1903"/>
      <c r="C53" s="1906"/>
      <c r="D53" s="30" t="s">
        <v>2355</v>
      </c>
      <c r="E53" s="29" t="s">
        <v>2380</v>
      </c>
      <c r="F53" s="594"/>
      <c r="G53" s="1912"/>
    </row>
    <row r="54" spans="1:8" s="582" customFormat="1" ht="36" customHeight="1">
      <c r="A54" s="1900"/>
      <c r="B54" s="1903"/>
      <c r="C54" s="595" t="s">
        <v>2389</v>
      </c>
      <c r="D54" s="30" t="s">
        <v>218</v>
      </c>
      <c r="E54" s="31" t="s">
        <v>2390</v>
      </c>
      <c r="F54" s="24" t="s">
        <v>201</v>
      </c>
      <c r="G54" s="33" t="s">
        <v>2391</v>
      </c>
    </row>
    <row r="55" spans="1:8" s="590" customFormat="1" ht="36" customHeight="1">
      <c r="A55" s="1900"/>
      <c r="B55" s="1903"/>
      <c r="C55" s="584" t="s">
        <v>2394</v>
      </c>
      <c r="D55" s="30" t="s">
        <v>2392</v>
      </c>
      <c r="E55" s="29" t="s">
        <v>2396</v>
      </c>
      <c r="F55" s="587"/>
      <c r="G55" s="586" t="s">
        <v>434</v>
      </c>
      <c r="H55" s="590" t="s">
        <v>2393</v>
      </c>
    </row>
    <row r="56" spans="1:8" s="590" customFormat="1" ht="36" customHeight="1" thickBot="1">
      <c r="A56" s="1900"/>
      <c r="B56" s="1903"/>
      <c r="C56" s="589"/>
      <c r="D56" s="26"/>
      <c r="E56" s="25"/>
      <c r="F56" s="172"/>
      <c r="G56" s="591"/>
    </row>
    <row r="57" spans="1:8" s="543" customFormat="1" ht="36" customHeight="1" thickBot="1">
      <c r="A57" s="1901"/>
      <c r="B57" s="1904"/>
      <c r="C57" s="12"/>
      <c r="D57" s="11"/>
      <c r="E57" s="10"/>
      <c r="F57" s="10"/>
      <c r="G57" s="9"/>
    </row>
    <row r="58" spans="1:8" s="543" customFormat="1" ht="36" customHeight="1">
      <c r="A58" s="1899">
        <v>45056</v>
      </c>
      <c r="B58" s="1902" t="s">
        <v>2</v>
      </c>
      <c r="C58" s="600" t="s">
        <v>2324</v>
      </c>
      <c r="D58" s="24" t="s">
        <v>2325</v>
      </c>
      <c r="E58" s="24" t="s">
        <v>2326</v>
      </c>
      <c r="F58" s="599" t="s">
        <v>2327</v>
      </c>
      <c r="G58" s="597" t="s">
        <v>2383</v>
      </c>
    </row>
    <row r="59" spans="1:8" s="590" customFormat="1" ht="36" customHeight="1">
      <c r="A59" s="1900"/>
      <c r="B59" s="1903"/>
      <c r="C59" s="600" t="s">
        <v>2397</v>
      </c>
      <c r="D59" s="30" t="s">
        <v>218</v>
      </c>
      <c r="E59" s="31" t="s">
        <v>2398</v>
      </c>
      <c r="F59" s="24" t="s">
        <v>2399</v>
      </c>
      <c r="G59" s="33"/>
    </row>
    <row r="60" spans="1:8" s="590" customFormat="1" ht="36" customHeight="1">
      <c r="A60" s="1900"/>
      <c r="B60" s="1903"/>
      <c r="C60" s="596" t="s">
        <v>49</v>
      </c>
      <c r="D60" s="30" t="s">
        <v>40</v>
      </c>
      <c r="E60" s="29" t="s">
        <v>47</v>
      </c>
      <c r="F60" s="599"/>
      <c r="G60" s="598" t="s">
        <v>45</v>
      </c>
      <c r="H60" s="590" t="s">
        <v>2402</v>
      </c>
    </row>
    <row r="61" spans="1:8" s="543" customFormat="1" ht="36" customHeight="1" thickBot="1">
      <c r="A61" s="1900"/>
      <c r="B61" s="1903"/>
      <c r="C61" s="547"/>
      <c r="D61" s="16"/>
      <c r="E61" s="15"/>
      <c r="F61" s="172"/>
      <c r="G61" s="544"/>
    </row>
    <row r="62" spans="1:8" s="543" customFormat="1" ht="36" customHeight="1" thickBot="1">
      <c r="A62" s="1901"/>
      <c r="B62" s="1904"/>
      <c r="C62" s="12"/>
      <c r="D62" s="11"/>
      <c r="E62" s="10"/>
      <c r="F62" s="10"/>
      <c r="G62" s="9"/>
    </row>
    <row r="63" spans="1:8" s="543" customFormat="1" ht="36" customHeight="1">
      <c r="A63" s="1899">
        <v>45057</v>
      </c>
      <c r="B63" s="1902" t="s">
        <v>1</v>
      </c>
      <c r="C63" s="21"/>
      <c r="D63" s="22" t="s">
        <v>2314</v>
      </c>
      <c r="E63" s="22"/>
      <c r="F63" s="458"/>
      <c r="G63" s="544"/>
    </row>
    <row r="64" spans="1:8" s="543" customFormat="1" ht="36" customHeight="1">
      <c r="A64" s="1900"/>
      <c r="B64" s="1903"/>
      <c r="C64" s="1910" t="s">
        <v>2404</v>
      </c>
      <c r="D64" s="32" t="s">
        <v>2405</v>
      </c>
      <c r="E64" s="31" t="s">
        <v>2406</v>
      </c>
      <c r="F64" s="1936" t="s">
        <v>2409</v>
      </c>
      <c r="G64" s="1911" t="s">
        <v>2413</v>
      </c>
    </row>
    <row r="65" spans="1:8" s="602" customFormat="1" ht="36" customHeight="1">
      <c r="A65" s="1900"/>
      <c r="B65" s="1903"/>
      <c r="C65" s="1914"/>
      <c r="D65" s="32" t="s">
        <v>2407</v>
      </c>
      <c r="E65" s="31" t="s">
        <v>2408</v>
      </c>
      <c r="F65" s="1938"/>
      <c r="G65" s="1913"/>
    </row>
    <row r="66" spans="1:8" s="602" customFormat="1" ht="36" customHeight="1">
      <c r="A66" s="1900"/>
      <c r="B66" s="1903"/>
      <c r="C66" s="1914"/>
      <c r="D66" s="30" t="s">
        <v>2405</v>
      </c>
      <c r="E66" s="29" t="s">
        <v>2410</v>
      </c>
      <c r="F66" s="1936" t="s">
        <v>2412</v>
      </c>
      <c r="G66" s="1913"/>
    </row>
    <row r="67" spans="1:8" s="602" customFormat="1" ht="36" customHeight="1">
      <c r="A67" s="1900"/>
      <c r="B67" s="1903"/>
      <c r="C67" s="1906"/>
      <c r="D67" s="30" t="s">
        <v>2414</v>
      </c>
      <c r="E67" s="29" t="s">
        <v>2411</v>
      </c>
      <c r="F67" s="1938"/>
      <c r="G67" s="1912"/>
    </row>
    <row r="68" spans="1:8" s="543" customFormat="1" ht="36" customHeight="1" thickBot="1">
      <c r="A68" s="1900"/>
      <c r="B68" s="1903"/>
      <c r="C68" s="601"/>
      <c r="D68" s="26"/>
      <c r="E68" s="25"/>
      <c r="F68" s="172"/>
      <c r="G68" s="603"/>
    </row>
    <row r="69" spans="1:8" s="543" customFormat="1" ht="36" customHeight="1" thickBot="1">
      <c r="A69" s="1901"/>
      <c r="B69" s="1904"/>
      <c r="C69" s="12"/>
      <c r="D69" s="11"/>
      <c r="E69" s="10"/>
      <c r="F69" s="10"/>
      <c r="G69" s="9"/>
    </row>
    <row r="70" spans="1:8" s="543" customFormat="1" ht="36" customHeight="1">
      <c r="A70" s="1899">
        <v>45058</v>
      </c>
      <c r="B70" s="1902" t="s">
        <v>0</v>
      </c>
      <c r="C70" s="606" t="s">
        <v>2345</v>
      </c>
      <c r="D70" s="32" t="s">
        <v>2346</v>
      </c>
      <c r="E70" s="31">
        <v>71</v>
      </c>
      <c r="F70" s="605"/>
      <c r="G70" s="604"/>
    </row>
    <row r="71" spans="1:8" s="543" customFormat="1" ht="36" customHeight="1">
      <c r="A71" s="1900"/>
      <c r="B71" s="1903"/>
      <c r="C71" s="606" t="s">
        <v>2418</v>
      </c>
      <c r="D71" s="32" t="s">
        <v>218</v>
      </c>
      <c r="E71" s="24" t="s">
        <v>2419</v>
      </c>
      <c r="F71" s="605" t="s">
        <v>240</v>
      </c>
      <c r="G71" s="604" t="s">
        <v>2420</v>
      </c>
    </row>
    <row r="72" spans="1:8" s="543" customFormat="1" ht="36" customHeight="1">
      <c r="A72" s="1900"/>
      <c r="B72" s="1903"/>
      <c r="C72" s="606" t="s">
        <v>2426</v>
      </c>
      <c r="D72" s="32" t="s">
        <v>2427</v>
      </c>
      <c r="E72" s="31" t="s">
        <v>2428</v>
      </c>
      <c r="F72" s="24"/>
      <c r="G72" s="33" t="s">
        <v>2429</v>
      </c>
      <c r="H72" s="609" t="s">
        <v>2430</v>
      </c>
    </row>
    <row r="73" spans="1:8" s="609" customFormat="1" ht="36" customHeight="1">
      <c r="A73" s="1900"/>
      <c r="B73" s="1903"/>
      <c r="C73" s="608"/>
      <c r="D73" s="28"/>
      <c r="E73" s="27"/>
      <c r="F73" s="458"/>
      <c r="G73" s="611"/>
    </row>
    <row r="74" spans="1:8" s="609" customFormat="1" ht="36" customHeight="1" thickBot="1">
      <c r="A74" s="1900"/>
      <c r="B74" s="1903"/>
      <c r="C74" s="607"/>
      <c r="D74" s="26"/>
      <c r="E74" s="25"/>
      <c r="F74" s="172"/>
      <c r="G74" s="610"/>
    </row>
    <row r="75" spans="1:8" s="543" customFormat="1" ht="36" customHeight="1" thickBot="1">
      <c r="A75" s="1901"/>
      <c r="B75" s="1904"/>
      <c r="C75" s="12"/>
      <c r="D75" s="11"/>
      <c r="E75" s="10"/>
      <c r="F75" s="10"/>
      <c r="G75" s="9"/>
    </row>
    <row r="76" spans="1:8" s="543" customFormat="1" ht="60" customHeight="1" thickBot="1">
      <c r="A76" s="1907" t="s">
        <v>5</v>
      </c>
      <c r="B76" s="1908"/>
      <c r="C76" s="1908"/>
      <c r="D76" s="1908"/>
      <c r="E76" s="1908"/>
      <c r="F76" s="1908"/>
      <c r="G76" s="1909"/>
    </row>
    <row r="77" spans="1:8" s="609" customFormat="1" ht="36.75" customHeight="1">
      <c r="A77" s="1899">
        <v>45061</v>
      </c>
      <c r="B77" s="1919" t="s">
        <v>4</v>
      </c>
      <c r="C77" s="626" t="s">
        <v>2431</v>
      </c>
      <c r="D77" s="614" t="s">
        <v>2432</v>
      </c>
      <c r="E77" s="614" t="s">
        <v>2433</v>
      </c>
      <c r="F77" s="614"/>
      <c r="G77" s="627"/>
    </row>
    <row r="78" spans="1:8" s="543" customFormat="1" ht="36" customHeight="1">
      <c r="A78" s="1900"/>
      <c r="B78" s="1920"/>
      <c r="C78" s="615" t="s">
        <v>2421</v>
      </c>
      <c r="D78" s="32" t="s">
        <v>2422</v>
      </c>
      <c r="E78" s="31" t="s">
        <v>2423</v>
      </c>
      <c r="F78" s="24" t="s">
        <v>2424</v>
      </c>
      <c r="G78" s="33" t="s">
        <v>2425</v>
      </c>
    </row>
    <row r="79" spans="1:8" s="543" customFormat="1" ht="36" customHeight="1">
      <c r="A79" s="1900"/>
      <c r="B79" s="1920"/>
      <c r="C79" s="1910" t="s">
        <v>2434</v>
      </c>
      <c r="D79" s="614" t="s">
        <v>2435</v>
      </c>
      <c r="E79" s="31" t="s">
        <v>2438</v>
      </c>
      <c r="F79" s="24"/>
      <c r="G79" s="1911" t="s">
        <v>261</v>
      </c>
    </row>
    <row r="80" spans="1:8" s="616" customFormat="1" ht="36" customHeight="1">
      <c r="A80" s="1900"/>
      <c r="B80" s="1920"/>
      <c r="C80" s="1914"/>
      <c r="D80" s="614" t="s">
        <v>2436</v>
      </c>
      <c r="E80" s="29" t="s">
        <v>2439</v>
      </c>
      <c r="F80" s="614"/>
      <c r="G80" s="1913"/>
    </row>
    <row r="81" spans="1:8" s="616" customFormat="1" ht="36" customHeight="1">
      <c r="A81" s="1900"/>
      <c r="B81" s="1920"/>
      <c r="C81" s="1906"/>
      <c r="D81" s="614" t="s">
        <v>2437</v>
      </c>
      <c r="E81" s="29" t="s">
        <v>2440</v>
      </c>
      <c r="F81" s="614"/>
      <c r="G81" s="1912"/>
    </row>
    <row r="82" spans="1:8" s="616" customFormat="1" ht="36" customHeight="1">
      <c r="A82" s="1900"/>
      <c r="B82" s="1920"/>
      <c r="C82" s="612" t="s">
        <v>2441</v>
      </c>
      <c r="D82" s="30" t="s">
        <v>2442</v>
      </c>
      <c r="E82" s="29" t="s">
        <v>2443</v>
      </c>
      <c r="F82" s="614"/>
      <c r="G82" s="613" t="s">
        <v>2444</v>
      </c>
    </row>
    <row r="83" spans="1:8" s="616" customFormat="1" ht="36" customHeight="1">
      <c r="A83" s="1900"/>
      <c r="B83" s="1920"/>
      <c r="C83" s="1910" t="s">
        <v>2450</v>
      </c>
      <c r="D83" s="614" t="s">
        <v>20</v>
      </c>
      <c r="E83" s="31" t="s">
        <v>2451</v>
      </c>
      <c r="F83" s="24"/>
      <c r="G83" s="1911" t="s">
        <v>261</v>
      </c>
    </row>
    <row r="84" spans="1:8" s="616" customFormat="1" ht="36" customHeight="1">
      <c r="A84" s="1900"/>
      <c r="B84" s="1920"/>
      <c r="C84" s="1906"/>
      <c r="D84" s="30" t="s">
        <v>2452</v>
      </c>
      <c r="E84" s="29" t="s">
        <v>2453</v>
      </c>
      <c r="F84" s="614"/>
      <c r="G84" s="1912"/>
    </row>
    <row r="85" spans="1:8" s="616" customFormat="1" ht="36" customHeight="1">
      <c r="A85" s="1900"/>
      <c r="B85" s="1920"/>
      <c r="C85" s="1910" t="s">
        <v>2454</v>
      </c>
      <c r="D85" s="614" t="s">
        <v>20</v>
      </c>
      <c r="E85" s="31" t="s">
        <v>2461</v>
      </c>
      <c r="F85" s="24"/>
      <c r="G85" s="33"/>
    </row>
    <row r="86" spans="1:8" s="616" customFormat="1" ht="36" customHeight="1">
      <c r="A86" s="1900"/>
      <c r="B86" s="1920"/>
      <c r="C86" s="1914"/>
      <c r="D86" s="614" t="s">
        <v>2435</v>
      </c>
      <c r="E86" s="29" t="s">
        <v>2460</v>
      </c>
      <c r="F86" s="614"/>
      <c r="G86" s="33"/>
    </row>
    <row r="87" spans="1:8" s="616" customFormat="1" ht="36" customHeight="1">
      <c r="A87" s="1900"/>
      <c r="B87" s="1920"/>
      <c r="C87" s="1914"/>
      <c r="D87" s="614" t="s">
        <v>2436</v>
      </c>
      <c r="E87" s="29" t="s">
        <v>2462</v>
      </c>
      <c r="F87" s="614"/>
      <c r="G87" s="33"/>
    </row>
    <row r="88" spans="1:8" s="616" customFormat="1" ht="36" customHeight="1">
      <c r="A88" s="1900"/>
      <c r="B88" s="1920"/>
      <c r="C88" s="1914"/>
      <c r="D88" s="614" t="s">
        <v>2455</v>
      </c>
      <c r="E88" s="31" t="s">
        <v>2456</v>
      </c>
      <c r="F88" s="24"/>
      <c r="G88" s="33"/>
    </row>
    <row r="89" spans="1:8" s="616" customFormat="1" ht="36" customHeight="1">
      <c r="A89" s="1900"/>
      <c r="B89" s="1920"/>
      <c r="C89" s="1914"/>
      <c r="D89" s="614" t="s">
        <v>2467</v>
      </c>
      <c r="E89" s="29" t="s">
        <v>2468</v>
      </c>
      <c r="F89" s="614"/>
      <c r="G89" s="33"/>
    </row>
    <row r="90" spans="1:8" s="616" customFormat="1" ht="36" customHeight="1">
      <c r="A90" s="1900"/>
      <c r="B90" s="1920"/>
      <c r="C90" s="1914"/>
      <c r="D90" s="614" t="s">
        <v>2457</v>
      </c>
      <c r="E90" s="29" t="s">
        <v>2463</v>
      </c>
      <c r="F90" s="614"/>
      <c r="G90" s="33"/>
    </row>
    <row r="91" spans="1:8" s="616" customFormat="1" ht="36" customHeight="1">
      <c r="A91" s="1900"/>
      <c r="B91" s="1920"/>
      <c r="C91" s="1914"/>
      <c r="D91" s="614" t="s">
        <v>2458</v>
      </c>
      <c r="E91" s="29" t="s">
        <v>2459</v>
      </c>
      <c r="F91" s="614"/>
      <c r="G91" s="33"/>
    </row>
    <row r="92" spans="1:8" s="616" customFormat="1" ht="36" customHeight="1">
      <c r="A92" s="1900"/>
      <c r="B92" s="1920"/>
      <c r="C92" s="1906"/>
      <c r="D92" s="24" t="s">
        <v>2464</v>
      </c>
      <c r="E92" s="31" t="s">
        <v>2465</v>
      </c>
      <c r="F92" s="24"/>
      <c r="G92" s="33" t="s">
        <v>2466</v>
      </c>
      <c r="H92" s="616" t="s">
        <v>2469</v>
      </c>
    </row>
    <row r="93" spans="1:8" s="616" customFormat="1" ht="47.25" customHeight="1">
      <c r="A93" s="1900"/>
      <c r="B93" s="1920"/>
      <c r="C93" s="615" t="s">
        <v>2386</v>
      </c>
      <c r="D93" s="24" t="s">
        <v>421</v>
      </c>
      <c r="E93" s="24" t="s">
        <v>2387</v>
      </c>
      <c r="F93" s="32" t="s">
        <v>2388</v>
      </c>
      <c r="G93" s="33" t="s">
        <v>2403</v>
      </c>
    </row>
    <row r="94" spans="1:8" s="616" customFormat="1" ht="37.5" customHeight="1">
      <c r="A94" s="1900"/>
      <c r="B94" s="1920"/>
      <c r="C94" s="615" t="s">
        <v>2472</v>
      </c>
      <c r="D94" s="24" t="s">
        <v>2475</v>
      </c>
      <c r="E94" s="24" t="s">
        <v>2473</v>
      </c>
      <c r="F94" s="32"/>
      <c r="G94" s="33" t="s">
        <v>2474</v>
      </c>
    </row>
    <row r="95" spans="1:8" s="616" customFormat="1" ht="36" customHeight="1" thickBot="1">
      <c r="A95" s="1900"/>
      <c r="B95" s="1920"/>
      <c r="C95" s="625"/>
      <c r="D95" s="26"/>
      <c r="E95" s="25"/>
      <c r="F95" s="172"/>
      <c r="G95" s="617"/>
    </row>
    <row r="96" spans="1:8" s="543" customFormat="1" ht="36" customHeight="1" thickBot="1">
      <c r="A96" s="1901"/>
      <c r="B96" s="1921"/>
      <c r="C96" s="619"/>
      <c r="D96" s="11"/>
      <c r="E96" s="10"/>
      <c r="F96" s="10"/>
      <c r="G96" s="9"/>
    </row>
    <row r="97" spans="1:8" s="543" customFormat="1" ht="36" customHeight="1">
      <c r="A97" s="1899">
        <v>45062</v>
      </c>
      <c r="B97" s="1916" t="s">
        <v>15</v>
      </c>
      <c r="C97" s="622"/>
      <c r="D97" s="24" t="s">
        <v>2445</v>
      </c>
      <c r="E97" s="24"/>
      <c r="F97" s="621"/>
      <c r="G97" s="33"/>
    </row>
    <row r="98" spans="1:8" s="616" customFormat="1" ht="36" customHeight="1">
      <c r="A98" s="1900"/>
      <c r="B98" s="1917"/>
      <c r="C98" s="626" t="s">
        <v>1197</v>
      </c>
      <c r="D98" s="621" t="s">
        <v>20</v>
      </c>
      <c r="E98" s="621" t="s">
        <v>396</v>
      </c>
      <c r="F98" s="621" t="s">
        <v>632</v>
      </c>
      <c r="G98" s="620"/>
    </row>
    <row r="99" spans="1:8" s="543" customFormat="1" ht="36" customHeight="1">
      <c r="A99" s="1900"/>
      <c r="B99" s="1917"/>
      <c r="C99" s="1910" t="s">
        <v>518</v>
      </c>
      <c r="D99" s="32" t="s">
        <v>2496</v>
      </c>
      <c r="E99" s="24" t="s">
        <v>2497</v>
      </c>
      <c r="F99" s="621"/>
      <c r="G99" s="190"/>
    </row>
    <row r="100" spans="1:8" s="543" customFormat="1" ht="36" customHeight="1">
      <c r="A100" s="1900"/>
      <c r="B100" s="1917"/>
      <c r="C100" s="1906"/>
      <c r="D100" s="32" t="s">
        <v>2498</v>
      </c>
      <c r="E100" s="31" t="s">
        <v>2499</v>
      </c>
      <c r="F100" s="621"/>
      <c r="G100" s="194"/>
    </row>
    <row r="101" spans="1:8" s="543" customFormat="1" ht="36" customHeight="1" thickBot="1">
      <c r="A101" s="1900"/>
      <c r="B101" s="1917"/>
      <c r="C101" s="618"/>
      <c r="D101" s="16"/>
      <c r="E101" s="15"/>
      <c r="F101" s="172"/>
      <c r="G101" s="544"/>
    </row>
    <row r="102" spans="1:8" s="543" customFormat="1" ht="36" customHeight="1" thickBot="1">
      <c r="A102" s="1901"/>
      <c r="B102" s="1918"/>
      <c r="C102" s="619"/>
      <c r="D102" s="11"/>
      <c r="E102" s="10"/>
      <c r="F102" s="10"/>
      <c r="G102" s="9"/>
    </row>
    <row r="103" spans="1:8" s="543" customFormat="1" ht="36" customHeight="1">
      <c r="A103" s="1899">
        <v>45063</v>
      </c>
      <c r="B103" s="1902" t="s">
        <v>2</v>
      </c>
      <c r="C103" s="630" t="s">
        <v>2446</v>
      </c>
      <c r="D103" s="24" t="s">
        <v>2447</v>
      </c>
      <c r="E103" s="24" t="s">
        <v>2448</v>
      </c>
      <c r="F103" s="629"/>
      <c r="G103" s="628"/>
      <c r="H103" s="543" t="s">
        <v>2449</v>
      </c>
    </row>
    <row r="104" spans="1:8" s="543" customFormat="1" ht="36" customHeight="1" thickBot="1">
      <c r="A104" s="1900"/>
      <c r="B104" s="1903"/>
      <c r="C104" s="21"/>
      <c r="D104" s="22"/>
      <c r="E104" s="22"/>
      <c r="F104" s="458"/>
      <c r="G104" s="544"/>
    </row>
    <row r="105" spans="1:8" s="543" customFormat="1" ht="36" hidden="1" customHeight="1">
      <c r="A105" s="1900"/>
      <c r="B105" s="1903"/>
      <c r="C105" s="21"/>
      <c r="D105" s="20"/>
      <c r="E105" s="19"/>
      <c r="F105" s="458"/>
      <c r="G105" s="544"/>
    </row>
    <row r="106" spans="1:8" s="543" customFormat="1" ht="36" hidden="1" customHeight="1" thickBot="1">
      <c r="A106" s="1900"/>
      <c r="B106" s="1903"/>
      <c r="C106" s="547"/>
      <c r="D106" s="16"/>
      <c r="E106" s="15"/>
      <c r="F106" s="172"/>
      <c r="G106" s="544"/>
    </row>
    <row r="107" spans="1:8" s="543" customFormat="1" ht="36" customHeight="1" thickBot="1">
      <c r="A107" s="1901"/>
      <c r="B107" s="1904"/>
      <c r="C107" s="12" t="s">
        <v>2490</v>
      </c>
      <c r="D107" s="11" t="s">
        <v>2485</v>
      </c>
      <c r="E107" s="10" t="s">
        <v>2491</v>
      </c>
      <c r="F107" s="10" t="s">
        <v>2492</v>
      </c>
      <c r="G107" s="9"/>
    </row>
    <row r="108" spans="1:8" s="543" customFormat="1" ht="36" customHeight="1">
      <c r="A108" s="1899">
        <v>45064</v>
      </c>
      <c r="B108" s="1916" t="s">
        <v>1</v>
      </c>
      <c r="C108" s="1946" t="s">
        <v>2415</v>
      </c>
      <c r="D108" s="24" t="s">
        <v>2416</v>
      </c>
      <c r="E108" s="24" t="s">
        <v>264</v>
      </c>
      <c r="F108" s="634" t="s">
        <v>2417</v>
      </c>
      <c r="G108" s="632" t="s">
        <v>2480</v>
      </c>
      <c r="H108" s="543" t="s">
        <v>2503</v>
      </c>
    </row>
    <row r="109" spans="1:8" s="616" customFormat="1" ht="36" customHeight="1">
      <c r="A109" s="1900"/>
      <c r="B109" s="1917"/>
      <c r="C109" s="1947"/>
      <c r="D109" s="24" t="s">
        <v>2493</v>
      </c>
      <c r="E109" s="24" t="s">
        <v>2505</v>
      </c>
      <c r="F109" s="634"/>
      <c r="G109" s="632"/>
      <c r="H109" s="616" t="s">
        <v>2504</v>
      </c>
    </row>
    <row r="110" spans="1:8" s="616" customFormat="1" ht="36" customHeight="1">
      <c r="A110" s="1900"/>
      <c r="B110" s="1917"/>
      <c r="C110" s="1948"/>
      <c r="D110" s="24" t="s">
        <v>2494</v>
      </c>
      <c r="E110" s="24" t="s">
        <v>2495</v>
      </c>
      <c r="F110" s="634"/>
      <c r="G110" s="632"/>
    </row>
    <row r="111" spans="1:8" s="543" customFormat="1" ht="36" customHeight="1">
      <c r="A111" s="1900"/>
      <c r="B111" s="1917"/>
      <c r="C111" s="635" t="s">
        <v>484</v>
      </c>
      <c r="D111" s="32" t="s">
        <v>619</v>
      </c>
      <c r="E111" s="31" t="s">
        <v>202</v>
      </c>
      <c r="F111" s="634"/>
      <c r="G111" s="632"/>
    </row>
    <row r="112" spans="1:8" s="631" customFormat="1" ht="36" customHeight="1">
      <c r="A112" s="1900"/>
      <c r="B112" s="1917"/>
      <c r="C112" s="635" t="s">
        <v>621</v>
      </c>
      <c r="D112" s="24" t="s">
        <v>492</v>
      </c>
      <c r="E112" s="24" t="s">
        <v>213</v>
      </c>
      <c r="F112" s="634" t="s">
        <v>2500</v>
      </c>
      <c r="G112" s="632" t="s">
        <v>2501</v>
      </c>
    </row>
    <row r="113" spans="1:8" s="631" customFormat="1" ht="36" customHeight="1">
      <c r="A113" s="1900"/>
      <c r="B113" s="1917"/>
      <c r="C113" s="1910" t="s">
        <v>2502</v>
      </c>
      <c r="D113" s="32" t="s">
        <v>210</v>
      </c>
      <c r="E113" s="31">
        <v>1</v>
      </c>
      <c r="F113" s="24"/>
      <c r="G113" s="33"/>
    </row>
    <row r="114" spans="1:8" s="543" customFormat="1" ht="36" customHeight="1">
      <c r="A114" s="1900"/>
      <c r="B114" s="1917"/>
      <c r="C114" s="1906"/>
      <c r="D114" s="32" t="s">
        <v>207</v>
      </c>
      <c r="E114" s="31">
        <v>2</v>
      </c>
      <c r="F114" s="24"/>
      <c r="G114" s="33"/>
    </row>
    <row r="115" spans="1:8" s="616" customFormat="1" ht="36" customHeight="1">
      <c r="A115" s="1900"/>
      <c r="B115" s="1917"/>
      <c r="C115" s="626" t="s">
        <v>2507</v>
      </c>
      <c r="D115" s="634" t="s">
        <v>20</v>
      </c>
      <c r="E115" s="29" t="s">
        <v>2508</v>
      </c>
      <c r="F115" s="634" t="s">
        <v>316</v>
      </c>
      <c r="G115" s="633" t="s">
        <v>2509</v>
      </c>
    </row>
    <row r="116" spans="1:8" s="616" customFormat="1" ht="36" customHeight="1">
      <c r="A116" s="1900"/>
      <c r="B116" s="1917"/>
      <c r="C116" s="1910" t="s">
        <v>2510</v>
      </c>
      <c r="D116" s="32" t="s">
        <v>2511</v>
      </c>
      <c r="E116" s="31" t="s">
        <v>2512</v>
      </c>
      <c r="F116" s="24"/>
      <c r="G116" s="1911" t="s">
        <v>2513</v>
      </c>
    </row>
    <row r="117" spans="1:8" s="637" customFormat="1" ht="36" customHeight="1" thickBot="1">
      <c r="A117" s="1900"/>
      <c r="B117" s="1917"/>
      <c r="C117" s="1906"/>
      <c r="D117" s="30" t="s">
        <v>20</v>
      </c>
      <c r="E117" s="29" t="s">
        <v>39</v>
      </c>
      <c r="F117" s="634" t="s">
        <v>172</v>
      </c>
      <c r="G117" s="1912"/>
    </row>
    <row r="118" spans="1:8" s="637" customFormat="1" ht="36" hidden="1" customHeight="1">
      <c r="A118" s="1900"/>
      <c r="B118" s="1917"/>
      <c r="C118" s="636"/>
      <c r="D118" s="28"/>
      <c r="E118" s="27"/>
      <c r="F118" s="458"/>
      <c r="G118" s="639"/>
    </row>
    <row r="119" spans="1:8" s="637" customFormat="1" ht="36" hidden="1" customHeight="1" thickBot="1">
      <c r="A119" s="1900"/>
      <c r="B119" s="1917"/>
      <c r="C119" s="640"/>
      <c r="D119" s="26"/>
      <c r="E119" s="25"/>
      <c r="F119" s="172"/>
      <c r="G119" s="638"/>
    </row>
    <row r="120" spans="1:8" s="616" customFormat="1" ht="36" customHeight="1" thickBot="1">
      <c r="A120" s="1900"/>
      <c r="B120" s="1917"/>
      <c r="C120" s="619" t="s">
        <v>2482</v>
      </c>
      <c r="D120" s="11"/>
      <c r="E120" s="10"/>
      <c r="F120" s="10" t="s">
        <v>2483</v>
      </c>
      <c r="G120" s="9"/>
    </row>
    <row r="121" spans="1:8" s="543" customFormat="1" ht="36" customHeight="1" thickBot="1">
      <c r="A121" s="1901"/>
      <c r="B121" s="1918"/>
      <c r="C121" s="619" t="s">
        <v>2484</v>
      </c>
      <c r="D121" s="11" t="s">
        <v>2485</v>
      </c>
      <c r="E121" s="10" t="s">
        <v>2486</v>
      </c>
      <c r="F121" s="10" t="s">
        <v>2487</v>
      </c>
      <c r="G121" s="9"/>
    </row>
    <row r="122" spans="1:8" s="543" customFormat="1" ht="36" customHeight="1">
      <c r="A122" s="1899">
        <v>45065</v>
      </c>
      <c r="B122" s="1916" t="s">
        <v>0</v>
      </c>
      <c r="C122" s="1905" t="s">
        <v>2476</v>
      </c>
      <c r="D122" s="24" t="s">
        <v>2477</v>
      </c>
      <c r="E122" s="24" t="s">
        <v>2845</v>
      </c>
      <c r="F122" s="642" t="s">
        <v>2481</v>
      </c>
      <c r="G122" s="1915" t="s">
        <v>2480</v>
      </c>
    </row>
    <row r="123" spans="1:8" s="543" customFormat="1" ht="36" customHeight="1">
      <c r="A123" s="1900"/>
      <c r="B123" s="1917"/>
      <c r="C123" s="1914"/>
      <c r="D123" s="642" t="s">
        <v>20</v>
      </c>
      <c r="E123" s="24" t="s">
        <v>2478</v>
      </c>
      <c r="F123" s="642"/>
      <c r="G123" s="1913"/>
    </row>
    <row r="124" spans="1:8" s="543" customFormat="1" ht="36" customHeight="1">
      <c r="A124" s="1900"/>
      <c r="B124" s="1917"/>
      <c r="C124" s="1914"/>
      <c r="D124" s="642" t="s">
        <v>2435</v>
      </c>
      <c r="E124" s="31" t="s">
        <v>2479</v>
      </c>
      <c r="F124" s="642"/>
      <c r="G124" s="1912"/>
    </row>
    <row r="125" spans="1:8" s="645" customFormat="1" ht="36" customHeight="1">
      <c r="A125" s="1900"/>
      <c r="B125" s="1917"/>
      <c r="C125" s="1906"/>
      <c r="D125" s="642" t="s">
        <v>521</v>
      </c>
      <c r="E125" s="31" t="s">
        <v>642</v>
      </c>
      <c r="F125" s="642"/>
      <c r="G125" s="641" t="s">
        <v>530</v>
      </c>
      <c r="H125" s="645" t="s">
        <v>2535</v>
      </c>
    </row>
    <row r="126" spans="1:8" s="543" customFormat="1" ht="36" customHeight="1">
      <c r="A126" s="1900"/>
      <c r="B126" s="1917"/>
      <c r="C126" s="643" t="s">
        <v>2506</v>
      </c>
      <c r="D126" s="32" t="s">
        <v>395</v>
      </c>
      <c r="E126" s="31" t="s">
        <v>2519</v>
      </c>
      <c r="F126" s="24"/>
      <c r="G126" s="33"/>
    </row>
    <row r="127" spans="1:8" s="645" customFormat="1" ht="36" customHeight="1">
      <c r="A127" s="1900"/>
      <c r="B127" s="1917"/>
      <c r="C127" s="1910" t="s">
        <v>2536</v>
      </c>
      <c r="D127" s="30" t="s">
        <v>2537</v>
      </c>
      <c r="E127" s="29" t="s">
        <v>68</v>
      </c>
      <c r="F127" s="642"/>
      <c r="G127" s="1911" t="s">
        <v>2538</v>
      </c>
    </row>
    <row r="128" spans="1:8" s="623" customFormat="1" ht="36" customHeight="1">
      <c r="A128" s="1900"/>
      <c r="B128" s="1917"/>
      <c r="C128" s="1906"/>
      <c r="D128" s="30" t="s">
        <v>521</v>
      </c>
      <c r="E128" s="29" t="s">
        <v>522</v>
      </c>
      <c r="F128" s="642"/>
      <c r="G128" s="1912"/>
    </row>
    <row r="129" spans="1:8" s="623" customFormat="1" ht="36" customHeight="1" thickBot="1">
      <c r="A129" s="1900"/>
      <c r="B129" s="1917"/>
      <c r="C129" s="625"/>
      <c r="D129" s="26"/>
      <c r="E129" s="25"/>
      <c r="F129" s="172"/>
      <c r="G129" s="624"/>
    </row>
    <row r="130" spans="1:8" s="543" customFormat="1" ht="36" customHeight="1" thickBot="1">
      <c r="A130" s="1901"/>
      <c r="B130" s="1918"/>
      <c r="C130" s="619" t="s">
        <v>2488</v>
      </c>
      <c r="D130" s="11" t="s">
        <v>2485</v>
      </c>
      <c r="E130" s="10" t="s">
        <v>2489</v>
      </c>
      <c r="F130" s="10" t="s">
        <v>2517</v>
      </c>
      <c r="G130" s="9"/>
    </row>
    <row r="131" spans="1:8" s="645" customFormat="1" ht="36" customHeight="1">
      <c r="A131" s="1900">
        <v>45066</v>
      </c>
      <c r="B131" s="1903" t="s">
        <v>2528</v>
      </c>
      <c r="C131" s="1905" t="s">
        <v>2527</v>
      </c>
      <c r="D131" s="32" t="s">
        <v>521</v>
      </c>
      <c r="E131" s="31" t="s">
        <v>2539</v>
      </c>
      <c r="F131" s="654"/>
      <c r="G131" s="652"/>
    </row>
    <row r="132" spans="1:8" s="645" customFormat="1" ht="36" customHeight="1">
      <c r="A132" s="1900"/>
      <c r="B132" s="1903"/>
      <c r="C132" s="1906"/>
      <c r="D132" s="32" t="s">
        <v>555</v>
      </c>
      <c r="E132" s="31" t="s">
        <v>2542</v>
      </c>
      <c r="F132" s="654"/>
      <c r="G132" s="33"/>
    </row>
    <row r="133" spans="1:8" s="645" customFormat="1" ht="36" customHeight="1" thickBot="1">
      <c r="A133" s="1900"/>
      <c r="B133" s="1903"/>
      <c r="C133" s="644"/>
      <c r="D133" s="26"/>
      <c r="E133" s="25"/>
      <c r="F133" s="172"/>
      <c r="G133" s="646"/>
    </row>
    <row r="134" spans="1:8" s="645" customFormat="1" ht="36" customHeight="1" thickBot="1">
      <c r="A134" s="1901"/>
      <c r="B134" s="1904"/>
      <c r="C134" s="12"/>
      <c r="D134" s="11"/>
      <c r="E134" s="10"/>
      <c r="F134" s="10"/>
      <c r="G134" s="9"/>
    </row>
    <row r="135" spans="1:8" s="543" customFormat="1" ht="60" customHeight="1" thickBot="1">
      <c r="A135" s="1907" t="s">
        <v>5</v>
      </c>
      <c r="B135" s="1908"/>
      <c r="C135" s="1908"/>
      <c r="D135" s="1908"/>
      <c r="E135" s="1908"/>
      <c r="F135" s="1908"/>
      <c r="G135" s="1909"/>
    </row>
    <row r="136" spans="1:8" s="543" customFormat="1" ht="36" customHeight="1">
      <c r="A136" s="1900">
        <v>45068</v>
      </c>
      <c r="B136" s="1903" t="s">
        <v>2037</v>
      </c>
      <c r="C136" s="1910" t="s">
        <v>2520</v>
      </c>
      <c r="D136" s="654" t="s">
        <v>20</v>
      </c>
      <c r="E136" s="31" t="s">
        <v>371</v>
      </c>
      <c r="F136" s="24"/>
      <c r="G136" s="1911" t="s">
        <v>2523</v>
      </c>
    </row>
    <row r="137" spans="1:8" s="637" customFormat="1" ht="36" customHeight="1">
      <c r="A137" s="1900"/>
      <c r="B137" s="1903"/>
      <c r="C137" s="1914"/>
      <c r="D137" s="654" t="s">
        <v>284</v>
      </c>
      <c r="E137" s="29" t="s">
        <v>2522</v>
      </c>
      <c r="F137" s="654"/>
      <c r="G137" s="1913"/>
    </row>
    <row r="138" spans="1:8" s="637" customFormat="1" ht="36" customHeight="1">
      <c r="A138" s="1900"/>
      <c r="B138" s="1903"/>
      <c r="C138" s="1906"/>
      <c r="D138" s="30" t="s">
        <v>2521</v>
      </c>
      <c r="E138" s="29" t="s">
        <v>553</v>
      </c>
      <c r="F138" s="654"/>
      <c r="G138" s="1912"/>
    </row>
    <row r="139" spans="1:8" s="637" customFormat="1" ht="36" customHeight="1">
      <c r="A139" s="1900"/>
      <c r="B139" s="1903"/>
      <c r="C139" s="1910" t="s">
        <v>525</v>
      </c>
      <c r="D139" s="32" t="s">
        <v>2540</v>
      </c>
      <c r="E139" s="31" t="s">
        <v>526</v>
      </c>
      <c r="F139" s="24"/>
      <c r="G139" s="33"/>
    </row>
    <row r="140" spans="1:8" s="648" customFormat="1" ht="36" customHeight="1">
      <c r="A140" s="1900"/>
      <c r="B140" s="1903"/>
      <c r="C140" s="1906"/>
      <c r="D140" s="30" t="s">
        <v>2550</v>
      </c>
      <c r="E140" s="29" t="s">
        <v>2551</v>
      </c>
      <c r="F140" s="654"/>
      <c r="G140" s="653"/>
    </row>
    <row r="141" spans="1:8" s="645" customFormat="1" ht="36" customHeight="1">
      <c r="A141" s="1900"/>
      <c r="B141" s="1903"/>
      <c r="C141" s="655" t="s">
        <v>2552</v>
      </c>
      <c r="D141" s="32" t="s">
        <v>2553</v>
      </c>
      <c r="E141" s="31" t="s">
        <v>2554</v>
      </c>
      <c r="F141" s="24"/>
      <c r="G141" s="33"/>
    </row>
    <row r="142" spans="1:8" s="648" customFormat="1" ht="36" customHeight="1">
      <c r="A142" s="1900"/>
      <c r="B142" s="1903"/>
      <c r="C142" s="651" t="s">
        <v>21</v>
      </c>
      <c r="D142" s="30" t="s">
        <v>20</v>
      </c>
      <c r="E142" s="29" t="s">
        <v>73</v>
      </c>
      <c r="F142" s="654" t="s">
        <v>19</v>
      </c>
      <c r="G142" s="653" t="s">
        <v>18</v>
      </c>
      <c r="H142" s="648" t="s">
        <v>2555</v>
      </c>
    </row>
    <row r="143" spans="1:8" s="648" customFormat="1" ht="36" customHeight="1">
      <c r="A143" s="1900"/>
      <c r="B143" s="1903"/>
      <c r="C143" s="651" t="s">
        <v>2541</v>
      </c>
      <c r="D143" s="654" t="s">
        <v>20</v>
      </c>
      <c r="E143" s="29" t="s">
        <v>22</v>
      </c>
      <c r="F143" s="654" t="s">
        <v>38</v>
      </c>
      <c r="G143" s="653" t="s">
        <v>18</v>
      </c>
    </row>
    <row r="144" spans="1:8" s="648" customFormat="1" ht="36" customHeight="1">
      <c r="A144" s="1900"/>
      <c r="B144" s="1903"/>
      <c r="C144" s="655" t="s">
        <v>53</v>
      </c>
      <c r="D144" s="32" t="s">
        <v>52</v>
      </c>
      <c r="E144" s="31" t="s">
        <v>2556</v>
      </c>
      <c r="F144" s="24" t="s">
        <v>2557</v>
      </c>
      <c r="G144" s="33" t="s">
        <v>45</v>
      </c>
    </row>
    <row r="145" spans="1:8" s="648" customFormat="1" ht="36" customHeight="1" thickBot="1">
      <c r="A145" s="1900"/>
      <c r="B145" s="1903"/>
      <c r="C145" s="647"/>
      <c r="D145" s="26"/>
      <c r="E145" s="25"/>
      <c r="F145" s="172"/>
      <c r="G145" s="649"/>
    </row>
    <row r="146" spans="1:8" s="543" customFormat="1" ht="36" customHeight="1" thickBot="1">
      <c r="A146" s="1901"/>
      <c r="B146" s="1904"/>
      <c r="C146" s="12"/>
      <c r="D146" s="11"/>
      <c r="E146" s="10"/>
      <c r="F146" s="10"/>
      <c r="G146" s="9"/>
    </row>
    <row r="147" spans="1:8" s="543" customFormat="1" ht="36" customHeight="1">
      <c r="A147" s="1899">
        <v>45069</v>
      </c>
      <c r="B147" s="1916" t="s">
        <v>3</v>
      </c>
      <c r="C147" s="36" t="s">
        <v>2524</v>
      </c>
      <c r="D147" s="32" t="s">
        <v>2525</v>
      </c>
      <c r="E147" s="31" t="s">
        <v>2526</v>
      </c>
      <c r="F147" s="658"/>
      <c r="G147" s="657"/>
    </row>
    <row r="148" spans="1:8" s="645" customFormat="1" ht="36" customHeight="1">
      <c r="A148" s="1900"/>
      <c r="B148" s="1917"/>
      <c r="C148" s="1910" t="s">
        <v>272</v>
      </c>
      <c r="D148" s="32" t="s">
        <v>270</v>
      </c>
      <c r="E148" s="31" t="s">
        <v>217</v>
      </c>
      <c r="F148" s="658"/>
      <c r="G148" s="657"/>
    </row>
    <row r="149" spans="1:8" s="645" customFormat="1" ht="36" customHeight="1">
      <c r="A149" s="1900"/>
      <c r="B149" s="1917"/>
      <c r="C149" s="1906"/>
      <c r="D149" s="32" t="s">
        <v>61</v>
      </c>
      <c r="E149" s="31" t="s">
        <v>529</v>
      </c>
      <c r="F149" s="658"/>
      <c r="G149" s="657"/>
    </row>
    <row r="150" spans="1:8" s="543" customFormat="1" ht="36" customHeight="1">
      <c r="A150" s="1900"/>
      <c r="B150" s="1917"/>
      <c r="C150" s="1910" t="s">
        <v>2543</v>
      </c>
      <c r="D150" s="32" t="s">
        <v>2544</v>
      </c>
      <c r="E150" s="31" t="s">
        <v>533</v>
      </c>
      <c r="F150" s="658"/>
      <c r="G150" s="657"/>
    </row>
    <row r="151" spans="1:8" s="543" customFormat="1" ht="36" customHeight="1">
      <c r="A151" s="1900"/>
      <c r="B151" s="1917"/>
      <c r="C151" s="1914"/>
      <c r="D151" s="32" t="s">
        <v>2545</v>
      </c>
      <c r="E151" s="31" t="s">
        <v>2559</v>
      </c>
      <c r="F151" s="24"/>
      <c r="G151" s="33"/>
      <c r="H151" s="543" t="s">
        <v>2546</v>
      </c>
    </row>
    <row r="152" spans="1:8" s="645" customFormat="1" ht="36" customHeight="1">
      <c r="A152" s="1900"/>
      <c r="B152" s="1917"/>
      <c r="C152" s="1906"/>
      <c r="D152" s="32" t="s">
        <v>614</v>
      </c>
      <c r="E152" s="31" t="s">
        <v>2559</v>
      </c>
      <c r="F152" s="24"/>
      <c r="G152" s="33"/>
      <c r="H152" s="645" t="s">
        <v>556</v>
      </c>
    </row>
    <row r="153" spans="1:8" ht="36" customHeight="1">
      <c r="A153" s="1900"/>
      <c r="B153" s="1917"/>
      <c r="C153" s="659" t="s">
        <v>372</v>
      </c>
      <c r="D153" s="32" t="s">
        <v>20</v>
      </c>
      <c r="E153" s="31" t="s">
        <v>2560</v>
      </c>
      <c r="F153" s="24" t="s">
        <v>172</v>
      </c>
      <c r="G153" s="33" t="s">
        <v>345</v>
      </c>
      <c r="H153" s="656" t="s">
        <v>590</v>
      </c>
    </row>
    <row r="154" spans="1:8" ht="36" customHeight="1">
      <c r="A154" s="1900"/>
      <c r="B154" s="1917"/>
      <c r="C154" s="659" t="s">
        <v>317</v>
      </c>
      <c r="D154" s="24" t="s">
        <v>20</v>
      </c>
      <c r="E154" s="24" t="s">
        <v>323</v>
      </c>
      <c r="F154" s="24" t="s">
        <v>201</v>
      </c>
      <c r="G154" s="33" t="s">
        <v>589</v>
      </c>
      <c r="H154" s="656" t="s">
        <v>336</v>
      </c>
    </row>
    <row r="155" spans="1:8" s="645" customFormat="1" ht="36" customHeight="1" thickBot="1">
      <c r="A155" s="1900"/>
      <c r="B155" s="1917"/>
      <c r="C155" s="640"/>
      <c r="D155" s="26"/>
      <c r="E155" s="25"/>
      <c r="F155" s="172"/>
      <c r="G155" s="646"/>
    </row>
    <row r="156" spans="1:8" s="543" customFormat="1" ht="36" customHeight="1" thickBot="1">
      <c r="A156" s="1901"/>
      <c r="B156" s="1918"/>
      <c r="C156" s="619"/>
      <c r="D156" s="11"/>
      <c r="E156" s="10"/>
      <c r="F156" s="10"/>
      <c r="G156" s="9"/>
    </row>
    <row r="157" spans="1:8" s="656" customFormat="1" ht="36" customHeight="1">
      <c r="A157" s="1900">
        <v>45070</v>
      </c>
      <c r="B157" s="1903" t="s">
        <v>2568</v>
      </c>
      <c r="C157" s="1910" t="s">
        <v>288</v>
      </c>
      <c r="D157" s="32" t="s">
        <v>270</v>
      </c>
      <c r="E157" s="31" t="s">
        <v>182</v>
      </c>
      <c r="F157" s="24"/>
      <c r="G157" s="1911" t="s">
        <v>261</v>
      </c>
    </row>
    <row r="158" spans="1:8" s="661" customFormat="1" ht="36" customHeight="1">
      <c r="A158" s="1900"/>
      <c r="B158" s="1903"/>
      <c r="C158" s="1906"/>
      <c r="D158" s="30" t="s">
        <v>2563</v>
      </c>
      <c r="E158" s="29" t="s">
        <v>2564</v>
      </c>
      <c r="F158" s="666"/>
      <c r="G158" s="1912"/>
    </row>
    <row r="159" spans="1:8" s="57" customFormat="1" ht="36" customHeight="1">
      <c r="A159" s="1900"/>
      <c r="B159" s="1903"/>
      <c r="C159" s="662" t="s">
        <v>27</v>
      </c>
      <c r="D159" s="30" t="s">
        <v>14</v>
      </c>
      <c r="E159" s="29" t="s">
        <v>8</v>
      </c>
      <c r="F159" s="666" t="s">
        <v>26</v>
      </c>
      <c r="G159" s="664" t="s">
        <v>10</v>
      </c>
      <c r="H159" s="58"/>
    </row>
    <row r="160" spans="1:8" s="543" customFormat="1" ht="36" customHeight="1">
      <c r="A160" s="1900"/>
      <c r="B160" s="1903"/>
      <c r="C160" s="1910" t="s">
        <v>2569</v>
      </c>
      <c r="D160" s="32" t="s">
        <v>2570</v>
      </c>
      <c r="E160" s="31" t="s">
        <v>2571</v>
      </c>
      <c r="F160" s="24"/>
      <c r="G160" s="1911" t="s">
        <v>2593</v>
      </c>
      <c r="H160" s="645" t="s">
        <v>2573</v>
      </c>
    </row>
    <row r="161" spans="1:8" s="543" customFormat="1" ht="36" customHeight="1">
      <c r="A161" s="1900"/>
      <c r="B161" s="1903"/>
      <c r="C161" s="1906"/>
      <c r="D161" s="32" t="s">
        <v>20</v>
      </c>
      <c r="E161" s="31" t="s">
        <v>2572</v>
      </c>
      <c r="F161" s="666"/>
      <c r="G161" s="1912"/>
      <c r="H161" s="645"/>
    </row>
    <row r="162" spans="1:8" s="661" customFormat="1" ht="36" customHeight="1">
      <c r="A162" s="1900"/>
      <c r="B162" s="1903"/>
      <c r="C162" s="669" t="s">
        <v>2579</v>
      </c>
      <c r="D162" s="32" t="s">
        <v>20</v>
      </c>
      <c r="E162" s="31" t="s">
        <v>2580</v>
      </c>
      <c r="F162" s="24" t="s">
        <v>600</v>
      </c>
      <c r="G162" s="33" t="s">
        <v>2581</v>
      </c>
      <c r="H162" s="661" t="s">
        <v>2582</v>
      </c>
    </row>
    <row r="163" spans="1:8" s="661" customFormat="1" ht="36" customHeight="1" thickBot="1">
      <c r="A163" s="1900"/>
      <c r="B163" s="1903"/>
      <c r="C163" s="667" t="s">
        <v>2579</v>
      </c>
      <c r="D163" s="30" t="s">
        <v>20</v>
      </c>
      <c r="E163" s="34" t="s">
        <v>2583</v>
      </c>
      <c r="F163" s="665" t="s">
        <v>600</v>
      </c>
      <c r="G163" s="668" t="s">
        <v>2581</v>
      </c>
      <c r="H163" s="661" t="s">
        <v>2584</v>
      </c>
    </row>
    <row r="164" spans="1:8" s="543" customFormat="1" ht="36" customHeight="1" thickBot="1">
      <c r="A164" s="1901"/>
      <c r="B164" s="1904"/>
      <c r="C164" s="12"/>
      <c r="D164" s="11"/>
      <c r="E164" s="10"/>
      <c r="F164" s="10"/>
      <c r="G164" s="9"/>
    </row>
    <row r="165" spans="1:8" s="543" customFormat="1" ht="36" customHeight="1">
      <c r="A165" s="1899">
        <v>45071</v>
      </c>
      <c r="B165" s="1902" t="s">
        <v>1</v>
      </c>
      <c r="C165" s="669" t="s">
        <v>629</v>
      </c>
      <c r="D165" s="24" t="s">
        <v>262</v>
      </c>
      <c r="E165" s="24" t="s">
        <v>2514</v>
      </c>
      <c r="F165" s="666" t="s">
        <v>2515</v>
      </c>
      <c r="G165" s="663" t="s">
        <v>2516</v>
      </c>
      <c r="H165" s="637" t="s">
        <v>2594</v>
      </c>
    </row>
    <row r="166" spans="1:8" s="543" customFormat="1" ht="36" customHeight="1">
      <c r="A166" s="1900"/>
      <c r="B166" s="1903"/>
      <c r="C166" s="1910" t="s">
        <v>232</v>
      </c>
      <c r="D166" s="32" t="s">
        <v>497</v>
      </c>
      <c r="E166" s="31" t="s">
        <v>225</v>
      </c>
      <c r="F166" s="1936" t="s">
        <v>2558</v>
      </c>
      <c r="G166" s="663"/>
    </row>
    <row r="167" spans="1:8" s="543" customFormat="1" ht="36" customHeight="1">
      <c r="A167" s="1900"/>
      <c r="B167" s="1903"/>
      <c r="C167" s="1906"/>
      <c r="D167" s="30" t="s">
        <v>196</v>
      </c>
      <c r="E167" s="29" t="s">
        <v>225</v>
      </c>
      <c r="F167" s="1938"/>
      <c r="G167" s="663"/>
    </row>
    <row r="168" spans="1:8" s="660" customFormat="1" ht="36" customHeight="1">
      <c r="A168" s="1900"/>
      <c r="B168" s="1903"/>
      <c r="C168" s="669" t="s">
        <v>2561</v>
      </c>
      <c r="D168" s="32" t="s">
        <v>2562</v>
      </c>
      <c r="E168" s="31" t="s">
        <v>2565</v>
      </c>
      <c r="F168" s="24"/>
      <c r="G168" s="33"/>
    </row>
    <row r="169" spans="1:8" s="661" customFormat="1" ht="36" customHeight="1">
      <c r="A169" s="1900"/>
      <c r="B169" s="1903"/>
      <c r="C169" s="662" t="s">
        <v>609</v>
      </c>
      <c r="D169" s="666" t="s">
        <v>610</v>
      </c>
      <c r="E169" s="666" t="s">
        <v>322</v>
      </c>
      <c r="F169" s="666" t="s">
        <v>2566</v>
      </c>
      <c r="G169" s="664" t="s">
        <v>2567</v>
      </c>
    </row>
    <row r="170" spans="1:8" s="670" customFormat="1" ht="36" customHeight="1">
      <c r="A170" s="1900"/>
      <c r="B170" s="1903"/>
      <c r="C170" s="1910" t="s">
        <v>185</v>
      </c>
      <c r="D170" s="32" t="s">
        <v>186</v>
      </c>
      <c r="E170" s="31" t="s">
        <v>177</v>
      </c>
      <c r="F170" s="24"/>
      <c r="G170" s="663"/>
    </row>
    <row r="171" spans="1:8" s="670" customFormat="1" ht="36" customHeight="1">
      <c r="A171" s="1900"/>
      <c r="B171" s="1903"/>
      <c r="C171" s="1906"/>
      <c r="D171" s="32" t="s">
        <v>20</v>
      </c>
      <c r="E171" s="31" t="s">
        <v>230</v>
      </c>
      <c r="F171" s="666" t="s">
        <v>240</v>
      </c>
      <c r="G171" s="33"/>
    </row>
    <row r="172" spans="1:8" s="660" customFormat="1" ht="36" customHeight="1">
      <c r="A172" s="1900"/>
      <c r="B172" s="1903"/>
      <c r="C172" s="662" t="s">
        <v>2595</v>
      </c>
      <c r="D172" s="30" t="s">
        <v>2596</v>
      </c>
      <c r="E172" s="29" t="s">
        <v>2597</v>
      </c>
      <c r="F172" s="666" t="s">
        <v>2600</v>
      </c>
      <c r="G172" s="664" t="s">
        <v>2598</v>
      </c>
      <c r="H172" s="660" t="s">
        <v>2599</v>
      </c>
    </row>
    <row r="173" spans="1:8" s="648" customFormat="1" ht="36" customHeight="1">
      <c r="A173" s="1900"/>
      <c r="B173" s="1903"/>
      <c r="C173" s="662" t="s">
        <v>2601</v>
      </c>
      <c r="D173" s="30" t="s">
        <v>2602</v>
      </c>
      <c r="E173" s="29" t="s">
        <v>2603</v>
      </c>
      <c r="F173" s="666" t="s">
        <v>2604</v>
      </c>
      <c r="G173" s="664" t="s">
        <v>2605</v>
      </c>
    </row>
    <row r="174" spans="1:8" s="648" customFormat="1" ht="36" customHeight="1" thickBot="1">
      <c r="A174" s="1900"/>
      <c r="B174" s="1903"/>
      <c r="C174" s="647"/>
      <c r="D174" s="26"/>
      <c r="E174" s="25"/>
      <c r="F174" s="172"/>
      <c r="G174" s="649"/>
    </row>
    <row r="175" spans="1:8" s="543" customFormat="1" ht="36" customHeight="1" thickBot="1">
      <c r="A175" s="1901"/>
      <c r="B175" s="1904"/>
      <c r="C175" s="12"/>
      <c r="D175" s="11"/>
      <c r="E175" s="10"/>
      <c r="F175" s="10"/>
      <c r="G175" s="9"/>
    </row>
    <row r="176" spans="1:8" s="543" customFormat="1" ht="36" customHeight="1">
      <c r="A176" s="1899">
        <v>45072</v>
      </c>
      <c r="B176" s="1916" t="s">
        <v>0</v>
      </c>
      <c r="C176" s="678" t="s">
        <v>527</v>
      </c>
      <c r="D176" s="32" t="s">
        <v>579</v>
      </c>
      <c r="E176" s="31" t="s">
        <v>2518</v>
      </c>
      <c r="F176" s="677"/>
      <c r="G176" s="675"/>
      <c r="H176" s="661" t="s">
        <v>2612</v>
      </c>
    </row>
    <row r="177" spans="1:8" s="670" customFormat="1" ht="36" customHeight="1">
      <c r="A177" s="1900"/>
      <c r="B177" s="1917"/>
      <c r="C177" s="674" t="s">
        <v>2585</v>
      </c>
      <c r="D177" s="32" t="s">
        <v>194</v>
      </c>
      <c r="E177" s="31" t="s">
        <v>182</v>
      </c>
      <c r="F177" s="24" t="s">
        <v>2619</v>
      </c>
      <c r="G177" s="33" t="s">
        <v>187</v>
      </c>
    </row>
    <row r="178" spans="1:8" s="670" customFormat="1" ht="36" customHeight="1">
      <c r="A178" s="1900"/>
      <c r="B178" s="1917"/>
      <c r="C178" s="678" t="s">
        <v>190</v>
      </c>
      <c r="D178" s="32" t="s">
        <v>188</v>
      </c>
      <c r="E178" s="31" t="s">
        <v>189</v>
      </c>
      <c r="F178" s="24"/>
      <c r="G178" s="33" t="s">
        <v>178</v>
      </c>
    </row>
    <row r="179" spans="1:8" s="543" customFormat="1" ht="36" customHeight="1">
      <c r="A179" s="1900"/>
      <c r="B179" s="1917"/>
      <c r="C179" s="678" t="s">
        <v>2608</v>
      </c>
      <c r="D179" s="32" t="s">
        <v>2609</v>
      </c>
      <c r="E179" s="31" t="s">
        <v>2610</v>
      </c>
      <c r="F179" s="24"/>
      <c r="G179" s="33" t="s">
        <v>2611</v>
      </c>
    </row>
    <row r="180" spans="1:8" s="670" customFormat="1" ht="36" customHeight="1">
      <c r="A180" s="1900"/>
      <c r="B180" s="1917"/>
      <c r="C180" s="678" t="s">
        <v>56</v>
      </c>
      <c r="D180" s="32" t="s">
        <v>20</v>
      </c>
      <c r="E180" s="31" t="s">
        <v>2622</v>
      </c>
      <c r="F180" s="24" t="s">
        <v>172</v>
      </c>
      <c r="G180" s="33" t="s">
        <v>2620</v>
      </c>
    </row>
    <row r="181" spans="1:8" s="679" customFormat="1" ht="36" customHeight="1">
      <c r="A181" s="1900"/>
      <c r="B181" s="1917"/>
      <c r="C181" s="674" t="s">
        <v>2623</v>
      </c>
      <c r="D181" s="30" t="s">
        <v>2624</v>
      </c>
      <c r="E181" s="29" t="s">
        <v>2625</v>
      </c>
      <c r="F181" s="677"/>
      <c r="G181" s="676" t="s">
        <v>2626</v>
      </c>
      <c r="H181" s="679" t="s">
        <v>2627</v>
      </c>
    </row>
    <row r="182" spans="1:8" s="679" customFormat="1" ht="36" customHeight="1">
      <c r="A182" s="1900"/>
      <c r="B182" s="1917"/>
      <c r="C182" s="678" t="s">
        <v>2628</v>
      </c>
      <c r="D182" s="32" t="s">
        <v>2629</v>
      </c>
      <c r="E182" s="31" t="s">
        <v>2630</v>
      </c>
      <c r="F182" s="24"/>
      <c r="G182" s="33" t="s">
        <v>2631</v>
      </c>
    </row>
    <row r="183" spans="1:8" s="679" customFormat="1" ht="36" customHeight="1">
      <c r="A183" s="1900"/>
      <c r="B183" s="1917"/>
      <c r="C183" s="674" t="s">
        <v>2659</v>
      </c>
      <c r="D183" s="30" t="s">
        <v>2660</v>
      </c>
      <c r="E183" s="29" t="s">
        <v>2661</v>
      </c>
      <c r="F183" s="677"/>
      <c r="G183" s="676" t="s">
        <v>2662</v>
      </c>
      <c r="H183" s="687" t="s">
        <v>2683</v>
      </c>
    </row>
    <row r="184" spans="1:8" s="679" customFormat="1" ht="36" customHeight="1">
      <c r="A184" s="1900"/>
      <c r="B184" s="1917"/>
      <c r="C184" s="678" t="s">
        <v>2668</v>
      </c>
      <c r="D184" s="32" t="s">
        <v>20</v>
      </c>
      <c r="E184" s="31" t="s">
        <v>2669</v>
      </c>
      <c r="F184" s="24" t="s">
        <v>2666</v>
      </c>
      <c r="G184" s="33" t="s">
        <v>2670</v>
      </c>
    </row>
    <row r="185" spans="1:8" s="679" customFormat="1" ht="36" customHeight="1" thickBot="1">
      <c r="A185" s="1900"/>
      <c r="B185" s="1917"/>
      <c r="C185" s="681"/>
      <c r="D185" s="26"/>
      <c r="E185" s="25"/>
      <c r="F185" s="172"/>
      <c r="G185" s="680"/>
    </row>
    <row r="186" spans="1:8" s="543" customFormat="1" ht="36" customHeight="1" thickBot="1">
      <c r="A186" s="1901"/>
      <c r="B186" s="1918"/>
      <c r="C186" s="619"/>
      <c r="D186" s="11"/>
      <c r="E186" s="10"/>
      <c r="F186" s="10"/>
      <c r="G186" s="9"/>
    </row>
    <row r="187" spans="1:8" s="543" customFormat="1" ht="60" customHeight="1" thickBot="1">
      <c r="A187" s="1907" t="s">
        <v>5</v>
      </c>
      <c r="B187" s="1908"/>
      <c r="C187" s="1908"/>
      <c r="D187" s="1908"/>
      <c r="E187" s="1908"/>
      <c r="F187" s="1908"/>
      <c r="G187" s="1909"/>
    </row>
    <row r="188" spans="1:8" s="543" customFormat="1" ht="36" customHeight="1">
      <c r="A188" s="1899">
        <v>45076</v>
      </c>
      <c r="B188" s="1902" t="s">
        <v>3</v>
      </c>
      <c r="C188" s="691" t="s">
        <v>2606</v>
      </c>
      <c r="D188" s="24" t="s">
        <v>2607</v>
      </c>
      <c r="E188" s="24" t="s">
        <v>359</v>
      </c>
      <c r="F188" s="690"/>
      <c r="G188" s="689" t="s">
        <v>2672</v>
      </c>
    </row>
    <row r="189" spans="1:8" s="687" customFormat="1" ht="36" customHeight="1">
      <c r="A189" s="1900"/>
      <c r="B189" s="1903"/>
      <c r="C189" s="691" t="s">
        <v>485</v>
      </c>
      <c r="D189" s="24" t="s">
        <v>2673</v>
      </c>
      <c r="E189" s="24" t="s">
        <v>2674</v>
      </c>
      <c r="F189" s="690" t="s">
        <v>2675</v>
      </c>
      <c r="G189" s="689"/>
    </row>
    <row r="190" spans="1:8" s="543" customFormat="1" ht="36" customHeight="1">
      <c r="A190" s="1900"/>
      <c r="B190" s="1903"/>
      <c r="C190" s="691" t="s">
        <v>56</v>
      </c>
      <c r="D190" s="24" t="s">
        <v>20</v>
      </c>
      <c r="E190" s="24" t="s">
        <v>2621</v>
      </c>
      <c r="F190" s="690" t="s">
        <v>172</v>
      </c>
      <c r="G190" s="689" t="s">
        <v>2671</v>
      </c>
    </row>
    <row r="191" spans="1:8" s="679" customFormat="1" ht="36" customHeight="1">
      <c r="A191" s="1900"/>
      <c r="B191" s="1903"/>
      <c r="C191" s="691" t="s">
        <v>2367</v>
      </c>
      <c r="D191" s="24" t="s">
        <v>2384</v>
      </c>
      <c r="E191" s="24" t="s">
        <v>217</v>
      </c>
      <c r="F191" s="690"/>
      <c r="G191" s="689" t="s">
        <v>178</v>
      </c>
    </row>
    <row r="192" spans="1:8" s="543" customFormat="1" ht="36" customHeight="1">
      <c r="A192" s="1900"/>
      <c r="B192" s="1903"/>
      <c r="C192" s="691" t="s">
        <v>2680</v>
      </c>
      <c r="D192" s="32" t="s">
        <v>2676</v>
      </c>
      <c r="E192" s="31" t="s">
        <v>2677</v>
      </c>
      <c r="F192" s="690" t="s">
        <v>2678</v>
      </c>
      <c r="G192" s="689" t="s">
        <v>2679</v>
      </c>
      <c r="H192" s="543" t="s">
        <v>2681</v>
      </c>
    </row>
    <row r="193" spans="1:8" s="687" customFormat="1" ht="36" customHeight="1">
      <c r="A193" s="1900"/>
      <c r="B193" s="1903"/>
      <c r="C193" s="1910" t="s">
        <v>2543</v>
      </c>
      <c r="D193" s="32" t="s">
        <v>444</v>
      </c>
      <c r="E193" s="31" t="s">
        <v>445</v>
      </c>
      <c r="F193" s="1936" t="s">
        <v>575</v>
      </c>
      <c r="G193" s="1911" t="s">
        <v>2684</v>
      </c>
    </row>
    <row r="194" spans="1:8" s="687" customFormat="1" ht="36" customHeight="1">
      <c r="A194" s="1900"/>
      <c r="B194" s="1903"/>
      <c r="C194" s="1906"/>
      <c r="D194" s="32" t="s">
        <v>614</v>
      </c>
      <c r="E194" s="31" t="s">
        <v>445</v>
      </c>
      <c r="F194" s="1938"/>
      <c r="G194" s="1912"/>
    </row>
    <row r="195" spans="1:8" s="687" customFormat="1" ht="36" customHeight="1">
      <c r="A195" s="1900"/>
      <c r="B195" s="1903"/>
      <c r="C195" s="21"/>
      <c r="D195" s="47"/>
      <c r="E195" s="19"/>
      <c r="F195" s="22"/>
      <c r="G195" s="64"/>
    </row>
    <row r="196" spans="1:8" s="687" customFormat="1" ht="36" customHeight="1" thickBot="1">
      <c r="A196" s="1900"/>
      <c r="B196" s="1903"/>
      <c r="C196" s="686"/>
      <c r="D196" s="39"/>
      <c r="E196" s="25"/>
      <c r="F196" s="172"/>
      <c r="G196" s="688"/>
    </row>
    <row r="197" spans="1:8" s="543" customFormat="1" ht="36" customHeight="1" thickBot="1">
      <c r="A197" s="1901"/>
      <c r="B197" s="1904"/>
      <c r="C197" s="12"/>
      <c r="D197" s="11"/>
      <c r="E197" s="10"/>
      <c r="F197" s="10"/>
      <c r="G197" s="9"/>
    </row>
    <row r="198" spans="1:8" s="543" customFormat="1" ht="36" customHeight="1">
      <c r="A198" s="1899">
        <v>45077</v>
      </c>
      <c r="B198" s="1902" t="s">
        <v>2</v>
      </c>
      <c r="C198" s="1905" t="s">
        <v>2586</v>
      </c>
      <c r="D198" s="24" t="s">
        <v>2587</v>
      </c>
      <c r="E198" s="24" t="s">
        <v>2588</v>
      </c>
      <c r="F198" s="1944" t="s">
        <v>2591</v>
      </c>
      <c r="G198" s="1915" t="s">
        <v>2592</v>
      </c>
    </row>
    <row r="199" spans="1:8" s="543" customFormat="1" ht="36" customHeight="1">
      <c r="A199" s="1900"/>
      <c r="B199" s="1903"/>
      <c r="C199" s="1914"/>
      <c r="D199" s="24" t="s">
        <v>2589</v>
      </c>
      <c r="E199" s="24" t="s">
        <v>2590</v>
      </c>
      <c r="F199" s="1938"/>
      <c r="G199" s="1912"/>
    </row>
    <row r="200" spans="1:8" s="679" customFormat="1" ht="36" customHeight="1">
      <c r="A200" s="1900"/>
      <c r="B200" s="1903"/>
      <c r="C200" s="1914"/>
      <c r="D200" s="24" t="s">
        <v>2639</v>
      </c>
      <c r="E200" s="24" t="s">
        <v>2748</v>
      </c>
      <c r="F200" s="1936" t="s">
        <v>2642</v>
      </c>
      <c r="G200" s="1911" t="s">
        <v>557</v>
      </c>
    </row>
    <row r="201" spans="1:8" s="679" customFormat="1" ht="36" customHeight="1">
      <c r="A201" s="1900"/>
      <c r="B201" s="1903"/>
      <c r="C201" s="1906"/>
      <c r="D201" s="24" t="s">
        <v>2640</v>
      </c>
      <c r="E201" s="24" t="s">
        <v>2641</v>
      </c>
      <c r="F201" s="1938"/>
      <c r="G201" s="1912"/>
    </row>
    <row r="202" spans="1:8" s="543" customFormat="1" ht="36" customHeight="1">
      <c r="A202" s="1900"/>
      <c r="B202" s="1903"/>
      <c r="C202" s="1910" t="s">
        <v>2637</v>
      </c>
      <c r="D202" s="32" t="s">
        <v>2652</v>
      </c>
      <c r="E202" s="31" t="s">
        <v>405</v>
      </c>
      <c r="F202" s="695"/>
      <c r="G202" s="693"/>
      <c r="H202" s="684" t="s">
        <v>2638</v>
      </c>
    </row>
    <row r="203" spans="1:8" s="679" customFormat="1" ht="36" customHeight="1">
      <c r="A203" s="1900"/>
      <c r="B203" s="1903"/>
      <c r="C203" s="1914"/>
      <c r="D203" s="32" t="s">
        <v>2665</v>
      </c>
      <c r="E203" s="31" t="s">
        <v>2653</v>
      </c>
      <c r="F203" s="695"/>
      <c r="G203" s="693"/>
      <c r="H203" s="684"/>
    </row>
    <row r="204" spans="1:8" s="679" customFormat="1" ht="36" customHeight="1">
      <c r="A204" s="1900"/>
      <c r="B204" s="1903"/>
      <c r="C204" s="1914"/>
      <c r="D204" s="32" t="s">
        <v>2654</v>
      </c>
      <c r="E204" s="31" t="s">
        <v>193</v>
      </c>
      <c r="F204" s="695"/>
      <c r="G204" s="693"/>
      <c r="H204" s="684"/>
    </row>
    <row r="205" spans="1:8" s="679" customFormat="1" ht="36" customHeight="1">
      <c r="A205" s="1900"/>
      <c r="B205" s="1903"/>
      <c r="C205" s="1914"/>
      <c r="D205" s="32" t="s">
        <v>571</v>
      </c>
      <c r="E205" s="31" t="s">
        <v>2655</v>
      </c>
      <c r="F205" s="695"/>
      <c r="G205" s="693"/>
      <c r="H205" s="684"/>
    </row>
    <row r="206" spans="1:8" s="543" customFormat="1" ht="36" customHeight="1">
      <c r="A206" s="1900"/>
      <c r="B206" s="1903"/>
      <c r="C206" s="1914"/>
      <c r="D206" s="24" t="s">
        <v>20</v>
      </c>
      <c r="E206" s="31" t="s">
        <v>2657</v>
      </c>
      <c r="F206" s="24" t="s">
        <v>2666</v>
      </c>
      <c r="G206" s="33"/>
    </row>
    <row r="207" spans="1:8" s="679" customFormat="1" ht="36" customHeight="1">
      <c r="A207" s="1900"/>
      <c r="B207" s="1903"/>
      <c r="C207" s="1906"/>
      <c r="D207" s="24" t="s">
        <v>2656</v>
      </c>
      <c r="E207" s="29" t="s">
        <v>2658</v>
      </c>
      <c r="F207" s="695" t="s">
        <v>2667</v>
      </c>
      <c r="G207" s="694"/>
    </row>
    <row r="208" spans="1:8" s="679" customFormat="1" ht="36" customHeight="1">
      <c r="A208" s="1900"/>
      <c r="B208" s="1903"/>
      <c r="C208" s="692" t="s">
        <v>2687</v>
      </c>
      <c r="D208" s="30" t="s">
        <v>2688</v>
      </c>
      <c r="E208" s="29" t="s">
        <v>2689</v>
      </c>
      <c r="F208" s="695"/>
      <c r="G208" s="694" t="s">
        <v>2690</v>
      </c>
      <c r="H208" s="679" t="s">
        <v>2691</v>
      </c>
    </row>
    <row r="209" spans="1:8" s="698" customFormat="1" ht="36" customHeight="1">
      <c r="A209" s="1900"/>
      <c r="B209" s="1903"/>
      <c r="C209" s="696" t="s">
        <v>2710</v>
      </c>
      <c r="D209" s="32" t="s">
        <v>2711</v>
      </c>
      <c r="E209" s="31" t="s">
        <v>2712</v>
      </c>
      <c r="F209" s="24"/>
      <c r="G209" s="33"/>
    </row>
    <row r="210" spans="1:8" s="698" customFormat="1" ht="36" customHeight="1">
      <c r="A210" s="1900"/>
      <c r="B210" s="1903"/>
      <c r="C210" s="1910" t="s">
        <v>2700</v>
      </c>
      <c r="D210" s="32" t="s">
        <v>20</v>
      </c>
      <c r="E210" s="31" t="s">
        <v>2701</v>
      </c>
      <c r="F210" s="24" t="s">
        <v>2707</v>
      </c>
      <c r="G210" s="1911" t="s">
        <v>261</v>
      </c>
      <c r="H210" s="684" t="s">
        <v>2638</v>
      </c>
    </row>
    <row r="211" spans="1:8" s="698" customFormat="1" ht="36" customHeight="1">
      <c r="A211" s="1900"/>
      <c r="B211" s="1903"/>
      <c r="C211" s="1914"/>
      <c r="D211" s="32" t="s">
        <v>2703</v>
      </c>
      <c r="E211" s="31" t="s">
        <v>2704</v>
      </c>
      <c r="F211" s="24"/>
      <c r="G211" s="1913"/>
    </row>
    <row r="212" spans="1:8" s="698" customFormat="1" ht="36" customHeight="1">
      <c r="A212" s="1900"/>
      <c r="B212" s="1903"/>
      <c r="C212" s="1914"/>
      <c r="D212" s="30" t="s">
        <v>2705</v>
      </c>
      <c r="E212" s="29" t="s">
        <v>2706</v>
      </c>
      <c r="F212" s="695"/>
      <c r="G212" s="1912"/>
    </row>
    <row r="213" spans="1:8" s="698" customFormat="1" ht="36" customHeight="1">
      <c r="A213" s="1900"/>
      <c r="B213" s="1903"/>
      <c r="C213" s="1906"/>
      <c r="D213" s="30" t="s">
        <v>20</v>
      </c>
      <c r="E213" s="29" t="s">
        <v>2702</v>
      </c>
      <c r="F213" s="695" t="s">
        <v>2708</v>
      </c>
      <c r="G213" s="694" t="s">
        <v>2717</v>
      </c>
    </row>
    <row r="214" spans="1:8" s="698" customFormat="1" ht="36" customHeight="1">
      <c r="A214" s="1900"/>
      <c r="B214" s="1903"/>
      <c r="C214" s="1910" t="s">
        <v>2718</v>
      </c>
      <c r="D214" s="32" t="s">
        <v>20</v>
      </c>
      <c r="E214" s="31" t="s">
        <v>2719</v>
      </c>
      <c r="F214" s="24" t="s">
        <v>2722</v>
      </c>
      <c r="G214" s="1911" t="s">
        <v>2721</v>
      </c>
    </row>
    <row r="215" spans="1:8" s="698" customFormat="1" ht="36" customHeight="1">
      <c r="A215" s="1900"/>
      <c r="B215" s="1903"/>
      <c r="C215" s="1906"/>
      <c r="D215" s="32" t="s">
        <v>2720</v>
      </c>
      <c r="E215" s="31" t="s">
        <v>2728</v>
      </c>
      <c r="F215" s="24"/>
      <c r="G215" s="1912"/>
    </row>
    <row r="216" spans="1:8" s="679" customFormat="1" ht="36" customHeight="1">
      <c r="A216" s="1900"/>
      <c r="B216" s="1903"/>
      <c r="C216" s="696" t="s">
        <v>2729</v>
      </c>
      <c r="D216" s="32" t="s">
        <v>2730</v>
      </c>
      <c r="E216" s="31" t="s">
        <v>2731</v>
      </c>
      <c r="F216" s="24"/>
      <c r="G216" s="33" t="s">
        <v>2721</v>
      </c>
      <c r="H216" s="698" t="s">
        <v>2732</v>
      </c>
    </row>
    <row r="217" spans="1:8" s="698" customFormat="1" ht="36" customHeight="1">
      <c r="A217" s="1900"/>
      <c r="B217" s="1903"/>
      <c r="C217" s="696" t="s">
        <v>2744</v>
      </c>
      <c r="D217" s="32" t="s">
        <v>2745</v>
      </c>
      <c r="E217" s="31" t="s">
        <v>2746</v>
      </c>
      <c r="F217" s="24"/>
      <c r="G217" s="33"/>
      <c r="H217" s="698" t="s">
        <v>2747</v>
      </c>
    </row>
    <row r="218" spans="1:8" s="698" customFormat="1" ht="36" customHeight="1" thickBot="1">
      <c r="A218" s="1900"/>
      <c r="B218" s="1903"/>
      <c r="C218" s="697"/>
      <c r="D218" s="26"/>
      <c r="E218" s="25"/>
      <c r="F218" s="172"/>
      <c r="G218" s="699"/>
    </row>
    <row r="219" spans="1:8" s="543" customFormat="1" ht="36" customHeight="1" thickBot="1">
      <c r="A219" s="1901"/>
      <c r="B219" s="1904"/>
      <c r="C219" s="12"/>
      <c r="D219" s="11"/>
      <c r="E219" s="10"/>
      <c r="F219" s="10"/>
      <c r="G219" s="9"/>
    </row>
  </sheetData>
  <mergeCells count="102">
    <mergeCell ref="A77:A96"/>
    <mergeCell ref="B77:B96"/>
    <mergeCell ref="A103:A107"/>
    <mergeCell ref="B103:B107"/>
    <mergeCell ref="A108:A121"/>
    <mergeCell ref="B108:B121"/>
    <mergeCell ref="A97:A102"/>
    <mergeCell ref="A122:A130"/>
    <mergeCell ref="B122:B130"/>
    <mergeCell ref="B97:B102"/>
    <mergeCell ref="C198:C201"/>
    <mergeCell ref="F193:F194"/>
    <mergeCell ref="C202:C207"/>
    <mergeCell ref="A135:G135"/>
    <mergeCell ref="C193:C194"/>
    <mergeCell ref="G193:G194"/>
    <mergeCell ref="C148:C149"/>
    <mergeCell ref="C157:C158"/>
    <mergeCell ref="G157:G158"/>
    <mergeCell ref="C136:C138"/>
    <mergeCell ref="G136:G138"/>
    <mergeCell ref="A176:A186"/>
    <mergeCell ref="B176:B186"/>
    <mergeCell ref="A187:G187"/>
    <mergeCell ref="A147:A156"/>
    <mergeCell ref="B147:B156"/>
    <mergeCell ref="A157:A164"/>
    <mergeCell ref="B157:B164"/>
    <mergeCell ref="A165:A175"/>
    <mergeCell ref="B165:B175"/>
    <mergeCell ref="C150:C152"/>
    <mergeCell ref="C160:C161"/>
    <mergeCell ref="G160:G161"/>
    <mergeCell ref="C170:C171"/>
    <mergeCell ref="A1:G1"/>
    <mergeCell ref="A2:A14"/>
    <mergeCell ref="B2:B14"/>
    <mergeCell ref="C2:C4"/>
    <mergeCell ref="C7:C9"/>
    <mergeCell ref="G7:G9"/>
    <mergeCell ref="A36:A41"/>
    <mergeCell ref="B36:B41"/>
    <mergeCell ref="A15:A24"/>
    <mergeCell ref="B15:B24"/>
    <mergeCell ref="A25:A34"/>
    <mergeCell ref="B25:B34"/>
    <mergeCell ref="A35:G35"/>
    <mergeCell ref="C16:C17"/>
    <mergeCell ref="C18:C20"/>
    <mergeCell ref="C29:C30"/>
    <mergeCell ref="G28:G30"/>
    <mergeCell ref="A76:G76"/>
    <mergeCell ref="C43:C45"/>
    <mergeCell ref="C46:C48"/>
    <mergeCell ref="C64:C67"/>
    <mergeCell ref="F64:F65"/>
    <mergeCell ref="F66:F67"/>
    <mergeCell ref="G64:G67"/>
    <mergeCell ref="C50:C53"/>
    <mergeCell ref="G50:G53"/>
    <mergeCell ref="B42:B57"/>
    <mergeCell ref="A58:A62"/>
    <mergeCell ref="B58:B62"/>
    <mergeCell ref="B70:B75"/>
    <mergeCell ref="A63:A69"/>
    <mergeCell ref="B63:B69"/>
    <mergeCell ref="A42:A57"/>
    <mergeCell ref="A70:A75"/>
    <mergeCell ref="C116:C117"/>
    <mergeCell ref="G116:G117"/>
    <mergeCell ref="C108:C110"/>
    <mergeCell ref="G79:G81"/>
    <mergeCell ref="C83:C84"/>
    <mergeCell ref="C85:C92"/>
    <mergeCell ref="G83:G84"/>
    <mergeCell ref="C113:C114"/>
    <mergeCell ref="C99:C100"/>
    <mergeCell ref="C79:C81"/>
    <mergeCell ref="G122:G124"/>
    <mergeCell ref="A131:A134"/>
    <mergeCell ref="B131:B134"/>
    <mergeCell ref="C122:C125"/>
    <mergeCell ref="F200:F201"/>
    <mergeCell ref="C210:C213"/>
    <mergeCell ref="G210:G212"/>
    <mergeCell ref="C214:C215"/>
    <mergeCell ref="G214:G215"/>
    <mergeCell ref="A188:A197"/>
    <mergeCell ref="B188:B197"/>
    <mergeCell ref="A198:A219"/>
    <mergeCell ref="B198:B219"/>
    <mergeCell ref="C127:C128"/>
    <mergeCell ref="G127:G128"/>
    <mergeCell ref="C131:C132"/>
    <mergeCell ref="C166:C167"/>
    <mergeCell ref="F198:F199"/>
    <mergeCell ref="G198:G199"/>
    <mergeCell ref="F166:F167"/>
    <mergeCell ref="A136:A146"/>
    <mergeCell ref="B136:B146"/>
    <mergeCell ref="C139:C140"/>
    <mergeCell ref="G200:G201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zoomScale="70" zoomScaleNormal="70" zoomScaleSheetLayoutView="70" workbookViewId="0">
      <pane ySplit="1" topLeftCell="A134" activePane="bottomLeft" state="frozen"/>
      <selection pane="bottomLeft" activeCell="H144" sqref="H144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137.125" style="670" bestFit="1" customWidth="1"/>
    <col min="9" max="16384" width="9" style="1"/>
  </cols>
  <sheetData>
    <row r="1" spans="1:8" ht="53.25" customHeight="1" thickBot="1">
      <c r="A1" s="1956" t="s">
        <v>3060</v>
      </c>
      <c r="B1" s="1956"/>
      <c r="C1" s="1956"/>
      <c r="D1" s="1956"/>
      <c r="E1" s="1956"/>
      <c r="F1" s="1956"/>
      <c r="G1" s="1956"/>
      <c r="H1" s="796"/>
    </row>
    <row r="2" spans="1:8" s="670" customFormat="1" ht="60" customHeight="1" thickBot="1">
      <c r="A2" s="1907" t="s">
        <v>5</v>
      </c>
      <c r="B2" s="1908"/>
      <c r="C2" s="1908"/>
      <c r="D2" s="1908"/>
      <c r="E2" s="1908"/>
      <c r="F2" s="1908"/>
      <c r="G2" s="1909"/>
    </row>
    <row r="3" spans="1:8" s="543" customFormat="1" ht="36" customHeight="1">
      <c r="A3" s="1899">
        <v>45078</v>
      </c>
      <c r="B3" s="1916" t="s">
        <v>1</v>
      </c>
      <c r="C3" s="1905" t="s">
        <v>1274</v>
      </c>
      <c r="D3" s="24" t="s">
        <v>2547</v>
      </c>
      <c r="E3" s="24" t="s">
        <v>601</v>
      </c>
      <c r="F3" s="702"/>
      <c r="G3" s="700"/>
    </row>
    <row r="4" spans="1:8" s="543" customFormat="1" ht="36" customHeight="1">
      <c r="A4" s="1900"/>
      <c r="B4" s="1917"/>
      <c r="C4" s="1914"/>
      <c r="D4" s="24" t="s">
        <v>528</v>
      </c>
      <c r="E4" s="24" t="s">
        <v>1278</v>
      </c>
      <c r="F4" s="702"/>
      <c r="G4" s="700"/>
    </row>
    <row r="5" spans="1:8" s="543" customFormat="1" ht="36" customHeight="1">
      <c r="A5" s="1900"/>
      <c r="B5" s="1917"/>
      <c r="C5" s="1914"/>
      <c r="D5" s="32" t="s">
        <v>2548</v>
      </c>
      <c r="E5" s="31" t="s">
        <v>545</v>
      </c>
      <c r="F5" s="702" t="s">
        <v>2549</v>
      </c>
      <c r="G5" s="33"/>
    </row>
    <row r="6" spans="1:8" s="698" customFormat="1" ht="36" customHeight="1">
      <c r="A6" s="1900"/>
      <c r="B6" s="1917"/>
      <c r="C6" s="1906"/>
      <c r="D6" s="30" t="s">
        <v>2699</v>
      </c>
      <c r="E6" s="29" t="s">
        <v>2742</v>
      </c>
      <c r="F6" s="702" t="s">
        <v>2743</v>
      </c>
      <c r="G6" s="701"/>
    </row>
    <row r="7" spans="1:8" s="679" customFormat="1" ht="36" customHeight="1">
      <c r="A7" s="1900"/>
      <c r="B7" s="1917"/>
      <c r="C7" s="1910" t="s">
        <v>2648</v>
      </c>
      <c r="D7" s="30" t="s">
        <v>2649</v>
      </c>
      <c r="E7" s="29" t="s">
        <v>2650</v>
      </c>
      <c r="F7" s="702" t="s">
        <v>2651</v>
      </c>
      <c r="G7" s="701"/>
    </row>
    <row r="8" spans="1:8" s="698" customFormat="1" ht="36" customHeight="1">
      <c r="A8" s="1900"/>
      <c r="B8" s="1917"/>
      <c r="C8" s="1906"/>
      <c r="D8" s="30" t="s">
        <v>2709</v>
      </c>
      <c r="E8" s="29"/>
      <c r="F8" s="702"/>
      <c r="G8" s="701"/>
    </row>
    <row r="9" spans="1:8" s="698" customFormat="1" ht="36" customHeight="1">
      <c r="A9" s="1900"/>
      <c r="B9" s="1917"/>
      <c r="C9" s="703" t="s">
        <v>2723</v>
      </c>
      <c r="D9" s="32" t="s">
        <v>2724</v>
      </c>
      <c r="E9" s="31" t="s">
        <v>2726</v>
      </c>
      <c r="F9" s="24" t="s">
        <v>2725</v>
      </c>
      <c r="G9" s="33"/>
    </row>
    <row r="10" spans="1:8" s="704" customFormat="1" ht="36" customHeight="1" thickBot="1">
      <c r="A10" s="1900"/>
      <c r="B10" s="1917"/>
      <c r="C10" s="703" t="s">
        <v>2682</v>
      </c>
      <c r="D10" s="32" t="s">
        <v>20</v>
      </c>
      <c r="E10" s="31" t="s">
        <v>230</v>
      </c>
      <c r="F10" s="24" t="s">
        <v>201</v>
      </c>
      <c r="G10" s="33" t="s">
        <v>261</v>
      </c>
    </row>
    <row r="11" spans="1:8" s="543" customFormat="1" ht="36" customHeight="1" thickBot="1">
      <c r="A11" s="1901"/>
      <c r="B11" s="1918"/>
      <c r="C11" s="619" t="s">
        <v>2733</v>
      </c>
      <c r="D11" s="11" t="s">
        <v>2734</v>
      </c>
      <c r="E11" s="10" t="s">
        <v>2735</v>
      </c>
      <c r="F11" s="10" t="s">
        <v>2736</v>
      </c>
      <c r="G11" s="9"/>
    </row>
    <row r="12" spans="1:8" s="543" customFormat="1" ht="36" customHeight="1">
      <c r="A12" s="1899">
        <v>45079</v>
      </c>
      <c r="B12" s="1902" t="s">
        <v>0</v>
      </c>
      <c r="C12" s="709" t="s">
        <v>2685</v>
      </c>
      <c r="D12" s="24" t="s">
        <v>2696</v>
      </c>
      <c r="E12" s="24" t="s">
        <v>2697</v>
      </c>
      <c r="F12" s="708" t="s">
        <v>2686</v>
      </c>
      <c r="G12" s="707" t="s">
        <v>2698</v>
      </c>
      <c r="H12" s="543" t="s">
        <v>2727</v>
      </c>
    </row>
    <row r="13" spans="1:8" s="543" customFormat="1" ht="36" customHeight="1">
      <c r="A13" s="1900"/>
      <c r="B13" s="1903"/>
      <c r="C13" s="709" t="s">
        <v>2692</v>
      </c>
      <c r="D13" s="24" t="s">
        <v>229</v>
      </c>
      <c r="E13" s="24" t="s">
        <v>2693</v>
      </c>
      <c r="F13" s="708" t="s">
        <v>2695</v>
      </c>
      <c r="G13" s="706" t="s">
        <v>2694</v>
      </c>
    </row>
    <row r="14" spans="1:8" s="543" customFormat="1" ht="36" customHeight="1">
      <c r="A14" s="1900"/>
      <c r="B14" s="1903"/>
      <c r="C14" s="709" t="s">
        <v>232</v>
      </c>
      <c r="D14" s="32" t="s">
        <v>2749</v>
      </c>
      <c r="E14" s="31" t="s">
        <v>2750</v>
      </c>
      <c r="F14" s="708" t="s">
        <v>2751</v>
      </c>
      <c r="G14" s="706" t="s">
        <v>2772</v>
      </c>
    </row>
    <row r="15" spans="1:8" s="698" customFormat="1" ht="36" customHeight="1">
      <c r="A15" s="1900"/>
      <c r="B15" s="1903"/>
      <c r="C15" s="709" t="s">
        <v>2755</v>
      </c>
      <c r="D15" s="32" t="s">
        <v>2756</v>
      </c>
      <c r="E15" s="31" t="s">
        <v>2757</v>
      </c>
      <c r="F15" s="24"/>
      <c r="G15" s="33" t="s">
        <v>2758</v>
      </c>
    </row>
    <row r="16" spans="1:8" s="543" customFormat="1" ht="36" customHeight="1">
      <c r="A16" s="1900"/>
      <c r="B16" s="1903"/>
      <c r="C16" s="709" t="s">
        <v>2759</v>
      </c>
      <c r="D16" s="32" t="s">
        <v>2760</v>
      </c>
      <c r="E16" s="31" t="s">
        <v>2761</v>
      </c>
      <c r="F16" s="24"/>
      <c r="G16" s="1911" t="s">
        <v>2773</v>
      </c>
    </row>
    <row r="17" spans="1:8" s="704" customFormat="1" ht="36" customHeight="1">
      <c r="A17" s="1900"/>
      <c r="B17" s="1903"/>
      <c r="C17" s="709" t="s">
        <v>2762</v>
      </c>
      <c r="D17" s="32" t="s">
        <v>2763</v>
      </c>
      <c r="E17" s="31" t="s">
        <v>2764</v>
      </c>
      <c r="F17" s="24" t="s">
        <v>2765</v>
      </c>
      <c r="G17" s="1912"/>
      <c r="H17" s="704" t="s">
        <v>2766</v>
      </c>
    </row>
    <row r="18" spans="1:8" s="704" customFormat="1" ht="36" customHeight="1">
      <c r="A18" s="1900"/>
      <c r="B18" s="1903"/>
      <c r="C18" s="705" t="s">
        <v>42</v>
      </c>
      <c r="D18" s="30" t="s">
        <v>20</v>
      </c>
      <c r="E18" s="29" t="s">
        <v>2775</v>
      </c>
      <c r="F18" s="708" t="s">
        <v>172</v>
      </c>
      <c r="G18" s="707" t="s">
        <v>502</v>
      </c>
      <c r="H18" s="704" t="s">
        <v>590</v>
      </c>
    </row>
    <row r="19" spans="1:8" s="704" customFormat="1" ht="36" customHeight="1">
      <c r="A19" s="1900"/>
      <c r="B19" s="1903"/>
      <c r="C19" s="1910" t="s">
        <v>2781</v>
      </c>
      <c r="D19" s="32" t="s">
        <v>20</v>
      </c>
      <c r="E19" s="31" t="s">
        <v>2782</v>
      </c>
      <c r="F19" s="24" t="s">
        <v>2784</v>
      </c>
      <c r="G19" s="33" t="s">
        <v>2785</v>
      </c>
      <c r="H19" s="711" t="s">
        <v>2787</v>
      </c>
    </row>
    <row r="20" spans="1:8" s="711" customFormat="1" ht="36" customHeight="1">
      <c r="A20" s="1900"/>
      <c r="B20" s="1903"/>
      <c r="C20" s="1906"/>
      <c r="D20" s="32" t="s">
        <v>20</v>
      </c>
      <c r="E20" s="29" t="s">
        <v>2783</v>
      </c>
      <c r="F20" s="708"/>
      <c r="G20" s="707" t="s">
        <v>2786</v>
      </c>
      <c r="H20" s="711" t="s">
        <v>2788</v>
      </c>
    </row>
    <row r="21" spans="1:8" s="711" customFormat="1" ht="36" customHeight="1" thickBot="1">
      <c r="A21" s="1900"/>
      <c r="B21" s="1903"/>
      <c r="C21" s="710"/>
      <c r="D21" s="26"/>
      <c r="E21" s="25"/>
      <c r="F21" s="172"/>
      <c r="G21" s="712"/>
    </row>
    <row r="22" spans="1:8" s="543" customFormat="1" ht="36" customHeight="1" thickBot="1">
      <c r="A22" s="1901"/>
      <c r="B22" s="1904"/>
      <c r="C22" s="12"/>
      <c r="D22" s="11"/>
      <c r="E22" s="10"/>
      <c r="F22" s="10"/>
      <c r="G22" s="9"/>
    </row>
    <row r="23" spans="1:8" s="704" customFormat="1" ht="60" customHeight="1" thickBot="1">
      <c r="A23" s="1907" t="s">
        <v>5</v>
      </c>
      <c r="B23" s="1908"/>
      <c r="C23" s="1908"/>
      <c r="D23" s="1908"/>
      <c r="E23" s="1908"/>
      <c r="F23" s="1908"/>
      <c r="G23" s="1909"/>
    </row>
    <row r="24" spans="1:8" ht="36" customHeight="1">
      <c r="A24" s="1899">
        <v>45082</v>
      </c>
      <c r="B24" s="1902" t="s">
        <v>4</v>
      </c>
      <c r="C24" s="1905" t="s">
        <v>2776</v>
      </c>
      <c r="D24" s="24" t="s">
        <v>20</v>
      </c>
      <c r="E24" s="24" t="s">
        <v>2779</v>
      </c>
      <c r="F24" s="727"/>
      <c r="G24" s="1915"/>
      <c r="H24" s="698"/>
    </row>
    <row r="25" spans="1:8" ht="36" customHeight="1">
      <c r="A25" s="1900"/>
      <c r="B25" s="1903"/>
      <c r="C25" s="1914"/>
      <c r="D25" s="24" t="s">
        <v>2777</v>
      </c>
      <c r="E25" s="24" t="s">
        <v>2780</v>
      </c>
      <c r="F25" s="727"/>
      <c r="G25" s="1913"/>
      <c r="H25" s="698"/>
    </row>
    <row r="26" spans="1:8" ht="36" customHeight="1">
      <c r="A26" s="1900"/>
      <c r="B26" s="1903"/>
      <c r="C26" s="1906"/>
      <c r="D26" s="32" t="s">
        <v>2778</v>
      </c>
      <c r="E26" s="31">
        <v>224</v>
      </c>
      <c r="F26" s="727"/>
      <c r="G26" s="1912"/>
      <c r="H26" s="698"/>
    </row>
    <row r="27" spans="1:8" ht="36" customHeight="1">
      <c r="A27" s="1900"/>
      <c r="B27" s="1903"/>
      <c r="C27" s="722" t="s">
        <v>2795</v>
      </c>
      <c r="D27" s="24" t="s">
        <v>2796</v>
      </c>
      <c r="E27" s="37" t="s">
        <v>2797</v>
      </c>
      <c r="F27" s="24"/>
      <c r="G27" s="725" t="s">
        <v>2807</v>
      </c>
      <c r="H27" s="713"/>
    </row>
    <row r="28" spans="1:8" ht="36" customHeight="1" thickBot="1">
      <c r="A28" s="1900"/>
      <c r="B28" s="1903"/>
      <c r="C28" s="723" t="s">
        <v>2790</v>
      </c>
      <c r="D28" s="730" t="s">
        <v>2791</v>
      </c>
      <c r="E28" s="37" t="s">
        <v>2792</v>
      </c>
      <c r="F28" s="726" t="s">
        <v>2549</v>
      </c>
      <c r="G28" s="724" t="s">
        <v>2793</v>
      </c>
      <c r="H28" s="698"/>
    </row>
    <row r="29" spans="1:8" ht="36" customHeight="1" thickBot="1">
      <c r="A29" s="1901"/>
      <c r="B29" s="1904"/>
      <c r="C29" s="12" t="s">
        <v>2737</v>
      </c>
      <c r="D29" s="11" t="s">
        <v>2738</v>
      </c>
      <c r="E29" s="10" t="s">
        <v>2739</v>
      </c>
      <c r="F29" s="10" t="s">
        <v>2740</v>
      </c>
      <c r="G29" s="9"/>
      <c r="H29" s="698"/>
    </row>
    <row r="30" spans="1:8" ht="36" customHeight="1">
      <c r="A30" s="1899">
        <v>45083</v>
      </c>
      <c r="B30" s="1902" t="s">
        <v>2794</v>
      </c>
      <c r="C30" s="1940" t="s">
        <v>2798</v>
      </c>
      <c r="D30" s="24" t="s">
        <v>2799</v>
      </c>
      <c r="E30" s="62" t="s">
        <v>2800</v>
      </c>
      <c r="F30" s="740"/>
      <c r="G30" s="1939" t="s">
        <v>2802</v>
      </c>
      <c r="H30" s="713"/>
    </row>
    <row r="31" spans="1:8" ht="36" customHeight="1">
      <c r="A31" s="1900"/>
      <c r="B31" s="1903"/>
      <c r="C31" s="1953"/>
      <c r="D31" s="24" t="s">
        <v>544</v>
      </c>
      <c r="E31" s="35" t="s">
        <v>2801</v>
      </c>
      <c r="F31" s="741"/>
      <c r="G31" s="1922"/>
      <c r="H31" s="713"/>
    </row>
    <row r="32" spans="1:8" ht="36" customHeight="1" thickBot="1">
      <c r="A32" s="1900"/>
      <c r="B32" s="1903"/>
      <c r="C32" s="718"/>
      <c r="D32" s="716"/>
      <c r="E32" s="719"/>
      <c r="F32" s="717"/>
      <c r="G32" s="720"/>
      <c r="H32" s="713"/>
    </row>
    <row r="33" spans="1:8" ht="36" customHeight="1" thickBot="1">
      <c r="A33" s="1901"/>
      <c r="B33" s="1904"/>
      <c r="C33" s="12"/>
      <c r="D33" s="11"/>
      <c r="E33" s="10"/>
      <c r="F33" s="10"/>
      <c r="G33" s="9"/>
      <c r="H33" s="713"/>
    </row>
    <row r="34" spans="1:8" ht="30" customHeight="1">
      <c r="A34" s="1899">
        <v>45084</v>
      </c>
      <c r="B34" s="1902" t="s">
        <v>2</v>
      </c>
      <c r="C34" s="36" t="s">
        <v>198</v>
      </c>
      <c r="D34" s="49" t="s">
        <v>20</v>
      </c>
      <c r="E34" s="61" t="s">
        <v>371</v>
      </c>
      <c r="F34" s="49" t="s">
        <v>393</v>
      </c>
      <c r="G34" s="1950" t="s">
        <v>183</v>
      </c>
      <c r="H34" s="704"/>
    </row>
    <row r="35" spans="1:8" ht="30" customHeight="1">
      <c r="A35" s="1900"/>
      <c r="B35" s="1903"/>
      <c r="C35" s="728" t="s">
        <v>393</v>
      </c>
      <c r="D35" s="24" t="s">
        <v>378</v>
      </c>
      <c r="E35" s="24" t="s">
        <v>189</v>
      </c>
      <c r="F35" s="24" t="s">
        <v>2741</v>
      </c>
      <c r="G35" s="1951"/>
      <c r="H35" s="704"/>
    </row>
    <row r="36" spans="1:8" ht="30" customHeight="1">
      <c r="A36" s="1900"/>
      <c r="B36" s="1903"/>
      <c r="C36" s="1952" t="s">
        <v>267</v>
      </c>
      <c r="D36" s="32" t="s">
        <v>2713</v>
      </c>
      <c r="E36" s="31" t="s">
        <v>2714</v>
      </c>
      <c r="F36" s="24"/>
      <c r="G36" s="1951" t="s">
        <v>2715</v>
      </c>
    </row>
    <row r="37" spans="1:8" ht="30" customHeight="1">
      <c r="A37" s="1900"/>
      <c r="B37" s="1903"/>
      <c r="C37" s="1952"/>
      <c r="D37" s="730" t="s">
        <v>2716</v>
      </c>
      <c r="E37" s="31"/>
      <c r="F37" s="24"/>
      <c r="G37" s="1951"/>
    </row>
    <row r="38" spans="1:8" ht="30" customHeight="1">
      <c r="A38" s="1900"/>
      <c r="B38" s="1903"/>
      <c r="C38" s="728" t="s">
        <v>2808</v>
      </c>
      <c r="D38" s="24" t="s">
        <v>20</v>
      </c>
      <c r="E38" s="31" t="s">
        <v>2810</v>
      </c>
      <c r="F38" s="24" t="s">
        <v>554</v>
      </c>
      <c r="G38" s="33" t="s">
        <v>2812</v>
      </c>
      <c r="H38" s="713"/>
    </row>
    <row r="39" spans="1:8" ht="30" customHeight="1">
      <c r="A39" s="1900"/>
      <c r="B39" s="1903"/>
      <c r="C39" s="1910" t="s">
        <v>2809</v>
      </c>
      <c r="D39" s="24" t="s">
        <v>20</v>
      </c>
      <c r="E39" s="31" t="s">
        <v>2811</v>
      </c>
      <c r="F39" s="24" t="s">
        <v>2814</v>
      </c>
      <c r="G39" s="1911" t="s">
        <v>2813</v>
      </c>
      <c r="H39" s="729" t="s">
        <v>2821</v>
      </c>
    </row>
    <row r="40" spans="1:8" ht="30" customHeight="1">
      <c r="A40" s="1900"/>
      <c r="B40" s="1903"/>
      <c r="C40" s="1906"/>
      <c r="D40" s="24" t="s">
        <v>20</v>
      </c>
      <c r="E40" s="31" t="s">
        <v>2838</v>
      </c>
      <c r="F40" s="727" t="s">
        <v>2839</v>
      </c>
      <c r="G40" s="1912"/>
      <c r="H40" s="729" t="s">
        <v>2840</v>
      </c>
    </row>
    <row r="41" spans="1:8" ht="30" customHeight="1">
      <c r="A41" s="1900"/>
      <c r="B41" s="1903"/>
      <c r="C41" s="728" t="s">
        <v>738</v>
      </c>
      <c r="D41" s="24" t="s">
        <v>218</v>
      </c>
      <c r="E41" s="24" t="s">
        <v>226</v>
      </c>
      <c r="F41" s="727" t="s">
        <v>2806</v>
      </c>
      <c r="G41" s="33" t="s">
        <v>2815</v>
      </c>
      <c r="H41" s="715"/>
    </row>
    <row r="42" spans="1:8" ht="30" customHeight="1">
      <c r="A42" s="1900"/>
      <c r="B42" s="1903"/>
      <c r="C42" s="728" t="s">
        <v>2816</v>
      </c>
      <c r="D42" s="24" t="s">
        <v>2817</v>
      </c>
      <c r="E42" s="31" t="s">
        <v>2819</v>
      </c>
      <c r="F42" s="24" t="s">
        <v>2820</v>
      </c>
      <c r="G42" s="33" t="s">
        <v>2818</v>
      </c>
      <c r="H42" s="715"/>
    </row>
    <row r="43" spans="1:8" ht="30" customHeight="1">
      <c r="A43" s="1900"/>
      <c r="B43" s="1903"/>
      <c r="C43" s="728" t="s">
        <v>2803</v>
      </c>
      <c r="D43" s="32" t="s">
        <v>2804</v>
      </c>
      <c r="E43" s="31" t="s">
        <v>2805</v>
      </c>
      <c r="F43" s="24"/>
      <c r="G43" s="33" t="s">
        <v>543</v>
      </c>
      <c r="H43" s="713"/>
    </row>
    <row r="44" spans="1:8" ht="30" customHeight="1">
      <c r="A44" s="1900"/>
      <c r="B44" s="1903"/>
      <c r="C44" s="728" t="s">
        <v>2822</v>
      </c>
      <c r="D44" s="24" t="s">
        <v>218</v>
      </c>
      <c r="E44" s="31" t="s">
        <v>2823</v>
      </c>
      <c r="F44" s="24" t="s">
        <v>2825</v>
      </c>
      <c r="G44" s="33" t="s">
        <v>2824</v>
      </c>
      <c r="H44" s="713"/>
    </row>
    <row r="45" spans="1:8" s="729" customFormat="1" ht="36" customHeight="1">
      <c r="A45" s="1900"/>
      <c r="B45" s="1903"/>
      <c r="C45" s="1914" t="s">
        <v>288</v>
      </c>
      <c r="D45" s="727" t="s">
        <v>580</v>
      </c>
      <c r="E45" s="727" t="s">
        <v>246</v>
      </c>
      <c r="F45" s="1937" t="s">
        <v>582</v>
      </c>
      <c r="G45" s="1913" t="s">
        <v>183</v>
      </c>
    </row>
    <row r="46" spans="1:8" s="729" customFormat="1" ht="36" customHeight="1">
      <c r="A46" s="1900"/>
      <c r="B46" s="1903"/>
      <c r="C46" s="1906"/>
      <c r="D46" s="24" t="s">
        <v>486</v>
      </c>
      <c r="E46" s="24" t="s">
        <v>246</v>
      </c>
      <c r="F46" s="1938"/>
      <c r="G46" s="1912"/>
    </row>
    <row r="47" spans="1:8" ht="30" customHeight="1">
      <c r="A47" s="1900"/>
      <c r="B47" s="1903"/>
      <c r="C47" s="44"/>
      <c r="D47" s="43"/>
      <c r="E47" s="27"/>
      <c r="F47" s="42"/>
      <c r="G47" s="41"/>
      <c r="H47" s="729"/>
    </row>
    <row r="48" spans="1:8" ht="30" customHeight="1" thickBot="1">
      <c r="A48" s="1900"/>
      <c r="B48" s="1903"/>
      <c r="C48" s="40"/>
      <c r="D48" s="742"/>
      <c r="E48" s="188"/>
      <c r="F48" s="54"/>
      <c r="G48" s="721"/>
      <c r="H48" s="729"/>
    </row>
    <row r="49" spans="1:8" ht="30" customHeight="1" thickBot="1">
      <c r="A49" s="1901"/>
      <c r="B49" s="1904"/>
      <c r="C49" s="53"/>
      <c r="D49" s="52"/>
      <c r="E49" s="51"/>
      <c r="F49" s="51"/>
      <c r="G49" s="50"/>
    </row>
    <row r="50" spans="1:8" ht="30" customHeight="1">
      <c r="A50" s="1899">
        <v>45085</v>
      </c>
      <c r="B50" s="1902" t="s">
        <v>1</v>
      </c>
      <c r="C50" s="36" t="s">
        <v>2827</v>
      </c>
      <c r="D50" s="24" t="s">
        <v>2836</v>
      </c>
      <c r="E50" s="24" t="s">
        <v>2837</v>
      </c>
      <c r="F50" s="734" t="s">
        <v>2829</v>
      </c>
      <c r="G50" s="732" t="s">
        <v>2828</v>
      </c>
    </row>
    <row r="51" spans="1:8" ht="30" customHeight="1">
      <c r="A51" s="1900"/>
      <c r="B51" s="1903"/>
      <c r="C51" s="1910" t="s">
        <v>2830</v>
      </c>
      <c r="D51" s="24" t="s">
        <v>2831</v>
      </c>
      <c r="E51" s="24" t="s">
        <v>2832</v>
      </c>
      <c r="F51" s="734"/>
      <c r="G51" s="732"/>
      <c r="H51" s="713"/>
    </row>
    <row r="52" spans="1:8" ht="30" customHeight="1">
      <c r="A52" s="1900"/>
      <c r="B52" s="1903"/>
      <c r="C52" s="1914"/>
      <c r="D52" s="24" t="s">
        <v>2833</v>
      </c>
      <c r="E52" s="24" t="s">
        <v>2841</v>
      </c>
      <c r="F52" s="734"/>
      <c r="G52" s="732"/>
    </row>
    <row r="53" spans="1:8" ht="30" customHeight="1">
      <c r="A53" s="1900"/>
      <c r="B53" s="1903"/>
      <c r="C53" s="1914"/>
      <c r="D53" s="32" t="s">
        <v>2834</v>
      </c>
      <c r="E53" s="31" t="s">
        <v>2835</v>
      </c>
      <c r="F53" s="734"/>
      <c r="G53" s="732"/>
    </row>
    <row r="54" spans="1:8" ht="30" customHeight="1">
      <c r="A54" s="1900"/>
      <c r="B54" s="1903"/>
      <c r="C54" s="1914"/>
      <c r="D54" s="32" t="s">
        <v>2842</v>
      </c>
      <c r="E54" s="31" t="s">
        <v>2843</v>
      </c>
      <c r="F54" s="734"/>
      <c r="G54" s="732"/>
      <c r="H54" s="729"/>
    </row>
    <row r="55" spans="1:8" ht="30" customHeight="1">
      <c r="A55" s="1900"/>
      <c r="B55" s="1903"/>
      <c r="C55" s="1914"/>
      <c r="D55" s="32" t="s">
        <v>43</v>
      </c>
      <c r="E55" s="31" t="s">
        <v>2844</v>
      </c>
      <c r="F55" s="734"/>
      <c r="G55" s="743"/>
      <c r="H55" s="729"/>
    </row>
    <row r="56" spans="1:8" ht="30" customHeight="1">
      <c r="A56" s="1900"/>
      <c r="B56" s="1903"/>
      <c r="C56" s="1914"/>
      <c r="D56" s="32" t="s">
        <v>2861</v>
      </c>
      <c r="E56" s="31" t="s">
        <v>2862</v>
      </c>
      <c r="F56" s="734" t="s">
        <v>2870</v>
      </c>
      <c r="G56" s="1913" t="s">
        <v>2863</v>
      </c>
      <c r="H56" s="737"/>
    </row>
    <row r="57" spans="1:8" ht="30" customHeight="1">
      <c r="A57" s="1900"/>
      <c r="B57" s="1903"/>
      <c r="C57" s="1906"/>
      <c r="D57" s="32" t="s">
        <v>2868</v>
      </c>
      <c r="E57" s="31" t="s">
        <v>2860</v>
      </c>
      <c r="F57" s="734" t="s">
        <v>2871</v>
      </c>
      <c r="G57" s="1912"/>
      <c r="H57" s="737" t="s">
        <v>2869</v>
      </c>
    </row>
    <row r="58" spans="1:8" ht="30" customHeight="1">
      <c r="A58" s="1900"/>
      <c r="B58" s="1903"/>
      <c r="C58" s="1910" t="s">
        <v>2851</v>
      </c>
      <c r="D58" s="32" t="s">
        <v>2852</v>
      </c>
      <c r="E58" s="31" t="s">
        <v>2853</v>
      </c>
      <c r="F58" s="24"/>
      <c r="G58" s="743"/>
      <c r="H58" s="729" t="s">
        <v>2855</v>
      </c>
    </row>
    <row r="59" spans="1:8" ht="30" customHeight="1">
      <c r="A59" s="1900"/>
      <c r="B59" s="1903"/>
      <c r="C59" s="1906"/>
      <c r="D59" s="30" t="s">
        <v>2854</v>
      </c>
      <c r="E59" s="29" t="s">
        <v>2867</v>
      </c>
      <c r="F59" s="734"/>
      <c r="G59" s="733"/>
      <c r="H59" s="729"/>
    </row>
    <row r="60" spans="1:8" s="737" customFormat="1" ht="30" customHeight="1">
      <c r="A60" s="1900"/>
      <c r="B60" s="1903"/>
      <c r="C60" s="735" t="s">
        <v>51</v>
      </c>
      <c r="D60" s="24" t="s">
        <v>20</v>
      </c>
      <c r="E60" s="24" t="s">
        <v>631</v>
      </c>
      <c r="F60" s="24" t="s">
        <v>632</v>
      </c>
      <c r="G60" s="743" t="s">
        <v>37</v>
      </c>
    </row>
    <row r="61" spans="1:8" ht="30" customHeight="1">
      <c r="A61" s="1900"/>
      <c r="B61" s="1903"/>
      <c r="C61" s="731" t="s">
        <v>2864</v>
      </c>
      <c r="D61" s="30" t="s">
        <v>20</v>
      </c>
      <c r="E61" s="29" t="s">
        <v>2865</v>
      </c>
      <c r="F61" s="734" t="s">
        <v>2866</v>
      </c>
      <c r="G61" s="733" t="s">
        <v>37</v>
      </c>
      <c r="H61" s="737"/>
    </row>
    <row r="62" spans="1:8" ht="30" customHeight="1">
      <c r="A62" s="1900"/>
      <c r="B62" s="1903"/>
      <c r="C62" s="736"/>
      <c r="D62" s="28"/>
      <c r="E62" s="27"/>
      <c r="F62" s="673"/>
      <c r="G62" s="739"/>
      <c r="H62" s="737"/>
    </row>
    <row r="63" spans="1:8" ht="30" customHeight="1" thickBot="1">
      <c r="A63" s="1900"/>
      <c r="B63" s="1903"/>
      <c r="C63" s="201"/>
      <c r="D63" s="26"/>
      <c r="E63" s="25"/>
      <c r="F63" s="172"/>
      <c r="G63" s="738"/>
      <c r="H63" s="737"/>
    </row>
    <row r="64" spans="1:8" ht="30" customHeight="1" thickBot="1">
      <c r="A64" s="1901"/>
      <c r="B64" s="1904"/>
      <c r="C64" s="12"/>
      <c r="D64" s="11"/>
      <c r="E64" s="10"/>
      <c r="F64" s="10"/>
      <c r="G64" s="9"/>
    </row>
    <row r="65" spans="1:8" ht="30" customHeight="1">
      <c r="A65" s="1899">
        <v>45086</v>
      </c>
      <c r="B65" s="1902" t="s">
        <v>31</v>
      </c>
      <c r="C65" s="1905" t="s">
        <v>2872</v>
      </c>
      <c r="D65" s="24" t="s">
        <v>2752</v>
      </c>
      <c r="E65" s="24" t="s">
        <v>2753</v>
      </c>
      <c r="F65" s="156"/>
      <c r="G65" s="1915" t="s">
        <v>2876</v>
      </c>
    </row>
    <row r="66" spans="1:8" ht="30" customHeight="1">
      <c r="A66" s="1900"/>
      <c r="B66" s="1903"/>
      <c r="C66" s="1906"/>
      <c r="D66" s="24" t="s">
        <v>1938</v>
      </c>
      <c r="E66" s="24" t="s">
        <v>2754</v>
      </c>
      <c r="F66" s="56"/>
      <c r="G66" s="1912"/>
    </row>
    <row r="67" spans="1:8" ht="30" customHeight="1">
      <c r="A67" s="1900"/>
      <c r="B67" s="1903"/>
      <c r="C67" s="1910" t="s">
        <v>206</v>
      </c>
      <c r="D67" s="32" t="s">
        <v>210</v>
      </c>
      <c r="E67" s="31">
        <v>1</v>
      </c>
      <c r="F67" s="56"/>
      <c r="G67" s="190"/>
      <c r="H67" s="729"/>
    </row>
    <row r="68" spans="1:8" ht="30" customHeight="1">
      <c r="A68" s="1900"/>
      <c r="B68" s="1903"/>
      <c r="C68" s="1906"/>
      <c r="D68" s="32" t="s">
        <v>2789</v>
      </c>
      <c r="E68" s="31">
        <v>159</v>
      </c>
      <c r="F68" s="55"/>
      <c r="G68" s="194"/>
    </row>
    <row r="69" spans="1:8" ht="30" customHeight="1">
      <c r="A69" s="1900"/>
      <c r="B69" s="1903"/>
      <c r="C69" s="750" t="s">
        <v>2848</v>
      </c>
      <c r="D69" s="32" t="s">
        <v>2849</v>
      </c>
      <c r="E69" s="31" t="s">
        <v>2850</v>
      </c>
      <c r="F69" s="24" t="s">
        <v>2549</v>
      </c>
      <c r="G69" s="190"/>
    </row>
    <row r="70" spans="1:8" ht="30" customHeight="1">
      <c r="A70" s="1900"/>
      <c r="B70" s="1903"/>
      <c r="C70" s="745" t="s">
        <v>319</v>
      </c>
      <c r="D70" s="30" t="s">
        <v>2873</v>
      </c>
      <c r="E70" s="29" t="s">
        <v>2874</v>
      </c>
      <c r="F70" s="749" t="s">
        <v>2875</v>
      </c>
      <c r="G70" s="194"/>
      <c r="H70" s="737"/>
    </row>
    <row r="71" spans="1:8" ht="30" customHeight="1">
      <c r="A71" s="1900"/>
      <c r="B71" s="1903"/>
      <c r="C71" s="745" t="s">
        <v>2877</v>
      </c>
      <c r="D71" s="30" t="s">
        <v>2878</v>
      </c>
      <c r="E71" s="29" t="s">
        <v>2879</v>
      </c>
      <c r="F71" s="749"/>
      <c r="G71" s="746" t="s">
        <v>2880</v>
      </c>
      <c r="H71" s="737"/>
    </row>
    <row r="72" spans="1:8" ht="30" customHeight="1">
      <c r="A72" s="1900"/>
      <c r="B72" s="1903"/>
      <c r="C72" s="1910" t="s">
        <v>2881</v>
      </c>
      <c r="D72" s="30" t="s">
        <v>2882</v>
      </c>
      <c r="E72" s="29" t="s">
        <v>2883</v>
      </c>
      <c r="F72" s="749"/>
      <c r="G72" s="1911" t="s">
        <v>2888</v>
      </c>
      <c r="H72" s="751"/>
    </row>
    <row r="73" spans="1:8" ht="30" customHeight="1">
      <c r="A73" s="1900"/>
      <c r="B73" s="1903"/>
      <c r="C73" s="1914"/>
      <c r="D73" s="30" t="s">
        <v>2884</v>
      </c>
      <c r="E73" s="29" t="s">
        <v>2885</v>
      </c>
      <c r="F73" s="749"/>
      <c r="G73" s="1913"/>
      <c r="H73" s="751"/>
    </row>
    <row r="74" spans="1:8" ht="30" customHeight="1">
      <c r="A74" s="1900"/>
      <c r="B74" s="1903"/>
      <c r="C74" s="1906"/>
      <c r="D74" s="30" t="s">
        <v>2887</v>
      </c>
      <c r="E74" s="29" t="s">
        <v>2886</v>
      </c>
      <c r="F74" s="749" t="s">
        <v>2894</v>
      </c>
      <c r="G74" s="1912"/>
      <c r="H74" s="737"/>
    </row>
    <row r="75" spans="1:8" ht="30" customHeight="1">
      <c r="A75" s="1900"/>
      <c r="B75" s="1903"/>
      <c r="C75" s="750" t="s">
        <v>2895</v>
      </c>
      <c r="D75" s="32" t="s">
        <v>2896</v>
      </c>
      <c r="E75" s="31" t="s">
        <v>2897</v>
      </c>
      <c r="F75" s="24" t="s">
        <v>2899</v>
      </c>
      <c r="G75" s="752" t="s">
        <v>2898</v>
      </c>
      <c r="H75" s="737" t="s">
        <v>2900</v>
      </c>
    </row>
    <row r="76" spans="1:8" ht="30" customHeight="1" thickBot="1">
      <c r="A76" s="1900"/>
      <c r="B76" s="1903"/>
      <c r="C76" s="744" t="s">
        <v>51</v>
      </c>
      <c r="D76" s="35" t="s">
        <v>2901</v>
      </c>
      <c r="E76" s="34" t="s">
        <v>2902</v>
      </c>
      <c r="F76" s="748"/>
      <c r="G76" s="747" t="s">
        <v>2903</v>
      </c>
      <c r="H76" s="751"/>
    </row>
    <row r="77" spans="1:8" ht="30" customHeight="1" thickBot="1">
      <c r="A77" s="1901"/>
      <c r="B77" s="1904"/>
      <c r="C77" s="12"/>
      <c r="D77" s="11"/>
      <c r="E77" s="10"/>
      <c r="F77" s="10"/>
      <c r="G77" s="9"/>
    </row>
    <row r="78" spans="1:8" ht="60" customHeight="1" thickBot="1">
      <c r="A78" s="1907" t="s">
        <v>5</v>
      </c>
      <c r="B78" s="1908"/>
      <c r="C78" s="1908"/>
      <c r="D78" s="1908"/>
      <c r="E78" s="1908"/>
      <c r="F78" s="1908"/>
      <c r="G78" s="1909"/>
    </row>
    <row r="79" spans="1:8" ht="36" customHeight="1">
      <c r="A79" s="1899">
        <v>45089</v>
      </c>
      <c r="B79" s="1902" t="s">
        <v>4</v>
      </c>
      <c r="C79" s="1905" t="s">
        <v>272</v>
      </c>
      <c r="D79" s="24" t="s">
        <v>451</v>
      </c>
      <c r="E79" s="24" t="s">
        <v>217</v>
      </c>
      <c r="F79" s="756" t="s">
        <v>355</v>
      </c>
      <c r="G79" s="754"/>
    </row>
    <row r="80" spans="1:8" ht="36" customHeight="1">
      <c r="A80" s="1900"/>
      <c r="B80" s="1903"/>
      <c r="C80" s="1914"/>
      <c r="D80" s="24" t="s">
        <v>221</v>
      </c>
      <c r="E80" s="24" t="s">
        <v>2826</v>
      </c>
      <c r="F80" s="756"/>
      <c r="G80" s="754"/>
    </row>
    <row r="81" spans="1:8" ht="36" customHeight="1">
      <c r="A81" s="1900"/>
      <c r="B81" s="1903"/>
      <c r="C81" s="1906"/>
      <c r="D81" s="24" t="s">
        <v>2846</v>
      </c>
      <c r="E81" s="24" t="s">
        <v>2847</v>
      </c>
      <c r="F81" s="756"/>
      <c r="G81" s="754"/>
      <c r="H81" s="729"/>
    </row>
    <row r="82" spans="1:8" ht="36" customHeight="1">
      <c r="A82" s="1900"/>
      <c r="B82" s="1903"/>
      <c r="C82" s="757" t="s">
        <v>2856</v>
      </c>
      <c r="D82" s="32" t="s">
        <v>2857</v>
      </c>
      <c r="E82" s="31" t="s">
        <v>2858</v>
      </c>
      <c r="F82" s="756" t="s">
        <v>2859</v>
      </c>
      <c r="G82" s="754"/>
    </row>
    <row r="83" spans="1:8" ht="36" customHeight="1">
      <c r="A83" s="1900"/>
      <c r="B83" s="1903"/>
      <c r="C83" s="757" t="s">
        <v>2904</v>
      </c>
      <c r="D83" s="30" t="s">
        <v>2887</v>
      </c>
      <c r="E83" s="31" t="s">
        <v>2905</v>
      </c>
      <c r="F83" s="24" t="s">
        <v>240</v>
      </c>
      <c r="G83" s="763" t="s">
        <v>2906</v>
      </c>
      <c r="H83" s="751"/>
    </row>
    <row r="84" spans="1:8" ht="36" customHeight="1">
      <c r="A84" s="1900"/>
      <c r="B84" s="1903"/>
      <c r="C84" s="753" t="s">
        <v>2909</v>
      </c>
      <c r="D84" s="30" t="s">
        <v>2912</v>
      </c>
      <c r="E84" s="29" t="s">
        <v>2910</v>
      </c>
      <c r="F84" s="756" t="s">
        <v>2911</v>
      </c>
      <c r="G84" s="755"/>
      <c r="H84" s="751"/>
    </row>
    <row r="85" spans="1:8" ht="36" customHeight="1">
      <c r="A85" s="1900"/>
      <c r="B85" s="1903"/>
      <c r="C85" s="753" t="s">
        <v>2913</v>
      </c>
      <c r="D85" s="30" t="s">
        <v>20</v>
      </c>
      <c r="E85" s="29" t="s">
        <v>39</v>
      </c>
      <c r="F85" s="756" t="s">
        <v>38</v>
      </c>
      <c r="G85" s="755" t="s">
        <v>37</v>
      </c>
      <c r="H85" s="751"/>
    </row>
    <row r="86" spans="1:8" ht="36" customHeight="1">
      <c r="A86" s="1900"/>
      <c r="B86" s="1903"/>
      <c r="C86" s="753" t="s">
        <v>2926</v>
      </c>
      <c r="D86" s="30" t="s">
        <v>2927</v>
      </c>
      <c r="E86" s="29" t="s">
        <v>2928</v>
      </c>
      <c r="F86" s="756"/>
      <c r="G86" s="755" t="s">
        <v>2929</v>
      </c>
      <c r="H86" s="760" t="s">
        <v>2934</v>
      </c>
    </row>
    <row r="87" spans="1:8" ht="36" customHeight="1">
      <c r="A87" s="1900"/>
      <c r="B87" s="1903"/>
      <c r="C87" s="757" t="s">
        <v>2933</v>
      </c>
      <c r="D87" s="30" t="s">
        <v>20</v>
      </c>
      <c r="E87" s="31" t="s">
        <v>2938</v>
      </c>
      <c r="F87" s="24" t="s">
        <v>2942</v>
      </c>
      <c r="G87" s="763" t="s">
        <v>2939</v>
      </c>
      <c r="H87" s="760" t="s">
        <v>2940</v>
      </c>
    </row>
    <row r="88" spans="1:8" ht="36" customHeight="1">
      <c r="A88" s="1900"/>
      <c r="B88" s="1903"/>
      <c r="C88" s="1910" t="s">
        <v>2921</v>
      </c>
      <c r="D88" s="32" t="s">
        <v>2922</v>
      </c>
      <c r="E88" s="31" t="s">
        <v>2923</v>
      </c>
      <c r="F88" s="24" t="s">
        <v>2941</v>
      </c>
      <c r="G88" s="763" t="s">
        <v>2924</v>
      </c>
      <c r="H88" s="760" t="s">
        <v>2925</v>
      </c>
    </row>
    <row r="89" spans="1:8" ht="36" customHeight="1">
      <c r="A89" s="1900"/>
      <c r="B89" s="1903"/>
      <c r="C89" s="1914"/>
      <c r="D89" s="32" t="s">
        <v>2922</v>
      </c>
      <c r="E89" s="31" t="s">
        <v>2923</v>
      </c>
      <c r="F89" s="756"/>
      <c r="G89" s="755" t="s">
        <v>2919</v>
      </c>
      <c r="H89" s="760" t="s">
        <v>2935</v>
      </c>
    </row>
    <row r="90" spans="1:8" ht="36" customHeight="1">
      <c r="A90" s="1900"/>
      <c r="B90" s="1903"/>
      <c r="C90" s="1906"/>
      <c r="D90" s="32" t="s">
        <v>2944</v>
      </c>
      <c r="E90" s="31" t="s">
        <v>2945</v>
      </c>
      <c r="F90" s="24" t="s">
        <v>2956</v>
      </c>
      <c r="G90" s="763" t="s">
        <v>2950</v>
      </c>
      <c r="H90" s="760" t="s">
        <v>2946</v>
      </c>
    </row>
    <row r="91" spans="1:8" ht="36" customHeight="1" thickBot="1">
      <c r="A91" s="1900"/>
      <c r="B91" s="1903"/>
      <c r="C91" s="758"/>
      <c r="D91" s="26"/>
      <c r="E91" s="25"/>
      <c r="F91" s="172"/>
      <c r="G91" s="761"/>
      <c r="H91" s="760"/>
    </row>
    <row r="92" spans="1:8" ht="36" customHeight="1" thickBot="1">
      <c r="A92" s="1901"/>
      <c r="B92" s="1904"/>
      <c r="C92" s="12"/>
      <c r="D92" s="11"/>
      <c r="E92" s="10"/>
      <c r="F92" s="10"/>
      <c r="G92" s="9"/>
    </row>
    <row r="93" spans="1:8" ht="36" customHeight="1">
      <c r="A93" s="1899">
        <v>45090</v>
      </c>
      <c r="B93" s="1902" t="s">
        <v>3</v>
      </c>
      <c r="C93" s="773" t="s">
        <v>2889</v>
      </c>
      <c r="D93" s="774" t="s">
        <v>2890</v>
      </c>
      <c r="E93" s="774" t="s">
        <v>2891</v>
      </c>
      <c r="F93" s="775" t="s">
        <v>2892</v>
      </c>
      <c r="G93" s="776"/>
      <c r="H93" s="670" t="s">
        <v>2893</v>
      </c>
    </row>
    <row r="94" spans="1:8" ht="36" customHeight="1">
      <c r="A94" s="1900"/>
      <c r="B94" s="1903"/>
      <c r="C94" s="773" t="s">
        <v>2914</v>
      </c>
      <c r="D94" s="774" t="s">
        <v>2915</v>
      </c>
      <c r="E94" s="774" t="s">
        <v>2920</v>
      </c>
      <c r="F94" s="775"/>
      <c r="G94" s="776"/>
    </row>
    <row r="95" spans="1:8" ht="36" customHeight="1">
      <c r="A95" s="1900"/>
      <c r="B95" s="1903"/>
      <c r="C95" s="773" t="s">
        <v>2932</v>
      </c>
      <c r="D95" s="777" t="s">
        <v>2930</v>
      </c>
      <c r="E95" s="778" t="s">
        <v>2931</v>
      </c>
      <c r="F95" s="774"/>
      <c r="G95" s="779"/>
    </row>
    <row r="96" spans="1:8" ht="36" customHeight="1">
      <c r="A96" s="1900"/>
      <c r="B96" s="1903"/>
      <c r="C96" s="1957" t="s">
        <v>195</v>
      </c>
      <c r="D96" s="777" t="s">
        <v>2966</v>
      </c>
      <c r="E96" s="778" t="s">
        <v>2967</v>
      </c>
      <c r="F96" s="774"/>
      <c r="G96" s="779"/>
      <c r="H96" s="765"/>
    </row>
    <row r="97" spans="1:8" ht="36" customHeight="1">
      <c r="A97" s="1900"/>
      <c r="B97" s="1903"/>
      <c r="C97" s="1958"/>
      <c r="D97" s="777" t="s">
        <v>2969</v>
      </c>
      <c r="E97" s="778" t="s">
        <v>2968</v>
      </c>
      <c r="F97" s="774"/>
      <c r="G97" s="779"/>
      <c r="H97" s="765"/>
    </row>
    <row r="98" spans="1:8" ht="36" customHeight="1">
      <c r="A98" s="1900"/>
      <c r="B98" s="1903"/>
      <c r="C98" s="773" t="s">
        <v>2916</v>
      </c>
      <c r="D98" s="774" t="s">
        <v>2917</v>
      </c>
      <c r="E98" s="774" t="s">
        <v>2918</v>
      </c>
      <c r="F98" s="774"/>
      <c r="G98" s="779" t="s">
        <v>2919</v>
      </c>
      <c r="H98" s="760"/>
    </row>
    <row r="99" spans="1:8" ht="36" customHeight="1">
      <c r="A99" s="1900"/>
      <c r="B99" s="1903"/>
      <c r="C99" s="759"/>
      <c r="D99" s="28"/>
      <c r="E99" s="27"/>
      <c r="F99" s="673"/>
      <c r="G99" s="762"/>
      <c r="H99" s="760"/>
    </row>
    <row r="100" spans="1:8" ht="36" customHeight="1" thickBot="1">
      <c r="A100" s="1900"/>
      <c r="B100" s="1903"/>
      <c r="C100" s="758"/>
      <c r="D100" s="26"/>
      <c r="E100" s="25"/>
      <c r="F100" s="172"/>
      <c r="G100" s="761"/>
      <c r="H100" s="760"/>
    </row>
    <row r="101" spans="1:8" ht="36" customHeight="1" thickBot="1">
      <c r="A101" s="1901"/>
      <c r="B101" s="1904"/>
      <c r="C101" s="12"/>
      <c r="D101" s="11"/>
      <c r="E101" s="10"/>
      <c r="F101" s="10"/>
      <c r="G101" s="9"/>
    </row>
    <row r="102" spans="1:8" ht="36" customHeight="1">
      <c r="A102" s="1899">
        <v>45091</v>
      </c>
      <c r="B102" s="1902" t="s">
        <v>2</v>
      </c>
      <c r="C102" s="1905" t="s">
        <v>2943</v>
      </c>
      <c r="D102" s="24" t="s">
        <v>2960</v>
      </c>
      <c r="E102" s="24" t="s">
        <v>2961</v>
      </c>
      <c r="F102" s="770"/>
      <c r="G102" s="768"/>
    </row>
    <row r="103" spans="1:8" ht="36" customHeight="1">
      <c r="A103" s="1900"/>
      <c r="B103" s="1903"/>
      <c r="C103" s="1914"/>
      <c r="D103" s="24" t="s">
        <v>2962</v>
      </c>
      <c r="E103" s="24" t="s">
        <v>2961</v>
      </c>
      <c r="F103" s="770"/>
      <c r="G103" s="768"/>
      <c r="H103" s="760"/>
    </row>
    <row r="104" spans="1:8" ht="36" customHeight="1">
      <c r="A104" s="1900"/>
      <c r="B104" s="1903"/>
      <c r="C104" s="1914"/>
      <c r="D104" s="24" t="s">
        <v>2963</v>
      </c>
      <c r="E104" s="24" t="s">
        <v>2964</v>
      </c>
      <c r="F104" s="770"/>
      <c r="G104" s="768"/>
      <c r="H104" s="760"/>
    </row>
    <row r="105" spans="1:8" ht="36" customHeight="1">
      <c r="A105" s="1900"/>
      <c r="B105" s="1903"/>
      <c r="C105" s="1914"/>
      <c r="D105" s="24" t="s">
        <v>298</v>
      </c>
      <c r="E105" s="24" t="s">
        <v>2961</v>
      </c>
      <c r="F105" s="770"/>
      <c r="G105" s="768"/>
      <c r="H105" s="760"/>
    </row>
    <row r="106" spans="1:8" ht="36" customHeight="1">
      <c r="A106" s="1900"/>
      <c r="B106" s="1903"/>
      <c r="C106" s="1906"/>
      <c r="D106" s="24" t="s">
        <v>624</v>
      </c>
      <c r="E106" s="24" t="s">
        <v>2931</v>
      </c>
      <c r="F106" s="770" t="s">
        <v>2965</v>
      </c>
      <c r="G106" s="768"/>
      <c r="H106" s="760"/>
    </row>
    <row r="107" spans="1:8" ht="36" customHeight="1">
      <c r="A107" s="1900"/>
      <c r="B107" s="1903"/>
      <c r="C107" s="767" t="s">
        <v>2947</v>
      </c>
      <c r="D107" s="30" t="s">
        <v>2948</v>
      </c>
      <c r="E107" s="29" t="s">
        <v>2949</v>
      </c>
      <c r="F107" s="770"/>
      <c r="G107" s="768"/>
    </row>
    <row r="108" spans="1:8" ht="36" customHeight="1">
      <c r="A108" s="1900"/>
      <c r="B108" s="1903"/>
      <c r="C108" s="1910" t="s">
        <v>2970</v>
      </c>
      <c r="D108" s="24" t="s">
        <v>218</v>
      </c>
      <c r="E108" s="31" t="s">
        <v>2973</v>
      </c>
      <c r="F108" s="24"/>
      <c r="G108" s="1911" t="s">
        <v>2974</v>
      </c>
      <c r="H108" s="765" t="s">
        <v>2975</v>
      </c>
    </row>
    <row r="109" spans="1:8" ht="36" customHeight="1">
      <c r="A109" s="1900"/>
      <c r="B109" s="1903"/>
      <c r="C109" s="1906"/>
      <c r="D109" s="24" t="s">
        <v>2971</v>
      </c>
      <c r="E109" s="29" t="s">
        <v>2972</v>
      </c>
      <c r="F109" s="770"/>
      <c r="G109" s="1912"/>
      <c r="H109" s="765"/>
    </row>
    <row r="110" spans="1:8" ht="36" customHeight="1">
      <c r="A110" s="1900"/>
      <c r="B110" s="1903"/>
      <c r="C110" s="767" t="s">
        <v>2999</v>
      </c>
      <c r="D110" s="30" t="s">
        <v>3000</v>
      </c>
      <c r="E110" s="29" t="s">
        <v>3001</v>
      </c>
      <c r="F110" s="770"/>
      <c r="G110" s="769" t="s">
        <v>3002</v>
      </c>
      <c r="H110" s="772" t="s">
        <v>3003</v>
      </c>
    </row>
    <row r="111" spans="1:8" ht="36" customHeight="1" thickBot="1">
      <c r="A111" s="1900"/>
      <c r="B111" s="1903"/>
      <c r="C111" s="764"/>
      <c r="D111" s="26"/>
      <c r="E111" s="25"/>
      <c r="F111" s="172"/>
      <c r="G111" s="766"/>
    </row>
    <row r="112" spans="1:8" ht="36" customHeight="1" thickBot="1">
      <c r="A112" s="1901"/>
      <c r="B112" s="1904"/>
      <c r="C112" s="12"/>
      <c r="D112" s="11"/>
      <c r="E112" s="10"/>
      <c r="F112" s="10"/>
      <c r="G112" s="9"/>
    </row>
    <row r="113" spans="1:8" ht="36" customHeight="1">
      <c r="A113" s="1899">
        <v>45092</v>
      </c>
      <c r="B113" s="1902" t="s">
        <v>1</v>
      </c>
      <c r="C113" s="787" t="s">
        <v>453</v>
      </c>
      <c r="D113" s="24" t="s">
        <v>224</v>
      </c>
      <c r="E113" s="24" t="s">
        <v>2979</v>
      </c>
      <c r="F113" s="786"/>
      <c r="G113" s="782"/>
    </row>
    <row r="114" spans="1:8" ht="36" customHeight="1">
      <c r="A114" s="1900"/>
      <c r="B114" s="1903"/>
      <c r="C114" s="1910" t="s">
        <v>2983</v>
      </c>
      <c r="D114" s="24" t="s">
        <v>515</v>
      </c>
      <c r="E114" s="24" t="s">
        <v>2984</v>
      </c>
      <c r="F114" s="24"/>
      <c r="G114" s="782"/>
    </row>
    <row r="115" spans="1:8" ht="36" customHeight="1">
      <c r="A115" s="1900"/>
      <c r="B115" s="1903"/>
      <c r="C115" s="1914"/>
      <c r="D115" s="32" t="s">
        <v>2985</v>
      </c>
      <c r="E115" s="31" t="s">
        <v>2986</v>
      </c>
      <c r="F115" s="786"/>
      <c r="G115" s="782"/>
    </row>
    <row r="116" spans="1:8" ht="36" customHeight="1">
      <c r="A116" s="1900"/>
      <c r="B116" s="1903"/>
      <c r="C116" s="1906"/>
      <c r="D116" s="24" t="s">
        <v>315</v>
      </c>
      <c r="E116" s="31" t="s">
        <v>2987</v>
      </c>
      <c r="F116" s="786" t="s">
        <v>2988</v>
      </c>
      <c r="G116" s="789"/>
    </row>
    <row r="117" spans="1:8" ht="36" customHeight="1">
      <c r="A117" s="1900"/>
      <c r="B117" s="1903"/>
      <c r="C117" s="1910" t="s">
        <v>2993</v>
      </c>
      <c r="D117" s="24" t="s">
        <v>325</v>
      </c>
      <c r="E117" s="24" t="s">
        <v>2994</v>
      </c>
      <c r="F117" s="24"/>
      <c r="G117" s="1945" t="s">
        <v>2996</v>
      </c>
      <c r="H117" s="772"/>
    </row>
    <row r="118" spans="1:8" ht="36" customHeight="1">
      <c r="A118" s="1900"/>
      <c r="B118" s="1903"/>
      <c r="C118" s="1914"/>
      <c r="D118" s="24" t="s">
        <v>315</v>
      </c>
      <c r="E118" s="31" t="s">
        <v>2997</v>
      </c>
      <c r="F118" s="786" t="s">
        <v>172</v>
      </c>
      <c r="G118" s="1913"/>
      <c r="H118" s="772"/>
    </row>
    <row r="119" spans="1:8" ht="36" customHeight="1">
      <c r="A119" s="1900"/>
      <c r="B119" s="1903"/>
      <c r="C119" s="1906"/>
      <c r="D119" s="24" t="s">
        <v>2995</v>
      </c>
      <c r="E119" s="31" t="s">
        <v>2998</v>
      </c>
      <c r="F119" s="786"/>
      <c r="G119" s="1912"/>
      <c r="H119" s="772"/>
    </row>
    <row r="120" spans="1:8" ht="36" customHeight="1">
      <c r="A120" s="1900"/>
      <c r="B120" s="1903"/>
      <c r="C120" s="1910" t="s">
        <v>324</v>
      </c>
      <c r="D120" s="24" t="s">
        <v>3004</v>
      </c>
      <c r="E120" s="31" t="s">
        <v>3005</v>
      </c>
      <c r="F120" s="24"/>
      <c r="G120" s="1911" t="s">
        <v>3009</v>
      </c>
      <c r="H120" s="788"/>
    </row>
    <row r="121" spans="1:8" ht="36" customHeight="1">
      <c r="A121" s="1900"/>
      <c r="B121" s="1903"/>
      <c r="C121" s="1906"/>
      <c r="D121" s="786" t="s">
        <v>3006</v>
      </c>
      <c r="E121" s="29" t="s">
        <v>3007</v>
      </c>
      <c r="F121" s="786" t="s">
        <v>3008</v>
      </c>
      <c r="G121" s="1912"/>
      <c r="H121" s="788"/>
    </row>
    <row r="122" spans="1:8" ht="36" customHeight="1">
      <c r="A122" s="1900"/>
      <c r="B122" s="1903"/>
      <c r="C122" s="781" t="s">
        <v>3016</v>
      </c>
      <c r="D122" s="786" t="s">
        <v>20</v>
      </c>
      <c r="E122" s="29" t="s">
        <v>3017</v>
      </c>
      <c r="F122" s="786" t="s">
        <v>172</v>
      </c>
      <c r="G122" s="783" t="s">
        <v>3018</v>
      </c>
      <c r="H122" s="788"/>
    </row>
    <row r="123" spans="1:8" ht="36" customHeight="1">
      <c r="A123" s="1900"/>
      <c r="B123" s="1903"/>
      <c r="C123" s="787" t="s">
        <v>49</v>
      </c>
      <c r="D123" s="24" t="s">
        <v>48</v>
      </c>
      <c r="E123" s="24" t="s">
        <v>3012</v>
      </c>
      <c r="F123" s="24" t="s">
        <v>46</v>
      </c>
      <c r="G123" s="789" t="s">
        <v>45</v>
      </c>
      <c r="H123" s="788"/>
    </row>
    <row r="124" spans="1:8" ht="36" customHeight="1" thickBot="1">
      <c r="A124" s="1900"/>
      <c r="B124" s="1903"/>
      <c r="C124" s="780" t="s">
        <v>3013</v>
      </c>
      <c r="D124" s="785" t="s">
        <v>20</v>
      </c>
      <c r="E124" s="785" t="s">
        <v>3014</v>
      </c>
      <c r="F124" s="785" t="s">
        <v>172</v>
      </c>
      <c r="G124" s="784" t="s">
        <v>3015</v>
      </c>
      <c r="H124" s="788"/>
    </row>
    <row r="125" spans="1:8" ht="36" customHeight="1" thickBot="1">
      <c r="A125" s="1901"/>
      <c r="B125" s="1904"/>
      <c r="C125" s="12"/>
      <c r="D125" s="11"/>
      <c r="E125" s="10"/>
      <c r="F125" s="10"/>
      <c r="G125" s="9"/>
    </row>
    <row r="126" spans="1:8" ht="36" customHeight="1">
      <c r="A126" s="1899">
        <v>45093</v>
      </c>
      <c r="B126" s="1902" t="s">
        <v>0</v>
      </c>
      <c r="C126" s="795" t="s">
        <v>206</v>
      </c>
      <c r="D126" s="24" t="s">
        <v>207</v>
      </c>
      <c r="E126" s="24" t="s">
        <v>3025</v>
      </c>
      <c r="F126" s="794"/>
      <c r="G126" s="793"/>
    </row>
    <row r="127" spans="1:8" ht="36" customHeight="1">
      <c r="A127" s="1900"/>
      <c r="B127" s="1903"/>
      <c r="C127" s="795" t="s">
        <v>2957</v>
      </c>
      <c r="D127" s="24" t="s">
        <v>315</v>
      </c>
      <c r="E127" s="24" t="s">
        <v>2958</v>
      </c>
      <c r="F127" s="794" t="s">
        <v>3019</v>
      </c>
      <c r="G127" s="793" t="s">
        <v>2989</v>
      </c>
    </row>
    <row r="128" spans="1:8" ht="36" customHeight="1">
      <c r="A128" s="1900"/>
      <c r="B128" s="1903"/>
      <c r="C128" s="1910" t="s">
        <v>3024</v>
      </c>
      <c r="D128" s="24" t="s">
        <v>3020</v>
      </c>
      <c r="E128" s="24" t="s">
        <v>3021</v>
      </c>
      <c r="F128" s="794"/>
      <c r="G128" s="1911" t="s">
        <v>261</v>
      </c>
      <c r="H128" s="760"/>
    </row>
    <row r="129" spans="1:8" ht="36" customHeight="1">
      <c r="A129" s="1900"/>
      <c r="B129" s="1903"/>
      <c r="C129" s="1906"/>
      <c r="D129" s="32" t="s">
        <v>3022</v>
      </c>
      <c r="E129" s="31" t="s">
        <v>3023</v>
      </c>
      <c r="F129" s="794"/>
      <c r="G129" s="1912"/>
    </row>
    <row r="130" spans="1:8" ht="36" customHeight="1">
      <c r="A130" s="1900"/>
      <c r="B130" s="1903"/>
      <c r="C130" s="795" t="s">
        <v>3031</v>
      </c>
      <c r="D130" s="32" t="s">
        <v>3034</v>
      </c>
      <c r="E130" s="31" t="s">
        <v>3033</v>
      </c>
      <c r="F130" s="24" t="s">
        <v>3035</v>
      </c>
      <c r="G130" s="797" t="s">
        <v>3036</v>
      </c>
      <c r="H130" s="791" t="s">
        <v>3032</v>
      </c>
    </row>
    <row r="131" spans="1:8" ht="36" customHeight="1" thickBot="1">
      <c r="A131" s="1900"/>
      <c r="B131" s="1903"/>
      <c r="C131" s="790"/>
      <c r="D131" s="26"/>
      <c r="E131" s="25"/>
      <c r="F131" s="172"/>
      <c r="G131" s="792"/>
    </row>
    <row r="132" spans="1:8" ht="36" customHeight="1" thickBot="1">
      <c r="A132" s="1901"/>
      <c r="B132" s="1904"/>
      <c r="C132" s="12" t="s">
        <v>2959</v>
      </c>
      <c r="D132" s="11" t="s">
        <v>2980</v>
      </c>
      <c r="E132" s="10" t="s">
        <v>2981</v>
      </c>
      <c r="F132" s="10" t="s">
        <v>2982</v>
      </c>
      <c r="G132" s="9"/>
    </row>
    <row r="133" spans="1:8" ht="60" customHeight="1" thickBot="1">
      <c r="A133" s="1907" t="s">
        <v>5</v>
      </c>
      <c r="B133" s="1908"/>
      <c r="C133" s="1908"/>
      <c r="D133" s="1908"/>
      <c r="E133" s="1908"/>
      <c r="F133" s="1908"/>
      <c r="G133" s="1909"/>
    </row>
    <row r="134" spans="1:8" ht="36" customHeight="1">
      <c r="A134" s="1899">
        <v>45096</v>
      </c>
      <c r="B134" s="1919" t="s">
        <v>4</v>
      </c>
      <c r="C134" s="36" t="s">
        <v>594</v>
      </c>
      <c r="D134" s="49" t="s">
        <v>1284</v>
      </c>
      <c r="E134" s="49" t="s">
        <v>220</v>
      </c>
      <c r="F134" s="49"/>
      <c r="G134" s="808" t="s">
        <v>490</v>
      </c>
      <c r="H134" s="765"/>
    </row>
    <row r="135" spans="1:8" ht="36" customHeight="1">
      <c r="A135" s="1900"/>
      <c r="B135" s="1920"/>
      <c r="C135" s="1914" t="s">
        <v>2976</v>
      </c>
      <c r="D135" s="800" t="s">
        <v>2977</v>
      </c>
      <c r="E135" s="800" t="s">
        <v>68</v>
      </c>
      <c r="F135" s="1949" t="s">
        <v>3026</v>
      </c>
      <c r="G135" s="809"/>
    </row>
    <row r="136" spans="1:8" ht="36" customHeight="1">
      <c r="A136" s="1900"/>
      <c r="B136" s="1920"/>
      <c r="C136" s="1906"/>
      <c r="D136" s="32" t="s">
        <v>2978</v>
      </c>
      <c r="E136" s="31" t="s">
        <v>68</v>
      </c>
      <c r="F136" s="1938"/>
      <c r="G136" s="799"/>
    </row>
    <row r="137" spans="1:8" ht="36" customHeight="1">
      <c r="A137" s="1900"/>
      <c r="B137" s="1920"/>
      <c r="C137" s="1910" t="s">
        <v>331</v>
      </c>
      <c r="D137" s="24" t="s">
        <v>315</v>
      </c>
      <c r="E137" s="24" t="s">
        <v>371</v>
      </c>
      <c r="F137" s="800"/>
      <c r="G137" s="1911" t="s">
        <v>2990</v>
      </c>
      <c r="H137" s="772"/>
    </row>
    <row r="138" spans="1:8" ht="36" customHeight="1">
      <c r="A138" s="1900"/>
      <c r="B138" s="1920"/>
      <c r="C138" s="1914"/>
      <c r="D138" s="24" t="s">
        <v>284</v>
      </c>
      <c r="E138" s="24" t="s">
        <v>455</v>
      </c>
      <c r="F138" s="800"/>
      <c r="G138" s="1913"/>
      <c r="H138" s="772"/>
    </row>
    <row r="139" spans="1:8" ht="36" customHeight="1">
      <c r="A139" s="1900"/>
      <c r="B139" s="1920"/>
      <c r="C139" s="1914"/>
      <c r="D139" s="24" t="s">
        <v>493</v>
      </c>
      <c r="E139" s="24" t="s">
        <v>333</v>
      </c>
      <c r="F139" s="800"/>
      <c r="G139" s="1913"/>
      <c r="H139" s="772"/>
    </row>
    <row r="140" spans="1:8" ht="36" customHeight="1">
      <c r="A140" s="1900"/>
      <c r="B140" s="1920"/>
      <c r="C140" s="1914"/>
      <c r="D140" s="24" t="s">
        <v>325</v>
      </c>
      <c r="E140" s="24" t="s">
        <v>438</v>
      </c>
      <c r="F140" s="800"/>
      <c r="G140" s="1913"/>
      <c r="H140" s="772"/>
    </row>
    <row r="141" spans="1:8" ht="36" customHeight="1">
      <c r="A141" s="1900"/>
      <c r="B141" s="1920"/>
      <c r="C141" s="1914"/>
      <c r="D141" s="24" t="s">
        <v>383</v>
      </c>
      <c r="E141" s="24" t="s">
        <v>384</v>
      </c>
      <c r="F141" s="800"/>
      <c r="G141" s="1913"/>
      <c r="H141" s="772"/>
    </row>
    <row r="142" spans="1:8" ht="36" customHeight="1">
      <c r="A142" s="1900"/>
      <c r="B142" s="1920"/>
      <c r="C142" s="1906"/>
      <c r="D142" s="24" t="s">
        <v>3010</v>
      </c>
      <c r="E142" s="24" t="s">
        <v>3011</v>
      </c>
      <c r="F142" s="800"/>
      <c r="G142" s="1912"/>
      <c r="H142" s="788"/>
    </row>
    <row r="143" spans="1:8" ht="36" customHeight="1">
      <c r="A143" s="1900"/>
      <c r="B143" s="1920"/>
      <c r="C143" s="801" t="s">
        <v>3037</v>
      </c>
      <c r="D143" s="32" t="s">
        <v>3038</v>
      </c>
      <c r="E143" s="31"/>
      <c r="F143" s="800"/>
      <c r="G143" s="798" t="s">
        <v>3039</v>
      </c>
    </row>
    <row r="144" spans="1:8" s="796" customFormat="1" ht="36" customHeight="1">
      <c r="A144" s="1900"/>
      <c r="B144" s="1920"/>
      <c r="C144" s="801" t="s">
        <v>263</v>
      </c>
      <c r="D144" s="32" t="s">
        <v>20</v>
      </c>
      <c r="E144" s="31" t="s">
        <v>407</v>
      </c>
      <c r="F144" s="24" t="s">
        <v>316</v>
      </c>
      <c r="G144" s="809" t="s">
        <v>294</v>
      </c>
      <c r="H144" s="796" t="s">
        <v>3046</v>
      </c>
    </row>
    <row r="145" spans="1:8" ht="36" customHeight="1" thickBot="1">
      <c r="A145" s="1900"/>
      <c r="B145" s="1920"/>
      <c r="C145" s="672"/>
      <c r="D145" s="16"/>
      <c r="E145" s="15"/>
      <c r="F145" s="172"/>
      <c r="G145" s="671"/>
    </row>
    <row r="146" spans="1:8" ht="36" customHeight="1" thickBot="1">
      <c r="A146" s="1901"/>
      <c r="B146" s="1921"/>
      <c r="C146" s="12"/>
      <c r="D146" s="11"/>
      <c r="E146" s="10"/>
      <c r="F146" s="10"/>
      <c r="G146" s="9"/>
    </row>
    <row r="147" spans="1:8" ht="36" customHeight="1">
      <c r="A147" s="1899">
        <v>45097</v>
      </c>
      <c r="B147" s="1902" t="s">
        <v>15</v>
      </c>
      <c r="C147" s="801" t="s">
        <v>394</v>
      </c>
      <c r="D147" s="24" t="s">
        <v>3040</v>
      </c>
      <c r="E147" s="24" t="s">
        <v>3041</v>
      </c>
      <c r="F147" s="800"/>
      <c r="G147" s="798"/>
    </row>
    <row r="148" spans="1:8" ht="36" customHeight="1">
      <c r="A148" s="1900"/>
      <c r="B148" s="1903"/>
      <c r="C148" s="801" t="s">
        <v>3047</v>
      </c>
      <c r="D148" s="24" t="s">
        <v>3048</v>
      </c>
      <c r="E148" s="24" t="s">
        <v>3049</v>
      </c>
      <c r="F148" s="24" t="s">
        <v>3051</v>
      </c>
      <c r="G148" s="809" t="s">
        <v>3050</v>
      </c>
      <c r="H148" s="804"/>
    </row>
    <row r="149" spans="1:8" ht="36" customHeight="1">
      <c r="A149" s="1900"/>
      <c r="B149" s="1903"/>
      <c r="C149" s="803"/>
      <c r="D149" s="807"/>
      <c r="E149" s="807"/>
      <c r="F149" s="807"/>
      <c r="G149" s="806"/>
      <c r="H149" s="804"/>
    </row>
    <row r="150" spans="1:8" ht="36" customHeight="1" thickBot="1">
      <c r="A150" s="1900"/>
      <c r="B150" s="1903"/>
      <c r="C150" s="802"/>
      <c r="D150" s="26"/>
      <c r="E150" s="25"/>
      <c r="F150" s="172"/>
      <c r="G150" s="805"/>
    </row>
    <row r="151" spans="1:8" ht="36" customHeight="1" thickBot="1">
      <c r="A151" s="1901"/>
      <c r="B151" s="1904"/>
      <c r="C151" s="12"/>
      <c r="D151" s="11"/>
      <c r="E151" s="10"/>
      <c r="F151" s="10"/>
      <c r="G151" s="9"/>
    </row>
    <row r="152" spans="1:8" ht="36" customHeight="1">
      <c r="A152" s="1899">
        <v>45098</v>
      </c>
      <c r="B152" s="1902" t="s">
        <v>2</v>
      </c>
      <c r="C152" s="1905" t="s">
        <v>3030</v>
      </c>
      <c r="D152" s="24" t="s">
        <v>3027</v>
      </c>
      <c r="E152" s="24" t="s">
        <v>3028</v>
      </c>
      <c r="F152" s="813"/>
      <c r="G152" s="811"/>
    </row>
    <row r="153" spans="1:8" ht="36" customHeight="1">
      <c r="A153" s="1900"/>
      <c r="B153" s="1903"/>
      <c r="C153" s="1906"/>
      <c r="D153" s="24" t="s">
        <v>3029</v>
      </c>
      <c r="E153" s="24" t="s">
        <v>3061</v>
      </c>
      <c r="F153" s="813"/>
      <c r="G153" s="811"/>
    </row>
    <row r="154" spans="1:8" ht="36" customHeight="1">
      <c r="A154" s="1900"/>
      <c r="B154" s="1903"/>
      <c r="C154" s="814" t="s">
        <v>3042</v>
      </c>
      <c r="D154" s="32" t="s">
        <v>20</v>
      </c>
      <c r="E154" s="31" t="s">
        <v>3043</v>
      </c>
      <c r="F154" s="813" t="s">
        <v>3045</v>
      </c>
      <c r="G154" s="811" t="s">
        <v>261</v>
      </c>
      <c r="H154" s="670" t="s">
        <v>3044</v>
      </c>
    </row>
    <row r="155" spans="1:8" ht="36" customHeight="1">
      <c r="A155" s="1900"/>
      <c r="B155" s="1903"/>
      <c r="C155" s="814" t="s">
        <v>3052</v>
      </c>
      <c r="D155" s="32" t="s">
        <v>3053</v>
      </c>
      <c r="E155" s="31" t="s">
        <v>3054</v>
      </c>
      <c r="F155" s="24"/>
      <c r="G155" s="816" t="s">
        <v>3055</v>
      </c>
    </row>
    <row r="156" spans="1:8" ht="36" customHeight="1">
      <c r="A156" s="1900"/>
      <c r="B156" s="1903"/>
      <c r="C156" s="810" t="s">
        <v>288</v>
      </c>
      <c r="D156" s="30" t="s">
        <v>3059</v>
      </c>
      <c r="E156" s="29" t="s">
        <v>3056</v>
      </c>
      <c r="F156" s="813" t="s">
        <v>3057</v>
      </c>
      <c r="G156" s="812" t="s">
        <v>3058</v>
      </c>
      <c r="H156" s="804"/>
    </row>
    <row r="157" spans="1:8" ht="36" customHeight="1">
      <c r="A157" s="1900"/>
      <c r="B157" s="1903"/>
      <c r="C157" s="814" t="s">
        <v>260</v>
      </c>
      <c r="D157" s="24" t="s">
        <v>2992</v>
      </c>
      <c r="E157" s="24" t="s">
        <v>404</v>
      </c>
      <c r="F157" s="813" t="s">
        <v>2991</v>
      </c>
      <c r="G157" s="1911" t="s">
        <v>3066</v>
      </c>
      <c r="H157" s="815"/>
    </row>
    <row r="158" spans="1:8" ht="36" customHeight="1">
      <c r="A158" s="1900"/>
      <c r="B158" s="1903"/>
      <c r="C158" s="1910" t="s">
        <v>3062</v>
      </c>
      <c r="D158" s="30" t="s">
        <v>481</v>
      </c>
      <c r="E158" s="29" t="s">
        <v>3063</v>
      </c>
      <c r="F158" s="813"/>
      <c r="G158" s="1913"/>
      <c r="H158" s="804"/>
    </row>
    <row r="159" spans="1:8" ht="36" customHeight="1">
      <c r="A159" s="1900"/>
      <c r="B159" s="1903"/>
      <c r="C159" s="1906"/>
      <c r="D159" s="32" t="s">
        <v>20</v>
      </c>
      <c r="E159" s="31" t="s">
        <v>3064</v>
      </c>
      <c r="F159" s="24" t="s">
        <v>3065</v>
      </c>
      <c r="G159" s="1912"/>
      <c r="H159" s="815"/>
    </row>
    <row r="160" spans="1:8" ht="36" customHeight="1">
      <c r="A160" s="1900"/>
      <c r="B160" s="1903"/>
      <c r="C160" s="810" t="s">
        <v>3071</v>
      </c>
      <c r="D160" s="32" t="s">
        <v>20</v>
      </c>
      <c r="E160" s="29" t="s">
        <v>3072</v>
      </c>
      <c r="F160" s="813" t="s">
        <v>172</v>
      </c>
      <c r="G160" s="812" t="s">
        <v>3073</v>
      </c>
      <c r="H160" s="815" t="s">
        <v>3074</v>
      </c>
    </row>
    <row r="161" spans="1:8" ht="36" customHeight="1" thickBot="1">
      <c r="A161" s="1900"/>
      <c r="B161" s="1903"/>
      <c r="C161" s="802"/>
      <c r="D161" s="26"/>
      <c r="E161" s="25"/>
      <c r="F161" s="172"/>
      <c r="G161" s="805"/>
      <c r="H161" s="804"/>
    </row>
    <row r="162" spans="1:8" ht="36" customHeight="1" thickBot="1">
      <c r="A162" s="1901"/>
      <c r="B162" s="1904"/>
      <c r="C162" s="12"/>
      <c r="D162" s="11"/>
      <c r="E162" s="10"/>
      <c r="F162" s="10"/>
      <c r="G162" s="9"/>
    </row>
    <row r="163" spans="1:8" ht="36" customHeight="1">
      <c r="A163" s="1899">
        <v>45099</v>
      </c>
      <c r="B163" s="1902" t="s">
        <v>1</v>
      </c>
      <c r="C163" s="1905" t="s">
        <v>3075</v>
      </c>
      <c r="D163" s="24" t="s">
        <v>515</v>
      </c>
      <c r="E163" s="24" t="s">
        <v>385</v>
      </c>
      <c r="F163" s="817" t="s">
        <v>452</v>
      </c>
      <c r="G163" s="1915" t="s">
        <v>3094</v>
      </c>
    </row>
    <row r="164" spans="1:8" ht="36" customHeight="1">
      <c r="A164" s="1900"/>
      <c r="B164" s="1903"/>
      <c r="C164" s="1914"/>
      <c r="D164" s="32" t="s">
        <v>20</v>
      </c>
      <c r="E164" s="24" t="s">
        <v>3098</v>
      </c>
      <c r="F164" s="817" t="s">
        <v>3076</v>
      </c>
      <c r="G164" s="1913"/>
      <c r="H164" s="670" t="s">
        <v>3080</v>
      </c>
    </row>
    <row r="165" spans="1:8" ht="36" customHeight="1">
      <c r="A165" s="1900"/>
      <c r="B165" s="1903"/>
      <c r="C165" s="1906"/>
      <c r="D165" s="32" t="s">
        <v>3078</v>
      </c>
      <c r="E165" s="31" t="s">
        <v>3077</v>
      </c>
      <c r="F165" s="817" t="s">
        <v>3079</v>
      </c>
      <c r="G165" s="1912"/>
    </row>
    <row r="166" spans="1:8" ht="36" customHeight="1" thickBot="1">
      <c r="A166" s="1900"/>
      <c r="B166" s="1903"/>
      <c r="C166" s="672"/>
      <c r="D166" s="16"/>
      <c r="E166" s="15"/>
      <c r="F166" s="172"/>
      <c r="G166" s="671"/>
    </row>
    <row r="167" spans="1:8" ht="36" customHeight="1" thickBot="1">
      <c r="A167" s="1901"/>
      <c r="B167" s="1904"/>
      <c r="C167" s="12" t="s">
        <v>3067</v>
      </c>
      <c r="D167" s="11" t="s">
        <v>3068</v>
      </c>
      <c r="E167" s="10" t="s">
        <v>3069</v>
      </c>
      <c r="F167" s="10" t="s">
        <v>3070</v>
      </c>
      <c r="G167" s="9"/>
    </row>
    <row r="168" spans="1:8" ht="36" customHeight="1">
      <c r="A168" s="1899">
        <v>45100</v>
      </c>
      <c r="B168" s="1902" t="s">
        <v>0</v>
      </c>
      <c r="C168" s="21" t="s">
        <v>2907</v>
      </c>
      <c r="D168" s="22" t="s">
        <v>2908</v>
      </c>
      <c r="E168" s="22" t="s">
        <v>3102</v>
      </c>
      <c r="F168" s="673"/>
      <c r="G168" s="671" t="s">
        <v>3103</v>
      </c>
    </row>
    <row r="169" spans="1:8" ht="36" customHeight="1">
      <c r="A169" s="1900"/>
      <c r="B169" s="1903"/>
      <c r="C169" s="1910" t="s">
        <v>3093</v>
      </c>
      <c r="D169" s="24" t="s">
        <v>20</v>
      </c>
      <c r="E169" s="24" t="s">
        <v>3095</v>
      </c>
      <c r="F169" s="823"/>
      <c r="G169" s="1911" t="s">
        <v>3101</v>
      </c>
      <c r="H169" s="818"/>
    </row>
    <row r="170" spans="1:8" ht="36" customHeight="1">
      <c r="A170" s="1900"/>
      <c r="B170" s="1903"/>
      <c r="C170" s="1914"/>
      <c r="D170" s="24" t="s">
        <v>43</v>
      </c>
      <c r="E170" s="24" t="s">
        <v>3096</v>
      </c>
      <c r="F170" s="823"/>
      <c r="G170" s="1913"/>
      <c r="H170" s="818"/>
    </row>
    <row r="171" spans="1:8" ht="36" customHeight="1">
      <c r="A171" s="1900"/>
      <c r="B171" s="1903"/>
      <c r="C171" s="1906"/>
      <c r="D171" s="24" t="s">
        <v>61</v>
      </c>
      <c r="E171" s="24" t="s">
        <v>3097</v>
      </c>
      <c r="F171" s="823"/>
      <c r="G171" s="1912"/>
      <c r="H171" s="818"/>
    </row>
    <row r="172" spans="1:8" ht="36" customHeight="1" thickBot="1">
      <c r="A172" s="1900"/>
      <c r="B172" s="1903"/>
      <c r="C172" s="824" t="s">
        <v>3123</v>
      </c>
      <c r="D172" s="24" t="s">
        <v>20</v>
      </c>
      <c r="E172" s="24" t="s">
        <v>3124</v>
      </c>
      <c r="F172" s="823" t="s">
        <v>3126</v>
      </c>
      <c r="G172" s="822" t="s">
        <v>3125</v>
      </c>
      <c r="H172" s="821" t="s">
        <v>3127</v>
      </c>
    </row>
    <row r="173" spans="1:8" ht="36" hidden="1" customHeight="1">
      <c r="A173" s="1900"/>
      <c r="B173" s="1903"/>
      <c r="C173" s="820"/>
      <c r="D173" s="22"/>
      <c r="E173" s="22"/>
      <c r="F173" s="673"/>
      <c r="G173" s="671"/>
    </row>
    <row r="174" spans="1:8" ht="36" hidden="1" customHeight="1">
      <c r="A174" s="1900"/>
      <c r="B174" s="1903"/>
      <c r="C174" s="771"/>
      <c r="D174" s="20"/>
      <c r="E174" s="19"/>
      <c r="F174" s="673"/>
      <c r="G174" s="671"/>
    </row>
    <row r="175" spans="1:8" ht="36" hidden="1" customHeight="1" thickBot="1">
      <c r="A175" s="1900"/>
      <c r="B175" s="1903"/>
      <c r="C175" s="67"/>
      <c r="D175" s="16"/>
      <c r="E175" s="15"/>
      <c r="F175" s="172"/>
      <c r="G175" s="671"/>
    </row>
    <row r="176" spans="1:8" ht="36" customHeight="1" thickBot="1">
      <c r="A176" s="1901"/>
      <c r="B176" s="1904"/>
      <c r="C176" s="819"/>
      <c r="D176" s="11"/>
      <c r="E176" s="10"/>
      <c r="F176" s="10"/>
      <c r="G176" s="9"/>
    </row>
    <row r="177" spans="1:8" ht="60" customHeight="1" thickBot="1">
      <c r="A177" s="1907" t="s">
        <v>5</v>
      </c>
      <c r="B177" s="1908"/>
      <c r="C177" s="1908"/>
      <c r="D177" s="1908"/>
      <c r="E177" s="1908"/>
      <c r="F177" s="1908"/>
      <c r="G177" s="1909"/>
    </row>
    <row r="178" spans="1:8" ht="36" customHeight="1">
      <c r="A178" s="1899">
        <v>45103</v>
      </c>
      <c r="B178" s="1916" t="s">
        <v>4</v>
      </c>
      <c r="C178" s="832" t="s">
        <v>3089</v>
      </c>
      <c r="D178" s="24" t="s">
        <v>3090</v>
      </c>
      <c r="E178" s="24" t="s">
        <v>3091</v>
      </c>
      <c r="F178" s="831" t="s">
        <v>3092</v>
      </c>
      <c r="G178" s="830"/>
    </row>
    <row r="179" spans="1:8" ht="36" customHeight="1">
      <c r="A179" s="1900"/>
      <c r="B179" s="1917"/>
      <c r="C179" s="1910" t="s">
        <v>3081</v>
      </c>
      <c r="D179" s="24" t="s">
        <v>3082</v>
      </c>
      <c r="E179" s="24" t="s">
        <v>3083</v>
      </c>
      <c r="F179" s="831"/>
      <c r="G179" s="830"/>
      <c r="H179" s="818"/>
    </row>
    <row r="180" spans="1:8" ht="36" customHeight="1">
      <c r="A180" s="1900"/>
      <c r="B180" s="1917"/>
      <c r="C180" s="1914"/>
      <c r="D180" s="24" t="s">
        <v>3084</v>
      </c>
      <c r="E180" s="24" t="s">
        <v>3085</v>
      </c>
      <c r="F180" s="831"/>
      <c r="G180" s="830"/>
      <c r="H180" s="818"/>
    </row>
    <row r="181" spans="1:8" ht="36" customHeight="1">
      <c r="A181" s="1900"/>
      <c r="B181" s="1917"/>
      <c r="C181" s="1914"/>
      <c r="D181" s="24" t="s">
        <v>3088</v>
      </c>
      <c r="E181" s="24" t="s">
        <v>3086</v>
      </c>
      <c r="F181" s="831"/>
      <c r="G181" s="830"/>
      <c r="H181" s="818"/>
    </row>
    <row r="182" spans="1:8" ht="36" customHeight="1">
      <c r="A182" s="1900"/>
      <c r="B182" s="1917"/>
      <c r="C182" s="1914"/>
      <c r="D182" s="24">
        <v>68</v>
      </c>
      <c r="E182" s="24" t="s">
        <v>3087</v>
      </c>
      <c r="F182" s="831"/>
      <c r="G182" s="830"/>
      <c r="H182" s="818"/>
    </row>
    <row r="183" spans="1:8" ht="36" customHeight="1" thickBot="1">
      <c r="A183" s="1900"/>
      <c r="B183" s="1917"/>
      <c r="C183" s="1906"/>
      <c r="D183" s="24" t="s">
        <v>3099</v>
      </c>
      <c r="E183" s="24" t="s">
        <v>3100</v>
      </c>
      <c r="F183" s="831"/>
      <c r="G183" s="830"/>
    </row>
    <row r="184" spans="1:8" ht="36" hidden="1" customHeight="1">
      <c r="A184" s="1900"/>
      <c r="B184" s="1917"/>
      <c r="C184" s="827"/>
      <c r="D184" s="16"/>
      <c r="E184" s="15"/>
      <c r="F184" s="172"/>
      <c r="G184" s="828"/>
      <c r="H184" s="826"/>
    </row>
    <row r="185" spans="1:8" ht="36" hidden="1" customHeight="1" thickBot="1">
      <c r="A185" s="1900"/>
      <c r="B185" s="1917"/>
      <c r="C185" s="672"/>
      <c r="D185" s="16"/>
      <c r="E185" s="15"/>
      <c r="F185" s="172"/>
      <c r="G185" s="671"/>
    </row>
    <row r="186" spans="1:8" ht="36" customHeight="1" thickBot="1">
      <c r="A186" s="1900"/>
      <c r="B186" s="1917"/>
      <c r="C186" s="12" t="s">
        <v>3113</v>
      </c>
      <c r="D186" s="11" t="s">
        <v>3114</v>
      </c>
      <c r="E186" s="10" t="s">
        <v>3115</v>
      </c>
      <c r="F186" s="10" t="s">
        <v>3116</v>
      </c>
      <c r="G186" s="9"/>
    </row>
    <row r="187" spans="1:8" ht="36" customHeight="1" thickBot="1">
      <c r="A187" s="1900"/>
      <c r="B187" s="1917"/>
      <c r="C187" s="12" t="s">
        <v>496</v>
      </c>
      <c r="D187" s="11" t="s">
        <v>3117</v>
      </c>
      <c r="E187" s="10" t="s">
        <v>3118</v>
      </c>
      <c r="F187" s="10" t="s">
        <v>3134</v>
      </c>
      <c r="G187" s="9"/>
      <c r="H187" s="821"/>
    </row>
    <row r="188" spans="1:8" ht="36" customHeight="1" thickBot="1">
      <c r="A188" s="1901"/>
      <c r="B188" s="1918"/>
      <c r="C188" s="12" t="s">
        <v>3119</v>
      </c>
      <c r="D188" s="11" t="s">
        <v>3117</v>
      </c>
      <c r="E188" s="10" t="s">
        <v>3120</v>
      </c>
      <c r="F188" s="10" t="s">
        <v>3121</v>
      </c>
      <c r="G188" s="9"/>
      <c r="H188" s="821"/>
    </row>
    <row r="189" spans="1:8" ht="36" customHeight="1">
      <c r="A189" s="1899">
        <v>45104</v>
      </c>
      <c r="B189" s="1916" t="s">
        <v>3</v>
      </c>
      <c r="C189" s="1905" t="s">
        <v>3128</v>
      </c>
      <c r="D189" s="32" t="s">
        <v>3129</v>
      </c>
      <c r="E189" s="24" t="s">
        <v>3132</v>
      </c>
      <c r="F189" s="838"/>
      <c r="G189" s="835"/>
    </row>
    <row r="190" spans="1:8" ht="36" customHeight="1">
      <c r="A190" s="1900"/>
      <c r="B190" s="1917"/>
      <c r="C190" s="1906"/>
      <c r="D190" s="32" t="s">
        <v>3130</v>
      </c>
      <c r="E190" s="24" t="s">
        <v>3131</v>
      </c>
      <c r="F190" s="838"/>
      <c r="G190" s="835"/>
      <c r="H190" s="821"/>
    </row>
    <row r="191" spans="1:8" ht="36" customHeight="1">
      <c r="A191" s="1900"/>
      <c r="B191" s="1917"/>
      <c r="C191" s="1910" t="s">
        <v>578</v>
      </c>
      <c r="D191" s="24" t="s">
        <v>20</v>
      </c>
      <c r="E191" s="24" t="s">
        <v>519</v>
      </c>
      <c r="F191" s="838" t="s">
        <v>435</v>
      </c>
      <c r="G191" s="1911" t="s">
        <v>235</v>
      </c>
      <c r="H191" s="833" t="s">
        <v>3146</v>
      </c>
    </row>
    <row r="192" spans="1:8" ht="36" customHeight="1">
      <c r="A192" s="1900"/>
      <c r="B192" s="1917"/>
      <c r="C192" s="1906"/>
      <c r="D192" s="32" t="s">
        <v>3144</v>
      </c>
      <c r="E192" s="24" t="s">
        <v>3145</v>
      </c>
      <c r="F192" s="838" t="s">
        <v>3166</v>
      </c>
      <c r="G192" s="1912"/>
      <c r="H192" s="833"/>
    </row>
    <row r="193" spans="1:8" ht="36" customHeight="1" thickBot="1">
      <c r="A193" s="1900"/>
      <c r="B193" s="1917"/>
      <c r="C193" s="672"/>
      <c r="D193" s="16"/>
      <c r="E193" s="15"/>
      <c r="F193" s="172"/>
      <c r="G193" s="671"/>
    </row>
    <row r="194" spans="1:8" ht="36" customHeight="1" thickBot="1">
      <c r="A194" s="1900"/>
      <c r="B194" s="1917"/>
      <c r="C194" s="1954" t="s">
        <v>3135</v>
      </c>
      <c r="D194" s="11" t="s">
        <v>3136</v>
      </c>
      <c r="E194" s="10" t="s">
        <v>3137</v>
      </c>
      <c r="F194" s="10" t="s">
        <v>3139</v>
      </c>
      <c r="G194" s="9"/>
    </row>
    <row r="195" spans="1:8" ht="36" customHeight="1" thickBot="1">
      <c r="A195" s="1901"/>
      <c r="B195" s="1918"/>
      <c r="C195" s="1955"/>
      <c r="D195" s="52" t="s">
        <v>3136</v>
      </c>
      <c r="E195" s="51" t="s">
        <v>3138</v>
      </c>
      <c r="F195" s="51" t="s">
        <v>3140</v>
      </c>
      <c r="G195" s="50"/>
      <c r="H195" s="826"/>
    </row>
    <row r="196" spans="1:8" ht="36" customHeight="1">
      <c r="A196" s="1899">
        <v>45105</v>
      </c>
      <c r="B196" s="1902" t="s">
        <v>32</v>
      </c>
      <c r="C196" s="834"/>
      <c r="D196" s="838" t="s">
        <v>3133</v>
      </c>
      <c r="E196" s="838"/>
      <c r="F196" s="838"/>
      <c r="G196" s="836"/>
    </row>
    <row r="197" spans="1:8" ht="36" customHeight="1">
      <c r="A197" s="1900"/>
      <c r="B197" s="1903"/>
      <c r="C197" s="1910" t="s">
        <v>3141</v>
      </c>
      <c r="D197" s="24" t="s">
        <v>3148</v>
      </c>
      <c r="E197" s="24" t="s">
        <v>3149</v>
      </c>
      <c r="F197" s="838"/>
      <c r="G197" s="1911" t="s">
        <v>3159</v>
      </c>
    </row>
    <row r="198" spans="1:8" ht="36" customHeight="1">
      <c r="A198" s="1900"/>
      <c r="B198" s="1903"/>
      <c r="C198" s="1906"/>
      <c r="D198" s="32" t="s">
        <v>3142</v>
      </c>
      <c r="E198" s="31" t="s">
        <v>3143</v>
      </c>
      <c r="F198" s="838"/>
      <c r="G198" s="1912"/>
      <c r="H198" s="670" t="s">
        <v>3168</v>
      </c>
    </row>
    <row r="199" spans="1:8" ht="36" customHeight="1">
      <c r="A199" s="1900"/>
      <c r="B199" s="1903"/>
      <c r="C199" s="1910" t="s">
        <v>357</v>
      </c>
      <c r="D199" s="32" t="s">
        <v>487</v>
      </c>
      <c r="E199" s="24" t="s">
        <v>246</v>
      </c>
      <c r="F199" s="1936" t="s">
        <v>3150</v>
      </c>
      <c r="G199" s="1911" t="s">
        <v>183</v>
      </c>
      <c r="H199" s="833"/>
    </row>
    <row r="200" spans="1:8" ht="36" customHeight="1">
      <c r="A200" s="1900"/>
      <c r="B200" s="1903"/>
      <c r="C200" s="1914"/>
      <c r="D200" s="32" t="s">
        <v>517</v>
      </c>
      <c r="E200" s="24" t="s">
        <v>246</v>
      </c>
      <c r="F200" s="1938"/>
      <c r="G200" s="1913"/>
      <c r="H200" s="833"/>
    </row>
    <row r="201" spans="1:8" ht="36" customHeight="1">
      <c r="A201" s="1900"/>
      <c r="B201" s="1903"/>
      <c r="C201" s="1906"/>
      <c r="D201" s="32" t="s">
        <v>487</v>
      </c>
      <c r="E201" s="24" t="s">
        <v>182</v>
      </c>
      <c r="F201" s="850" t="s">
        <v>3153</v>
      </c>
      <c r="G201" s="1912"/>
      <c r="H201" s="833"/>
    </row>
    <row r="202" spans="1:8" ht="36" customHeight="1">
      <c r="A202" s="1900"/>
      <c r="B202" s="1903"/>
      <c r="C202" s="834" t="s">
        <v>3172</v>
      </c>
      <c r="D202" s="24" t="s">
        <v>43</v>
      </c>
      <c r="E202" s="29" t="s">
        <v>3178</v>
      </c>
      <c r="F202" s="838"/>
      <c r="G202" s="837" t="s">
        <v>3179</v>
      </c>
      <c r="H202" s="842" t="s">
        <v>3185</v>
      </c>
    </row>
    <row r="203" spans="1:8" ht="36" customHeight="1">
      <c r="A203" s="1900"/>
      <c r="B203" s="1903"/>
      <c r="C203" s="1910" t="s">
        <v>3173</v>
      </c>
      <c r="D203" s="32" t="s">
        <v>3174</v>
      </c>
      <c r="E203" s="31" t="s">
        <v>3175</v>
      </c>
      <c r="F203" s="24"/>
      <c r="G203" s="1911" t="s">
        <v>3177</v>
      </c>
      <c r="H203" s="833"/>
    </row>
    <row r="204" spans="1:8" ht="36" customHeight="1">
      <c r="A204" s="1900"/>
      <c r="B204" s="1903"/>
      <c r="C204" s="1906"/>
      <c r="D204" s="30" t="s">
        <v>3176</v>
      </c>
      <c r="E204" s="29"/>
      <c r="F204" s="838"/>
      <c r="G204" s="1912"/>
      <c r="H204" s="833"/>
    </row>
    <row r="205" spans="1:8" ht="36" customHeight="1">
      <c r="A205" s="1900"/>
      <c r="B205" s="1903"/>
      <c r="C205" s="839" t="s">
        <v>3160</v>
      </c>
      <c r="D205" s="32" t="s">
        <v>3161</v>
      </c>
      <c r="E205" s="31" t="s">
        <v>3162</v>
      </c>
      <c r="F205" s="24" t="s">
        <v>3163</v>
      </c>
      <c r="G205" s="847" t="s">
        <v>3164</v>
      </c>
      <c r="H205" s="833" t="s">
        <v>3165</v>
      </c>
    </row>
    <row r="206" spans="1:8" ht="36" customHeight="1">
      <c r="A206" s="1900"/>
      <c r="B206" s="1903"/>
      <c r="C206" s="839" t="s">
        <v>3180</v>
      </c>
      <c r="D206" s="32" t="s">
        <v>3181</v>
      </c>
      <c r="E206" s="31" t="s">
        <v>3182</v>
      </c>
      <c r="F206" s="24"/>
      <c r="G206" s="847" t="s">
        <v>3183</v>
      </c>
      <c r="H206" s="833"/>
    </row>
    <row r="207" spans="1:8" ht="36" customHeight="1">
      <c r="A207" s="1900"/>
      <c r="B207" s="1903"/>
      <c r="C207" s="851" t="s">
        <v>3204</v>
      </c>
      <c r="D207" s="32" t="s">
        <v>20</v>
      </c>
      <c r="E207" s="31" t="s">
        <v>3205</v>
      </c>
      <c r="F207" s="24" t="s">
        <v>172</v>
      </c>
      <c r="G207" s="858" t="s">
        <v>3206</v>
      </c>
      <c r="H207" s="842" t="s">
        <v>3207</v>
      </c>
    </row>
    <row r="208" spans="1:8" ht="36" customHeight="1">
      <c r="A208" s="1900"/>
      <c r="B208" s="1903"/>
      <c r="C208" s="841"/>
      <c r="D208" s="28"/>
      <c r="E208" s="27"/>
      <c r="F208" s="846"/>
      <c r="G208" s="844"/>
      <c r="H208" s="842"/>
    </row>
    <row r="209" spans="1:8" ht="36" customHeight="1" thickBot="1">
      <c r="A209" s="1900"/>
      <c r="B209" s="1903"/>
      <c r="C209" s="840"/>
      <c r="D209" s="26"/>
      <c r="E209" s="25"/>
      <c r="F209" s="845"/>
      <c r="G209" s="843"/>
      <c r="H209" s="842"/>
    </row>
    <row r="210" spans="1:8" ht="36" customHeight="1" thickBot="1">
      <c r="A210" s="1901"/>
      <c r="B210" s="1904"/>
      <c r="C210" s="12"/>
      <c r="D210" s="11"/>
      <c r="E210" s="10"/>
      <c r="F210" s="10"/>
      <c r="G210" s="9"/>
    </row>
    <row r="211" spans="1:8" ht="36" customHeight="1">
      <c r="A211" s="1900">
        <v>45106</v>
      </c>
      <c r="B211" s="1903" t="s">
        <v>3222</v>
      </c>
      <c r="C211" s="1926" t="s">
        <v>3154</v>
      </c>
      <c r="D211" s="22" t="s">
        <v>20</v>
      </c>
      <c r="E211" s="19" t="s">
        <v>3156</v>
      </c>
      <c r="F211" s="673" t="s">
        <v>3158</v>
      </c>
      <c r="G211" s="1927" t="s">
        <v>3198</v>
      </c>
      <c r="H211" s="670">
        <v>2800</v>
      </c>
    </row>
    <row r="212" spans="1:8" ht="36" customHeight="1">
      <c r="A212" s="1900"/>
      <c r="B212" s="1903"/>
      <c r="C212" s="1925"/>
      <c r="D212" s="22" t="s">
        <v>3155</v>
      </c>
      <c r="E212" s="19" t="s">
        <v>3157</v>
      </c>
      <c r="F212" s="22"/>
      <c r="G212" s="1929"/>
      <c r="H212" s="826">
        <v>2750</v>
      </c>
    </row>
    <row r="213" spans="1:8" ht="36" customHeight="1">
      <c r="A213" s="1900"/>
      <c r="B213" s="1903"/>
      <c r="C213" s="1910" t="s">
        <v>3186</v>
      </c>
      <c r="D213" s="30" t="s">
        <v>3187</v>
      </c>
      <c r="E213" s="29" t="s">
        <v>3188</v>
      </c>
      <c r="F213" s="850"/>
      <c r="G213" s="1911" t="s">
        <v>3197</v>
      </c>
      <c r="H213" s="826" t="s">
        <v>3199</v>
      </c>
    </row>
    <row r="214" spans="1:8" ht="36" customHeight="1">
      <c r="A214" s="1900"/>
      <c r="B214" s="1903"/>
      <c r="C214" s="1914"/>
      <c r="D214" s="30" t="s">
        <v>3189</v>
      </c>
      <c r="E214" s="29" t="s">
        <v>3190</v>
      </c>
      <c r="F214" s="850" t="s">
        <v>3191</v>
      </c>
      <c r="G214" s="1913"/>
      <c r="H214" s="842"/>
    </row>
    <row r="215" spans="1:8" ht="36" customHeight="1">
      <c r="A215" s="1900"/>
      <c r="B215" s="1903"/>
      <c r="C215" s="1914"/>
      <c r="D215" s="30" t="s">
        <v>3192</v>
      </c>
      <c r="E215" s="29" t="s">
        <v>3193</v>
      </c>
      <c r="F215" s="850"/>
      <c r="G215" s="1913"/>
      <c r="H215" s="842"/>
    </row>
    <row r="216" spans="1:8" ht="36" customHeight="1">
      <c r="A216" s="1900"/>
      <c r="B216" s="1903"/>
      <c r="C216" s="1914"/>
      <c r="D216" s="24" t="s">
        <v>3194</v>
      </c>
      <c r="E216" s="29" t="s">
        <v>3195</v>
      </c>
      <c r="F216" s="850"/>
      <c r="G216" s="1913"/>
      <c r="H216" s="842"/>
    </row>
    <row r="217" spans="1:8" ht="36" customHeight="1">
      <c r="A217" s="1900"/>
      <c r="B217" s="1903"/>
      <c r="C217" s="1906"/>
      <c r="D217" s="24" t="s">
        <v>20</v>
      </c>
      <c r="E217" s="29" t="s">
        <v>3196</v>
      </c>
      <c r="F217" s="850" t="s">
        <v>3203</v>
      </c>
      <c r="G217" s="1912"/>
      <c r="H217" s="826"/>
    </row>
    <row r="218" spans="1:8" ht="36" customHeight="1">
      <c r="A218" s="1900"/>
      <c r="B218" s="1903"/>
      <c r="C218" s="851" t="s">
        <v>346</v>
      </c>
      <c r="D218" s="32" t="s">
        <v>3167</v>
      </c>
      <c r="E218" s="31" t="s">
        <v>217</v>
      </c>
      <c r="F218" s="24"/>
      <c r="G218" s="858" t="s">
        <v>261</v>
      </c>
      <c r="H218" s="854"/>
    </row>
    <row r="219" spans="1:8" ht="36" customHeight="1">
      <c r="A219" s="1900"/>
      <c r="B219" s="1903"/>
      <c r="C219" s="1910" t="s">
        <v>3223</v>
      </c>
      <c r="D219" s="32" t="s">
        <v>3224</v>
      </c>
      <c r="E219" s="31" t="s">
        <v>3225</v>
      </c>
      <c r="F219" s="24"/>
      <c r="G219" s="1911" t="s">
        <v>3229</v>
      </c>
    </row>
    <row r="220" spans="1:8" ht="36" customHeight="1">
      <c r="A220" s="1900"/>
      <c r="B220" s="1903"/>
      <c r="C220" s="1914"/>
      <c r="D220" s="24" t="s">
        <v>20</v>
      </c>
      <c r="E220" s="29" t="s">
        <v>3226</v>
      </c>
      <c r="F220" s="850" t="s">
        <v>172</v>
      </c>
      <c r="G220" s="1913"/>
      <c r="H220" s="854"/>
    </row>
    <row r="221" spans="1:8" ht="36" customHeight="1">
      <c r="A221" s="1900"/>
      <c r="B221" s="1903"/>
      <c r="C221" s="1906"/>
      <c r="D221" s="24" t="s">
        <v>3228</v>
      </c>
      <c r="E221" s="29" t="s">
        <v>3227</v>
      </c>
      <c r="F221" s="850"/>
      <c r="G221" s="1912"/>
      <c r="H221" s="854"/>
    </row>
    <row r="222" spans="1:8" ht="36" customHeight="1">
      <c r="A222" s="1900"/>
      <c r="B222" s="1903"/>
      <c r="C222" s="848" t="s">
        <v>3230</v>
      </c>
      <c r="D222" s="30" t="s">
        <v>3231</v>
      </c>
      <c r="E222" s="29" t="s">
        <v>3232</v>
      </c>
      <c r="F222" s="850" t="s">
        <v>3233</v>
      </c>
      <c r="G222" s="849" t="s">
        <v>3234</v>
      </c>
      <c r="H222" s="854"/>
    </row>
    <row r="223" spans="1:8" ht="36" customHeight="1">
      <c r="A223" s="1900"/>
      <c r="B223" s="1903"/>
      <c r="C223" s="853"/>
      <c r="D223" s="28"/>
      <c r="E223" s="27"/>
      <c r="F223" s="857"/>
      <c r="G223" s="856"/>
      <c r="H223" s="854"/>
    </row>
    <row r="224" spans="1:8" ht="36" customHeight="1" thickBot="1">
      <c r="A224" s="1900"/>
      <c r="B224" s="1903"/>
      <c r="C224" s="852"/>
      <c r="D224" s="26"/>
      <c r="E224" s="25"/>
      <c r="F224" s="845"/>
      <c r="G224" s="855"/>
      <c r="H224" s="854"/>
    </row>
    <row r="225" spans="1:8" ht="36" customHeight="1" thickBot="1">
      <c r="A225" s="1901"/>
      <c r="B225" s="1904"/>
      <c r="C225" s="12"/>
      <c r="D225" s="11"/>
      <c r="E225" s="10"/>
      <c r="F225" s="10"/>
      <c r="G225" s="9"/>
    </row>
    <row r="226" spans="1:8" ht="36" customHeight="1">
      <c r="A226" s="1899">
        <v>45107</v>
      </c>
      <c r="B226" s="1916" t="s">
        <v>0</v>
      </c>
      <c r="C226" s="1910" t="s">
        <v>331</v>
      </c>
      <c r="D226" s="24" t="s">
        <v>20</v>
      </c>
      <c r="E226" s="24" t="s">
        <v>332</v>
      </c>
      <c r="F226" s="860"/>
      <c r="G226" s="859"/>
      <c r="H226" s="842"/>
    </row>
    <row r="227" spans="1:8" ht="36" customHeight="1">
      <c r="A227" s="1900"/>
      <c r="B227" s="1917"/>
      <c r="C227" s="1914"/>
      <c r="D227" s="24" t="s">
        <v>43</v>
      </c>
      <c r="E227" s="24" t="s">
        <v>455</v>
      </c>
      <c r="F227" s="860"/>
      <c r="G227" s="859"/>
      <c r="H227" s="842"/>
    </row>
    <row r="228" spans="1:8" ht="36" customHeight="1">
      <c r="A228" s="1900"/>
      <c r="B228" s="1917"/>
      <c r="C228" s="1914"/>
      <c r="D228" s="24" t="s">
        <v>61</v>
      </c>
      <c r="E228" s="24" t="s">
        <v>438</v>
      </c>
      <c r="F228" s="860"/>
      <c r="G228" s="859"/>
      <c r="H228" s="842"/>
    </row>
    <row r="229" spans="1:8" ht="36" customHeight="1">
      <c r="A229" s="1900"/>
      <c r="B229" s="1917"/>
      <c r="C229" s="1906"/>
      <c r="D229" s="24" t="s">
        <v>3122</v>
      </c>
      <c r="E229" s="24" t="s">
        <v>225</v>
      </c>
      <c r="F229" s="860"/>
      <c r="G229" s="859"/>
      <c r="H229" s="842"/>
    </row>
    <row r="230" spans="1:8" ht="36" customHeight="1">
      <c r="A230" s="1900"/>
      <c r="B230" s="1917"/>
      <c r="C230" s="861" t="s">
        <v>3239</v>
      </c>
      <c r="D230" s="24" t="s">
        <v>43</v>
      </c>
      <c r="E230" s="24" t="s">
        <v>3240</v>
      </c>
      <c r="F230" s="860"/>
      <c r="G230" s="859" t="s">
        <v>3241</v>
      </c>
    </row>
    <row r="231" spans="1:8" ht="36" customHeight="1">
      <c r="A231" s="1900"/>
      <c r="B231" s="1917"/>
      <c r="C231" s="861" t="s">
        <v>597</v>
      </c>
      <c r="D231" s="24" t="s">
        <v>2544</v>
      </c>
      <c r="E231" s="24" t="s">
        <v>403</v>
      </c>
      <c r="F231" s="860"/>
      <c r="G231" s="859" t="s">
        <v>3242</v>
      </c>
      <c r="H231" s="862"/>
    </row>
    <row r="232" spans="1:8" ht="36" customHeight="1">
      <c r="A232" s="1900"/>
      <c r="B232" s="1917"/>
      <c r="C232" s="1910" t="s">
        <v>3243</v>
      </c>
      <c r="D232" s="24" t="s">
        <v>3244</v>
      </c>
      <c r="E232" s="24" t="s">
        <v>3245</v>
      </c>
      <c r="F232" s="860"/>
      <c r="G232" s="1911" t="s">
        <v>3248</v>
      </c>
    </row>
    <row r="233" spans="1:8" ht="36" customHeight="1">
      <c r="A233" s="1900"/>
      <c r="B233" s="1917"/>
      <c r="C233" s="1906"/>
      <c r="D233" s="32" t="s">
        <v>3246</v>
      </c>
      <c r="E233" s="31" t="s">
        <v>3247</v>
      </c>
      <c r="F233" s="860"/>
      <c r="G233" s="1912"/>
    </row>
    <row r="234" spans="1:8" ht="36" customHeight="1" thickBot="1">
      <c r="A234" s="1900"/>
      <c r="B234" s="1917"/>
      <c r="C234" s="672"/>
      <c r="D234" s="16"/>
      <c r="E234" s="15"/>
      <c r="F234" s="172"/>
      <c r="G234" s="671"/>
    </row>
    <row r="235" spans="1:8" ht="36" customHeight="1" thickBot="1">
      <c r="A235" s="1901"/>
      <c r="B235" s="1918"/>
      <c r="C235" s="12"/>
      <c r="D235" s="11"/>
      <c r="E235" s="10"/>
      <c r="F235" s="10"/>
      <c r="G235" s="9"/>
    </row>
  </sheetData>
  <mergeCells count="119">
    <mergeCell ref="G197:G198"/>
    <mergeCell ref="A1:G1"/>
    <mergeCell ref="C39:C40"/>
    <mergeCell ref="C96:C97"/>
    <mergeCell ref="A23:G23"/>
    <mergeCell ref="G16:G17"/>
    <mergeCell ref="B12:B22"/>
    <mergeCell ref="A50:A64"/>
    <mergeCell ref="B50:B64"/>
    <mergeCell ref="A65:A77"/>
    <mergeCell ref="B65:B77"/>
    <mergeCell ref="A78:G78"/>
    <mergeCell ref="C88:C90"/>
    <mergeCell ref="G39:G40"/>
    <mergeCell ref="C79:C81"/>
    <mergeCell ref="C67:C68"/>
    <mergeCell ref="F45:F46"/>
    <mergeCell ref="C72:C74"/>
    <mergeCell ref="G72:G74"/>
    <mergeCell ref="C65:C66"/>
    <mergeCell ref="G45:G46"/>
    <mergeCell ref="C45:C46"/>
    <mergeCell ref="G56:G57"/>
    <mergeCell ref="C51:C57"/>
    <mergeCell ref="A147:A151"/>
    <mergeCell ref="A163:A167"/>
    <mergeCell ref="A177:G177"/>
    <mergeCell ref="A196:A210"/>
    <mergeCell ref="B196:B210"/>
    <mergeCell ref="A211:A225"/>
    <mergeCell ref="B211:B225"/>
    <mergeCell ref="C163:C165"/>
    <mergeCell ref="A178:A188"/>
    <mergeCell ref="B178:B188"/>
    <mergeCell ref="C189:C190"/>
    <mergeCell ref="C179:C183"/>
    <mergeCell ref="A189:A195"/>
    <mergeCell ref="B189:B195"/>
    <mergeCell ref="C194:C195"/>
    <mergeCell ref="C197:C198"/>
    <mergeCell ref="C199:C201"/>
    <mergeCell ref="F199:F200"/>
    <mergeCell ref="G199:G201"/>
    <mergeCell ref="C191:C192"/>
    <mergeCell ref="G191:G192"/>
    <mergeCell ref="C219:C221"/>
    <mergeCell ref="G219:G221"/>
    <mergeCell ref="B168:B176"/>
    <mergeCell ref="G137:G142"/>
    <mergeCell ref="C58:C59"/>
    <mergeCell ref="A133:G133"/>
    <mergeCell ref="B102:B112"/>
    <mergeCell ref="A113:A125"/>
    <mergeCell ref="B113:B125"/>
    <mergeCell ref="A126:A132"/>
    <mergeCell ref="B126:B132"/>
    <mergeCell ref="C117:C119"/>
    <mergeCell ref="G117:G119"/>
    <mergeCell ref="A79:A92"/>
    <mergeCell ref="B79:B92"/>
    <mergeCell ref="C114:C116"/>
    <mergeCell ref="C108:C109"/>
    <mergeCell ref="C102:C106"/>
    <mergeCell ref="C135:C136"/>
    <mergeCell ref="C137:C142"/>
    <mergeCell ref="G65:G66"/>
    <mergeCell ref="A2:G2"/>
    <mergeCell ref="A24:A29"/>
    <mergeCell ref="B24:B29"/>
    <mergeCell ref="A34:A49"/>
    <mergeCell ref="B34:B49"/>
    <mergeCell ref="G34:G35"/>
    <mergeCell ref="C36:C37"/>
    <mergeCell ref="G24:G26"/>
    <mergeCell ref="C19:C20"/>
    <mergeCell ref="G36:G37"/>
    <mergeCell ref="A30:A33"/>
    <mergeCell ref="B30:B33"/>
    <mergeCell ref="C30:C31"/>
    <mergeCell ref="G30:G31"/>
    <mergeCell ref="A12:A22"/>
    <mergeCell ref="C24:C26"/>
    <mergeCell ref="A3:A11"/>
    <mergeCell ref="B3:B11"/>
    <mergeCell ref="C7:C8"/>
    <mergeCell ref="C3:C6"/>
    <mergeCell ref="C203:C204"/>
    <mergeCell ref="G203:G204"/>
    <mergeCell ref="C128:C129"/>
    <mergeCell ref="G128:G129"/>
    <mergeCell ref="C120:C121"/>
    <mergeCell ref="G120:G121"/>
    <mergeCell ref="A93:A101"/>
    <mergeCell ref="B93:B101"/>
    <mergeCell ref="A102:A112"/>
    <mergeCell ref="C169:C171"/>
    <mergeCell ref="G163:G165"/>
    <mergeCell ref="G169:G171"/>
    <mergeCell ref="A152:A162"/>
    <mergeCell ref="B152:B162"/>
    <mergeCell ref="A134:A146"/>
    <mergeCell ref="C158:C159"/>
    <mergeCell ref="G157:G159"/>
    <mergeCell ref="C152:C153"/>
    <mergeCell ref="B134:B146"/>
    <mergeCell ref="G108:G109"/>
    <mergeCell ref="B163:B167"/>
    <mergeCell ref="A168:A176"/>
    <mergeCell ref="B147:B151"/>
    <mergeCell ref="F135:F136"/>
    <mergeCell ref="C213:C217"/>
    <mergeCell ref="G213:G217"/>
    <mergeCell ref="G211:G212"/>
    <mergeCell ref="C226:C229"/>
    <mergeCell ref="A226:A235"/>
    <mergeCell ref="B226:B235"/>
    <mergeCell ref="C211:C212"/>
    <mergeCell ref="C232:C233"/>
    <mergeCell ref="G232:G233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4"/>
  <sheetViews>
    <sheetView zoomScale="70" zoomScaleNormal="70" zoomScaleSheetLayoutView="70" workbookViewId="0">
      <pane ySplit="1" topLeftCell="A157" activePane="bottomLeft" state="frozen"/>
      <selection pane="bottomLeft" activeCell="C167" sqref="C16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120.625" style="868" bestFit="1" customWidth="1"/>
    <col min="9" max="16384" width="9" style="1"/>
  </cols>
  <sheetData>
    <row r="1" spans="1:8" ht="53.25" customHeight="1" thickBot="1">
      <c r="A1" s="1956" t="s">
        <v>3368</v>
      </c>
      <c r="B1" s="1956"/>
      <c r="C1" s="1956"/>
      <c r="D1" s="1956"/>
      <c r="E1" s="1956"/>
      <c r="F1" s="1956"/>
      <c r="G1" s="1956"/>
      <c r="H1" s="875" t="s">
        <v>3692</v>
      </c>
    </row>
    <row r="2" spans="1:8" ht="60" customHeight="1" thickBot="1">
      <c r="A2" s="1907" t="s">
        <v>5</v>
      </c>
      <c r="B2" s="1908"/>
      <c r="C2" s="1908"/>
      <c r="D2" s="1908"/>
      <c r="E2" s="1908"/>
      <c r="F2" s="1908"/>
      <c r="G2" s="1909"/>
      <c r="H2" s="670"/>
    </row>
    <row r="3" spans="1:8" ht="36" customHeight="1">
      <c r="A3" s="1899">
        <v>45110</v>
      </c>
      <c r="B3" s="1902" t="s">
        <v>4</v>
      </c>
      <c r="C3" s="1905" t="s">
        <v>3147</v>
      </c>
      <c r="D3" s="24" t="s">
        <v>3208</v>
      </c>
      <c r="E3" s="24" t="s">
        <v>3209</v>
      </c>
      <c r="F3" s="864"/>
      <c r="G3" s="1915" t="s">
        <v>3249</v>
      </c>
      <c r="H3" s="670"/>
    </row>
    <row r="4" spans="1:8" ht="36" customHeight="1">
      <c r="A4" s="1900"/>
      <c r="B4" s="1903"/>
      <c r="C4" s="1914"/>
      <c r="D4" s="24" t="s">
        <v>3210</v>
      </c>
      <c r="E4" s="24" t="s">
        <v>3211</v>
      </c>
      <c r="F4" s="864"/>
      <c r="G4" s="1913"/>
      <c r="H4" s="826"/>
    </row>
    <row r="5" spans="1:8" ht="36" customHeight="1">
      <c r="A5" s="1900"/>
      <c r="B5" s="1903"/>
      <c r="C5" s="1914"/>
      <c r="D5" s="24" t="s">
        <v>442</v>
      </c>
      <c r="E5" s="24" t="s">
        <v>3212</v>
      </c>
      <c r="F5" s="864"/>
      <c r="G5" s="1913"/>
      <c r="H5" s="826"/>
    </row>
    <row r="6" spans="1:8" ht="36" customHeight="1">
      <c r="A6" s="1900"/>
      <c r="B6" s="1903"/>
      <c r="C6" s="1906"/>
      <c r="D6" s="24" t="s">
        <v>20</v>
      </c>
      <c r="E6" s="24" t="s">
        <v>3213</v>
      </c>
      <c r="F6" s="864" t="s">
        <v>3215</v>
      </c>
      <c r="G6" s="1912"/>
      <c r="H6" s="826" t="s">
        <v>3214</v>
      </c>
    </row>
    <row r="7" spans="1:8" ht="36" customHeight="1">
      <c r="A7" s="1900"/>
      <c r="B7" s="1903"/>
      <c r="C7" s="865" t="s">
        <v>3217</v>
      </c>
      <c r="D7" s="24" t="s">
        <v>3169</v>
      </c>
      <c r="E7" s="24" t="s">
        <v>3170</v>
      </c>
      <c r="F7" s="864" t="s">
        <v>3171</v>
      </c>
      <c r="G7" s="863"/>
      <c r="H7" s="826" t="s">
        <v>3741</v>
      </c>
    </row>
    <row r="8" spans="1:8" ht="36" customHeight="1">
      <c r="A8" s="1900"/>
      <c r="B8" s="1903"/>
      <c r="C8" s="865" t="s">
        <v>288</v>
      </c>
      <c r="D8" s="24" t="s">
        <v>495</v>
      </c>
      <c r="E8" s="24" t="s">
        <v>209</v>
      </c>
      <c r="F8" s="864"/>
      <c r="G8" s="863" t="s">
        <v>183</v>
      </c>
      <c r="H8" s="854"/>
    </row>
    <row r="9" spans="1:8" ht="36" customHeight="1">
      <c r="A9" s="1900"/>
      <c r="B9" s="1903"/>
      <c r="C9" s="865" t="s">
        <v>3235</v>
      </c>
      <c r="D9" s="32" t="s">
        <v>3236</v>
      </c>
      <c r="E9" s="31" t="s">
        <v>3237</v>
      </c>
      <c r="F9" s="864"/>
      <c r="G9" s="863" t="s">
        <v>3229</v>
      </c>
      <c r="H9" s="670"/>
    </row>
    <row r="10" spans="1:8" ht="36" customHeight="1">
      <c r="A10" s="1900"/>
      <c r="B10" s="1903"/>
      <c r="C10" s="1910" t="s">
        <v>3255</v>
      </c>
      <c r="D10" s="32" t="s">
        <v>20</v>
      </c>
      <c r="E10" s="31" t="s">
        <v>407</v>
      </c>
      <c r="F10" s="24" t="s">
        <v>172</v>
      </c>
      <c r="G10" s="873" t="s">
        <v>18</v>
      </c>
      <c r="H10" s="868" t="s">
        <v>3259</v>
      </c>
    </row>
    <row r="11" spans="1:8" ht="36" customHeight="1">
      <c r="A11" s="1900"/>
      <c r="B11" s="1903"/>
      <c r="C11" s="1906"/>
      <c r="D11" s="32" t="s">
        <v>20</v>
      </c>
      <c r="E11" s="31" t="s">
        <v>3260</v>
      </c>
      <c r="F11" s="24" t="s">
        <v>172</v>
      </c>
      <c r="G11" s="873" t="s">
        <v>18</v>
      </c>
      <c r="H11" s="868" t="s">
        <v>3261</v>
      </c>
    </row>
    <row r="12" spans="1:8" ht="36" customHeight="1" thickBot="1">
      <c r="A12" s="1900"/>
      <c r="B12" s="1903"/>
      <c r="C12" s="866"/>
      <c r="D12" s="26"/>
      <c r="E12" s="25"/>
      <c r="F12" s="172"/>
      <c r="G12" s="870"/>
      <c r="H12" s="670"/>
    </row>
    <row r="13" spans="1:8" ht="36" customHeight="1" thickBot="1">
      <c r="A13" s="1901"/>
      <c r="B13" s="1904"/>
      <c r="C13" s="12" t="s">
        <v>417</v>
      </c>
      <c r="D13" s="11" t="s">
        <v>398</v>
      </c>
      <c r="E13" s="10" t="s">
        <v>3216</v>
      </c>
      <c r="F13" s="10" t="s">
        <v>2317</v>
      </c>
      <c r="G13" s="9"/>
      <c r="H13" s="670"/>
    </row>
    <row r="14" spans="1:8" ht="36" customHeight="1">
      <c r="A14" s="1899">
        <v>45111</v>
      </c>
      <c r="B14" s="1902" t="s">
        <v>3</v>
      </c>
      <c r="C14" s="1905" t="s">
        <v>3104</v>
      </c>
      <c r="D14" s="24" t="s">
        <v>378</v>
      </c>
      <c r="E14" s="24" t="s">
        <v>3105</v>
      </c>
      <c r="F14" s="1944" t="s">
        <v>3106</v>
      </c>
      <c r="G14" s="1915" t="s">
        <v>3112</v>
      </c>
      <c r="H14" s="670" t="s">
        <v>3262</v>
      </c>
    </row>
    <row r="15" spans="1:8" ht="36" customHeight="1">
      <c r="A15" s="1900"/>
      <c r="B15" s="1903"/>
      <c r="C15" s="1914"/>
      <c r="D15" s="24" t="s">
        <v>3107</v>
      </c>
      <c r="E15" s="24" t="s">
        <v>3108</v>
      </c>
      <c r="F15" s="1937"/>
      <c r="G15" s="1913"/>
      <c r="H15" s="670"/>
    </row>
    <row r="16" spans="1:8" ht="36" customHeight="1">
      <c r="A16" s="1900"/>
      <c r="B16" s="1903"/>
      <c r="C16" s="1906"/>
      <c r="D16" s="32" t="s">
        <v>3151</v>
      </c>
      <c r="E16" s="31" t="s">
        <v>3152</v>
      </c>
      <c r="F16" s="1938"/>
      <c r="G16" s="1912"/>
      <c r="H16" s="670"/>
    </row>
    <row r="17" spans="1:8" ht="36" customHeight="1">
      <c r="A17" s="1900"/>
      <c r="B17" s="1903"/>
      <c r="C17" s="879" t="s">
        <v>3200</v>
      </c>
      <c r="D17" s="32" t="s">
        <v>3201</v>
      </c>
      <c r="E17" s="31" t="s">
        <v>3202</v>
      </c>
      <c r="F17" s="24" t="s">
        <v>355</v>
      </c>
      <c r="G17" s="881"/>
      <c r="H17" s="826">
        <v>2000</v>
      </c>
    </row>
    <row r="18" spans="1:8" ht="36" customHeight="1">
      <c r="A18" s="1900"/>
      <c r="B18" s="1903"/>
      <c r="C18" s="1910" t="s">
        <v>3250</v>
      </c>
      <c r="D18" s="30" t="s">
        <v>3251</v>
      </c>
      <c r="E18" s="29" t="s">
        <v>3252</v>
      </c>
      <c r="F18" s="878"/>
      <c r="G18" s="1911" t="s">
        <v>3264</v>
      </c>
    </row>
    <row r="19" spans="1:8" ht="36" customHeight="1">
      <c r="A19" s="1900"/>
      <c r="B19" s="1903"/>
      <c r="C19" s="1906"/>
      <c r="D19" s="30" t="s">
        <v>3254</v>
      </c>
      <c r="E19" s="29" t="s">
        <v>3253</v>
      </c>
      <c r="F19" s="878"/>
      <c r="G19" s="1913"/>
    </row>
    <row r="20" spans="1:8" ht="36" customHeight="1">
      <c r="A20" s="1900"/>
      <c r="B20" s="1903"/>
      <c r="C20" s="876" t="s">
        <v>3263</v>
      </c>
      <c r="D20" s="30" t="s">
        <v>176</v>
      </c>
      <c r="E20" s="29" t="s">
        <v>181</v>
      </c>
      <c r="F20" s="878"/>
      <c r="G20" s="1912"/>
      <c r="H20" s="826" t="s">
        <v>3265</v>
      </c>
    </row>
    <row r="21" spans="1:8" s="58" customFormat="1" ht="36" customHeight="1">
      <c r="A21" s="1900"/>
      <c r="B21" s="1903"/>
      <c r="C21" s="876" t="s">
        <v>42</v>
      </c>
      <c r="D21" s="30" t="s">
        <v>20</v>
      </c>
      <c r="E21" s="29" t="s">
        <v>202</v>
      </c>
      <c r="F21" s="878" t="s">
        <v>172</v>
      </c>
      <c r="G21" s="877" t="s">
        <v>502</v>
      </c>
      <c r="H21" s="58" t="s">
        <v>590</v>
      </c>
    </row>
    <row r="22" spans="1:8" s="58" customFormat="1" ht="36" customHeight="1">
      <c r="A22" s="1900"/>
      <c r="B22" s="1903"/>
      <c r="C22" s="1910" t="s">
        <v>3273</v>
      </c>
      <c r="D22" s="30" t="s">
        <v>20</v>
      </c>
      <c r="E22" s="29" t="s">
        <v>3275</v>
      </c>
      <c r="F22" s="878"/>
      <c r="G22" s="1911" t="s">
        <v>3276</v>
      </c>
      <c r="H22" s="58" t="s">
        <v>3277</v>
      </c>
    </row>
    <row r="23" spans="1:8" s="58" customFormat="1" ht="36" customHeight="1">
      <c r="A23" s="1900"/>
      <c r="B23" s="1903"/>
      <c r="C23" s="1906"/>
      <c r="D23" s="30" t="s">
        <v>3274</v>
      </c>
      <c r="E23" s="31" t="s">
        <v>3275</v>
      </c>
      <c r="F23" s="24"/>
      <c r="G23" s="1912"/>
    </row>
    <row r="24" spans="1:8" ht="36" customHeight="1">
      <c r="A24" s="1900"/>
      <c r="B24" s="1903"/>
      <c r="C24" s="876" t="s">
        <v>3284</v>
      </c>
      <c r="D24" s="30"/>
      <c r="E24" s="29" t="s">
        <v>318</v>
      </c>
      <c r="F24" s="878"/>
      <c r="G24" s="877" t="s">
        <v>380</v>
      </c>
      <c r="H24" s="880"/>
    </row>
    <row r="25" spans="1:8" ht="36" customHeight="1" thickBot="1">
      <c r="A25" s="1900"/>
      <c r="B25" s="1903"/>
      <c r="C25" s="825"/>
      <c r="D25" s="26"/>
      <c r="E25" s="25"/>
      <c r="F25" s="172"/>
      <c r="G25" s="829"/>
      <c r="H25" s="670"/>
    </row>
    <row r="26" spans="1:8" ht="36" customHeight="1" thickBot="1">
      <c r="A26" s="1901"/>
      <c r="B26" s="1904"/>
      <c r="C26" s="12" t="s">
        <v>3218</v>
      </c>
      <c r="D26" s="11" t="s">
        <v>3219</v>
      </c>
      <c r="E26" s="10" t="s">
        <v>3220</v>
      </c>
      <c r="F26" s="10" t="s">
        <v>3221</v>
      </c>
      <c r="G26" s="9"/>
      <c r="H26" s="670"/>
    </row>
    <row r="27" spans="1:8" ht="36" customHeight="1">
      <c r="A27" s="1900">
        <v>45112</v>
      </c>
      <c r="B27" s="1903" t="s">
        <v>3272</v>
      </c>
      <c r="C27" s="888" t="s">
        <v>3256</v>
      </c>
      <c r="D27" s="32" t="s">
        <v>3257</v>
      </c>
      <c r="E27" s="31" t="s">
        <v>3258</v>
      </c>
      <c r="F27" s="24" t="s">
        <v>427</v>
      </c>
      <c r="G27" s="892" t="s">
        <v>314</v>
      </c>
      <c r="H27" s="670"/>
    </row>
    <row r="28" spans="1:8" ht="36" customHeight="1">
      <c r="A28" s="1900"/>
      <c r="B28" s="1903"/>
      <c r="C28" s="885" t="s">
        <v>232</v>
      </c>
      <c r="D28" s="30" t="s">
        <v>194</v>
      </c>
      <c r="E28" s="29" t="s">
        <v>182</v>
      </c>
      <c r="F28" s="887" t="s">
        <v>2751</v>
      </c>
      <c r="G28" s="886"/>
      <c r="H28" s="875"/>
    </row>
    <row r="29" spans="1:8" ht="36" customHeight="1">
      <c r="A29" s="1900"/>
      <c r="B29" s="1903"/>
      <c r="C29" s="885" t="s">
        <v>3267</v>
      </c>
      <c r="D29" s="30" t="s">
        <v>3268</v>
      </c>
      <c r="E29" s="29" t="s">
        <v>3269</v>
      </c>
      <c r="F29" s="887"/>
      <c r="G29" s="886" t="s">
        <v>3270</v>
      </c>
      <c r="H29" s="868" t="s">
        <v>3271</v>
      </c>
    </row>
    <row r="30" spans="1:8" ht="36" customHeight="1">
      <c r="A30" s="1900"/>
      <c r="B30" s="1903"/>
      <c r="C30" s="1910" t="s">
        <v>3278</v>
      </c>
      <c r="D30" s="30" t="s">
        <v>20</v>
      </c>
      <c r="E30" s="29" t="s">
        <v>3280</v>
      </c>
      <c r="F30" s="887"/>
      <c r="G30" s="1911" t="s">
        <v>3282</v>
      </c>
      <c r="H30" s="875" t="s">
        <v>3283</v>
      </c>
    </row>
    <row r="31" spans="1:8" ht="36" customHeight="1">
      <c r="A31" s="1900"/>
      <c r="B31" s="1903"/>
      <c r="C31" s="1906"/>
      <c r="D31" s="30" t="s">
        <v>3279</v>
      </c>
      <c r="E31" s="29" t="s">
        <v>3281</v>
      </c>
      <c r="F31" s="887"/>
      <c r="G31" s="1912"/>
      <c r="H31" s="875"/>
    </row>
    <row r="32" spans="1:8" ht="36" customHeight="1">
      <c r="A32" s="1900"/>
      <c r="B32" s="1903"/>
      <c r="C32" s="1910" t="s">
        <v>3290</v>
      </c>
      <c r="D32" s="30" t="s">
        <v>392</v>
      </c>
      <c r="E32" s="29" t="s">
        <v>3291</v>
      </c>
      <c r="F32" s="887"/>
      <c r="G32" s="1911" t="s">
        <v>3297</v>
      </c>
      <c r="H32" s="880"/>
    </row>
    <row r="33" spans="1:8" ht="36" customHeight="1">
      <c r="A33" s="1900"/>
      <c r="B33" s="1903"/>
      <c r="C33" s="1914"/>
      <c r="D33" s="30" t="s">
        <v>3292</v>
      </c>
      <c r="E33" s="29" t="s">
        <v>3293</v>
      </c>
      <c r="F33" s="887" t="s">
        <v>3294</v>
      </c>
      <c r="G33" s="1913"/>
      <c r="H33" s="880"/>
    </row>
    <row r="34" spans="1:8" ht="36" customHeight="1">
      <c r="A34" s="1900"/>
      <c r="B34" s="1903"/>
      <c r="C34" s="1906"/>
      <c r="D34" s="30" t="s">
        <v>3295</v>
      </c>
      <c r="E34" s="29" t="s">
        <v>3296</v>
      </c>
      <c r="F34" s="887"/>
      <c r="G34" s="1912"/>
      <c r="H34" s="880"/>
    </row>
    <row r="35" spans="1:8" ht="36" customHeight="1">
      <c r="A35" s="1900"/>
      <c r="B35" s="1903"/>
      <c r="C35" s="867"/>
      <c r="D35" s="28"/>
      <c r="E35" s="27"/>
      <c r="F35" s="874"/>
      <c r="G35" s="871"/>
    </row>
    <row r="36" spans="1:8" ht="36" customHeight="1" thickBot="1">
      <c r="A36" s="1900"/>
      <c r="B36" s="1903"/>
      <c r="C36" s="866"/>
      <c r="D36" s="26"/>
      <c r="E36" s="25"/>
      <c r="F36" s="845"/>
      <c r="G36" s="870"/>
    </row>
    <row r="37" spans="1:8" ht="36" customHeight="1" thickBot="1">
      <c r="A37" s="1901"/>
      <c r="B37" s="1904"/>
      <c r="C37" s="12"/>
      <c r="D37" s="11"/>
      <c r="E37" s="10"/>
      <c r="F37" s="10"/>
      <c r="G37" s="9"/>
      <c r="H37" s="670"/>
    </row>
    <row r="38" spans="1:8" ht="36" customHeight="1">
      <c r="A38" s="1899">
        <v>45113</v>
      </c>
      <c r="B38" s="1902" t="s">
        <v>1</v>
      </c>
      <c r="C38" s="882" t="s">
        <v>174</v>
      </c>
      <c r="D38" s="883" t="s">
        <v>429</v>
      </c>
      <c r="E38" s="883" t="s">
        <v>54</v>
      </c>
      <c r="F38" s="883"/>
      <c r="G38" s="884" t="s">
        <v>58</v>
      </c>
      <c r="H38" s="670"/>
    </row>
    <row r="39" spans="1:8" ht="36" customHeight="1">
      <c r="A39" s="1900"/>
      <c r="B39" s="1903"/>
      <c r="C39" s="1910" t="s">
        <v>3301</v>
      </c>
      <c r="D39" s="24" t="s">
        <v>411</v>
      </c>
      <c r="E39" s="24" t="s">
        <v>3302</v>
      </c>
      <c r="F39" s="896"/>
      <c r="G39" s="895"/>
      <c r="H39" s="670"/>
    </row>
    <row r="40" spans="1:8" ht="36" customHeight="1">
      <c r="A40" s="1900"/>
      <c r="B40" s="1903"/>
      <c r="C40" s="1906"/>
      <c r="D40" s="32" t="s">
        <v>3303</v>
      </c>
      <c r="E40" s="31" t="s">
        <v>3304</v>
      </c>
      <c r="F40" s="896"/>
      <c r="G40" s="895"/>
      <c r="H40" s="670"/>
    </row>
    <row r="41" spans="1:8" ht="36" customHeight="1">
      <c r="A41" s="1900"/>
      <c r="B41" s="1903"/>
      <c r="C41" s="1910" t="s">
        <v>3325</v>
      </c>
      <c r="D41" s="32" t="s">
        <v>3324</v>
      </c>
      <c r="E41" s="31" t="s">
        <v>3322</v>
      </c>
      <c r="F41" s="24"/>
      <c r="G41" s="1911" t="s">
        <v>3326</v>
      </c>
      <c r="H41" s="670"/>
    </row>
    <row r="42" spans="1:8" ht="36" customHeight="1">
      <c r="A42" s="1900"/>
      <c r="B42" s="1903"/>
      <c r="C42" s="1906"/>
      <c r="D42" s="30" t="s">
        <v>20</v>
      </c>
      <c r="E42" s="29" t="s">
        <v>3312</v>
      </c>
      <c r="F42" s="896" t="s">
        <v>3327</v>
      </c>
      <c r="G42" s="1912"/>
      <c r="H42" s="890"/>
    </row>
    <row r="43" spans="1:8" ht="36" customHeight="1" thickBot="1">
      <c r="A43" s="1900"/>
      <c r="B43" s="1903"/>
      <c r="C43" s="889"/>
      <c r="D43" s="26"/>
      <c r="E43" s="25"/>
      <c r="F43" s="893"/>
      <c r="G43" s="891"/>
      <c r="H43" s="890"/>
    </row>
    <row r="44" spans="1:8" ht="36" customHeight="1" thickBot="1">
      <c r="A44" s="1901"/>
      <c r="B44" s="1904"/>
      <c r="C44" s="12"/>
      <c r="D44" s="11"/>
      <c r="E44" s="10"/>
      <c r="F44" s="10"/>
      <c r="G44" s="9"/>
      <c r="H44" s="670"/>
    </row>
    <row r="45" spans="1:8" ht="36" customHeight="1">
      <c r="A45" s="1899">
        <v>45114</v>
      </c>
      <c r="B45" s="1902" t="s">
        <v>0</v>
      </c>
      <c r="C45" s="905" t="s">
        <v>3238</v>
      </c>
      <c r="D45" s="24" t="s">
        <v>207</v>
      </c>
      <c r="E45" s="24" t="s">
        <v>3266</v>
      </c>
      <c r="F45" s="904"/>
      <c r="G45" s="900"/>
      <c r="H45" s="670"/>
    </row>
    <row r="46" spans="1:8" ht="36" customHeight="1">
      <c r="A46" s="1900"/>
      <c r="B46" s="1903"/>
      <c r="C46" s="1910" t="s">
        <v>3308</v>
      </c>
      <c r="D46" s="24" t="s">
        <v>3309</v>
      </c>
      <c r="E46" s="24" t="s">
        <v>3310</v>
      </c>
      <c r="F46" s="1949" t="s">
        <v>3313</v>
      </c>
      <c r="G46" s="1911" t="s">
        <v>3314</v>
      </c>
      <c r="H46" s="670"/>
    </row>
    <row r="47" spans="1:8" ht="36" customHeight="1">
      <c r="A47" s="1900"/>
      <c r="B47" s="1903"/>
      <c r="C47" s="1906"/>
      <c r="D47" s="24" t="s">
        <v>3311</v>
      </c>
      <c r="E47" s="31" t="s">
        <v>3312</v>
      </c>
      <c r="F47" s="1938"/>
      <c r="G47" s="1912"/>
      <c r="H47" s="670"/>
    </row>
    <row r="48" spans="1:8" ht="36" customHeight="1">
      <c r="A48" s="1900"/>
      <c r="B48" s="1903"/>
      <c r="C48" s="1910" t="s">
        <v>3315</v>
      </c>
      <c r="D48" s="24" t="s">
        <v>3309</v>
      </c>
      <c r="E48" s="31" t="s">
        <v>3316</v>
      </c>
      <c r="F48" s="24"/>
      <c r="G48" s="909"/>
      <c r="H48" s="670"/>
    </row>
    <row r="49" spans="1:8" ht="36" customHeight="1">
      <c r="A49" s="1900"/>
      <c r="B49" s="1903"/>
      <c r="C49" s="1906"/>
      <c r="D49" s="30" t="s">
        <v>3331</v>
      </c>
      <c r="E49" s="29" t="s">
        <v>3332</v>
      </c>
      <c r="F49" s="904"/>
      <c r="G49" s="902"/>
      <c r="H49" s="890"/>
    </row>
    <row r="50" spans="1:8" ht="36" customHeight="1" thickBot="1">
      <c r="A50" s="1900"/>
      <c r="B50" s="1903"/>
      <c r="C50" s="898" t="s">
        <v>3352</v>
      </c>
      <c r="D50" s="35" t="s">
        <v>20</v>
      </c>
      <c r="E50" s="34" t="s">
        <v>73</v>
      </c>
      <c r="F50" s="903" t="s">
        <v>172</v>
      </c>
      <c r="G50" s="901" t="s">
        <v>18</v>
      </c>
      <c r="H50" s="897" t="s">
        <v>3353</v>
      </c>
    </row>
    <row r="51" spans="1:8" ht="36" customHeight="1" thickBot="1">
      <c r="A51" s="1901"/>
      <c r="B51" s="1904"/>
      <c r="C51" s="12" t="s">
        <v>3305</v>
      </c>
      <c r="D51" s="11" t="s">
        <v>3306</v>
      </c>
      <c r="E51" s="10" t="s">
        <v>3307</v>
      </c>
      <c r="F51" s="10" t="s">
        <v>3329</v>
      </c>
      <c r="G51" s="9"/>
      <c r="H51" s="670"/>
    </row>
    <row r="52" spans="1:8" s="868" customFormat="1" ht="60" customHeight="1" thickBot="1">
      <c r="A52" s="1907" t="s">
        <v>5</v>
      </c>
      <c r="B52" s="1908"/>
      <c r="C52" s="1908"/>
      <c r="D52" s="1908"/>
      <c r="E52" s="1908"/>
      <c r="F52" s="1908"/>
      <c r="G52" s="1909"/>
    </row>
    <row r="53" spans="1:8" ht="36" customHeight="1">
      <c r="A53" s="1899">
        <v>45117</v>
      </c>
      <c r="B53" s="1919" t="s">
        <v>4</v>
      </c>
      <c r="C53" s="1914" t="s">
        <v>267</v>
      </c>
      <c r="D53" s="904" t="s">
        <v>3109</v>
      </c>
      <c r="E53" s="904" t="s">
        <v>181</v>
      </c>
      <c r="F53" s="1937" t="s">
        <v>3111</v>
      </c>
      <c r="G53" s="901"/>
      <c r="H53" s="880"/>
    </row>
    <row r="54" spans="1:8" ht="36" customHeight="1">
      <c r="A54" s="1900"/>
      <c r="B54" s="1920"/>
      <c r="C54" s="1914"/>
      <c r="D54" s="24" t="s">
        <v>3110</v>
      </c>
      <c r="E54" s="24" t="s">
        <v>181</v>
      </c>
      <c r="F54" s="1938"/>
      <c r="G54" s="900"/>
      <c r="H54" s="880"/>
    </row>
    <row r="55" spans="1:8" ht="36" customHeight="1">
      <c r="A55" s="1900"/>
      <c r="B55" s="1920"/>
      <c r="C55" s="1906"/>
      <c r="D55" s="32" t="s">
        <v>375</v>
      </c>
      <c r="E55" s="31" t="s">
        <v>217</v>
      </c>
      <c r="F55" s="904" t="s">
        <v>3184</v>
      </c>
      <c r="G55" s="900"/>
      <c r="H55" s="880"/>
    </row>
    <row r="56" spans="1:8" s="868" customFormat="1" ht="30" customHeight="1">
      <c r="A56" s="1900"/>
      <c r="B56" s="1920"/>
      <c r="C56" s="1910" t="s">
        <v>3317</v>
      </c>
      <c r="D56" s="24" t="s">
        <v>3318</v>
      </c>
      <c r="E56" s="24" t="s">
        <v>3321</v>
      </c>
      <c r="F56" s="904" t="s">
        <v>3323</v>
      </c>
      <c r="G56" s="900"/>
    </row>
    <row r="57" spans="1:8" s="890" customFormat="1" ht="30" customHeight="1">
      <c r="A57" s="1900"/>
      <c r="B57" s="1920"/>
      <c r="C57" s="1914"/>
      <c r="D57" s="24" t="s">
        <v>3319</v>
      </c>
      <c r="E57" s="24" t="s">
        <v>3320</v>
      </c>
      <c r="F57" s="904"/>
      <c r="G57" s="900"/>
    </row>
    <row r="58" spans="1:8" s="868" customFormat="1" ht="30" customHeight="1">
      <c r="A58" s="1900"/>
      <c r="B58" s="1920"/>
      <c r="C58" s="1914"/>
      <c r="D58" s="24" t="s">
        <v>278</v>
      </c>
      <c r="E58" s="24" t="s">
        <v>3322</v>
      </c>
      <c r="F58" s="904" t="s">
        <v>3344</v>
      </c>
      <c r="G58" s="900"/>
    </row>
    <row r="59" spans="1:8" s="897" customFormat="1" ht="30" customHeight="1">
      <c r="A59" s="1900"/>
      <c r="B59" s="1920"/>
      <c r="C59" s="1914"/>
      <c r="D59" s="24" t="s">
        <v>3337</v>
      </c>
      <c r="E59" s="24" t="s">
        <v>3338</v>
      </c>
      <c r="F59" s="904"/>
      <c r="G59" s="900"/>
    </row>
    <row r="60" spans="1:8" s="897" customFormat="1" ht="30" customHeight="1">
      <c r="A60" s="1900"/>
      <c r="B60" s="1920"/>
      <c r="C60" s="1914"/>
      <c r="D60" s="24" t="s">
        <v>3339</v>
      </c>
      <c r="E60" s="24" t="s">
        <v>3340</v>
      </c>
      <c r="F60" s="904"/>
      <c r="G60" s="900"/>
    </row>
    <row r="61" spans="1:8" s="897" customFormat="1" ht="30" customHeight="1">
      <c r="A61" s="1900"/>
      <c r="B61" s="1920"/>
      <c r="C61" s="1906"/>
      <c r="D61" s="24" t="s">
        <v>3341</v>
      </c>
      <c r="E61" s="24" t="s">
        <v>3342</v>
      </c>
      <c r="F61" s="904" t="s">
        <v>3343</v>
      </c>
      <c r="G61" s="900"/>
    </row>
    <row r="62" spans="1:8" s="868" customFormat="1" ht="30" customHeight="1">
      <c r="A62" s="1900"/>
      <c r="B62" s="1920"/>
      <c r="C62" s="905" t="s">
        <v>3354</v>
      </c>
      <c r="D62" s="32" t="s">
        <v>3355</v>
      </c>
      <c r="E62" s="31" t="s">
        <v>3356</v>
      </c>
      <c r="F62" s="24"/>
      <c r="G62" s="909" t="s">
        <v>314</v>
      </c>
    </row>
    <row r="63" spans="1:8" s="907" customFormat="1" ht="36" customHeight="1">
      <c r="A63" s="1900"/>
      <c r="B63" s="1920"/>
      <c r="C63" s="899" t="s">
        <v>406</v>
      </c>
      <c r="D63" s="904" t="s">
        <v>20</v>
      </c>
      <c r="E63" s="904" t="s">
        <v>407</v>
      </c>
      <c r="F63" s="904" t="s">
        <v>316</v>
      </c>
      <c r="G63" s="902" t="s">
        <v>345</v>
      </c>
    </row>
    <row r="64" spans="1:8" ht="36" customHeight="1">
      <c r="A64" s="1900"/>
      <c r="B64" s="1920"/>
      <c r="C64" s="905" t="s">
        <v>367</v>
      </c>
      <c r="D64" s="32" t="s">
        <v>20</v>
      </c>
      <c r="E64" s="31" t="s">
        <v>73</v>
      </c>
      <c r="F64" s="24" t="s">
        <v>172</v>
      </c>
      <c r="G64" s="909" t="s">
        <v>18</v>
      </c>
      <c r="H64" s="907" t="s">
        <v>3367</v>
      </c>
    </row>
    <row r="65" spans="1:7" s="868" customFormat="1" ht="30" customHeight="1">
      <c r="A65" s="1900"/>
      <c r="B65" s="1920"/>
      <c r="C65" s="905" t="s">
        <v>3369</v>
      </c>
      <c r="D65" s="32" t="s">
        <v>3370</v>
      </c>
      <c r="E65" s="31" t="s">
        <v>3371</v>
      </c>
      <c r="F65" s="24"/>
      <c r="G65" s="909" t="s">
        <v>3372</v>
      </c>
    </row>
    <row r="66" spans="1:7" s="907" customFormat="1" ht="30" customHeight="1" thickBot="1">
      <c r="A66" s="1900"/>
      <c r="B66" s="1920"/>
      <c r="C66" s="906"/>
      <c r="D66" s="26"/>
      <c r="E66" s="25"/>
      <c r="F66" s="910"/>
      <c r="G66" s="908"/>
    </row>
    <row r="67" spans="1:7" s="868" customFormat="1" ht="30" customHeight="1" thickBot="1">
      <c r="A67" s="1901"/>
      <c r="B67" s="1921"/>
      <c r="C67" s="12" t="s">
        <v>3345</v>
      </c>
      <c r="D67" s="11" t="s">
        <v>3346</v>
      </c>
      <c r="E67" s="10" t="s">
        <v>3347</v>
      </c>
      <c r="F67" s="10" t="s">
        <v>3348</v>
      </c>
      <c r="G67" s="9"/>
    </row>
    <row r="68" spans="1:7" s="868" customFormat="1" ht="30" customHeight="1">
      <c r="A68" s="1899">
        <v>45118</v>
      </c>
      <c r="B68" s="1902" t="s">
        <v>3</v>
      </c>
      <c r="C68" s="1905" t="s">
        <v>324</v>
      </c>
      <c r="D68" s="24" t="s">
        <v>3285</v>
      </c>
      <c r="E68" s="24" t="s">
        <v>3286</v>
      </c>
      <c r="F68" s="1944" t="s">
        <v>3287</v>
      </c>
      <c r="G68" s="1915" t="s">
        <v>3289</v>
      </c>
    </row>
    <row r="69" spans="1:7" s="880" customFormat="1" ht="30" customHeight="1">
      <c r="A69" s="1900"/>
      <c r="B69" s="1903"/>
      <c r="C69" s="1906"/>
      <c r="D69" s="24" t="s">
        <v>3288</v>
      </c>
      <c r="E69" s="24" t="s">
        <v>3286</v>
      </c>
      <c r="F69" s="1938"/>
      <c r="G69" s="1912"/>
    </row>
    <row r="70" spans="1:7" s="880" customFormat="1" ht="30" customHeight="1">
      <c r="A70" s="1900"/>
      <c r="B70" s="1903"/>
      <c r="C70" s="913" t="s">
        <v>432</v>
      </c>
      <c r="D70" s="24" t="s">
        <v>3298</v>
      </c>
      <c r="E70" s="24" t="s">
        <v>3299</v>
      </c>
      <c r="F70" s="912"/>
      <c r="G70" s="911" t="s">
        <v>3300</v>
      </c>
    </row>
    <row r="71" spans="1:7" s="868" customFormat="1" ht="30" customHeight="1">
      <c r="A71" s="1900"/>
      <c r="B71" s="1903"/>
      <c r="C71" s="913" t="s">
        <v>3333</v>
      </c>
      <c r="D71" s="32" t="s">
        <v>3335</v>
      </c>
      <c r="E71" s="31" t="s">
        <v>3334</v>
      </c>
      <c r="F71" s="912"/>
      <c r="G71" s="911" t="s">
        <v>3336</v>
      </c>
    </row>
    <row r="72" spans="1:7" s="890" customFormat="1" ht="30" customHeight="1">
      <c r="A72" s="1900"/>
      <c r="B72" s="1903"/>
      <c r="C72" s="1910" t="s">
        <v>3362</v>
      </c>
      <c r="D72" s="32" t="s">
        <v>20</v>
      </c>
      <c r="E72" s="31" t="s">
        <v>3364</v>
      </c>
      <c r="F72" s="24"/>
      <c r="G72" s="1911" t="s">
        <v>3366</v>
      </c>
    </row>
    <row r="73" spans="1:7" s="890" customFormat="1" ht="30" customHeight="1">
      <c r="A73" s="1900"/>
      <c r="B73" s="1903"/>
      <c r="C73" s="1906"/>
      <c r="D73" s="30" t="s">
        <v>3363</v>
      </c>
      <c r="E73" s="29" t="s">
        <v>3365</v>
      </c>
      <c r="F73" s="912"/>
      <c r="G73" s="1912"/>
    </row>
    <row r="74" spans="1:7" s="890" customFormat="1" ht="30" customHeight="1">
      <c r="A74" s="1900"/>
      <c r="B74" s="1903"/>
      <c r="C74" s="1910" t="s">
        <v>3388</v>
      </c>
      <c r="D74" s="32" t="s">
        <v>3383</v>
      </c>
      <c r="E74" s="31" t="s">
        <v>3384</v>
      </c>
      <c r="F74" s="24"/>
      <c r="G74" s="1911" t="s">
        <v>3389</v>
      </c>
    </row>
    <row r="75" spans="1:7" s="868" customFormat="1" ht="30" customHeight="1">
      <c r="A75" s="1900"/>
      <c r="B75" s="1903"/>
      <c r="C75" s="1914"/>
      <c r="D75" s="32" t="s">
        <v>3385</v>
      </c>
      <c r="E75" s="31" t="s">
        <v>3386</v>
      </c>
      <c r="F75" s="24"/>
      <c r="G75" s="1913"/>
    </row>
    <row r="76" spans="1:7" s="916" customFormat="1" ht="30" customHeight="1">
      <c r="A76" s="1900"/>
      <c r="B76" s="1903"/>
      <c r="C76" s="1906"/>
      <c r="D76" s="30" t="s">
        <v>20</v>
      </c>
      <c r="E76" s="29" t="s">
        <v>3387</v>
      </c>
      <c r="F76" s="912" t="s">
        <v>172</v>
      </c>
      <c r="G76" s="1912"/>
    </row>
    <row r="77" spans="1:7" s="916" customFormat="1" ht="30" customHeight="1">
      <c r="A77" s="1900"/>
      <c r="B77" s="1903"/>
      <c r="C77" s="915"/>
      <c r="D77" s="28"/>
      <c r="E77" s="27"/>
      <c r="F77" s="894"/>
      <c r="G77" s="918"/>
    </row>
    <row r="78" spans="1:7" s="916" customFormat="1" ht="30" customHeight="1" thickBot="1">
      <c r="A78" s="1900"/>
      <c r="B78" s="1903"/>
      <c r="C78" s="914"/>
      <c r="D78" s="26"/>
      <c r="E78" s="25"/>
      <c r="F78" s="910"/>
      <c r="G78" s="917"/>
    </row>
    <row r="79" spans="1:7" s="868" customFormat="1" ht="30" customHeight="1" thickBot="1">
      <c r="A79" s="1901"/>
      <c r="B79" s="1904"/>
      <c r="C79" s="12" t="s">
        <v>3349</v>
      </c>
      <c r="D79" s="11" t="s">
        <v>3350</v>
      </c>
      <c r="E79" s="10" t="s">
        <v>3351</v>
      </c>
      <c r="F79" s="10" t="s">
        <v>3361</v>
      </c>
      <c r="G79" s="9"/>
    </row>
    <row r="80" spans="1:7" s="868" customFormat="1" ht="30" customHeight="1">
      <c r="A80" s="1899">
        <v>45119</v>
      </c>
      <c r="B80" s="1902" t="s">
        <v>2</v>
      </c>
      <c r="C80" s="36" t="s">
        <v>3357</v>
      </c>
      <c r="D80" s="24" t="s">
        <v>3358</v>
      </c>
      <c r="E80" s="24" t="s">
        <v>3359</v>
      </c>
      <c r="F80" s="921"/>
      <c r="G80" s="920"/>
    </row>
    <row r="81" spans="1:8" s="868" customFormat="1" ht="30" customHeight="1">
      <c r="A81" s="1900"/>
      <c r="B81" s="1903"/>
      <c r="C81" s="922" t="s">
        <v>3373</v>
      </c>
      <c r="D81" s="24" t="s">
        <v>3374</v>
      </c>
      <c r="E81" s="24" t="s">
        <v>3375</v>
      </c>
      <c r="F81" s="921"/>
      <c r="G81" s="920" t="s">
        <v>3376</v>
      </c>
    </row>
    <row r="82" spans="1:8" s="868" customFormat="1" ht="30" customHeight="1" thickBot="1">
      <c r="A82" s="1900"/>
      <c r="B82" s="1903"/>
      <c r="C82" s="21"/>
      <c r="D82" s="22"/>
      <c r="E82" s="22"/>
      <c r="F82" s="874"/>
      <c r="G82" s="869"/>
    </row>
    <row r="83" spans="1:8" s="868" customFormat="1" ht="30" hidden="1" customHeight="1">
      <c r="A83" s="1900"/>
      <c r="B83" s="1903"/>
      <c r="C83" s="23"/>
      <c r="D83" s="22"/>
      <c r="E83" s="22"/>
      <c r="F83" s="874"/>
      <c r="G83" s="869"/>
    </row>
    <row r="84" spans="1:8" s="868" customFormat="1" ht="30" hidden="1" customHeight="1">
      <c r="A84" s="1900"/>
      <c r="B84" s="1903"/>
      <c r="C84" s="21"/>
      <c r="D84" s="22"/>
      <c r="E84" s="22"/>
      <c r="F84" s="874"/>
      <c r="G84" s="869"/>
    </row>
    <row r="85" spans="1:8" s="868" customFormat="1" ht="30" hidden="1" customHeight="1">
      <c r="A85" s="1900"/>
      <c r="B85" s="1903"/>
      <c r="C85" s="21"/>
      <c r="D85" s="22"/>
      <c r="E85" s="22"/>
      <c r="F85" s="874"/>
      <c r="G85" s="869"/>
    </row>
    <row r="86" spans="1:8" s="868" customFormat="1" ht="30" hidden="1" customHeight="1">
      <c r="A86" s="1900"/>
      <c r="B86" s="1903"/>
      <c r="C86" s="21"/>
      <c r="D86" s="20"/>
      <c r="E86" s="19"/>
      <c r="F86" s="874"/>
      <c r="G86" s="869"/>
    </row>
    <row r="87" spans="1:8" s="868" customFormat="1" ht="30" hidden="1" customHeight="1" thickBot="1">
      <c r="A87" s="1900"/>
      <c r="B87" s="1903"/>
      <c r="C87" s="872"/>
      <c r="D87" s="16"/>
      <c r="E87" s="15"/>
      <c r="F87" s="845"/>
      <c r="G87" s="869"/>
    </row>
    <row r="88" spans="1:8" s="868" customFormat="1" ht="30" customHeight="1" thickBot="1">
      <c r="A88" s="1901"/>
      <c r="B88" s="1904"/>
      <c r="C88" s="12" t="s">
        <v>3377</v>
      </c>
      <c r="D88" s="11" t="s">
        <v>3378</v>
      </c>
      <c r="E88" s="10" t="s">
        <v>3379</v>
      </c>
      <c r="F88" s="10" t="s">
        <v>3380</v>
      </c>
      <c r="G88" s="9"/>
    </row>
    <row r="89" spans="1:8" s="868" customFormat="1" ht="30" customHeight="1">
      <c r="A89" s="1900">
        <v>45120</v>
      </c>
      <c r="B89" s="1917" t="s">
        <v>3397</v>
      </c>
      <c r="C89" s="922" t="s">
        <v>267</v>
      </c>
      <c r="D89" s="24" t="s">
        <v>268</v>
      </c>
      <c r="E89" s="24" t="s">
        <v>269</v>
      </c>
      <c r="F89" s="921"/>
      <c r="G89" s="920" t="s">
        <v>3330</v>
      </c>
    </row>
    <row r="90" spans="1:8" s="868" customFormat="1" ht="30" customHeight="1">
      <c r="A90" s="1900"/>
      <c r="B90" s="1917"/>
      <c r="C90" s="922" t="s">
        <v>64</v>
      </c>
      <c r="D90" s="24" t="s">
        <v>28</v>
      </c>
      <c r="E90" s="24" t="s">
        <v>3328</v>
      </c>
      <c r="F90" s="921"/>
      <c r="G90" s="920"/>
    </row>
    <row r="91" spans="1:8" s="868" customFormat="1" ht="30" customHeight="1">
      <c r="A91" s="1900"/>
      <c r="B91" s="1917"/>
      <c r="C91" s="922" t="s">
        <v>3390</v>
      </c>
      <c r="D91" s="32" t="s">
        <v>3391</v>
      </c>
      <c r="E91" s="31" t="s">
        <v>3420</v>
      </c>
      <c r="F91" s="24"/>
      <c r="G91" s="926" t="s">
        <v>3392</v>
      </c>
    </row>
    <row r="92" spans="1:8" s="868" customFormat="1" ht="30" customHeight="1">
      <c r="A92" s="1900"/>
      <c r="B92" s="1917"/>
      <c r="C92" s="919" t="s">
        <v>3398</v>
      </c>
      <c r="D92" s="24" t="s">
        <v>3400</v>
      </c>
      <c r="E92" s="31" t="s">
        <v>3407</v>
      </c>
      <c r="F92" s="24" t="s">
        <v>3408</v>
      </c>
      <c r="G92" s="926" t="s">
        <v>3409</v>
      </c>
      <c r="H92" s="924" t="s">
        <v>3410</v>
      </c>
    </row>
    <row r="93" spans="1:8" s="924" customFormat="1" ht="30" customHeight="1">
      <c r="A93" s="1900"/>
      <c r="B93" s="1917"/>
      <c r="C93" s="922" t="s">
        <v>3421</v>
      </c>
      <c r="D93" s="32" t="s">
        <v>3422</v>
      </c>
      <c r="E93" s="31" t="s">
        <v>3423</v>
      </c>
      <c r="F93" s="24" t="s">
        <v>3424</v>
      </c>
      <c r="G93" s="926"/>
    </row>
    <row r="94" spans="1:8" s="924" customFormat="1" ht="30" customHeight="1" thickBot="1">
      <c r="A94" s="1900"/>
      <c r="B94" s="1917"/>
      <c r="C94" s="21"/>
      <c r="D94" s="20"/>
      <c r="E94" s="19"/>
      <c r="F94" s="22"/>
      <c r="G94" s="64"/>
    </row>
    <row r="95" spans="1:8" s="924" customFormat="1" ht="30" hidden="1" customHeight="1" thickBot="1">
      <c r="A95" s="1900"/>
      <c r="B95" s="1917"/>
      <c r="C95" s="923"/>
      <c r="D95" s="26"/>
      <c r="E95" s="25"/>
      <c r="F95" s="910"/>
      <c r="G95" s="925"/>
    </row>
    <row r="96" spans="1:8" s="868" customFormat="1" ht="30" customHeight="1" thickBot="1">
      <c r="A96" s="1901"/>
      <c r="B96" s="1918"/>
      <c r="C96" s="12"/>
      <c r="D96" s="11"/>
      <c r="E96" s="10"/>
      <c r="F96" s="10"/>
      <c r="G96" s="9"/>
    </row>
    <row r="97" spans="1:8" s="868" customFormat="1" ht="30" customHeight="1">
      <c r="A97" s="1899">
        <v>45121</v>
      </c>
      <c r="B97" s="1902" t="s">
        <v>0</v>
      </c>
      <c r="C97" s="36" t="s">
        <v>3411</v>
      </c>
      <c r="D97" s="24" t="s">
        <v>3412</v>
      </c>
      <c r="E97" s="24" t="s">
        <v>3413</v>
      </c>
      <c r="F97" s="931"/>
      <c r="G97" s="934"/>
    </row>
    <row r="98" spans="1:8" s="924" customFormat="1" ht="30" customHeight="1">
      <c r="A98" s="1900"/>
      <c r="B98" s="1903"/>
      <c r="C98" s="1910" t="s">
        <v>3425</v>
      </c>
      <c r="D98" s="931" t="s">
        <v>20</v>
      </c>
      <c r="E98" s="931" t="s">
        <v>3427</v>
      </c>
      <c r="F98" s="931"/>
      <c r="G98" s="929"/>
    </row>
    <row r="99" spans="1:8" s="924" customFormat="1" ht="30" customHeight="1">
      <c r="A99" s="1900"/>
      <c r="B99" s="1903"/>
      <c r="C99" s="1914"/>
      <c r="D99" s="24" t="s">
        <v>3399</v>
      </c>
      <c r="E99" s="24" t="s">
        <v>3428</v>
      </c>
      <c r="F99" s="931"/>
      <c r="G99" s="928"/>
    </row>
    <row r="100" spans="1:8" s="924" customFormat="1" ht="30" customHeight="1">
      <c r="A100" s="1900"/>
      <c r="B100" s="1903"/>
      <c r="C100" s="1914"/>
      <c r="D100" s="24" t="s">
        <v>3400</v>
      </c>
      <c r="E100" s="24" t="s">
        <v>3429</v>
      </c>
      <c r="F100" s="931"/>
      <c r="G100" s="928"/>
    </row>
    <row r="101" spans="1:8" s="924" customFormat="1" ht="36" customHeight="1">
      <c r="A101" s="1900"/>
      <c r="B101" s="1903"/>
      <c r="C101" s="1914"/>
      <c r="D101" s="24" t="s">
        <v>3405</v>
      </c>
      <c r="E101" s="24" t="s">
        <v>3406</v>
      </c>
      <c r="F101" s="931"/>
      <c r="G101" s="928"/>
    </row>
    <row r="102" spans="1:8" s="924" customFormat="1" ht="30" customHeight="1">
      <c r="A102" s="1900"/>
      <c r="B102" s="1903"/>
      <c r="C102" s="1906"/>
      <c r="D102" s="24" t="s">
        <v>3401</v>
      </c>
      <c r="E102" s="24" t="s">
        <v>3403</v>
      </c>
      <c r="F102" s="931" t="s">
        <v>3402</v>
      </c>
      <c r="G102" s="928" t="s">
        <v>3404</v>
      </c>
    </row>
    <row r="103" spans="1:8" s="924" customFormat="1" ht="30" customHeight="1">
      <c r="A103" s="1900"/>
      <c r="B103" s="1903"/>
      <c r="C103" s="932" t="s">
        <v>3308</v>
      </c>
      <c r="D103" s="24" t="s">
        <v>3436</v>
      </c>
      <c r="E103" s="24" t="s">
        <v>3434</v>
      </c>
      <c r="F103" s="931" t="s">
        <v>3435</v>
      </c>
      <c r="G103" s="928"/>
    </row>
    <row r="104" spans="1:8" s="924" customFormat="1" ht="30" customHeight="1">
      <c r="A104" s="1900"/>
      <c r="B104" s="1903"/>
      <c r="C104" s="932" t="s">
        <v>3442</v>
      </c>
      <c r="D104" s="24" t="s">
        <v>3443</v>
      </c>
      <c r="E104" s="24" t="s">
        <v>3444</v>
      </c>
      <c r="F104" s="931"/>
      <c r="G104" s="928" t="s">
        <v>3445</v>
      </c>
      <c r="H104" s="933" t="s">
        <v>3446</v>
      </c>
    </row>
    <row r="105" spans="1:8" s="868" customFormat="1" ht="30" customHeight="1" thickBot="1">
      <c r="A105" s="1900"/>
      <c r="B105" s="1903"/>
      <c r="C105" s="927" t="s">
        <v>3447</v>
      </c>
      <c r="D105" s="24" t="s">
        <v>221</v>
      </c>
      <c r="E105" s="37" t="s">
        <v>3448</v>
      </c>
      <c r="F105" s="930"/>
      <c r="G105" s="928" t="s">
        <v>261</v>
      </c>
    </row>
    <row r="106" spans="1:8" s="868" customFormat="1" ht="30" customHeight="1" thickBot="1">
      <c r="A106" s="1901"/>
      <c r="B106" s="1904"/>
      <c r="C106" s="12"/>
      <c r="D106" s="11"/>
      <c r="E106" s="10"/>
      <c r="F106" s="10"/>
      <c r="G106" s="9"/>
    </row>
    <row r="107" spans="1:8" s="868" customFormat="1" ht="60" customHeight="1" thickBot="1">
      <c r="A107" s="1907" t="s">
        <v>5</v>
      </c>
      <c r="B107" s="1908"/>
      <c r="C107" s="1908"/>
      <c r="D107" s="1908"/>
      <c r="E107" s="1908"/>
      <c r="F107" s="1908"/>
      <c r="G107" s="1909"/>
    </row>
    <row r="108" spans="1:8" s="868" customFormat="1" ht="36" customHeight="1">
      <c r="A108" s="1899">
        <v>45124</v>
      </c>
      <c r="B108" s="1902" t="s">
        <v>4</v>
      </c>
      <c r="C108" s="1905" t="s">
        <v>3398</v>
      </c>
      <c r="D108" s="943" t="s">
        <v>20</v>
      </c>
      <c r="E108" s="943" t="s">
        <v>3426</v>
      </c>
      <c r="F108" s="943"/>
      <c r="G108" s="941"/>
    </row>
    <row r="109" spans="1:8" s="924" customFormat="1" ht="36" customHeight="1">
      <c r="A109" s="1900"/>
      <c r="B109" s="1903"/>
      <c r="C109" s="1914"/>
      <c r="D109" s="24" t="s">
        <v>3399</v>
      </c>
      <c r="E109" s="24" t="s">
        <v>3428</v>
      </c>
      <c r="F109" s="943"/>
      <c r="G109" s="941"/>
    </row>
    <row r="110" spans="1:8" s="924" customFormat="1" ht="36" customHeight="1">
      <c r="A110" s="1900"/>
      <c r="B110" s="1903"/>
      <c r="C110" s="1906"/>
      <c r="D110" s="24" t="s">
        <v>3400</v>
      </c>
      <c r="E110" s="24" t="s">
        <v>3429</v>
      </c>
      <c r="F110" s="943"/>
      <c r="G110" s="941"/>
    </row>
    <row r="111" spans="1:8" s="868" customFormat="1" ht="36" customHeight="1">
      <c r="A111" s="1900"/>
      <c r="B111" s="1903"/>
      <c r="C111" s="1910" t="s">
        <v>3437</v>
      </c>
      <c r="D111" s="32" t="s">
        <v>3438</v>
      </c>
      <c r="E111" s="31" t="s">
        <v>3439</v>
      </c>
      <c r="F111" s="24"/>
      <c r="G111" s="941"/>
    </row>
    <row r="112" spans="1:8" s="868" customFormat="1" ht="36" customHeight="1">
      <c r="A112" s="1900"/>
      <c r="B112" s="1903"/>
      <c r="C112" s="1906"/>
      <c r="D112" s="32" t="s">
        <v>497</v>
      </c>
      <c r="E112" s="31" t="s">
        <v>3440</v>
      </c>
      <c r="F112" s="943"/>
      <c r="G112" s="946"/>
    </row>
    <row r="113" spans="1:8" s="933" customFormat="1" ht="36" customHeight="1">
      <c r="A113" s="1900"/>
      <c r="B113" s="1903"/>
      <c r="C113" s="1910" t="s">
        <v>237</v>
      </c>
      <c r="D113" s="30" t="s">
        <v>3449</v>
      </c>
      <c r="E113" s="29" t="s">
        <v>3468</v>
      </c>
      <c r="F113" s="943"/>
      <c r="G113" s="942"/>
    </row>
    <row r="114" spans="1:8" s="933" customFormat="1" ht="36" customHeight="1">
      <c r="A114" s="1900"/>
      <c r="B114" s="1903"/>
      <c r="C114" s="1906"/>
      <c r="D114" s="30" t="s">
        <v>20</v>
      </c>
      <c r="E114" s="29" t="s">
        <v>3450</v>
      </c>
      <c r="F114" s="943" t="s">
        <v>3451</v>
      </c>
      <c r="G114" s="942"/>
    </row>
    <row r="115" spans="1:8" s="937" customFormat="1" ht="36" customHeight="1">
      <c r="A115" s="1900"/>
      <c r="B115" s="1903"/>
      <c r="C115" s="940" t="s">
        <v>3469</v>
      </c>
      <c r="D115" s="30" t="s">
        <v>3470</v>
      </c>
      <c r="E115" s="29" t="s">
        <v>3471</v>
      </c>
      <c r="F115" s="943"/>
      <c r="G115" s="942"/>
    </row>
    <row r="116" spans="1:8" s="937" customFormat="1" ht="36" customHeight="1">
      <c r="A116" s="1900"/>
      <c r="B116" s="1903"/>
      <c r="C116" s="944" t="s">
        <v>3308</v>
      </c>
      <c r="D116" s="32" t="s">
        <v>3464</v>
      </c>
      <c r="E116" s="31" t="s">
        <v>3463</v>
      </c>
      <c r="F116" s="24"/>
      <c r="G116" s="946" t="s">
        <v>3467</v>
      </c>
      <c r="H116" s="937" t="s">
        <v>3441</v>
      </c>
    </row>
    <row r="117" spans="1:8" s="924" customFormat="1" ht="36" customHeight="1">
      <c r="A117" s="1900"/>
      <c r="B117" s="1903"/>
      <c r="C117" s="940" t="s">
        <v>3484</v>
      </c>
      <c r="D117" s="30" t="s">
        <v>20</v>
      </c>
      <c r="E117" s="29" t="s">
        <v>3485</v>
      </c>
      <c r="F117" s="943" t="s">
        <v>172</v>
      </c>
      <c r="G117" s="942" t="s">
        <v>3487</v>
      </c>
      <c r="H117" s="937" t="s">
        <v>3486</v>
      </c>
    </row>
    <row r="118" spans="1:8" s="937" customFormat="1" ht="36" customHeight="1">
      <c r="A118" s="1900"/>
      <c r="B118" s="1903"/>
      <c r="C118" s="944" t="s">
        <v>3489</v>
      </c>
      <c r="D118" s="32" t="s">
        <v>3490</v>
      </c>
      <c r="E118" s="31" t="s">
        <v>3491</v>
      </c>
      <c r="F118" s="24"/>
      <c r="G118" s="946" t="s">
        <v>3492</v>
      </c>
      <c r="H118" s="937" t="s">
        <v>3493</v>
      </c>
    </row>
    <row r="119" spans="1:8" s="924" customFormat="1" ht="36" customHeight="1">
      <c r="A119" s="1900"/>
      <c r="B119" s="1903"/>
      <c r="C119" s="936"/>
      <c r="D119" s="28"/>
      <c r="E119" s="27"/>
      <c r="F119" s="894"/>
      <c r="G119" s="939"/>
    </row>
    <row r="120" spans="1:8" s="937" customFormat="1" ht="36" customHeight="1" thickBot="1">
      <c r="A120" s="1900"/>
      <c r="B120" s="1903"/>
      <c r="C120" s="201"/>
      <c r="D120" s="26"/>
      <c r="E120" s="25"/>
      <c r="F120" s="910"/>
      <c r="G120" s="938"/>
    </row>
    <row r="121" spans="1:8" s="868" customFormat="1" ht="36" customHeight="1" thickBot="1">
      <c r="A121" s="1901"/>
      <c r="B121" s="1904"/>
      <c r="C121" s="12" t="s">
        <v>3430</v>
      </c>
      <c r="D121" s="11" t="s">
        <v>3431</v>
      </c>
      <c r="E121" s="10" t="s">
        <v>3432</v>
      </c>
      <c r="F121" s="10" t="s">
        <v>3433</v>
      </c>
      <c r="G121" s="9"/>
    </row>
    <row r="122" spans="1:8" s="868" customFormat="1" ht="36" customHeight="1">
      <c r="A122" s="1900">
        <v>45125</v>
      </c>
      <c r="B122" s="1903" t="s">
        <v>3473</v>
      </c>
      <c r="C122" s="944" t="s">
        <v>3393</v>
      </c>
      <c r="D122" s="24" t="s">
        <v>3394</v>
      </c>
      <c r="E122" s="24" t="s">
        <v>3395</v>
      </c>
      <c r="F122" s="24" t="s">
        <v>3396</v>
      </c>
      <c r="G122" s="946"/>
    </row>
    <row r="123" spans="1:8" s="924" customFormat="1" ht="30" customHeight="1">
      <c r="A123" s="1900"/>
      <c r="B123" s="1903"/>
      <c r="C123" s="1910" t="s">
        <v>3411</v>
      </c>
      <c r="D123" s="24" t="s">
        <v>3416</v>
      </c>
      <c r="E123" s="24" t="s">
        <v>3417</v>
      </c>
      <c r="F123" s="24" t="s">
        <v>3418</v>
      </c>
      <c r="G123" s="1911" t="s">
        <v>3483</v>
      </c>
    </row>
    <row r="124" spans="1:8" s="924" customFormat="1" ht="30" customHeight="1">
      <c r="A124" s="1900"/>
      <c r="B124" s="1903"/>
      <c r="C124" s="1906"/>
      <c r="D124" s="24" t="s">
        <v>3419</v>
      </c>
      <c r="E124" s="24" t="s">
        <v>3488</v>
      </c>
      <c r="F124" s="943"/>
      <c r="G124" s="1913"/>
    </row>
    <row r="125" spans="1:8" s="937" customFormat="1" ht="30" customHeight="1">
      <c r="A125" s="1900"/>
      <c r="B125" s="1903"/>
      <c r="C125" s="940" t="s">
        <v>3480</v>
      </c>
      <c r="D125" s="943" t="s">
        <v>3481</v>
      </c>
      <c r="E125" s="943" t="s">
        <v>3458</v>
      </c>
      <c r="F125" s="943" t="s">
        <v>3482</v>
      </c>
      <c r="G125" s="1912"/>
    </row>
    <row r="126" spans="1:8" s="945" customFormat="1" ht="30" customHeight="1">
      <c r="A126" s="1900"/>
      <c r="B126" s="1903"/>
      <c r="C126" s="940" t="s">
        <v>3496</v>
      </c>
      <c r="D126" s="943" t="s">
        <v>3497</v>
      </c>
      <c r="E126" s="943" t="s">
        <v>3498</v>
      </c>
      <c r="F126" s="943"/>
      <c r="G126" s="942" t="s">
        <v>3499</v>
      </c>
    </row>
    <row r="127" spans="1:8" s="937" customFormat="1" ht="36" customHeight="1">
      <c r="A127" s="1900"/>
      <c r="B127" s="1903"/>
      <c r="C127" s="940" t="s">
        <v>288</v>
      </c>
      <c r="D127" s="30" t="s">
        <v>342</v>
      </c>
      <c r="E127" s="29" t="s">
        <v>182</v>
      </c>
      <c r="F127" s="943" t="s">
        <v>3360</v>
      </c>
      <c r="G127" s="942" t="s">
        <v>3478</v>
      </c>
    </row>
    <row r="128" spans="1:8" s="945" customFormat="1" ht="30" customHeight="1">
      <c r="A128" s="1900"/>
      <c r="B128" s="1903"/>
      <c r="C128" s="940" t="s">
        <v>198</v>
      </c>
      <c r="D128" s="30" t="s">
        <v>20</v>
      </c>
      <c r="E128" s="943" t="s">
        <v>371</v>
      </c>
      <c r="F128" s="943" t="s">
        <v>393</v>
      </c>
      <c r="G128" s="1913" t="s">
        <v>183</v>
      </c>
      <c r="H128" s="945" t="s">
        <v>3474</v>
      </c>
    </row>
    <row r="129" spans="1:8" s="945" customFormat="1" ht="30" customHeight="1">
      <c r="A129" s="1900"/>
      <c r="B129" s="1903"/>
      <c r="C129" s="944" t="s">
        <v>483</v>
      </c>
      <c r="D129" s="30" t="s">
        <v>378</v>
      </c>
      <c r="E129" s="24" t="s">
        <v>189</v>
      </c>
      <c r="F129" s="943" t="s">
        <v>2004</v>
      </c>
      <c r="G129" s="1912"/>
      <c r="H129" s="945" t="s">
        <v>3500</v>
      </c>
    </row>
    <row r="130" spans="1:8" s="945" customFormat="1" ht="36" customHeight="1">
      <c r="A130" s="1900"/>
      <c r="B130" s="1903"/>
      <c r="C130" s="1910" t="s">
        <v>3501</v>
      </c>
      <c r="D130" s="30" t="s">
        <v>227</v>
      </c>
      <c r="E130" s="29" t="s">
        <v>182</v>
      </c>
      <c r="F130" s="943"/>
      <c r="G130" s="1911" t="s">
        <v>261</v>
      </c>
    </row>
    <row r="131" spans="1:8" s="937" customFormat="1" ht="36" customHeight="1">
      <c r="A131" s="1900"/>
      <c r="B131" s="1903"/>
      <c r="C131" s="1906"/>
      <c r="D131" s="30" t="s">
        <v>3502</v>
      </c>
      <c r="E131" s="29" t="s">
        <v>3503</v>
      </c>
      <c r="F131" s="943"/>
      <c r="G131" s="1912"/>
    </row>
    <row r="132" spans="1:8" s="945" customFormat="1" ht="36" customHeight="1">
      <c r="A132" s="1900"/>
      <c r="B132" s="1903"/>
      <c r="C132" s="1910" t="s">
        <v>3504</v>
      </c>
      <c r="D132" s="30" t="s">
        <v>3505</v>
      </c>
      <c r="E132" s="29" t="s">
        <v>3506</v>
      </c>
      <c r="F132" s="943"/>
      <c r="G132" s="1911" t="s">
        <v>3511</v>
      </c>
    </row>
    <row r="133" spans="1:8" s="945" customFormat="1" ht="36" customHeight="1">
      <c r="A133" s="1900"/>
      <c r="B133" s="1903"/>
      <c r="C133" s="1914"/>
      <c r="D133" s="30" t="s">
        <v>20</v>
      </c>
      <c r="E133" s="29" t="s">
        <v>3508</v>
      </c>
      <c r="F133" s="943" t="s">
        <v>3512</v>
      </c>
      <c r="G133" s="1913"/>
    </row>
    <row r="134" spans="1:8" s="937" customFormat="1" ht="36" customHeight="1">
      <c r="A134" s="1900"/>
      <c r="B134" s="1903"/>
      <c r="C134" s="1906"/>
      <c r="D134" s="30" t="s">
        <v>3507</v>
      </c>
      <c r="E134" s="29" t="s">
        <v>3509</v>
      </c>
      <c r="F134" s="943" t="s">
        <v>3510</v>
      </c>
      <c r="G134" s="1912"/>
    </row>
    <row r="135" spans="1:8" s="937" customFormat="1" ht="36" customHeight="1" thickBot="1">
      <c r="A135" s="1900"/>
      <c r="B135" s="1903"/>
      <c r="C135" s="935"/>
      <c r="D135" s="26"/>
      <c r="E135" s="25"/>
      <c r="F135" s="910"/>
      <c r="G135" s="938"/>
    </row>
    <row r="136" spans="1:8" s="868" customFormat="1" ht="36" customHeight="1" thickBot="1">
      <c r="A136" s="1901"/>
      <c r="B136" s="1904"/>
      <c r="C136" s="12" t="s">
        <v>3381</v>
      </c>
      <c r="D136" s="11" t="s">
        <v>418</v>
      </c>
      <c r="E136" s="10" t="s">
        <v>3382</v>
      </c>
      <c r="F136" s="10" t="s">
        <v>560</v>
      </c>
      <c r="G136" s="9"/>
    </row>
    <row r="137" spans="1:8" s="924" customFormat="1" ht="30" customHeight="1">
      <c r="A137" s="1900">
        <v>45126</v>
      </c>
      <c r="B137" s="1903" t="s">
        <v>3479</v>
      </c>
      <c r="C137" s="1910" t="s">
        <v>479</v>
      </c>
      <c r="D137" s="954" t="s">
        <v>508</v>
      </c>
      <c r="E137" s="954" t="s">
        <v>217</v>
      </c>
      <c r="F137" s="954"/>
      <c r="G137" s="952"/>
    </row>
    <row r="138" spans="1:8" s="924" customFormat="1" ht="30" customHeight="1">
      <c r="A138" s="1900"/>
      <c r="B138" s="1903"/>
      <c r="C138" s="1914"/>
      <c r="D138" s="24" t="s">
        <v>215</v>
      </c>
      <c r="E138" s="24" t="s">
        <v>182</v>
      </c>
      <c r="F138" s="954"/>
      <c r="G138" s="951"/>
    </row>
    <row r="139" spans="1:8" s="924" customFormat="1" ht="30" customHeight="1">
      <c r="A139" s="1900"/>
      <c r="B139" s="1903"/>
      <c r="C139" s="1914"/>
      <c r="D139" s="24" t="s">
        <v>596</v>
      </c>
      <c r="E139" s="24" t="s">
        <v>182</v>
      </c>
      <c r="F139" s="954"/>
      <c r="G139" s="951"/>
    </row>
    <row r="140" spans="1:8" s="924" customFormat="1" ht="30" customHeight="1">
      <c r="A140" s="1900"/>
      <c r="B140" s="1903"/>
      <c r="C140" s="1914"/>
      <c r="D140" s="24" t="s">
        <v>421</v>
      </c>
      <c r="E140" s="24" t="s">
        <v>225</v>
      </c>
      <c r="F140" s="954"/>
      <c r="G140" s="951"/>
    </row>
    <row r="141" spans="1:8" s="868" customFormat="1" ht="36" customHeight="1">
      <c r="A141" s="1900"/>
      <c r="B141" s="1903"/>
      <c r="C141" s="1906"/>
      <c r="D141" s="32" t="s">
        <v>3414</v>
      </c>
      <c r="E141" s="31" t="s">
        <v>3415</v>
      </c>
      <c r="F141" s="954"/>
      <c r="G141" s="959"/>
    </row>
    <row r="142" spans="1:8" s="924" customFormat="1" ht="36" customHeight="1">
      <c r="A142" s="1900"/>
      <c r="B142" s="1903"/>
      <c r="C142" s="1910" t="s">
        <v>3456</v>
      </c>
      <c r="D142" s="32" t="s">
        <v>3457</v>
      </c>
      <c r="E142" s="31" t="s">
        <v>3458</v>
      </c>
      <c r="F142" s="1936" t="s">
        <v>3461</v>
      </c>
      <c r="G142" s="1911" t="s">
        <v>3472</v>
      </c>
    </row>
    <row r="143" spans="1:8" s="937" customFormat="1" ht="36" customHeight="1">
      <c r="A143" s="1900"/>
      <c r="B143" s="1903"/>
      <c r="C143" s="1906"/>
      <c r="D143" s="30" t="s">
        <v>3459</v>
      </c>
      <c r="E143" s="29" t="s">
        <v>3460</v>
      </c>
      <c r="F143" s="1938"/>
      <c r="G143" s="1912"/>
    </row>
    <row r="144" spans="1:8" s="937" customFormat="1" ht="36" customHeight="1">
      <c r="A144" s="1900"/>
      <c r="B144" s="1903"/>
      <c r="C144" s="1910" t="s">
        <v>3475</v>
      </c>
      <c r="D144" s="32" t="s">
        <v>3476</v>
      </c>
      <c r="E144" s="31" t="s">
        <v>3460</v>
      </c>
      <c r="F144" s="24"/>
      <c r="G144" s="959"/>
    </row>
    <row r="145" spans="1:8" s="937" customFormat="1" ht="36" customHeight="1">
      <c r="A145" s="1900"/>
      <c r="B145" s="1903"/>
      <c r="C145" s="1906"/>
      <c r="D145" s="30" t="s">
        <v>3477</v>
      </c>
      <c r="E145" s="29" t="s">
        <v>3495</v>
      </c>
      <c r="F145" s="954"/>
      <c r="G145" s="953"/>
    </row>
    <row r="146" spans="1:8" s="945" customFormat="1" ht="36" customHeight="1">
      <c r="A146" s="1900"/>
      <c r="B146" s="1903"/>
      <c r="C146" s="1910" t="s">
        <v>3513</v>
      </c>
      <c r="D146" s="30" t="s">
        <v>3514</v>
      </c>
      <c r="E146" s="29" t="s">
        <v>3515</v>
      </c>
      <c r="F146" s="954" t="s">
        <v>3517</v>
      </c>
      <c r="G146" s="959" t="s">
        <v>3526</v>
      </c>
      <c r="H146" s="945" t="s">
        <v>3518</v>
      </c>
    </row>
    <row r="147" spans="1:8" s="945" customFormat="1" ht="36" customHeight="1">
      <c r="A147" s="1900"/>
      <c r="B147" s="1903"/>
      <c r="C147" s="1914"/>
      <c r="D147" s="30" t="s">
        <v>3514</v>
      </c>
      <c r="E147" s="29" t="s">
        <v>3516</v>
      </c>
      <c r="F147" s="1936" t="s">
        <v>3528</v>
      </c>
      <c r="G147" s="1911" t="s">
        <v>3526</v>
      </c>
      <c r="H147" s="947" t="s">
        <v>3529</v>
      </c>
    </row>
    <row r="148" spans="1:8" s="947" customFormat="1" ht="36" customHeight="1">
      <c r="A148" s="1900"/>
      <c r="B148" s="1903"/>
      <c r="C148" s="1914"/>
      <c r="D148" s="30" t="s">
        <v>20</v>
      </c>
      <c r="E148" s="29" t="s">
        <v>3527</v>
      </c>
      <c r="F148" s="1938"/>
      <c r="G148" s="1912"/>
    </row>
    <row r="149" spans="1:8" s="945" customFormat="1" ht="36" customHeight="1">
      <c r="A149" s="1900"/>
      <c r="B149" s="1903"/>
      <c r="C149" s="1906"/>
      <c r="D149" s="30" t="s">
        <v>3520</v>
      </c>
      <c r="E149" s="29" t="s">
        <v>3521</v>
      </c>
      <c r="F149" s="954" t="s">
        <v>3522</v>
      </c>
      <c r="G149" s="959" t="s">
        <v>3526</v>
      </c>
      <c r="H149" s="945" t="s">
        <v>3519</v>
      </c>
    </row>
    <row r="150" spans="1:8" s="937" customFormat="1" ht="36" customHeight="1">
      <c r="A150" s="1900"/>
      <c r="B150" s="1903"/>
      <c r="C150" s="950" t="s">
        <v>3536</v>
      </c>
      <c r="D150" s="30" t="s">
        <v>3554</v>
      </c>
      <c r="E150" s="29" t="s">
        <v>3537</v>
      </c>
      <c r="F150" s="954"/>
      <c r="G150" s="953" t="s">
        <v>3538</v>
      </c>
      <c r="H150" s="937" t="s">
        <v>3539</v>
      </c>
    </row>
    <row r="151" spans="1:8" s="937" customFormat="1" ht="36" customHeight="1" thickBot="1">
      <c r="A151" s="1900"/>
      <c r="B151" s="1903"/>
      <c r="C151" s="935"/>
      <c r="D151" s="26"/>
      <c r="E151" s="25"/>
      <c r="F151" s="910"/>
      <c r="G151" s="938"/>
    </row>
    <row r="152" spans="1:8" s="868" customFormat="1" ht="36" customHeight="1" thickBot="1">
      <c r="A152" s="1901"/>
      <c r="B152" s="1904"/>
      <c r="C152" s="12"/>
      <c r="D152" s="11"/>
      <c r="E152" s="10"/>
      <c r="F152" s="10"/>
      <c r="G152" s="9"/>
    </row>
    <row r="153" spans="1:8" s="868" customFormat="1" ht="36" customHeight="1">
      <c r="A153" s="1899">
        <v>45127</v>
      </c>
      <c r="B153" s="1902" t="s">
        <v>1</v>
      </c>
      <c r="C153" s="955" t="s">
        <v>3462</v>
      </c>
      <c r="D153" s="24" t="s">
        <v>3465</v>
      </c>
      <c r="E153" s="24" t="s">
        <v>3466</v>
      </c>
      <c r="F153" s="954"/>
      <c r="G153" s="951"/>
    </row>
    <row r="154" spans="1:8" s="868" customFormat="1" ht="36" customHeight="1">
      <c r="A154" s="1900"/>
      <c r="B154" s="1903"/>
      <c r="C154" s="955"/>
      <c r="D154" s="24" t="s">
        <v>3540</v>
      </c>
      <c r="E154" s="24"/>
      <c r="F154" s="954"/>
      <c r="G154" s="951"/>
    </row>
    <row r="155" spans="1:8" s="868" customFormat="1" ht="36" customHeight="1">
      <c r="A155" s="1900"/>
      <c r="B155" s="1903"/>
      <c r="C155" s="955" t="s">
        <v>3541</v>
      </c>
      <c r="D155" s="32" t="s">
        <v>3542</v>
      </c>
      <c r="E155" s="31" t="s">
        <v>586</v>
      </c>
      <c r="F155" s="954" t="s">
        <v>3545</v>
      </c>
      <c r="G155" s="951" t="s">
        <v>3543</v>
      </c>
    </row>
    <row r="156" spans="1:8" s="868" customFormat="1" ht="36" customHeight="1">
      <c r="A156" s="1900"/>
      <c r="B156" s="1903"/>
      <c r="C156" s="955" t="s">
        <v>3557</v>
      </c>
      <c r="D156" s="32" t="s">
        <v>3555</v>
      </c>
      <c r="E156" s="31" t="s">
        <v>3556</v>
      </c>
      <c r="F156" s="24"/>
      <c r="G156" s="959" t="s">
        <v>3558</v>
      </c>
      <c r="H156" s="868" t="s">
        <v>3559</v>
      </c>
    </row>
    <row r="157" spans="1:8" s="957" customFormat="1" ht="36" customHeight="1">
      <c r="A157" s="1900"/>
      <c r="B157" s="1903"/>
      <c r="C157" s="950" t="s">
        <v>3567</v>
      </c>
      <c r="D157" s="954" t="s">
        <v>3568</v>
      </c>
      <c r="E157" s="954" t="s">
        <v>3569</v>
      </c>
      <c r="F157" s="954"/>
      <c r="G157" s="952" t="s">
        <v>3570</v>
      </c>
    </row>
    <row r="158" spans="1:8" s="957" customFormat="1" ht="36" customHeight="1">
      <c r="A158" s="1900"/>
      <c r="B158" s="1903"/>
      <c r="C158" s="955" t="s">
        <v>3574</v>
      </c>
      <c r="D158" s="32" t="s">
        <v>20</v>
      </c>
      <c r="E158" s="31" t="s">
        <v>3571</v>
      </c>
      <c r="F158" s="954" t="s">
        <v>3573</v>
      </c>
      <c r="G158" s="951" t="s">
        <v>3572</v>
      </c>
    </row>
    <row r="159" spans="1:8" s="957" customFormat="1" ht="36" customHeight="1">
      <c r="A159" s="1900"/>
      <c r="B159" s="1903"/>
      <c r="C159" s="955" t="s">
        <v>3575</v>
      </c>
      <c r="D159" s="32" t="s">
        <v>20</v>
      </c>
      <c r="E159" s="31" t="s">
        <v>3576</v>
      </c>
      <c r="F159" s="24" t="s">
        <v>3577</v>
      </c>
      <c r="G159" s="959" t="s">
        <v>3572</v>
      </c>
      <c r="H159" s="957" t="s">
        <v>3578</v>
      </c>
    </row>
    <row r="160" spans="1:8" s="957" customFormat="1" ht="36" customHeight="1">
      <c r="A160" s="1900"/>
      <c r="B160" s="1903"/>
      <c r="C160" s="1910" t="s">
        <v>3579</v>
      </c>
      <c r="D160" s="32" t="s">
        <v>3580</v>
      </c>
      <c r="E160" s="31" t="s">
        <v>3581</v>
      </c>
      <c r="F160" s="24"/>
      <c r="G160" s="1911" t="s">
        <v>3570</v>
      </c>
    </row>
    <row r="161" spans="1:8" s="957" customFormat="1" ht="36" customHeight="1">
      <c r="A161" s="1900"/>
      <c r="B161" s="1903"/>
      <c r="C161" s="1914"/>
      <c r="D161" s="32" t="s">
        <v>3582</v>
      </c>
      <c r="E161" s="31" t="s">
        <v>3583</v>
      </c>
      <c r="F161" s="24"/>
      <c r="G161" s="1913"/>
    </row>
    <row r="162" spans="1:8" s="957" customFormat="1" ht="36" customHeight="1">
      <c r="A162" s="1900"/>
      <c r="B162" s="1903"/>
      <c r="C162" s="1914"/>
      <c r="D162" s="30" t="s">
        <v>20</v>
      </c>
      <c r="E162" s="29" t="s">
        <v>3585</v>
      </c>
      <c r="F162" s="954" t="s">
        <v>3584</v>
      </c>
      <c r="G162" s="1912"/>
    </row>
    <row r="163" spans="1:8" s="957" customFormat="1" ht="36" customHeight="1">
      <c r="A163" s="1900"/>
      <c r="B163" s="1903"/>
      <c r="C163" s="1906"/>
      <c r="D163" s="32" t="s">
        <v>20</v>
      </c>
      <c r="E163" s="31" t="s">
        <v>3576</v>
      </c>
      <c r="F163" s="24"/>
      <c r="G163" s="959" t="s">
        <v>3586</v>
      </c>
      <c r="H163" s="957" t="s">
        <v>3587</v>
      </c>
    </row>
    <row r="164" spans="1:8" s="957" customFormat="1" ht="36" customHeight="1" thickBot="1">
      <c r="A164" s="1900"/>
      <c r="B164" s="1903"/>
      <c r="C164" s="956"/>
      <c r="D164" s="26"/>
      <c r="E164" s="25"/>
      <c r="F164" s="910"/>
      <c r="G164" s="958"/>
    </row>
    <row r="165" spans="1:8" s="868" customFormat="1" ht="36" customHeight="1" thickBot="1">
      <c r="A165" s="1901"/>
      <c r="B165" s="1904"/>
      <c r="C165" s="12"/>
      <c r="D165" s="11"/>
      <c r="E165" s="10"/>
      <c r="F165" s="10"/>
      <c r="G165" s="9"/>
    </row>
    <row r="166" spans="1:8" s="964" customFormat="1" ht="36" customHeight="1">
      <c r="A166" s="1899">
        <v>45128</v>
      </c>
      <c r="B166" s="1902" t="s">
        <v>0</v>
      </c>
      <c r="C166" s="963" t="s">
        <v>3592</v>
      </c>
      <c r="D166" s="24" t="s">
        <v>3593</v>
      </c>
      <c r="E166" s="24" t="s">
        <v>3595</v>
      </c>
      <c r="F166" s="962"/>
      <c r="G166" s="961" t="s">
        <v>3594</v>
      </c>
      <c r="H166" s="964" t="s">
        <v>3596</v>
      </c>
    </row>
    <row r="167" spans="1:8" s="964" customFormat="1" ht="36" customHeight="1">
      <c r="A167" s="1900"/>
      <c r="B167" s="1903"/>
      <c r="C167" s="992" t="s">
        <v>3600</v>
      </c>
      <c r="D167" s="991" t="s">
        <v>20</v>
      </c>
      <c r="E167" s="24" t="s">
        <v>39</v>
      </c>
      <c r="F167" s="991" t="s">
        <v>38</v>
      </c>
      <c r="G167" s="990" t="s">
        <v>3602</v>
      </c>
    </row>
    <row r="168" spans="1:8" s="868" customFormat="1" ht="36" customHeight="1">
      <c r="A168" s="1900"/>
      <c r="B168" s="1903"/>
      <c r="C168" s="21"/>
      <c r="D168" s="20"/>
      <c r="E168" s="19"/>
      <c r="F168" s="960"/>
      <c r="G168" s="965"/>
      <c r="H168" s="964"/>
    </row>
    <row r="169" spans="1:8" s="868" customFormat="1" ht="36" customHeight="1">
      <c r="A169" s="1900"/>
      <c r="B169" s="1903"/>
      <c r="C169" s="21"/>
      <c r="D169" s="20"/>
      <c r="E169" s="19"/>
      <c r="F169" s="874"/>
      <c r="G169" s="869"/>
    </row>
    <row r="170" spans="1:8" s="868" customFormat="1" ht="36" customHeight="1" thickBot="1">
      <c r="A170" s="1900"/>
      <c r="B170" s="1903"/>
      <c r="C170" s="872"/>
      <c r="D170" s="16"/>
      <c r="E170" s="15"/>
      <c r="F170" s="845"/>
      <c r="G170" s="869"/>
    </row>
    <row r="171" spans="1:8" s="933" customFormat="1" ht="36" customHeight="1" thickBot="1">
      <c r="A171" s="1900"/>
      <c r="B171" s="1903"/>
      <c r="C171" s="12" t="s">
        <v>3452</v>
      </c>
      <c r="D171" s="11" t="s">
        <v>3453</v>
      </c>
      <c r="E171" s="10" t="s">
        <v>3454</v>
      </c>
      <c r="F171" s="10" t="s">
        <v>3455</v>
      </c>
      <c r="G171" s="9"/>
    </row>
    <row r="172" spans="1:8" s="868" customFormat="1" ht="36" customHeight="1" thickBot="1">
      <c r="A172" s="1901"/>
      <c r="B172" s="1904"/>
      <c r="C172" s="12" t="s">
        <v>3452</v>
      </c>
      <c r="D172" s="11" t="s">
        <v>3453</v>
      </c>
      <c r="E172" s="10" t="s">
        <v>3454</v>
      </c>
      <c r="F172" s="10" t="s">
        <v>3599</v>
      </c>
      <c r="G172" s="9"/>
    </row>
    <row r="173" spans="1:8" s="868" customFormat="1" ht="60" customHeight="1" thickBot="1">
      <c r="A173" s="1907" t="s">
        <v>5</v>
      </c>
      <c r="B173" s="1908"/>
      <c r="C173" s="1908"/>
      <c r="D173" s="1908"/>
      <c r="E173" s="1908"/>
      <c r="F173" s="1908"/>
      <c r="G173" s="1909"/>
    </row>
    <row r="174" spans="1:8" s="868" customFormat="1" ht="36" customHeight="1">
      <c r="A174" s="1899">
        <v>45131</v>
      </c>
      <c r="B174" s="1902" t="s">
        <v>4</v>
      </c>
      <c r="C174" s="970" t="s">
        <v>3588</v>
      </c>
      <c r="D174" s="24" t="s">
        <v>3589</v>
      </c>
      <c r="E174" s="24" t="s">
        <v>3590</v>
      </c>
      <c r="F174" s="969"/>
      <c r="G174" s="384"/>
    </row>
    <row r="175" spans="1:8" s="957" customFormat="1" ht="36" customHeight="1">
      <c r="A175" s="1900"/>
      <c r="B175" s="1903"/>
      <c r="C175" s="970"/>
      <c r="D175" s="969" t="s">
        <v>3601</v>
      </c>
      <c r="E175" s="24"/>
      <c r="F175" s="969"/>
      <c r="G175" s="194"/>
    </row>
    <row r="176" spans="1:8" s="964" customFormat="1" ht="36" customHeight="1">
      <c r="A176" s="1900"/>
      <c r="B176" s="1903"/>
      <c r="C176" s="970" t="s">
        <v>3608</v>
      </c>
      <c r="D176" s="30" t="s">
        <v>3593</v>
      </c>
      <c r="E176" s="24" t="s">
        <v>3595</v>
      </c>
      <c r="F176" s="969"/>
      <c r="G176" s="968" t="s">
        <v>3609</v>
      </c>
      <c r="H176" s="964" t="s">
        <v>3610</v>
      </c>
    </row>
    <row r="177" spans="1:7" s="964" customFormat="1" ht="36" customHeight="1" thickBot="1">
      <c r="A177" s="1900"/>
      <c r="B177" s="1903"/>
      <c r="C177" s="21"/>
      <c r="D177" s="20"/>
      <c r="E177" s="19"/>
      <c r="F177" s="960"/>
      <c r="G177" s="965"/>
    </row>
    <row r="178" spans="1:7" s="868" customFormat="1" ht="36" hidden="1" customHeight="1">
      <c r="A178" s="1900"/>
      <c r="B178" s="1903"/>
      <c r="C178" s="21"/>
      <c r="D178" s="20"/>
      <c r="E178" s="19"/>
      <c r="F178" s="874"/>
      <c r="G178" s="869"/>
    </row>
    <row r="179" spans="1:7" s="868" customFormat="1" ht="36" hidden="1" customHeight="1" thickBot="1">
      <c r="A179" s="1900"/>
      <c r="B179" s="1903"/>
      <c r="C179" s="872"/>
      <c r="D179" s="16"/>
      <c r="E179" s="15"/>
      <c r="F179" s="845"/>
      <c r="G179" s="869"/>
    </row>
    <row r="180" spans="1:7" s="868" customFormat="1" ht="36" customHeight="1" thickBot="1">
      <c r="A180" s="1901"/>
      <c r="B180" s="1904"/>
      <c r="C180" s="12"/>
      <c r="D180" s="11"/>
      <c r="E180" s="10"/>
      <c r="F180" s="10"/>
      <c r="G180" s="9"/>
    </row>
    <row r="181" spans="1:7" s="868" customFormat="1" ht="36" customHeight="1">
      <c r="A181" s="1899">
        <v>45132</v>
      </c>
      <c r="B181" s="1902" t="s">
        <v>15</v>
      </c>
      <c r="C181" s="1905" t="s">
        <v>3546</v>
      </c>
      <c r="D181" s="24" t="s">
        <v>3547</v>
      </c>
      <c r="E181" s="24" t="s">
        <v>3548</v>
      </c>
      <c r="F181" s="969"/>
      <c r="G181" s="968"/>
    </row>
    <row r="182" spans="1:7" s="947" customFormat="1" ht="36" customHeight="1">
      <c r="A182" s="1900"/>
      <c r="B182" s="1903"/>
      <c r="C182" s="1914"/>
      <c r="D182" s="24" t="s">
        <v>3549</v>
      </c>
      <c r="E182" s="24" t="s">
        <v>3548</v>
      </c>
      <c r="F182" s="969"/>
      <c r="G182" s="968"/>
    </row>
    <row r="183" spans="1:7" s="947" customFormat="1" ht="36" customHeight="1">
      <c r="A183" s="1900"/>
      <c r="B183" s="1903"/>
      <c r="C183" s="1914"/>
      <c r="D183" s="24" t="s">
        <v>3550</v>
      </c>
      <c r="E183" s="24" t="s">
        <v>3626</v>
      </c>
      <c r="F183" s="969"/>
      <c r="G183" s="968"/>
    </row>
    <row r="184" spans="1:7" s="947" customFormat="1" ht="36" customHeight="1">
      <c r="A184" s="1900"/>
      <c r="B184" s="1903"/>
      <c r="C184" s="1906"/>
      <c r="D184" s="24" t="s">
        <v>3551</v>
      </c>
      <c r="E184" s="24" t="s">
        <v>3552</v>
      </c>
      <c r="F184" s="969" t="s">
        <v>3553</v>
      </c>
      <c r="G184" s="968"/>
    </row>
    <row r="185" spans="1:7" s="964" customFormat="1" ht="36" customHeight="1">
      <c r="A185" s="1900"/>
      <c r="B185" s="1903"/>
      <c r="C185" s="970" t="s">
        <v>228</v>
      </c>
      <c r="D185" s="969" t="s">
        <v>229</v>
      </c>
      <c r="E185" s="24" t="s">
        <v>219</v>
      </c>
      <c r="F185" s="969"/>
      <c r="G185" s="968"/>
    </row>
    <row r="186" spans="1:7" s="966" customFormat="1" ht="36" customHeight="1">
      <c r="A186" s="1900"/>
      <c r="B186" s="1903"/>
      <c r="C186" s="970" t="s">
        <v>255</v>
      </c>
      <c r="D186" s="30" t="s">
        <v>248</v>
      </c>
      <c r="E186" s="24" t="s">
        <v>302</v>
      </c>
      <c r="F186" s="969"/>
      <c r="G186" s="968" t="s">
        <v>3627</v>
      </c>
    </row>
    <row r="187" spans="1:7" s="966" customFormat="1" ht="36" customHeight="1">
      <c r="A187" s="1900"/>
      <c r="B187" s="1903"/>
      <c r="C187" s="970" t="s">
        <v>3630</v>
      </c>
      <c r="D187" s="969" t="s">
        <v>3628</v>
      </c>
      <c r="E187" s="24" t="s">
        <v>3642</v>
      </c>
      <c r="F187" s="969"/>
      <c r="G187" s="968" t="s">
        <v>3629</v>
      </c>
    </row>
    <row r="188" spans="1:7" s="967" customFormat="1" ht="36" customHeight="1">
      <c r="A188" s="1900"/>
      <c r="B188" s="1903"/>
      <c r="C188" s="970" t="s">
        <v>3643</v>
      </c>
      <c r="D188" s="969" t="s">
        <v>3644</v>
      </c>
      <c r="E188" s="24" t="s">
        <v>3645</v>
      </c>
      <c r="F188" s="969"/>
      <c r="G188" s="968" t="s">
        <v>3767</v>
      </c>
    </row>
    <row r="189" spans="1:7" s="966" customFormat="1" ht="36" customHeight="1">
      <c r="A189" s="1900"/>
      <c r="B189" s="1903"/>
      <c r="C189" s="970" t="s">
        <v>3631</v>
      </c>
      <c r="D189" s="30" t="s">
        <v>3632</v>
      </c>
      <c r="E189" s="24" t="s">
        <v>302</v>
      </c>
      <c r="F189" s="969" t="s">
        <v>3633</v>
      </c>
      <c r="G189" s="968" t="s">
        <v>3627</v>
      </c>
    </row>
    <row r="190" spans="1:7" s="947" customFormat="1" ht="36" customHeight="1">
      <c r="A190" s="1900"/>
      <c r="B190" s="1903"/>
      <c r="C190" s="21"/>
      <c r="D190" s="22" t="s">
        <v>3591</v>
      </c>
      <c r="E190" s="22"/>
      <c r="F190" s="949"/>
      <c r="G190" s="948"/>
    </row>
    <row r="191" spans="1:7" s="868" customFormat="1" ht="36" customHeight="1" thickBot="1">
      <c r="A191" s="1900"/>
      <c r="B191" s="1903"/>
      <c r="C191" s="21"/>
      <c r="D191" s="22"/>
      <c r="E191" s="22"/>
      <c r="F191" s="874"/>
      <c r="G191" s="869"/>
    </row>
    <row r="192" spans="1:7" s="868" customFormat="1" ht="36" hidden="1" customHeight="1">
      <c r="A192" s="1900"/>
      <c r="B192" s="1903"/>
      <c r="C192" s="21"/>
      <c r="D192" s="20"/>
      <c r="E192" s="19"/>
      <c r="F192" s="874"/>
      <c r="G192" s="869"/>
    </row>
    <row r="193" spans="1:7" s="868" customFormat="1" ht="36" hidden="1" customHeight="1" thickBot="1">
      <c r="A193" s="1900"/>
      <c r="B193" s="1903"/>
      <c r="C193" s="872"/>
      <c r="D193" s="16"/>
      <c r="E193" s="15"/>
      <c r="F193" s="845"/>
      <c r="G193" s="869"/>
    </row>
    <row r="194" spans="1:7" s="868" customFormat="1" ht="36" customHeight="1" thickBot="1">
      <c r="A194" s="1901"/>
      <c r="B194" s="1904"/>
      <c r="C194" s="12"/>
      <c r="D194" s="11"/>
      <c r="E194" s="10"/>
      <c r="F194" s="10"/>
      <c r="G194" s="9"/>
    </row>
    <row r="195" spans="1:7" s="868" customFormat="1" ht="36" customHeight="1">
      <c r="A195" s="1899">
        <v>45133</v>
      </c>
      <c r="B195" s="1902" t="s">
        <v>2</v>
      </c>
      <c r="C195" s="970" t="s">
        <v>428</v>
      </c>
      <c r="D195" s="24" t="s">
        <v>3617</v>
      </c>
      <c r="E195" s="24" t="s">
        <v>3623</v>
      </c>
      <c r="F195" s="969"/>
      <c r="G195" s="968" t="s">
        <v>3624</v>
      </c>
    </row>
    <row r="196" spans="1:7" s="868" customFormat="1" ht="36" customHeight="1">
      <c r="A196" s="1900"/>
      <c r="B196" s="1903"/>
      <c r="C196" s="970" t="s">
        <v>3541</v>
      </c>
      <c r="D196" s="24" t="s">
        <v>3544</v>
      </c>
      <c r="E196" s="24" t="s">
        <v>536</v>
      </c>
      <c r="F196" s="969" t="s">
        <v>3545</v>
      </c>
      <c r="G196" s="968"/>
    </row>
    <row r="197" spans="1:7" s="964" customFormat="1" ht="36" customHeight="1">
      <c r="A197" s="1900"/>
      <c r="B197" s="1903"/>
      <c r="C197" s="970" t="s">
        <v>394</v>
      </c>
      <c r="D197" s="24" t="s">
        <v>395</v>
      </c>
      <c r="E197" s="24" t="s">
        <v>3611</v>
      </c>
      <c r="F197" s="969"/>
      <c r="G197" s="968"/>
    </row>
    <row r="198" spans="1:7" s="967" customFormat="1" ht="36" customHeight="1">
      <c r="A198" s="1900"/>
      <c r="B198" s="1903"/>
      <c r="C198" s="1910" t="s">
        <v>3643</v>
      </c>
      <c r="D198" s="24" t="s">
        <v>3646</v>
      </c>
      <c r="E198" s="24" t="s">
        <v>3647</v>
      </c>
      <c r="F198" s="969" t="s">
        <v>3656</v>
      </c>
      <c r="G198" s="1911" t="s">
        <v>3657</v>
      </c>
    </row>
    <row r="199" spans="1:7" s="967" customFormat="1" ht="36" customHeight="1">
      <c r="A199" s="1900"/>
      <c r="B199" s="1903"/>
      <c r="C199" s="1914"/>
      <c r="D199" s="24" t="s">
        <v>3648</v>
      </c>
      <c r="E199" s="24" t="s">
        <v>3652</v>
      </c>
      <c r="F199" s="969"/>
      <c r="G199" s="1913"/>
    </row>
    <row r="200" spans="1:7" s="967" customFormat="1" ht="36" customHeight="1">
      <c r="A200" s="1900"/>
      <c r="B200" s="1903"/>
      <c r="C200" s="1914"/>
      <c r="D200" s="24" t="s">
        <v>3649</v>
      </c>
      <c r="E200" s="24" t="s">
        <v>3653</v>
      </c>
      <c r="F200" s="969"/>
      <c r="G200" s="1913"/>
    </row>
    <row r="201" spans="1:7" s="967" customFormat="1" ht="36" customHeight="1">
      <c r="A201" s="1900"/>
      <c r="B201" s="1903"/>
      <c r="C201" s="1914"/>
      <c r="D201" s="24" t="s">
        <v>3650</v>
      </c>
      <c r="E201" s="24" t="s">
        <v>3654</v>
      </c>
      <c r="F201" s="969"/>
      <c r="G201" s="1913"/>
    </row>
    <row r="202" spans="1:7" s="967" customFormat="1" ht="36" customHeight="1">
      <c r="A202" s="1900"/>
      <c r="B202" s="1903"/>
      <c r="C202" s="1906"/>
      <c r="D202" s="24" t="s">
        <v>3651</v>
      </c>
      <c r="E202" s="24" t="s">
        <v>3655</v>
      </c>
      <c r="F202" s="969"/>
      <c r="G202" s="1912"/>
    </row>
    <row r="203" spans="1:7" s="868" customFormat="1" ht="36" customHeight="1">
      <c r="A203" s="1900"/>
      <c r="B203" s="1903"/>
      <c r="C203" s="980" t="s">
        <v>3658</v>
      </c>
      <c r="D203" s="24" t="s">
        <v>3659</v>
      </c>
      <c r="E203" s="24" t="s">
        <v>3660</v>
      </c>
      <c r="F203" s="979" t="s">
        <v>3661</v>
      </c>
      <c r="G203" s="976" t="s">
        <v>3662</v>
      </c>
    </row>
    <row r="204" spans="1:7" s="967" customFormat="1" ht="36" customHeight="1">
      <c r="A204" s="1900"/>
      <c r="B204" s="1903"/>
      <c r="C204" s="975" t="s">
        <v>3663</v>
      </c>
      <c r="D204" s="978" t="s">
        <v>3664</v>
      </c>
      <c r="E204" s="978" t="s">
        <v>3665</v>
      </c>
      <c r="F204" s="24"/>
      <c r="G204" s="976" t="s">
        <v>204</v>
      </c>
    </row>
    <row r="205" spans="1:7" s="868" customFormat="1" ht="36" customHeight="1">
      <c r="A205" s="1900"/>
      <c r="B205" s="1903"/>
      <c r="C205" s="980" t="s">
        <v>3671</v>
      </c>
      <c r="D205" s="32" t="s">
        <v>20</v>
      </c>
      <c r="E205" s="31" t="s">
        <v>3672</v>
      </c>
      <c r="F205" s="24" t="s">
        <v>3676</v>
      </c>
      <c r="G205" s="986" t="s">
        <v>3673</v>
      </c>
    </row>
    <row r="206" spans="1:7" s="972" customFormat="1" ht="36" customHeight="1">
      <c r="A206" s="1900"/>
      <c r="B206" s="1903"/>
      <c r="C206" s="974" t="s">
        <v>3674</v>
      </c>
      <c r="D206" s="32" t="s">
        <v>20</v>
      </c>
      <c r="E206" s="29" t="s">
        <v>3675</v>
      </c>
      <c r="F206" s="979" t="s">
        <v>632</v>
      </c>
      <c r="G206" s="986" t="s">
        <v>3673</v>
      </c>
    </row>
    <row r="207" spans="1:7" s="972" customFormat="1" ht="36" customHeight="1" thickBot="1">
      <c r="A207" s="1900"/>
      <c r="B207" s="1903"/>
      <c r="C207" s="971"/>
      <c r="D207" s="26"/>
      <c r="E207" s="25"/>
      <c r="F207" s="910"/>
      <c r="G207" s="973"/>
    </row>
    <row r="208" spans="1:7" s="868" customFormat="1" ht="36" customHeight="1" thickBot="1">
      <c r="A208" s="1901"/>
      <c r="B208" s="1904"/>
      <c r="C208" s="12"/>
      <c r="D208" s="11"/>
      <c r="E208" s="10"/>
      <c r="F208" s="10"/>
      <c r="G208" s="9"/>
    </row>
    <row r="209" spans="1:8" s="868" customFormat="1" ht="36" customHeight="1">
      <c r="A209" s="1899">
        <v>45134</v>
      </c>
      <c r="B209" s="1902" t="s">
        <v>1</v>
      </c>
      <c r="C209" s="980" t="s">
        <v>482</v>
      </c>
      <c r="D209" s="24" t="s">
        <v>43</v>
      </c>
      <c r="E209" s="24" t="s">
        <v>396</v>
      </c>
      <c r="F209" s="979" t="s">
        <v>3625</v>
      </c>
      <c r="G209" s="976" t="s">
        <v>3710</v>
      </c>
      <c r="H209" s="964" t="s">
        <v>3596</v>
      </c>
    </row>
    <row r="210" spans="1:8" s="868" customFormat="1" ht="36" customHeight="1">
      <c r="A210" s="1900"/>
      <c r="B210" s="1903"/>
      <c r="C210" s="980" t="s">
        <v>3603</v>
      </c>
      <c r="D210" s="24" t="s">
        <v>3604</v>
      </c>
      <c r="E210" s="24" t="s">
        <v>3605</v>
      </c>
      <c r="F210" s="988" t="s">
        <v>3607</v>
      </c>
      <c r="G210" s="976" t="s">
        <v>3606</v>
      </c>
    </row>
    <row r="211" spans="1:8" s="868" customFormat="1" ht="36" customHeight="1">
      <c r="A211" s="1900"/>
      <c r="B211" s="1903"/>
      <c r="C211" s="980" t="s">
        <v>3634</v>
      </c>
      <c r="D211" s="32" t="s">
        <v>3635</v>
      </c>
      <c r="E211" s="31" t="s">
        <v>3636</v>
      </c>
      <c r="F211" s="979" t="s">
        <v>3637</v>
      </c>
      <c r="G211" s="976"/>
    </row>
    <row r="212" spans="1:8" s="868" customFormat="1" ht="36" customHeight="1">
      <c r="A212" s="1900"/>
      <c r="B212" s="1903"/>
      <c r="C212" s="980" t="s">
        <v>3677</v>
      </c>
      <c r="D212" s="32" t="s">
        <v>3678</v>
      </c>
      <c r="E212" s="31" t="s">
        <v>3679</v>
      </c>
      <c r="F212" s="24" t="s">
        <v>3681</v>
      </c>
      <c r="G212" s="986" t="s">
        <v>3680</v>
      </c>
    </row>
    <row r="213" spans="1:8" s="972" customFormat="1" ht="36" customHeight="1">
      <c r="A213" s="1900"/>
      <c r="B213" s="1903"/>
      <c r="C213" s="974" t="s">
        <v>541</v>
      </c>
      <c r="D213" s="30" t="s">
        <v>3708</v>
      </c>
      <c r="E213" s="29" t="s">
        <v>3709</v>
      </c>
      <c r="F213" s="979" t="s">
        <v>3684</v>
      </c>
      <c r="G213" s="977" t="s">
        <v>557</v>
      </c>
    </row>
    <row r="214" spans="1:8" s="982" customFormat="1" ht="36" customHeight="1">
      <c r="A214" s="1900"/>
      <c r="B214" s="1903"/>
      <c r="C214" s="992" t="s">
        <v>3694</v>
      </c>
      <c r="D214" s="32" t="s">
        <v>3695</v>
      </c>
      <c r="E214" s="31" t="s">
        <v>3696</v>
      </c>
      <c r="F214" s="24"/>
      <c r="G214" s="997" t="s">
        <v>3697</v>
      </c>
    </row>
    <row r="215" spans="1:8" s="972" customFormat="1" ht="36" customHeight="1">
      <c r="A215" s="1900"/>
      <c r="B215" s="1903"/>
      <c r="C215" s="1910" t="s">
        <v>477</v>
      </c>
      <c r="D215" s="32" t="s">
        <v>3713</v>
      </c>
      <c r="E215" s="31" t="s">
        <v>3714</v>
      </c>
      <c r="F215" s="24"/>
      <c r="G215" s="1911" t="s">
        <v>3718</v>
      </c>
    </row>
    <row r="216" spans="1:8" s="982" customFormat="1" ht="36" customHeight="1">
      <c r="A216" s="1900"/>
      <c r="B216" s="1903"/>
      <c r="C216" s="1914"/>
      <c r="D216" s="30" t="s">
        <v>3715</v>
      </c>
      <c r="E216" s="29" t="s">
        <v>3714</v>
      </c>
      <c r="F216" s="979"/>
      <c r="G216" s="1913"/>
    </row>
    <row r="217" spans="1:8" s="982" customFormat="1" ht="36" customHeight="1">
      <c r="A217" s="1900"/>
      <c r="B217" s="1903"/>
      <c r="C217" s="1906"/>
      <c r="D217" s="30" t="s">
        <v>20</v>
      </c>
      <c r="E217" s="29" t="s">
        <v>3716</v>
      </c>
      <c r="F217" s="979" t="s">
        <v>3717</v>
      </c>
      <c r="G217" s="1912"/>
    </row>
    <row r="218" spans="1:8" s="982" customFormat="1" ht="36" customHeight="1">
      <c r="A218" s="1900"/>
      <c r="B218" s="1903"/>
      <c r="C218" s="1910" t="s">
        <v>3719</v>
      </c>
      <c r="D218" s="32" t="s">
        <v>3688</v>
      </c>
      <c r="E218" s="31" t="s">
        <v>3720</v>
      </c>
      <c r="F218" s="24" t="s">
        <v>355</v>
      </c>
      <c r="G218" s="1911" t="s">
        <v>3721</v>
      </c>
    </row>
    <row r="219" spans="1:8" s="982" customFormat="1" ht="36" customHeight="1">
      <c r="A219" s="1900"/>
      <c r="B219" s="1903"/>
      <c r="C219" s="1906"/>
      <c r="D219" s="30" t="s">
        <v>3722</v>
      </c>
      <c r="E219" s="29" t="s">
        <v>3723</v>
      </c>
      <c r="F219" s="979"/>
      <c r="G219" s="1912"/>
    </row>
    <row r="220" spans="1:8" s="982" customFormat="1" ht="36" customHeight="1" thickBot="1">
      <c r="A220" s="1900"/>
      <c r="B220" s="1903"/>
      <c r="C220" s="981"/>
      <c r="D220" s="26"/>
      <c r="E220" s="25"/>
      <c r="F220" s="910"/>
      <c r="G220" s="984"/>
    </row>
    <row r="221" spans="1:8" s="868" customFormat="1" ht="36" customHeight="1" thickBot="1">
      <c r="A221" s="1901"/>
      <c r="B221" s="1904"/>
      <c r="C221" s="12"/>
      <c r="D221" s="11"/>
      <c r="E221" s="10"/>
      <c r="F221" s="10"/>
      <c r="G221" s="9"/>
    </row>
    <row r="222" spans="1:8" s="868" customFormat="1" ht="36" customHeight="1">
      <c r="A222" s="1899">
        <v>45135</v>
      </c>
      <c r="B222" s="1902" t="s">
        <v>0</v>
      </c>
      <c r="C222" s="1905" t="s">
        <v>1274</v>
      </c>
      <c r="D222" s="24" t="s">
        <v>262</v>
      </c>
      <c r="E222" s="24" t="s">
        <v>3619</v>
      </c>
      <c r="F222" s="991"/>
      <c r="G222" s="990"/>
      <c r="H222" s="868" t="s">
        <v>3622</v>
      </c>
    </row>
    <row r="223" spans="1:8" s="966" customFormat="1" ht="36" customHeight="1">
      <c r="A223" s="1900"/>
      <c r="B223" s="1903"/>
      <c r="C223" s="1914"/>
      <c r="D223" s="24" t="s">
        <v>3612</v>
      </c>
      <c r="E223" s="24" t="s">
        <v>3620</v>
      </c>
      <c r="F223" s="991"/>
      <c r="G223" s="990"/>
    </row>
    <row r="224" spans="1:8" s="868" customFormat="1" ht="36" customHeight="1">
      <c r="A224" s="1900"/>
      <c r="B224" s="1903"/>
      <c r="C224" s="1914"/>
      <c r="D224" s="24" t="s">
        <v>3613</v>
      </c>
      <c r="E224" s="24" t="s">
        <v>3614</v>
      </c>
      <c r="F224" s="991" t="s">
        <v>3666</v>
      </c>
      <c r="G224" s="990"/>
    </row>
    <row r="225" spans="1:8" s="966" customFormat="1" ht="36" customHeight="1">
      <c r="A225" s="1900"/>
      <c r="B225" s="1903"/>
      <c r="C225" s="1914"/>
      <c r="D225" s="24" t="s">
        <v>3618</v>
      </c>
      <c r="E225" s="24" t="s">
        <v>3621</v>
      </c>
      <c r="F225" s="991"/>
      <c r="G225" s="990"/>
    </row>
    <row r="226" spans="1:8" s="868" customFormat="1" ht="36" customHeight="1">
      <c r="A226" s="1900"/>
      <c r="B226" s="1903"/>
      <c r="C226" s="1906"/>
      <c r="D226" s="32" t="s">
        <v>271</v>
      </c>
      <c r="E226" s="31" t="s">
        <v>3615</v>
      </c>
      <c r="F226" s="991" t="s">
        <v>3616</v>
      </c>
      <c r="G226" s="990"/>
    </row>
    <row r="227" spans="1:8" s="967" customFormat="1" ht="36" customHeight="1">
      <c r="A227" s="1900"/>
      <c r="B227" s="1903"/>
      <c r="C227" s="989" t="s">
        <v>3638</v>
      </c>
      <c r="D227" s="995" t="s">
        <v>3639</v>
      </c>
      <c r="E227" s="37" t="s">
        <v>3640</v>
      </c>
      <c r="F227" s="24" t="s">
        <v>3641</v>
      </c>
      <c r="G227" s="990"/>
    </row>
    <row r="228" spans="1:8" s="868" customFormat="1" ht="36" customHeight="1">
      <c r="A228" s="1900"/>
      <c r="B228" s="1903"/>
      <c r="C228" s="992" t="s">
        <v>3667</v>
      </c>
      <c r="D228" s="32" t="s">
        <v>3668</v>
      </c>
      <c r="E228" s="31" t="s">
        <v>3669</v>
      </c>
      <c r="F228" s="24" t="s">
        <v>3670</v>
      </c>
      <c r="G228" s="997"/>
    </row>
    <row r="229" spans="1:8" s="972" customFormat="1" ht="36" customHeight="1">
      <c r="A229" s="1900"/>
      <c r="B229" s="1903"/>
      <c r="C229" s="21"/>
      <c r="D229" s="20" t="s">
        <v>3682</v>
      </c>
      <c r="E229" s="19" t="s">
        <v>3711</v>
      </c>
      <c r="F229" s="22" t="s">
        <v>3683</v>
      </c>
      <c r="G229" s="64"/>
    </row>
    <row r="230" spans="1:8" s="972" customFormat="1" ht="36" customHeight="1" thickBot="1">
      <c r="A230" s="1900"/>
      <c r="B230" s="1903"/>
      <c r="C230" s="971"/>
      <c r="D230" s="26"/>
      <c r="E230" s="25"/>
      <c r="F230" s="910"/>
      <c r="G230" s="973"/>
    </row>
    <row r="231" spans="1:8" s="868" customFormat="1" ht="36" customHeight="1" thickBot="1">
      <c r="A231" s="1901"/>
      <c r="B231" s="1904"/>
      <c r="C231" s="12" t="s">
        <v>1483</v>
      </c>
      <c r="D231" s="11" t="s">
        <v>252</v>
      </c>
      <c r="E231" s="10" t="s">
        <v>399</v>
      </c>
      <c r="F231" s="10" t="s">
        <v>2317</v>
      </c>
      <c r="G231" s="9"/>
    </row>
    <row r="232" spans="1:8" s="868" customFormat="1" ht="60" customHeight="1" thickBot="1">
      <c r="A232" s="1907" t="s">
        <v>5</v>
      </c>
      <c r="B232" s="1908"/>
      <c r="C232" s="1908"/>
      <c r="D232" s="1908"/>
      <c r="E232" s="1908"/>
      <c r="F232" s="1908"/>
      <c r="G232" s="1909"/>
    </row>
    <row r="233" spans="1:8" s="868" customFormat="1" ht="36" customHeight="1">
      <c r="A233" s="1899">
        <v>45138</v>
      </c>
      <c r="B233" s="1902" t="s">
        <v>4</v>
      </c>
      <c r="C233" s="1905" t="s">
        <v>3691</v>
      </c>
      <c r="D233" s="24" t="s">
        <v>3698</v>
      </c>
      <c r="E233" s="24" t="s">
        <v>3699</v>
      </c>
      <c r="F233" s="1001"/>
      <c r="G233" s="999"/>
      <c r="H233" s="868" t="s">
        <v>3693</v>
      </c>
    </row>
    <row r="234" spans="1:8" s="982" customFormat="1" ht="36" customHeight="1">
      <c r="A234" s="1900"/>
      <c r="B234" s="1903"/>
      <c r="C234" s="1914"/>
      <c r="D234" s="24" t="s">
        <v>3700</v>
      </c>
      <c r="E234" s="24" t="s">
        <v>3701</v>
      </c>
      <c r="F234" s="1001"/>
      <c r="G234" s="999"/>
    </row>
    <row r="235" spans="1:8" s="982" customFormat="1" ht="36" customHeight="1">
      <c r="A235" s="1900"/>
      <c r="B235" s="1903"/>
      <c r="C235" s="1914"/>
      <c r="D235" s="24" t="s">
        <v>3702</v>
      </c>
      <c r="E235" s="24" t="s">
        <v>3701</v>
      </c>
      <c r="F235" s="1001"/>
      <c r="G235" s="999"/>
    </row>
    <row r="236" spans="1:8" s="982" customFormat="1" ht="36" customHeight="1">
      <c r="A236" s="1900"/>
      <c r="B236" s="1903"/>
      <c r="C236" s="1914"/>
      <c r="D236" s="24" t="s">
        <v>3703</v>
      </c>
      <c r="E236" s="24" t="s">
        <v>3704</v>
      </c>
      <c r="F236" s="1001"/>
      <c r="G236" s="999"/>
    </row>
    <row r="237" spans="1:8" s="982" customFormat="1" ht="36" customHeight="1">
      <c r="A237" s="1900"/>
      <c r="B237" s="1903"/>
      <c r="C237" s="1914"/>
      <c r="D237" s="24" t="s">
        <v>3707</v>
      </c>
      <c r="E237" s="24" t="s">
        <v>3705</v>
      </c>
      <c r="F237" s="1001"/>
      <c r="G237" s="999"/>
    </row>
    <row r="238" spans="1:8" s="868" customFormat="1" ht="36" customHeight="1">
      <c r="A238" s="1900"/>
      <c r="B238" s="1903"/>
      <c r="C238" s="1906"/>
      <c r="D238" s="24" t="s">
        <v>3690</v>
      </c>
      <c r="E238" s="24" t="s">
        <v>3706</v>
      </c>
      <c r="F238" s="1001" t="s">
        <v>201</v>
      </c>
      <c r="G238" s="999"/>
    </row>
    <row r="239" spans="1:8" s="987" customFormat="1" ht="36" customHeight="1">
      <c r="A239" s="1900"/>
      <c r="B239" s="1903"/>
      <c r="C239" s="1910" t="s">
        <v>3724</v>
      </c>
      <c r="D239" s="24" t="s">
        <v>3725</v>
      </c>
      <c r="E239" s="24" t="s">
        <v>3727</v>
      </c>
      <c r="F239" s="1001"/>
      <c r="G239" s="1911" t="s">
        <v>3728</v>
      </c>
      <c r="H239" s="987" t="s">
        <v>3738</v>
      </c>
    </row>
    <row r="240" spans="1:8" s="868" customFormat="1" ht="36" customHeight="1">
      <c r="A240" s="1900"/>
      <c r="B240" s="1903"/>
      <c r="C240" s="1906"/>
      <c r="D240" s="24" t="s">
        <v>3726</v>
      </c>
      <c r="E240" s="31" t="s">
        <v>3727</v>
      </c>
      <c r="F240" s="1001"/>
      <c r="G240" s="1912"/>
    </row>
    <row r="241" spans="1:8" s="987" customFormat="1" ht="36" customHeight="1">
      <c r="A241" s="1900"/>
      <c r="B241" s="1903"/>
      <c r="C241" s="1002" t="s">
        <v>3734</v>
      </c>
      <c r="D241" s="24" t="s">
        <v>3735</v>
      </c>
      <c r="E241" s="37" t="s">
        <v>3730</v>
      </c>
      <c r="F241" s="24"/>
      <c r="G241" s="1003" t="s">
        <v>3736</v>
      </c>
      <c r="H241" s="987" t="s">
        <v>3740</v>
      </c>
    </row>
    <row r="242" spans="1:8" s="994" customFormat="1" ht="36" customHeight="1">
      <c r="A242" s="1900"/>
      <c r="B242" s="1903"/>
      <c r="C242" s="998" t="s">
        <v>263</v>
      </c>
      <c r="D242" s="24" t="s">
        <v>20</v>
      </c>
      <c r="E242" s="31" t="s">
        <v>73</v>
      </c>
      <c r="F242" s="1001" t="s">
        <v>172</v>
      </c>
      <c r="G242" s="1000" t="s">
        <v>18</v>
      </c>
      <c r="H242" s="994" t="s">
        <v>2251</v>
      </c>
    </row>
    <row r="243" spans="1:8" s="868" customFormat="1" ht="36" customHeight="1" thickBot="1">
      <c r="A243" s="1900"/>
      <c r="B243" s="1903"/>
      <c r="C243" s="993"/>
      <c r="D243" s="26"/>
      <c r="E243" s="25"/>
      <c r="F243" s="845"/>
      <c r="G243" s="996"/>
    </row>
    <row r="244" spans="1:8" s="868" customFormat="1" ht="36" customHeight="1" thickBot="1">
      <c r="A244" s="1901"/>
      <c r="B244" s="1904"/>
      <c r="C244" s="12" t="s">
        <v>3685</v>
      </c>
      <c r="D244" s="11" t="s">
        <v>3686</v>
      </c>
      <c r="E244" s="10" t="s">
        <v>3687</v>
      </c>
      <c r="F244" s="10" t="s">
        <v>2317</v>
      </c>
      <c r="G244" s="9"/>
    </row>
  </sheetData>
  <mergeCells count="111">
    <mergeCell ref="A97:A106"/>
    <mergeCell ref="B97:B106"/>
    <mergeCell ref="C72:C73"/>
    <mergeCell ref="G72:G73"/>
    <mergeCell ref="C74:C76"/>
    <mergeCell ref="G74:G76"/>
    <mergeCell ref="G68:G69"/>
    <mergeCell ref="C68:C69"/>
    <mergeCell ref="A89:A96"/>
    <mergeCell ref="A232:G232"/>
    <mergeCell ref="A233:A244"/>
    <mergeCell ref="B233:B244"/>
    <mergeCell ref="C233:C238"/>
    <mergeCell ref="G160:G162"/>
    <mergeCell ref="C160:C163"/>
    <mergeCell ref="C222:C226"/>
    <mergeCell ref="B195:B208"/>
    <mergeCell ref="A209:A221"/>
    <mergeCell ref="C181:C184"/>
    <mergeCell ref="C198:C202"/>
    <mergeCell ref="G198:G202"/>
    <mergeCell ref="A222:A231"/>
    <mergeCell ref="B222:B231"/>
    <mergeCell ref="A181:A194"/>
    <mergeCell ref="C218:C219"/>
    <mergeCell ref="G218:G219"/>
    <mergeCell ref="B181:B194"/>
    <mergeCell ref="A153:A165"/>
    <mergeCell ref="B153:B165"/>
    <mergeCell ref="G215:G217"/>
    <mergeCell ref="A195:A208"/>
    <mergeCell ref="C239:C240"/>
    <mergeCell ref="G239:G240"/>
    <mergeCell ref="C132:C134"/>
    <mergeCell ref="G132:G134"/>
    <mergeCell ref="B209:B221"/>
    <mergeCell ref="G147:G148"/>
    <mergeCell ref="G142:G143"/>
    <mergeCell ref="C137:C141"/>
    <mergeCell ref="C123:C124"/>
    <mergeCell ref="C98:C102"/>
    <mergeCell ref="C108:C110"/>
    <mergeCell ref="C111:C112"/>
    <mergeCell ref="C142:C143"/>
    <mergeCell ref="F142:F143"/>
    <mergeCell ref="C215:C217"/>
    <mergeCell ref="F147:F148"/>
    <mergeCell ref="G123:G125"/>
    <mergeCell ref="G128:G129"/>
    <mergeCell ref="C130:C131"/>
    <mergeCell ref="G130:G131"/>
    <mergeCell ref="A122:A136"/>
    <mergeCell ref="B122:B136"/>
    <mergeCell ref="A137:A152"/>
    <mergeCell ref="B137:B152"/>
    <mergeCell ref="A166:A172"/>
    <mergeCell ref="B166:B172"/>
    <mergeCell ref="A173:G173"/>
    <mergeCell ref="A174:A180"/>
    <mergeCell ref="C32:C34"/>
    <mergeCell ref="B89:B96"/>
    <mergeCell ref="A68:A79"/>
    <mergeCell ref="B68:B79"/>
    <mergeCell ref="A108:A121"/>
    <mergeCell ref="B108:B121"/>
    <mergeCell ref="A80:A88"/>
    <mergeCell ref="B80:B88"/>
    <mergeCell ref="A45:A51"/>
    <mergeCell ref="B45:B51"/>
    <mergeCell ref="B174:B180"/>
    <mergeCell ref="C53:C55"/>
    <mergeCell ref="A107:G107"/>
    <mergeCell ref="C146:C149"/>
    <mergeCell ref="C144:C145"/>
    <mergeCell ref="C113:C114"/>
    <mergeCell ref="A1:G1"/>
    <mergeCell ref="C22:C23"/>
    <mergeCell ref="G22:G23"/>
    <mergeCell ref="C30:C31"/>
    <mergeCell ref="G30:G31"/>
    <mergeCell ref="C10:C11"/>
    <mergeCell ref="A3:A13"/>
    <mergeCell ref="B3:B13"/>
    <mergeCell ref="C3:C6"/>
    <mergeCell ref="C14:C16"/>
    <mergeCell ref="G14:G16"/>
    <mergeCell ref="G3:G6"/>
    <mergeCell ref="A2:G2"/>
    <mergeCell ref="C18:C19"/>
    <mergeCell ref="F14:F16"/>
    <mergeCell ref="A14:A26"/>
    <mergeCell ref="B14:B26"/>
    <mergeCell ref="A27:A37"/>
    <mergeCell ref="B27:B37"/>
    <mergeCell ref="G18:G20"/>
    <mergeCell ref="G32:G34"/>
    <mergeCell ref="A38:A44"/>
    <mergeCell ref="B38:B44"/>
    <mergeCell ref="C41:C42"/>
    <mergeCell ref="G41:G42"/>
    <mergeCell ref="C48:C49"/>
    <mergeCell ref="C46:C47"/>
    <mergeCell ref="F46:F47"/>
    <mergeCell ref="G46:G47"/>
    <mergeCell ref="F68:F69"/>
    <mergeCell ref="C39:C40"/>
    <mergeCell ref="C56:C61"/>
    <mergeCell ref="A52:G52"/>
    <mergeCell ref="F53:F54"/>
    <mergeCell ref="A53:A67"/>
    <mergeCell ref="B53:B6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9"/>
  <sheetViews>
    <sheetView zoomScale="70" zoomScaleNormal="70" zoomScaleSheetLayoutView="70" workbookViewId="0">
      <pane ySplit="1" topLeftCell="A157" activePane="bottomLeft" state="frozen"/>
      <selection pane="bottomLeft" activeCell="D157" sqref="D157:E15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982" customWidth="1"/>
    <col min="9" max="16384" width="9" style="1"/>
  </cols>
  <sheetData>
    <row r="1" spans="1:8" ht="53.25" customHeight="1" thickBot="1">
      <c r="A1" s="1956" t="s">
        <v>4098</v>
      </c>
      <c r="B1" s="1956"/>
      <c r="C1" s="1956"/>
      <c r="D1" s="1956"/>
      <c r="E1" s="1956"/>
      <c r="F1" s="1956"/>
      <c r="G1" s="1956"/>
      <c r="H1" s="65" t="s">
        <v>3858</v>
      </c>
    </row>
    <row r="2" spans="1:8" s="982" customFormat="1" ht="60" customHeight="1" thickBot="1">
      <c r="A2" s="1907" t="s">
        <v>5</v>
      </c>
      <c r="B2" s="1908"/>
      <c r="C2" s="1908"/>
      <c r="D2" s="1908"/>
      <c r="E2" s="1908"/>
      <c r="F2" s="1908"/>
      <c r="G2" s="1909"/>
    </row>
    <row r="3" spans="1:8" s="1010" customFormat="1" ht="36" customHeight="1">
      <c r="A3" s="1899">
        <v>45139</v>
      </c>
      <c r="B3" s="1902" t="s">
        <v>3</v>
      </c>
      <c r="C3" s="1905" t="s">
        <v>331</v>
      </c>
      <c r="D3" s="24" t="s">
        <v>325</v>
      </c>
      <c r="E3" s="24" t="s">
        <v>334</v>
      </c>
      <c r="F3" s="1006"/>
      <c r="G3" s="1915" t="s">
        <v>369</v>
      </c>
    </row>
    <row r="4" spans="1:8" s="1010" customFormat="1" ht="36" customHeight="1">
      <c r="A4" s="1900"/>
      <c r="B4" s="1903"/>
      <c r="C4" s="1914"/>
      <c r="D4" s="24" t="s">
        <v>3689</v>
      </c>
      <c r="E4" s="24" t="s">
        <v>310</v>
      </c>
      <c r="F4" s="1006"/>
      <c r="G4" s="1913"/>
    </row>
    <row r="5" spans="1:8" s="1010" customFormat="1" ht="36" customHeight="1">
      <c r="A5" s="1900"/>
      <c r="B5" s="1903"/>
      <c r="C5" s="1906"/>
      <c r="D5" s="24" t="s">
        <v>315</v>
      </c>
      <c r="E5" s="24" t="s">
        <v>332</v>
      </c>
      <c r="F5" s="1006"/>
      <c r="G5" s="1912"/>
    </row>
    <row r="6" spans="1:8" s="1010" customFormat="1" ht="36" customHeight="1">
      <c r="A6" s="1900"/>
      <c r="B6" s="1903"/>
      <c r="C6" s="1007" t="s">
        <v>3729</v>
      </c>
      <c r="D6" s="24" t="s">
        <v>218</v>
      </c>
      <c r="E6" s="24" t="s">
        <v>3730</v>
      </c>
      <c r="F6" s="1006" t="s">
        <v>201</v>
      </c>
      <c r="G6" s="1004" t="s">
        <v>3731</v>
      </c>
    </row>
    <row r="7" spans="1:8" s="1010" customFormat="1" ht="36" customHeight="1">
      <c r="A7" s="1900"/>
      <c r="B7" s="1903"/>
      <c r="C7" s="1007" t="s">
        <v>450</v>
      </c>
      <c r="D7" s="24" t="s">
        <v>221</v>
      </c>
      <c r="E7" s="24" t="s">
        <v>323</v>
      </c>
      <c r="F7" s="1011" t="s">
        <v>3742</v>
      </c>
      <c r="G7" s="1004" t="s">
        <v>314</v>
      </c>
    </row>
    <row r="8" spans="1:8" s="1010" customFormat="1" ht="36" customHeight="1">
      <c r="A8" s="1900"/>
      <c r="B8" s="1903"/>
      <c r="C8" s="1007" t="s">
        <v>394</v>
      </c>
      <c r="D8" s="24" t="s">
        <v>395</v>
      </c>
      <c r="E8" s="24" t="s">
        <v>3739</v>
      </c>
      <c r="F8" s="1006"/>
      <c r="G8" s="1004"/>
    </row>
    <row r="9" spans="1:8" s="1010" customFormat="1" ht="36" customHeight="1">
      <c r="A9" s="1900"/>
      <c r="B9" s="1903"/>
      <c r="C9" s="1007" t="s">
        <v>3743</v>
      </c>
      <c r="D9" s="24" t="s">
        <v>20</v>
      </c>
      <c r="E9" s="24" t="s">
        <v>22</v>
      </c>
      <c r="F9" s="1006" t="s">
        <v>38</v>
      </c>
      <c r="G9" s="1004" t="s">
        <v>18</v>
      </c>
    </row>
    <row r="10" spans="1:8" s="1010" customFormat="1" ht="36" customHeight="1">
      <c r="A10" s="1900"/>
      <c r="B10" s="1903"/>
      <c r="C10" s="21"/>
      <c r="D10" s="20"/>
      <c r="E10" s="19"/>
      <c r="F10" s="960"/>
      <c r="G10" s="1012"/>
    </row>
    <row r="11" spans="1:8" s="1010" customFormat="1" ht="36" customHeight="1" thickBot="1">
      <c r="A11" s="1900"/>
      <c r="B11" s="1903"/>
      <c r="C11" s="1015"/>
      <c r="D11" s="16"/>
      <c r="E11" s="15"/>
      <c r="F11" s="910"/>
      <c r="G11" s="1012"/>
    </row>
    <row r="12" spans="1:8" s="1010" customFormat="1" ht="36" customHeight="1" thickBot="1">
      <c r="A12" s="1901"/>
      <c r="B12" s="1904"/>
      <c r="C12" s="12"/>
      <c r="D12" s="11"/>
      <c r="E12" s="10"/>
      <c r="F12" s="10"/>
      <c r="G12" s="9"/>
    </row>
    <row r="13" spans="1:8" ht="36" customHeight="1">
      <c r="A13" s="1899">
        <v>45140</v>
      </c>
      <c r="B13" s="1902" t="s">
        <v>2</v>
      </c>
      <c r="C13" s="1905" t="s">
        <v>1005</v>
      </c>
      <c r="D13" s="24" t="s">
        <v>194</v>
      </c>
      <c r="E13" s="24" t="s">
        <v>348</v>
      </c>
      <c r="F13" s="1006"/>
      <c r="G13" s="1004"/>
      <c r="H13" s="1010"/>
    </row>
    <row r="14" spans="1:8" ht="36" customHeight="1">
      <c r="A14" s="1900"/>
      <c r="B14" s="1903"/>
      <c r="C14" s="1914"/>
      <c r="D14" s="24" t="s">
        <v>3732</v>
      </c>
      <c r="E14" s="24" t="s">
        <v>182</v>
      </c>
      <c r="F14" s="1006"/>
      <c r="G14" s="1004"/>
      <c r="H14" s="1010"/>
    </row>
    <row r="15" spans="1:8" ht="36" customHeight="1">
      <c r="A15" s="1900"/>
      <c r="B15" s="1903"/>
      <c r="C15" s="1007" t="s">
        <v>3744</v>
      </c>
      <c r="D15" s="24" t="s">
        <v>3745</v>
      </c>
      <c r="E15" s="24" t="s">
        <v>3746</v>
      </c>
      <c r="F15" s="1006"/>
      <c r="G15" s="1004"/>
      <c r="H15" s="1010"/>
    </row>
    <row r="16" spans="1:8" ht="36" customHeight="1">
      <c r="A16" s="1900"/>
      <c r="B16" s="1903"/>
      <c r="C16" s="1007" t="s">
        <v>450</v>
      </c>
      <c r="D16" s="24" t="s">
        <v>3747</v>
      </c>
      <c r="E16" s="24" t="s">
        <v>3748</v>
      </c>
      <c r="F16" s="1006" t="s">
        <v>3749</v>
      </c>
      <c r="G16" s="1004" t="s">
        <v>3750</v>
      </c>
      <c r="H16" s="1010"/>
    </row>
    <row r="17" spans="1:8" ht="36" customHeight="1">
      <c r="A17" s="1900"/>
      <c r="B17" s="1903"/>
      <c r="C17" s="1910" t="s">
        <v>3753</v>
      </c>
      <c r="D17" s="24" t="s">
        <v>3754</v>
      </c>
      <c r="E17" s="24" t="s">
        <v>3755</v>
      </c>
      <c r="F17" s="1006"/>
      <c r="G17" s="1911" t="s">
        <v>3759</v>
      </c>
      <c r="H17" s="1010"/>
    </row>
    <row r="18" spans="1:8" ht="36" customHeight="1">
      <c r="A18" s="1900"/>
      <c r="B18" s="1903"/>
      <c r="C18" s="1914"/>
      <c r="D18" s="24" t="s">
        <v>43</v>
      </c>
      <c r="E18" s="24" t="s">
        <v>3758</v>
      </c>
      <c r="F18" s="1006"/>
      <c r="G18" s="1913"/>
      <c r="H18" s="1010"/>
    </row>
    <row r="19" spans="1:8" ht="36" customHeight="1">
      <c r="A19" s="1900"/>
      <c r="B19" s="1903"/>
      <c r="C19" s="1914"/>
      <c r="D19" s="24" t="s">
        <v>20</v>
      </c>
      <c r="E19" s="24" t="s">
        <v>3758</v>
      </c>
      <c r="F19" s="1006" t="s">
        <v>3760</v>
      </c>
      <c r="G19" s="1913"/>
      <c r="H19" s="1010"/>
    </row>
    <row r="20" spans="1:8" ht="36" customHeight="1">
      <c r="A20" s="1900"/>
      <c r="B20" s="1903"/>
      <c r="C20" s="1906"/>
      <c r="D20" s="24" t="s">
        <v>3756</v>
      </c>
      <c r="E20" s="24" t="s">
        <v>3757</v>
      </c>
      <c r="F20" s="1006"/>
      <c r="G20" s="1912"/>
      <c r="H20" s="1010"/>
    </row>
    <row r="21" spans="1:8" ht="36" customHeight="1">
      <c r="A21" s="1900"/>
      <c r="B21" s="1903"/>
      <c r="C21" s="1910" t="s">
        <v>3761</v>
      </c>
      <c r="D21" s="32" t="s">
        <v>3762</v>
      </c>
      <c r="E21" s="31" t="s">
        <v>3763</v>
      </c>
      <c r="F21" s="24"/>
      <c r="G21" s="1016"/>
      <c r="H21" s="1010"/>
    </row>
    <row r="22" spans="1:8" ht="36" customHeight="1">
      <c r="A22" s="1900"/>
      <c r="B22" s="1903"/>
      <c r="C22" s="1914"/>
      <c r="D22" s="24" t="s">
        <v>3764</v>
      </c>
      <c r="E22" s="29" t="s">
        <v>3765</v>
      </c>
      <c r="F22" s="1006"/>
      <c r="G22" s="1005"/>
      <c r="H22" s="1010"/>
    </row>
    <row r="23" spans="1:8" ht="36" customHeight="1">
      <c r="A23" s="1900"/>
      <c r="B23" s="1903"/>
      <c r="C23" s="1906"/>
      <c r="D23" s="24" t="s">
        <v>20</v>
      </c>
      <c r="E23" s="29" t="s">
        <v>3766</v>
      </c>
      <c r="F23" s="1006"/>
      <c r="G23" s="1005"/>
      <c r="H23" s="1010"/>
    </row>
    <row r="24" spans="1:8" ht="36" customHeight="1">
      <c r="A24" s="1900"/>
      <c r="B24" s="1903"/>
      <c r="C24" s="1009"/>
      <c r="D24" s="28"/>
      <c r="E24" s="27"/>
      <c r="F24" s="960"/>
      <c r="G24" s="1014"/>
      <c r="H24" s="1010"/>
    </row>
    <row r="25" spans="1:8" ht="36" customHeight="1" thickBot="1">
      <c r="A25" s="1900"/>
      <c r="B25" s="1903"/>
      <c r="C25" s="1008"/>
      <c r="D25" s="26"/>
      <c r="E25" s="25"/>
      <c r="F25" s="910"/>
      <c r="G25" s="1013"/>
      <c r="H25" s="1010"/>
    </row>
    <row r="26" spans="1:8" ht="36" customHeight="1" thickBot="1">
      <c r="A26" s="1900"/>
      <c r="B26" s="1903"/>
      <c r="C26" s="12" t="s">
        <v>1483</v>
      </c>
      <c r="D26" s="11" t="s">
        <v>418</v>
      </c>
      <c r="E26" s="10" t="s">
        <v>399</v>
      </c>
      <c r="F26" s="10" t="s">
        <v>1843</v>
      </c>
      <c r="G26" s="9"/>
      <c r="H26" s="1010"/>
    </row>
    <row r="27" spans="1:8" ht="36" customHeight="1" thickBot="1">
      <c r="A27" s="1901"/>
      <c r="B27" s="1904"/>
      <c r="C27" s="12" t="s">
        <v>1483</v>
      </c>
      <c r="D27" s="11" t="s">
        <v>418</v>
      </c>
      <c r="E27" s="10" t="s">
        <v>399</v>
      </c>
      <c r="F27" s="10" t="s">
        <v>3737</v>
      </c>
      <c r="G27" s="9"/>
      <c r="H27" s="1010"/>
    </row>
    <row r="28" spans="1:8" s="1010" customFormat="1" ht="60" customHeight="1" thickBot="1">
      <c r="A28" s="1907" t="s">
        <v>5</v>
      </c>
      <c r="B28" s="1908"/>
      <c r="C28" s="1908"/>
      <c r="D28" s="1908"/>
      <c r="E28" s="1908"/>
      <c r="F28" s="1908"/>
      <c r="G28" s="1909"/>
    </row>
    <row r="29" spans="1:8" ht="36" customHeight="1">
      <c r="A29" s="1899">
        <v>45146</v>
      </c>
      <c r="B29" s="1916" t="s">
        <v>3</v>
      </c>
      <c r="C29" s="1024" t="s">
        <v>3751</v>
      </c>
      <c r="D29" s="24" t="s">
        <v>3769</v>
      </c>
      <c r="E29" s="24" t="s">
        <v>3768</v>
      </c>
      <c r="F29" s="1023"/>
      <c r="G29" s="1019" t="s">
        <v>3752</v>
      </c>
      <c r="H29" s="1010"/>
    </row>
    <row r="30" spans="1:8" s="1010" customFormat="1" ht="36" customHeight="1">
      <c r="A30" s="1900"/>
      <c r="B30" s="1917"/>
      <c r="C30" s="1024" t="s">
        <v>3770</v>
      </c>
      <c r="D30" s="32" t="s">
        <v>20</v>
      </c>
      <c r="E30" s="31" t="s">
        <v>3771</v>
      </c>
      <c r="F30" s="1023" t="s">
        <v>3772</v>
      </c>
      <c r="G30" s="1019"/>
    </row>
    <row r="31" spans="1:8" s="1010" customFormat="1" ht="36" customHeight="1">
      <c r="A31" s="1900"/>
      <c r="B31" s="1917"/>
      <c r="C31" s="1024" t="s">
        <v>3773</v>
      </c>
      <c r="D31" s="32" t="s">
        <v>3774</v>
      </c>
      <c r="E31" s="31" t="s">
        <v>3775</v>
      </c>
      <c r="F31" s="24"/>
      <c r="G31" s="1028" t="s">
        <v>3776</v>
      </c>
    </row>
    <row r="32" spans="1:8" s="1017" customFormat="1" ht="36" customHeight="1">
      <c r="A32" s="1900"/>
      <c r="B32" s="1917"/>
      <c r="C32" s="1910" t="s">
        <v>3780</v>
      </c>
      <c r="D32" s="24" t="s">
        <v>3784</v>
      </c>
      <c r="E32" s="24" t="s">
        <v>3781</v>
      </c>
      <c r="F32" s="24"/>
      <c r="G32" s="1019"/>
    </row>
    <row r="33" spans="1:8" s="1017" customFormat="1" ht="36" customHeight="1">
      <c r="A33" s="1900"/>
      <c r="B33" s="1917"/>
      <c r="C33" s="1914"/>
      <c r="D33" s="32" t="s">
        <v>3785</v>
      </c>
      <c r="E33" s="31" t="s">
        <v>3802</v>
      </c>
      <c r="F33" s="1023"/>
      <c r="G33" s="1028"/>
    </row>
    <row r="34" spans="1:8" s="1017" customFormat="1" ht="36" customHeight="1">
      <c r="A34" s="1900"/>
      <c r="B34" s="1917"/>
      <c r="C34" s="1906"/>
      <c r="D34" s="30" t="s">
        <v>3783</v>
      </c>
      <c r="E34" s="29" t="s">
        <v>3782</v>
      </c>
      <c r="F34" s="1023" t="s">
        <v>3786</v>
      </c>
      <c r="G34" s="1020"/>
      <c r="H34" s="1017" t="s">
        <v>3787</v>
      </c>
    </row>
    <row r="35" spans="1:8" s="1017" customFormat="1" ht="36" customHeight="1">
      <c r="A35" s="1900"/>
      <c r="B35" s="1917"/>
      <c r="C35" s="1024" t="s">
        <v>3788</v>
      </c>
      <c r="D35" s="32" t="s">
        <v>3789</v>
      </c>
      <c r="E35" s="31" t="s">
        <v>3809</v>
      </c>
      <c r="F35" s="24"/>
      <c r="G35" s="1028" t="s">
        <v>543</v>
      </c>
    </row>
    <row r="36" spans="1:8" s="1017" customFormat="1" ht="36" customHeight="1">
      <c r="A36" s="1900"/>
      <c r="B36" s="1917"/>
      <c r="C36" s="1910" t="s">
        <v>3790</v>
      </c>
      <c r="D36" s="30" t="s">
        <v>3791</v>
      </c>
      <c r="E36" s="29" t="s">
        <v>3792</v>
      </c>
      <c r="F36" s="1023"/>
      <c r="G36" s="1911" t="s">
        <v>543</v>
      </c>
    </row>
    <row r="37" spans="1:8" s="1017" customFormat="1" ht="36" customHeight="1">
      <c r="A37" s="1900"/>
      <c r="B37" s="1917"/>
      <c r="C37" s="1914"/>
      <c r="D37" s="32" t="s">
        <v>20</v>
      </c>
      <c r="E37" s="29" t="s">
        <v>3794</v>
      </c>
      <c r="F37" s="1023" t="s">
        <v>3796</v>
      </c>
      <c r="G37" s="1913"/>
    </row>
    <row r="38" spans="1:8" s="1017" customFormat="1" ht="36" customHeight="1">
      <c r="A38" s="1900"/>
      <c r="B38" s="1917"/>
      <c r="C38" s="1906"/>
      <c r="D38" s="32" t="s">
        <v>3793</v>
      </c>
      <c r="E38" s="29" t="s">
        <v>3795</v>
      </c>
      <c r="F38" s="1023"/>
      <c r="G38" s="1912"/>
    </row>
    <row r="39" spans="1:8" s="1017" customFormat="1" ht="36" customHeight="1" thickBot="1">
      <c r="A39" s="1900"/>
      <c r="B39" s="1917"/>
      <c r="C39" s="1018" t="s">
        <v>3803</v>
      </c>
      <c r="D39" s="35" t="s">
        <v>388</v>
      </c>
      <c r="E39" s="34" t="s">
        <v>54</v>
      </c>
      <c r="F39" s="1022"/>
      <c r="G39" s="1021"/>
    </row>
    <row r="40" spans="1:8" s="1010" customFormat="1" ht="36" customHeight="1" thickBot="1">
      <c r="A40" s="1901"/>
      <c r="B40" s="1918"/>
      <c r="C40" s="12"/>
      <c r="D40" s="11"/>
      <c r="E40" s="10"/>
      <c r="F40" s="10"/>
      <c r="G40" s="9"/>
    </row>
    <row r="41" spans="1:8" s="982" customFormat="1" ht="36" customHeight="1">
      <c r="A41" s="1899">
        <v>45147</v>
      </c>
      <c r="B41" s="1902" t="s">
        <v>2</v>
      </c>
      <c r="C41" s="1031" t="s">
        <v>3777</v>
      </c>
      <c r="D41" s="24" t="s">
        <v>3778</v>
      </c>
      <c r="E41" s="24" t="s">
        <v>3779</v>
      </c>
      <c r="F41" s="1030"/>
      <c r="G41" s="1029"/>
    </row>
    <row r="42" spans="1:8" s="982" customFormat="1" ht="36" customHeight="1">
      <c r="A42" s="1900"/>
      <c r="B42" s="1903"/>
      <c r="C42" s="1031" t="s">
        <v>3814</v>
      </c>
      <c r="D42" s="32" t="s">
        <v>3815</v>
      </c>
      <c r="E42" s="31" t="s">
        <v>3816</v>
      </c>
      <c r="F42" s="1030" t="s">
        <v>3817</v>
      </c>
      <c r="G42" s="1029"/>
    </row>
    <row r="43" spans="1:8" s="982" customFormat="1" ht="36" customHeight="1">
      <c r="A43" s="1900"/>
      <c r="B43" s="1903"/>
      <c r="C43" s="21"/>
      <c r="D43" s="20"/>
      <c r="E43" s="19"/>
      <c r="F43" s="960"/>
      <c r="G43" s="983"/>
    </row>
    <row r="44" spans="1:8" s="982" customFormat="1" ht="36" customHeight="1" thickBot="1">
      <c r="A44" s="1900"/>
      <c r="B44" s="1903"/>
      <c r="C44" s="985"/>
      <c r="D44" s="16"/>
      <c r="E44" s="15"/>
      <c r="F44" s="910"/>
      <c r="G44" s="983"/>
    </row>
    <row r="45" spans="1:8" s="982" customFormat="1" ht="36" customHeight="1" thickBot="1">
      <c r="A45" s="1901"/>
      <c r="B45" s="1904"/>
      <c r="C45" s="12"/>
      <c r="D45" s="11"/>
      <c r="E45" s="10"/>
      <c r="F45" s="10"/>
      <c r="G45" s="9"/>
    </row>
    <row r="46" spans="1:8" s="982" customFormat="1" ht="36" customHeight="1">
      <c r="A46" s="1899">
        <v>45148</v>
      </c>
      <c r="B46" s="1902" t="s">
        <v>1</v>
      </c>
      <c r="C46" s="1041" t="s">
        <v>3810</v>
      </c>
      <c r="D46" s="24" t="s">
        <v>3811</v>
      </c>
      <c r="E46" s="24" t="s">
        <v>3812</v>
      </c>
      <c r="F46" s="1040" t="s">
        <v>3813</v>
      </c>
      <c r="G46" s="1039"/>
    </row>
    <row r="47" spans="1:8" s="58" customFormat="1" ht="36" customHeight="1">
      <c r="A47" s="1900"/>
      <c r="B47" s="1903"/>
      <c r="C47" s="1041" t="s">
        <v>602</v>
      </c>
      <c r="D47" s="24" t="s">
        <v>194</v>
      </c>
      <c r="E47" s="24" t="s">
        <v>3821</v>
      </c>
      <c r="F47" s="1040"/>
      <c r="G47" s="1039"/>
    </row>
    <row r="48" spans="1:8" s="982" customFormat="1" ht="36" customHeight="1">
      <c r="A48" s="1900"/>
      <c r="B48" s="1903"/>
      <c r="C48" s="1041" t="s">
        <v>3818</v>
      </c>
      <c r="D48" s="24" t="s">
        <v>3819</v>
      </c>
      <c r="E48" s="24" t="s">
        <v>3820</v>
      </c>
      <c r="F48" s="1040"/>
      <c r="G48" s="1039"/>
    </row>
    <row r="49" spans="1:8" s="982" customFormat="1" ht="36" customHeight="1">
      <c r="A49" s="1900"/>
      <c r="B49" s="1903"/>
      <c r="C49" s="1910" t="s">
        <v>3822</v>
      </c>
      <c r="D49" s="32" t="s">
        <v>3823</v>
      </c>
      <c r="E49" s="31" t="s">
        <v>3824</v>
      </c>
      <c r="F49" s="24" t="s">
        <v>3833</v>
      </c>
      <c r="G49" s="1911" t="s">
        <v>3828</v>
      </c>
    </row>
    <row r="50" spans="1:8" s="982" customFormat="1" ht="36" customHeight="1">
      <c r="A50" s="1900"/>
      <c r="B50" s="1903"/>
      <c r="C50" s="1906"/>
      <c r="D50" s="32" t="s">
        <v>3826</v>
      </c>
      <c r="E50" s="31" t="s">
        <v>3825</v>
      </c>
      <c r="F50" s="1040" t="s">
        <v>3827</v>
      </c>
      <c r="G50" s="1912"/>
    </row>
    <row r="51" spans="1:8" s="1034" customFormat="1" ht="36" customHeight="1">
      <c r="A51" s="1900"/>
      <c r="B51" s="1903"/>
      <c r="C51" s="1038" t="s">
        <v>3834</v>
      </c>
      <c r="D51" s="1040" t="s">
        <v>3835</v>
      </c>
      <c r="E51" s="1040" t="s">
        <v>3837</v>
      </c>
      <c r="F51" s="1040" t="s">
        <v>3836</v>
      </c>
      <c r="G51" s="1047"/>
    </row>
    <row r="52" spans="1:8" s="1034" customFormat="1" ht="36" customHeight="1">
      <c r="A52" s="1900"/>
      <c r="B52" s="1903"/>
      <c r="C52" s="1041" t="s">
        <v>297</v>
      </c>
      <c r="D52" s="32" t="s">
        <v>3840</v>
      </c>
      <c r="E52" s="31" t="s">
        <v>3841</v>
      </c>
      <c r="F52" s="1040" t="s">
        <v>3844</v>
      </c>
      <c r="G52" s="1047" t="s">
        <v>3842</v>
      </c>
      <c r="H52" s="1034" t="s">
        <v>3843</v>
      </c>
    </row>
    <row r="53" spans="1:8" s="1034" customFormat="1" ht="36" customHeight="1">
      <c r="A53" s="1900"/>
      <c r="B53" s="1903"/>
      <c r="C53" s="1041" t="s">
        <v>3845</v>
      </c>
      <c r="D53" s="32" t="s">
        <v>3846</v>
      </c>
      <c r="E53" s="31" t="s">
        <v>3847</v>
      </c>
      <c r="F53" s="24"/>
      <c r="G53" s="1047" t="s">
        <v>3848</v>
      </c>
    </row>
    <row r="54" spans="1:8" s="1034" customFormat="1" ht="36" customHeight="1">
      <c r="A54" s="1900"/>
      <c r="B54" s="1903"/>
      <c r="C54" s="1033"/>
      <c r="D54" s="28"/>
      <c r="E54" s="27"/>
      <c r="F54" s="960"/>
      <c r="G54" s="1036"/>
    </row>
    <row r="55" spans="1:8" s="1034" customFormat="1" ht="36" customHeight="1" thickBot="1">
      <c r="A55" s="1900"/>
      <c r="B55" s="1903"/>
      <c r="C55" s="1032"/>
      <c r="D55" s="26"/>
      <c r="E55" s="25"/>
      <c r="F55" s="910"/>
      <c r="G55" s="1035"/>
    </row>
    <row r="56" spans="1:8" s="982" customFormat="1" ht="36" customHeight="1" thickBot="1">
      <c r="A56" s="1901"/>
      <c r="B56" s="1904"/>
      <c r="C56" s="12"/>
      <c r="D56" s="11"/>
      <c r="E56" s="10"/>
      <c r="F56" s="10"/>
      <c r="G56" s="9"/>
    </row>
    <row r="57" spans="1:8" s="982" customFormat="1" ht="36" customHeight="1">
      <c r="A57" s="1899">
        <v>45149</v>
      </c>
      <c r="B57" s="1902" t="s">
        <v>0</v>
      </c>
      <c r="C57" s="1041" t="s">
        <v>1274</v>
      </c>
      <c r="D57" s="24" t="s">
        <v>1285</v>
      </c>
      <c r="E57" s="24" t="s">
        <v>310</v>
      </c>
      <c r="F57" s="1040" t="s">
        <v>618</v>
      </c>
      <c r="G57" s="1039" t="s">
        <v>3733</v>
      </c>
    </row>
    <row r="58" spans="1:8" s="982" customFormat="1" ht="36" customHeight="1">
      <c r="A58" s="1900"/>
      <c r="B58" s="1903"/>
      <c r="C58" s="21"/>
      <c r="D58" s="22"/>
      <c r="E58" s="22"/>
      <c r="F58" s="960"/>
      <c r="G58" s="983"/>
    </row>
    <row r="59" spans="1:8" s="982" customFormat="1" ht="36" customHeight="1">
      <c r="A59" s="1900"/>
      <c r="B59" s="1903"/>
      <c r="C59" s="21"/>
      <c r="D59" s="20"/>
      <c r="E59" s="19"/>
      <c r="F59" s="960"/>
      <c r="G59" s="983"/>
    </row>
    <row r="60" spans="1:8" s="982" customFormat="1" ht="36" customHeight="1" thickBot="1">
      <c r="A60" s="1900"/>
      <c r="B60" s="1903"/>
      <c r="C60" s="985"/>
      <c r="D60" s="16"/>
      <c r="E60" s="15"/>
      <c r="F60" s="910"/>
      <c r="G60" s="983"/>
    </row>
    <row r="61" spans="1:8" s="982" customFormat="1" ht="36" customHeight="1" thickBot="1">
      <c r="A61" s="1901"/>
      <c r="B61" s="1904"/>
      <c r="C61" s="12" t="s">
        <v>3859</v>
      </c>
      <c r="D61" s="11" t="s">
        <v>3860</v>
      </c>
      <c r="E61" s="10" t="s">
        <v>3861</v>
      </c>
      <c r="F61" s="10" t="s">
        <v>3862</v>
      </c>
      <c r="G61" s="9"/>
    </row>
    <row r="62" spans="1:8" s="982" customFormat="1" ht="60" customHeight="1" thickBot="1">
      <c r="A62" s="1907" t="s">
        <v>5</v>
      </c>
      <c r="B62" s="1908"/>
      <c r="C62" s="1908"/>
      <c r="D62" s="1908"/>
      <c r="E62" s="1908"/>
      <c r="F62" s="1908"/>
      <c r="G62" s="1909"/>
    </row>
    <row r="63" spans="1:8" s="982" customFormat="1" ht="36" customHeight="1">
      <c r="A63" s="1899">
        <v>45152</v>
      </c>
      <c r="B63" s="1902" t="s">
        <v>4</v>
      </c>
      <c r="C63" s="1905" t="s">
        <v>3849</v>
      </c>
      <c r="D63" s="24" t="s">
        <v>3850</v>
      </c>
      <c r="E63" s="24" t="s">
        <v>3851</v>
      </c>
      <c r="F63" s="1040" t="s">
        <v>201</v>
      </c>
      <c r="G63" s="1915" t="s">
        <v>369</v>
      </c>
      <c r="H63" s="982" t="s">
        <v>3864</v>
      </c>
    </row>
    <row r="64" spans="1:8" s="982" customFormat="1" ht="36" customHeight="1">
      <c r="A64" s="1900"/>
      <c r="B64" s="1903"/>
      <c r="C64" s="1906"/>
      <c r="D64" s="24" t="s">
        <v>3852</v>
      </c>
      <c r="E64" s="24" t="s">
        <v>3853</v>
      </c>
      <c r="F64" s="1040"/>
      <c r="G64" s="1912"/>
      <c r="H64" s="982" t="s">
        <v>3865</v>
      </c>
    </row>
    <row r="65" spans="1:7" s="982" customFormat="1" ht="36" customHeight="1">
      <c r="A65" s="1900"/>
      <c r="B65" s="1903"/>
      <c r="C65" s="1070" t="s">
        <v>3854</v>
      </c>
      <c r="D65" s="32" t="s">
        <v>207</v>
      </c>
      <c r="E65" s="31" t="s">
        <v>3890</v>
      </c>
      <c r="F65" s="24"/>
      <c r="G65" s="1075" t="s">
        <v>3857</v>
      </c>
    </row>
    <row r="66" spans="1:7" s="1037" customFormat="1" ht="36" customHeight="1">
      <c r="A66" s="1900"/>
      <c r="B66" s="1903"/>
      <c r="C66" s="1910" t="s">
        <v>3866</v>
      </c>
      <c r="D66" s="30" t="s">
        <v>3871</v>
      </c>
      <c r="E66" s="29" t="s">
        <v>3867</v>
      </c>
      <c r="F66" s="1040"/>
      <c r="G66" s="1911" t="s">
        <v>3873</v>
      </c>
    </row>
    <row r="67" spans="1:7" s="1037" customFormat="1" ht="36" customHeight="1">
      <c r="A67" s="1900"/>
      <c r="B67" s="1903"/>
      <c r="C67" s="1914"/>
      <c r="D67" s="30" t="s">
        <v>3868</v>
      </c>
      <c r="E67" s="29" t="s">
        <v>3867</v>
      </c>
      <c r="F67" s="1040"/>
      <c r="G67" s="1913"/>
    </row>
    <row r="68" spans="1:7" s="1037" customFormat="1" ht="36" customHeight="1">
      <c r="A68" s="1900"/>
      <c r="B68" s="1903"/>
      <c r="C68" s="1914"/>
      <c r="D68" s="30" t="s">
        <v>20</v>
      </c>
      <c r="E68" s="29" t="s">
        <v>3886</v>
      </c>
      <c r="F68" s="1040" t="s">
        <v>3872</v>
      </c>
      <c r="G68" s="1913"/>
    </row>
    <row r="69" spans="1:7" s="1037" customFormat="1" ht="36" customHeight="1">
      <c r="A69" s="1900"/>
      <c r="B69" s="1903"/>
      <c r="C69" s="1906"/>
      <c r="D69" s="30" t="s">
        <v>3869</v>
      </c>
      <c r="E69" s="29" t="s">
        <v>3870</v>
      </c>
      <c r="F69" s="1040"/>
      <c r="G69" s="1912"/>
    </row>
    <row r="70" spans="1:7" s="1037" customFormat="1" ht="36" customHeight="1">
      <c r="A70" s="1900"/>
      <c r="B70" s="1903"/>
      <c r="C70" s="1041" t="s">
        <v>3881</v>
      </c>
      <c r="D70" s="32" t="s">
        <v>20</v>
      </c>
      <c r="E70" s="31" t="s">
        <v>3882</v>
      </c>
      <c r="F70" s="24" t="s">
        <v>3883</v>
      </c>
      <c r="G70" s="1047"/>
    </row>
    <row r="71" spans="1:7" s="1043" customFormat="1" ht="36" customHeight="1">
      <c r="A71" s="1900"/>
      <c r="B71" s="1903"/>
      <c r="C71" s="1041" t="s">
        <v>447</v>
      </c>
      <c r="D71" s="24" t="s">
        <v>448</v>
      </c>
      <c r="E71" s="24" t="s">
        <v>449</v>
      </c>
      <c r="F71" s="1040"/>
      <c r="G71" s="1047" t="s">
        <v>3885</v>
      </c>
    </row>
    <row r="72" spans="1:7" s="1043" customFormat="1" ht="36" customHeight="1">
      <c r="A72" s="1900"/>
      <c r="B72" s="1903"/>
      <c r="C72" s="1041" t="s">
        <v>3863</v>
      </c>
      <c r="D72" s="32" t="s">
        <v>2384</v>
      </c>
      <c r="E72" s="31" t="s">
        <v>327</v>
      </c>
      <c r="F72" s="24"/>
      <c r="G72" s="1047" t="s">
        <v>3914</v>
      </c>
    </row>
    <row r="73" spans="1:7" s="1037" customFormat="1" ht="36" customHeight="1" thickBot="1">
      <c r="A73" s="1900"/>
      <c r="B73" s="1903"/>
      <c r="C73" s="201"/>
      <c r="D73" s="26"/>
      <c r="E73" s="25"/>
      <c r="F73" s="910"/>
      <c r="G73" s="63"/>
    </row>
    <row r="74" spans="1:7" s="982" customFormat="1" ht="36" customHeight="1" thickBot="1">
      <c r="A74" s="1901"/>
      <c r="B74" s="1904"/>
      <c r="C74" s="12"/>
      <c r="D74" s="11"/>
      <c r="E74" s="10"/>
      <c r="F74" s="10"/>
      <c r="G74" s="9"/>
    </row>
    <row r="75" spans="1:7" s="1043" customFormat="1" ht="36" customHeight="1">
      <c r="A75" s="1900">
        <v>45153</v>
      </c>
      <c r="B75" s="1903" t="s">
        <v>3899</v>
      </c>
      <c r="C75" s="1910" t="s">
        <v>309</v>
      </c>
      <c r="D75" s="24" t="s">
        <v>3900</v>
      </c>
      <c r="E75" s="24" t="s">
        <v>310</v>
      </c>
      <c r="F75" s="1069"/>
      <c r="G75" s="1915" t="s">
        <v>3901</v>
      </c>
    </row>
    <row r="76" spans="1:7" s="1043" customFormat="1" ht="36" customHeight="1">
      <c r="A76" s="1900"/>
      <c r="B76" s="1903"/>
      <c r="C76" s="1906"/>
      <c r="D76" s="24" t="s">
        <v>43</v>
      </c>
      <c r="E76" s="31" t="s">
        <v>333</v>
      </c>
      <c r="F76" s="1069"/>
      <c r="G76" s="1912"/>
    </row>
    <row r="77" spans="1:7" s="1043" customFormat="1" ht="36" customHeight="1">
      <c r="A77" s="1900"/>
      <c r="B77" s="1903"/>
      <c r="C77" s="21"/>
      <c r="D77" s="22"/>
      <c r="E77" s="22"/>
      <c r="F77" s="960"/>
      <c r="G77" s="1045"/>
    </row>
    <row r="78" spans="1:7" s="1043" customFormat="1" ht="36" customHeight="1">
      <c r="A78" s="1900"/>
      <c r="B78" s="1903"/>
      <c r="C78" s="21"/>
      <c r="D78" s="20"/>
      <c r="E78" s="19"/>
      <c r="F78" s="960"/>
      <c r="G78" s="1045"/>
    </row>
    <row r="79" spans="1:7" s="1043" customFormat="1" ht="36" customHeight="1" thickBot="1">
      <c r="A79" s="1900"/>
      <c r="B79" s="1903"/>
      <c r="C79" s="1044"/>
      <c r="D79" s="16"/>
      <c r="E79" s="15"/>
      <c r="F79" s="910"/>
      <c r="G79" s="1045"/>
    </row>
    <row r="80" spans="1:7" s="1043" customFormat="1" ht="36" customHeight="1" thickBot="1">
      <c r="A80" s="1901"/>
      <c r="B80" s="1904"/>
      <c r="C80" s="12"/>
      <c r="D80" s="11"/>
      <c r="E80" s="10"/>
      <c r="F80" s="10"/>
      <c r="G80" s="9"/>
    </row>
    <row r="81" spans="1:8" s="1043" customFormat="1" ht="36" customHeight="1">
      <c r="A81" s="1899">
        <v>45154</v>
      </c>
      <c r="B81" s="1916" t="s">
        <v>3884</v>
      </c>
      <c r="C81" s="36" t="s">
        <v>3909</v>
      </c>
      <c r="D81" s="62" t="s">
        <v>395</v>
      </c>
      <c r="E81" s="61" t="s">
        <v>3911</v>
      </c>
      <c r="F81" s="49"/>
      <c r="G81" s="1052"/>
    </row>
    <row r="82" spans="1:8" s="982" customFormat="1" ht="36" customHeight="1">
      <c r="A82" s="1900"/>
      <c r="B82" s="1917"/>
      <c r="C82" s="1914" t="s">
        <v>3804</v>
      </c>
      <c r="D82" s="1049" t="s">
        <v>3805</v>
      </c>
      <c r="E82" s="1049" t="s">
        <v>3806</v>
      </c>
      <c r="F82" s="1049"/>
      <c r="G82" s="1913" t="s">
        <v>3898</v>
      </c>
    </row>
    <row r="83" spans="1:8" s="982" customFormat="1" ht="36" customHeight="1">
      <c r="A83" s="1900"/>
      <c r="B83" s="1917"/>
      <c r="C83" s="1906"/>
      <c r="D83" s="24" t="s">
        <v>3807</v>
      </c>
      <c r="E83" s="31" t="s">
        <v>3808</v>
      </c>
      <c r="F83" s="1049"/>
      <c r="G83" s="1912"/>
    </row>
    <row r="84" spans="1:8" s="1034" customFormat="1" ht="36" customHeight="1">
      <c r="A84" s="1900"/>
      <c r="B84" s="1917"/>
      <c r="C84" s="1050" t="s">
        <v>3902</v>
      </c>
      <c r="D84" s="32" t="s">
        <v>20</v>
      </c>
      <c r="E84" s="31" t="s">
        <v>3903</v>
      </c>
      <c r="F84" s="1049" t="s">
        <v>3905</v>
      </c>
      <c r="G84" s="1053" t="s">
        <v>3904</v>
      </c>
      <c r="H84" s="1034" t="s">
        <v>3906</v>
      </c>
    </row>
    <row r="85" spans="1:8" s="1043" customFormat="1" ht="36" customHeight="1">
      <c r="A85" s="1900"/>
      <c r="B85" s="1917"/>
      <c r="C85" s="1050" t="s">
        <v>393</v>
      </c>
      <c r="D85" s="24" t="s">
        <v>378</v>
      </c>
      <c r="E85" s="24" t="s">
        <v>376</v>
      </c>
      <c r="F85" s="24" t="s">
        <v>3855</v>
      </c>
      <c r="G85" s="1911" t="s">
        <v>343</v>
      </c>
    </row>
    <row r="86" spans="1:8" s="1043" customFormat="1" ht="36" customHeight="1">
      <c r="A86" s="1900"/>
      <c r="B86" s="1917"/>
      <c r="C86" s="1050" t="s">
        <v>331</v>
      </c>
      <c r="D86" s="24" t="s">
        <v>315</v>
      </c>
      <c r="E86" s="24" t="s">
        <v>368</v>
      </c>
      <c r="F86" s="1049" t="s">
        <v>393</v>
      </c>
      <c r="G86" s="1912"/>
    </row>
    <row r="87" spans="1:8" s="1043" customFormat="1" ht="36" customHeight="1">
      <c r="A87" s="1900"/>
      <c r="B87" s="1917"/>
      <c r="C87" s="1910" t="s">
        <v>563</v>
      </c>
      <c r="D87" s="32" t="s">
        <v>313</v>
      </c>
      <c r="E87" s="31" t="s">
        <v>373</v>
      </c>
      <c r="F87" s="1049"/>
      <c r="G87" s="1911" t="s">
        <v>3907</v>
      </c>
    </row>
    <row r="88" spans="1:8" s="1043" customFormat="1" ht="36" customHeight="1">
      <c r="A88" s="1900"/>
      <c r="B88" s="1917"/>
      <c r="C88" s="1906"/>
      <c r="D88" s="32" t="s">
        <v>315</v>
      </c>
      <c r="E88" s="31" t="s">
        <v>3910</v>
      </c>
      <c r="F88" s="24" t="s">
        <v>3908</v>
      </c>
      <c r="G88" s="1912"/>
      <c r="H88" s="1043" t="s">
        <v>3889</v>
      </c>
    </row>
    <row r="89" spans="1:8" s="1043" customFormat="1" ht="36" customHeight="1">
      <c r="A89" s="1900"/>
      <c r="B89" s="1917"/>
      <c r="C89" s="1050" t="s">
        <v>431</v>
      </c>
      <c r="D89" s="24" t="s">
        <v>315</v>
      </c>
      <c r="E89" s="24" t="s">
        <v>202</v>
      </c>
      <c r="F89" s="1049" t="s">
        <v>329</v>
      </c>
      <c r="G89" s="1048" t="s">
        <v>204</v>
      </c>
    </row>
    <row r="90" spans="1:8" s="982" customFormat="1" ht="36" customHeight="1">
      <c r="A90" s="1900"/>
      <c r="B90" s="1917"/>
      <c r="C90" s="1050" t="s">
        <v>3918</v>
      </c>
      <c r="D90" s="32" t="s">
        <v>3919</v>
      </c>
      <c r="E90" s="31" t="s">
        <v>3920</v>
      </c>
      <c r="F90" s="1049"/>
      <c r="G90" s="1053" t="s">
        <v>3921</v>
      </c>
    </row>
    <row r="91" spans="1:8" s="1051" customFormat="1" ht="36" customHeight="1">
      <c r="A91" s="1900"/>
      <c r="B91" s="1917"/>
      <c r="C91" s="1910" t="s">
        <v>3922</v>
      </c>
      <c r="D91" s="32" t="s">
        <v>3926</v>
      </c>
      <c r="E91" s="31" t="s">
        <v>3927</v>
      </c>
      <c r="F91" s="1049"/>
      <c r="G91" s="1911" t="s">
        <v>3925</v>
      </c>
    </row>
    <row r="92" spans="1:8" s="1043" customFormat="1" ht="36" customHeight="1">
      <c r="A92" s="1900"/>
      <c r="B92" s="1917"/>
      <c r="C92" s="1906"/>
      <c r="D92" s="32" t="s">
        <v>3923</v>
      </c>
      <c r="E92" s="31" t="s">
        <v>3924</v>
      </c>
      <c r="F92" s="24"/>
      <c r="G92" s="1912"/>
    </row>
    <row r="93" spans="1:8" s="1043" customFormat="1" ht="36" customHeight="1" thickBot="1">
      <c r="A93" s="1900"/>
      <c r="B93" s="1917"/>
      <c r="C93" s="1042"/>
      <c r="D93" s="26"/>
      <c r="E93" s="25"/>
      <c r="F93" s="910"/>
      <c r="G93" s="1046"/>
    </row>
    <row r="94" spans="1:8" s="982" customFormat="1" ht="36" customHeight="1" thickBot="1">
      <c r="A94" s="1901"/>
      <c r="B94" s="1918"/>
      <c r="C94" s="12" t="s">
        <v>3887</v>
      </c>
      <c r="D94" s="11" t="s">
        <v>3888</v>
      </c>
      <c r="E94" s="10"/>
      <c r="F94" s="10" t="s">
        <v>3917</v>
      </c>
      <c r="G94" s="9"/>
    </row>
    <row r="95" spans="1:8" s="982" customFormat="1" ht="36" customHeight="1">
      <c r="A95" s="1899">
        <v>45155</v>
      </c>
      <c r="B95" s="1902" t="s">
        <v>1</v>
      </c>
      <c r="C95" s="1905" t="s">
        <v>3797</v>
      </c>
      <c r="D95" s="24" t="s">
        <v>3798</v>
      </c>
      <c r="E95" s="24" t="s">
        <v>3799</v>
      </c>
      <c r="F95" s="1060"/>
      <c r="G95" s="1058"/>
    </row>
    <row r="96" spans="1:8" s="982" customFormat="1" ht="36" customHeight="1">
      <c r="A96" s="1900"/>
      <c r="B96" s="1903"/>
      <c r="C96" s="1914"/>
      <c r="D96" s="24" t="s">
        <v>3800</v>
      </c>
      <c r="E96" s="24" t="s">
        <v>3801</v>
      </c>
      <c r="F96" s="1060"/>
      <c r="G96" s="1058"/>
    </row>
    <row r="97" spans="1:8" s="1037" customFormat="1" ht="36" customHeight="1">
      <c r="A97" s="1900"/>
      <c r="B97" s="1903"/>
      <c r="C97" s="1914"/>
      <c r="D97" s="24" t="s">
        <v>3874</v>
      </c>
      <c r="E97" s="24" t="s">
        <v>3875</v>
      </c>
      <c r="F97" s="1060"/>
      <c r="G97" s="1058"/>
    </row>
    <row r="98" spans="1:8" s="1037" customFormat="1" ht="36" customHeight="1">
      <c r="A98" s="1900"/>
      <c r="B98" s="1903"/>
      <c r="C98" s="1914"/>
      <c r="D98" s="24" t="s">
        <v>3879</v>
      </c>
      <c r="E98" s="24" t="s">
        <v>3880</v>
      </c>
      <c r="F98" s="1060"/>
      <c r="G98" s="1058"/>
    </row>
    <row r="99" spans="1:8" s="1034" customFormat="1" ht="36" customHeight="1">
      <c r="A99" s="1900"/>
      <c r="B99" s="1903"/>
      <c r="C99" s="1906"/>
      <c r="D99" s="24" t="s">
        <v>3838</v>
      </c>
      <c r="E99" s="24" t="s">
        <v>3839</v>
      </c>
      <c r="F99" s="1060"/>
      <c r="G99" s="1058"/>
    </row>
    <row r="100" spans="1:8" s="1054" customFormat="1" ht="36" customHeight="1">
      <c r="A100" s="1900"/>
      <c r="B100" s="1903"/>
      <c r="C100" s="1061" t="s">
        <v>453</v>
      </c>
      <c r="D100" s="24" t="s">
        <v>224</v>
      </c>
      <c r="E100" s="24" t="s">
        <v>254</v>
      </c>
      <c r="F100" s="1060"/>
      <c r="G100" s="1059"/>
    </row>
    <row r="101" spans="1:8" s="1037" customFormat="1" ht="36" customHeight="1">
      <c r="A101" s="1900"/>
      <c r="B101" s="1903"/>
      <c r="C101" s="1910" t="s">
        <v>3856</v>
      </c>
      <c r="D101" s="32" t="s">
        <v>218</v>
      </c>
      <c r="E101" s="29" t="s">
        <v>3877</v>
      </c>
      <c r="F101" s="1060"/>
      <c r="G101" s="1911" t="s">
        <v>3898</v>
      </c>
    </row>
    <row r="102" spans="1:8" s="1037" customFormat="1" ht="36" customHeight="1">
      <c r="A102" s="1900"/>
      <c r="B102" s="1903"/>
      <c r="C102" s="1914"/>
      <c r="D102" s="32" t="s">
        <v>221</v>
      </c>
      <c r="E102" s="29" t="s">
        <v>504</v>
      </c>
      <c r="F102" s="1060"/>
      <c r="G102" s="1913"/>
    </row>
    <row r="103" spans="1:8" s="1037" customFormat="1" ht="36" customHeight="1">
      <c r="A103" s="1900"/>
      <c r="B103" s="1903"/>
      <c r="C103" s="1914"/>
      <c r="D103" s="30" t="s">
        <v>3876</v>
      </c>
      <c r="E103" s="29" t="s">
        <v>3878</v>
      </c>
      <c r="F103" s="1060"/>
      <c r="G103" s="1912"/>
    </row>
    <row r="104" spans="1:8" s="1054" customFormat="1" ht="36" customHeight="1">
      <c r="A104" s="1900"/>
      <c r="B104" s="1903"/>
      <c r="C104" s="1906"/>
      <c r="D104" s="32" t="s">
        <v>221</v>
      </c>
      <c r="E104" s="29" t="s">
        <v>3946</v>
      </c>
      <c r="F104" s="1060" t="s">
        <v>3954</v>
      </c>
      <c r="G104" s="1059" t="s">
        <v>3949</v>
      </c>
      <c r="H104" s="1054" t="s">
        <v>3948</v>
      </c>
    </row>
    <row r="105" spans="1:8" s="1054" customFormat="1" ht="36" customHeight="1">
      <c r="A105" s="1900"/>
      <c r="B105" s="1903"/>
      <c r="C105" s="1910" t="s">
        <v>3930</v>
      </c>
      <c r="D105" s="1060" t="s">
        <v>3931</v>
      </c>
      <c r="E105" s="1060" t="s">
        <v>3932</v>
      </c>
      <c r="F105" s="1060"/>
      <c r="G105" s="1911" t="s">
        <v>3947</v>
      </c>
    </row>
    <row r="106" spans="1:8" s="1054" customFormat="1" ht="36" customHeight="1">
      <c r="A106" s="1900"/>
      <c r="B106" s="1903"/>
      <c r="C106" s="1914"/>
      <c r="D106" s="1060" t="s">
        <v>20</v>
      </c>
      <c r="E106" s="1060" t="s">
        <v>3933</v>
      </c>
      <c r="F106" s="1060" t="s">
        <v>3939</v>
      </c>
      <c r="G106" s="1912"/>
    </row>
    <row r="107" spans="1:8" s="1054" customFormat="1" ht="36" customHeight="1">
      <c r="A107" s="1900"/>
      <c r="B107" s="1903"/>
      <c r="C107" s="1906"/>
      <c r="D107" s="1060" t="s">
        <v>3950</v>
      </c>
      <c r="E107" s="1060" t="s">
        <v>3951</v>
      </c>
      <c r="F107" s="1060" t="s">
        <v>3955</v>
      </c>
      <c r="G107" s="1059" t="s">
        <v>3952</v>
      </c>
      <c r="H107" s="1054" t="s">
        <v>3953</v>
      </c>
    </row>
    <row r="108" spans="1:8" s="1054" customFormat="1" ht="36" customHeight="1">
      <c r="A108" s="1900"/>
      <c r="B108" s="1903"/>
      <c r="C108" s="1057" t="s">
        <v>3934</v>
      </c>
      <c r="D108" s="1060" t="s">
        <v>3935</v>
      </c>
      <c r="E108" s="1060" t="s">
        <v>3936</v>
      </c>
      <c r="F108" s="1060" t="s">
        <v>3956</v>
      </c>
      <c r="G108" s="1059" t="s">
        <v>3937</v>
      </c>
      <c r="H108" s="1054" t="s">
        <v>3938</v>
      </c>
    </row>
    <row r="109" spans="1:8" s="1026" customFormat="1" ht="36" customHeight="1">
      <c r="A109" s="1900"/>
      <c r="B109" s="1903"/>
      <c r="C109" s="1057" t="s">
        <v>3940</v>
      </c>
      <c r="D109" s="1060" t="s">
        <v>3941</v>
      </c>
      <c r="E109" s="29" t="s">
        <v>3942</v>
      </c>
      <c r="F109" s="1060" t="s">
        <v>3957</v>
      </c>
      <c r="G109" s="1059" t="s">
        <v>3943</v>
      </c>
      <c r="H109" s="1026" t="s">
        <v>3944</v>
      </c>
    </row>
    <row r="110" spans="1:8" s="982" customFormat="1" ht="36" customHeight="1" thickBot="1">
      <c r="A110" s="1900"/>
      <c r="B110" s="1903"/>
      <c r="C110" s="1025"/>
      <c r="D110" s="26"/>
      <c r="E110" s="25"/>
      <c r="F110" s="910"/>
      <c r="G110" s="1027"/>
    </row>
    <row r="111" spans="1:8" s="982" customFormat="1" ht="36" customHeight="1" thickBot="1">
      <c r="A111" s="1901"/>
      <c r="B111" s="1904"/>
      <c r="C111" s="12"/>
      <c r="D111" s="11"/>
      <c r="E111" s="10"/>
      <c r="F111" s="10"/>
      <c r="G111" s="9"/>
    </row>
    <row r="112" spans="1:8" s="982" customFormat="1" ht="36" customHeight="1">
      <c r="A112" s="1899">
        <v>45156</v>
      </c>
      <c r="B112" s="1902" t="s">
        <v>0</v>
      </c>
      <c r="C112" s="1056" t="s">
        <v>3909</v>
      </c>
      <c r="D112" s="24" t="s">
        <v>3912</v>
      </c>
      <c r="E112" s="24" t="s">
        <v>3913</v>
      </c>
      <c r="F112" s="1060"/>
      <c r="G112" s="1058"/>
    </row>
    <row r="113" spans="1:8" s="1043" customFormat="1" ht="36" customHeight="1">
      <c r="A113" s="1900"/>
      <c r="B113" s="1903"/>
      <c r="C113" s="1910" t="s">
        <v>450</v>
      </c>
      <c r="D113" s="24" t="s">
        <v>325</v>
      </c>
      <c r="E113" s="24" t="s">
        <v>335</v>
      </c>
      <c r="F113" s="1936" t="s">
        <v>355</v>
      </c>
      <c r="G113" s="1911" t="s">
        <v>3960</v>
      </c>
    </row>
    <row r="114" spans="1:8" s="982" customFormat="1" ht="36" customHeight="1">
      <c r="A114" s="1900"/>
      <c r="B114" s="1903"/>
      <c r="C114" s="1914"/>
      <c r="D114" s="32" t="s">
        <v>3915</v>
      </c>
      <c r="E114" s="31" t="s">
        <v>3916</v>
      </c>
      <c r="F114" s="1938"/>
      <c r="G114" s="1913"/>
    </row>
    <row r="115" spans="1:8" s="1064" customFormat="1" ht="36" customHeight="1">
      <c r="A115" s="1900"/>
      <c r="B115" s="1903"/>
      <c r="C115" s="1906"/>
      <c r="D115" s="32" t="s">
        <v>3958</v>
      </c>
      <c r="E115" s="31" t="s">
        <v>3959</v>
      </c>
      <c r="F115" s="1060"/>
      <c r="G115" s="1912"/>
    </row>
    <row r="116" spans="1:8" s="982" customFormat="1" ht="36" customHeight="1" thickBot="1">
      <c r="A116" s="1900"/>
      <c r="B116" s="1903"/>
      <c r="C116" s="1062"/>
      <c r="D116" s="26"/>
      <c r="E116" s="25"/>
      <c r="F116" s="910"/>
      <c r="G116" s="1065"/>
    </row>
    <row r="117" spans="1:8" s="982" customFormat="1" ht="36" customHeight="1" thickBot="1">
      <c r="A117" s="1901"/>
      <c r="B117" s="1904"/>
      <c r="C117" s="12"/>
      <c r="D117" s="11"/>
      <c r="E117" s="10"/>
      <c r="F117" s="10"/>
      <c r="G117" s="9"/>
    </row>
    <row r="118" spans="1:8" s="982" customFormat="1" ht="60" customHeight="1" thickBot="1">
      <c r="A118" s="1907" t="s">
        <v>5</v>
      </c>
      <c r="B118" s="1908"/>
      <c r="C118" s="1908"/>
      <c r="D118" s="1908"/>
      <c r="E118" s="1908"/>
      <c r="F118" s="1908"/>
      <c r="G118" s="1909"/>
    </row>
    <row r="119" spans="1:8" s="1064" customFormat="1" ht="36" customHeight="1">
      <c r="A119" s="1899">
        <v>45159</v>
      </c>
      <c r="B119" s="1919" t="s">
        <v>4</v>
      </c>
      <c r="C119" s="1905" t="s">
        <v>3963</v>
      </c>
      <c r="D119" s="49" t="s">
        <v>3970</v>
      </c>
      <c r="E119" s="49" t="s">
        <v>3971</v>
      </c>
      <c r="F119" s="49"/>
      <c r="G119" s="1074"/>
    </row>
    <row r="120" spans="1:8" s="1064" customFormat="1" ht="36" customHeight="1">
      <c r="A120" s="1900"/>
      <c r="B120" s="1920"/>
      <c r="C120" s="1906"/>
      <c r="D120" s="24" t="s">
        <v>1207</v>
      </c>
      <c r="E120" s="24" t="s">
        <v>391</v>
      </c>
      <c r="F120" s="24"/>
      <c r="G120" s="1075" t="s">
        <v>204</v>
      </c>
      <c r="H120" s="1072" t="s">
        <v>6512</v>
      </c>
    </row>
    <row r="121" spans="1:8" s="982" customFormat="1" ht="36" customHeight="1">
      <c r="A121" s="1900"/>
      <c r="B121" s="1920"/>
      <c r="C121" s="1066" t="s">
        <v>541</v>
      </c>
      <c r="D121" s="1069" t="s">
        <v>3928</v>
      </c>
      <c r="E121" s="1069" t="s">
        <v>3929</v>
      </c>
      <c r="F121" s="1069"/>
      <c r="G121" s="1068" t="s">
        <v>3925</v>
      </c>
    </row>
    <row r="122" spans="1:8" s="982" customFormat="1" ht="36" customHeight="1">
      <c r="A122" s="1900"/>
      <c r="B122" s="1920"/>
      <c r="C122" s="1066" t="s">
        <v>3965</v>
      </c>
      <c r="D122" s="1069" t="s">
        <v>3966</v>
      </c>
      <c r="E122" s="1069" t="s">
        <v>3967</v>
      </c>
      <c r="F122" s="1069" t="s">
        <v>3968</v>
      </c>
      <c r="G122" s="1068" t="s">
        <v>3972</v>
      </c>
    </row>
    <row r="123" spans="1:8" s="1072" customFormat="1" ht="36" customHeight="1">
      <c r="A123" s="1900"/>
      <c r="B123" s="1920"/>
      <c r="C123" s="1910" t="s">
        <v>3977</v>
      </c>
      <c r="D123" s="1069" t="s">
        <v>3978</v>
      </c>
      <c r="E123" s="1069" t="s">
        <v>3979</v>
      </c>
      <c r="F123" s="1069"/>
      <c r="G123" s="1911" t="s">
        <v>3984</v>
      </c>
    </row>
    <row r="124" spans="1:8" s="1072" customFormat="1" ht="36" customHeight="1">
      <c r="A124" s="1900"/>
      <c r="B124" s="1920"/>
      <c r="C124" s="1914"/>
      <c r="D124" s="1069" t="s">
        <v>20</v>
      </c>
      <c r="E124" s="1069" t="s">
        <v>3981</v>
      </c>
      <c r="F124" s="1069" t="s">
        <v>3985</v>
      </c>
      <c r="G124" s="1913"/>
    </row>
    <row r="125" spans="1:8" s="1072" customFormat="1" ht="36" customHeight="1">
      <c r="A125" s="1900"/>
      <c r="B125" s="1920"/>
      <c r="C125" s="1914"/>
      <c r="D125" s="1069" t="s">
        <v>3980</v>
      </c>
      <c r="E125" s="1069" t="s">
        <v>3982</v>
      </c>
      <c r="F125" s="1069"/>
      <c r="G125" s="1913"/>
    </row>
    <row r="126" spans="1:8" s="1072" customFormat="1" ht="36" customHeight="1">
      <c r="A126" s="1900"/>
      <c r="B126" s="1920"/>
      <c r="C126" s="1906"/>
      <c r="D126" s="1069" t="s">
        <v>43</v>
      </c>
      <c r="E126" s="1069" t="s">
        <v>3983</v>
      </c>
      <c r="F126" s="1069"/>
      <c r="G126" s="1912"/>
    </row>
    <row r="127" spans="1:8" s="982" customFormat="1" ht="36" customHeight="1">
      <c r="A127" s="1900"/>
      <c r="B127" s="1920"/>
      <c r="C127" s="1070" t="s">
        <v>4001</v>
      </c>
      <c r="D127" s="32" t="s">
        <v>4002</v>
      </c>
      <c r="E127" s="31" t="s">
        <v>4003</v>
      </c>
      <c r="F127" s="1069"/>
      <c r="G127" s="1067" t="s">
        <v>4004</v>
      </c>
    </row>
    <row r="128" spans="1:8" s="982" customFormat="1" ht="36" customHeight="1">
      <c r="A128" s="1900"/>
      <c r="B128" s="1920"/>
      <c r="C128" s="1070" t="s">
        <v>4005</v>
      </c>
      <c r="D128" s="1069" t="s">
        <v>4006</v>
      </c>
      <c r="E128" s="31" t="s">
        <v>4007</v>
      </c>
      <c r="F128" s="24"/>
      <c r="G128" s="1075" t="s">
        <v>235</v>
      </c>
      <c r="H128" s="982" t="s">
        <v>4008</v>
      </c>
    </row>
    <row r="129" spans="1:11" s="1072" customFormat="1" ht="36" customHeight="1">
      <c r="A129" s="1900"/>
      <c r="B129" s="1920"/>
      <c r="C129" s="1066" t="s">
        <v>4014</v>
      </c>
      <c r="D129" s="1069" t="s">
        <v>43</v>
      </c>
      <c r="E129" s="29" t="s">
        <v>4015</v>
      </c>
      <c r="F129" s="1069" t="s">
        <v>4016</v>
      </c>
      <c r="G129" s="1068" t="s">
        <v>4017</v>
      </c>
      <c r="H129" s="1072" t="s">
        <v>4018</v>
      </c>
    </row>
    <row r="130" spans="1:11" s="1072" customFormat="1" ht="36" customHeight="1" thickBot="1">
      <c r="A130" s="1900"/>
      <c r="B130" s="1920"/>
      <c r="C130" s="1071"/>
      <c r="D130" s="26"/>
      <c r="E130" s="25"/>
      <c r="F130" s="910"/>
      <c r="G130" s="1073"/>
    </row>
    <row r="131" spans="1:11" s="982" customFormat="1" ht="36" customHeight="1" thickBot="1">
      <c r="A131" s="1901"/>
      <c r="B131" s="1921"/>
      <c r="C131" s="12"/>
      <c r="D131" s="11"/>
      <c r="E131" s="10"/>
      <c r="F131" s="10"/>
      <c r="G131" s="9"/>
    </row>
    <row r="132" spans="1:11" s="982" customFormat="1" ht="36" customHeight="1">
      <c r="A132" s="1899">
        <v>45160</v>
      </c>
      <c r="B132" s="1902" t="s">
        <v>3</v>
      </c>
      <c r="C132" s="1905" t="s">
        <v>3829</v>
      </c>
      <c r="D132" s="49" t="s">
        <v>3830</v>
      </c>
      <c r="E132" s="49" t="s">
        <v>3961</v>
      </c>
      <c r="F132" s="49"/>
      <c r="G132" s="1083"/>
    </row>
    <row r="133" spans="1:11" s="982" customFormat="1" ht="36" customHeight="1">
      <c r="A133" s="1900"/>
      <c r="B133" s="1903"/>
      <c r="C133" s="1914"/>
      <c r="D133" s="24" t="s">
        <v>3831</v>
      </c>
      <c r="E133" s="24" t="s">
        <v>3832</v>
      </c>
      <c r="F133" s="1082"/>
      <c r="G133" s="1078"/>
    </row>
    <row r="134" spans="1:11" s="1064" customFormat="1" ht="36" customHeight="1">
      <c r="A134" s="1900"/>
      <c r="B134" s="1903"/>
      <c r="C134" s="1906"/>
      <c r="D134" s="24" t="s">
        <v>1207</v>
      </c>
      <c r="E134" s="24" t="s">
        <v>391</v>
      </c>
      <c r="F134" s="1082"/>
      <c r="G134" s="1087"/>
      <c r="H134" s="1064" t="s">
        <v>3991</v>
      </c>
      <c r="J134" s="1088" t="s">
        <v>3993</v>
      </c>
      <c r="K134" t="s">
        <v>3992</v>
      </c>
    </row>
    <row r="135" spans="1:11" s="1064" customFormat="1" ht="36" customHeight="1">
      <c r="A135" s="1900"/>
      <c r="B135" s="1903"/>
      <c r="C135" s="1914" t="s">
        <v>1274</v>
      </c>
      <c r="D135" s="1082" t="s">
        <v>3969</v>
      </c>
      <c r="E135" s="1082" t="s">
        <v>181</v>
      </c>
      <c r="F135" s="1082"/>
      <c r="G135" s="1079"/>
    </row>
    <row r="136" spans="1:11" s="1064" customFormat="1" ht="36" customHeight="1">
      <c r="A136" s="1900"/>
      <c r="B136" s="1903"/>
      <c r="C136" s="1906"/>
      <c r="D136" s="24" t="s">
        <v>20</v>
      </c>
      <c r="E136" s="24" t="s">
        <v>180</v>
      </c>
      <c r="F136" s="1082" t="s">
        <v>240</v>
      </c>
      <c r="G136" s="1078"/>
    </row>
    <row r="137" spans="1:11" s="982" customFormat="1" ht="36" customHeight="1">
      <c r="A137" s="1900"/>
      <c r="B137" s="1903"/>
      <c r="C137" s="1084" t="s">
        <v>4019</v>
      </c>
      <c r="D137" s="24" t="s">
        <v>43</v>
      </c>
      <c r="E137" s="31" t="s">
        <v>4020</v>
      </c>
      <c r="F137" s="24" t="s">
        <v>4022</v>
      </c>
      <c r="G137" s="1087" t="s">
        <v>4021</v>
      </c>
      <c r="H137" s="982" t="s">
        <v>4023</v>
      </c>
    </row>
    <row r="138" spans="1:11" s="1072" customFormat="1" ht="36" customHeight="1">
      <c r="A138" s="1900"/>
      <c r="B138" s="1903"/>
      <c r="C138" s="1076" t="s">
        <v>4030</v>
      </c>
      <c r="D138" s="30" t="s">
        <v>628</v>
      </c>
      <c r="E138" s="29" t="s">
        <v>211</v>
      </c>
      <c r="F138" s="1082" t="s">
        <v>2600</v>
      </c>
      <c r="G138" s="1080" t="s">
        <v>204</v>
      </c>
      <c r="H138" s="1072" t="s">
        <v>2599</v>
      </c>
    </row>
    <row r="139" spans="1:11" s="1085" customFormat="1" ht="36" customHeight="1">
      <c r="A139" s="1900"/>
      <c r="B139" s="1903"/>
      <c r="C139" s="1084" t="s">
        <v>377</v>
      </c>
      <c r="D139" s="1082" t="s">
        <v>392</v>
      </c>
      <c r="E139" s="31" t="s">
        <v>311</v>
      </c>
      <c r="F139" s="24"/>
      <c r="G139" s="1087" t="s">
        <v>235</v>
      </c>
      <c r="H139" s="1085" t="s">
        <v>4029</v>
      </c>
    </row>
    <row r="140" spans="1:11" s="982" customFormat="1" ht="36" customHeight="1" thickBot="1">
      <c r="A140" s="1900"/>
      <c r="B140" s="1903"/>
      <c r="C140" s="1077" t="s">
        <v>4025</v>
      </c>
      <c r="D140" s="1086" t="s">
        <v>4026</v>
      </c>
      <c r="E140" s="37" t="s">
        <v>4027</v>
      </c>
      <c r="F140" s="1081"/>
      <c r="G140" s="1078" t="s">
        <v>4028</v>
      </c>
    </row>
    <row r="141" spans="1:11" s="982" customFormat="1" ht="36" customHeight="1" thickBot="1">
      <c r="A141" s="1901"/>
      <c r="B141" s="1904"/>
      <c r="C141" s="12"/>
      <c r="D141" s="11"/>
      <c r="E141" s="10"/>
      <c r="F141" s="10"/>
      <c r="G141" s="9"/>
    </row>
    <row r="142" spans="1:11" s="982" customFormat="1" ht="36" customHeight="1">
      <c r="A142" s="1899">
        <v>45161</v>
      </c>
      <c r="B142" s="1902" t="s">
        <v>32</v>
      </c>
      <c r="C142" s="882"/>
      <c r="D142" s="22" t="s">
        <v>3964</v>
      </c>
      <c r="E142" s="22"/>
      <c r="F142" s="960"/>
      <c r="G142" s="983"/>
    </row>
    <row r="143" spans="1:11" s="982" customFormat="1" ht="36" customHeight="1">
      <c r="A143" s="1900"/>
      <c r="B143" s="1903"/>
      <c r="C143" s="1063"/>
      <c r="D143" s="22" t="s">
        <v>3962</v>
      </c>
      <c r="E143" s="22"/>
      <c r="F143" s="960"/>
      <c r="G143" s="983"/>
    </row>
    <row r="144" spans="1:11" s="1072" customFormat="1" ht="36" customHeight="1">
      <c r="A144" s="1900"/>
      <c r="B144" s="1903"/>
      <c r="C144" s="1910" t="s">
        <v>4013</v>
      </c>
      <c r="D144" s="1098" t="s">
        <v>20</v>
      </c>
      <c r="E144" s="24" t="s">
        <v>4009</v>
      </c>
      <c r="F144" s="1098" t="s">
        <v>3985</v>
      </c>
      <c r="G144" s="1911" t="s">
        <v>4012</v>
      </c>
    </row>
    <row r="145" spans="1:8" s="1072" customFormat="1" ht="36" customHeight="1">
      <c r="A145" s="1900"/>
      <c r="B145" s="1903"/>
      <c r="C145" s="1906"/>
      <c r="D145" s="1098" t="s">
        <v>20</v>
      </c>
      <c r="E145" s="24" t="s">
        <v>4010</v>
      </c>
      <c r="F145" s="1098" t="s">
        <v>4011</v>
      </c>
      <c r="G145" s="1912"/>
    </row>
    <row r="146" spans="1:8" s="1093" customFormat="1" ht="36" customHeight="1">
      <c r="A146" s="1900"/>
      <c r="B146" s="1903"/>
      <c r="C146" s="1095" t="s">
        <v>4071</v>
      </c>
      <c r="D146" s="1098" t="s">
        <v>20</v>
      </c>
      <c r="E146" s="24" t="s">
        <v>180</v>
      </c>
      <c r="F146" s="1098" t="s">
        <v>240</v>
      </c>
      <c r="G146" s="1097" t="s">
        <v>4050</v>
      </c>
    </row>
    <row r="147" spans="1:8" s="1093" customFormat="1" ht="36" customHeight="1">
      <c r="A147" s="1900"/>
      <c r="B147" s="1903"/>
      <c r="C147" s="1095" t="s">
        <v>4047</v>
      </c>
      <c r="D147" s="1098" t="s">
        <v>20</v>
      </c>
      <c r="E147" s="29" t="s">
        <v>4048</v>
      </c>
      <c r="F147" s="1098" t="s">
        <v>4049</v>
      </c>
      <c r="G147" s="1097" t="s">
        <v>4050</v>
      </c>
    </row>
    <row r="148" spans="1:8" s="1093" customFormat="1" ht="36" customHeight="1">
      <c r="A148" s="1900"/>
      <c r="B148" s="1903"/>
      <c r="C148" s="1095" t="s">
        <v>4067</v>
      </c>
      <c r="D148" s="1098" t="s">
        <v>43</v>
      </c>
      <c r="E148" s="29" t="s">
        <v>4068</v>
      </c>
      <c r="F148" s="1098"/>
      <c r="G148" s="1097" t="s">
        <v>4069</v>
      </c>
      <c r="H148" s="1093" t="s">
        <v>4070</v>
      </c>
    </row>
    <row r="149" spans="1:8" s="1093" customFormat="1" ht="36" customHeight="1">
      <c r="A149" s="1900"/>
      <c r="B149" s="1903"/>
      <c r="C149" s="1095" t="s">
        <v>4055</v>
      </c>
      <c r="D149" s="1098" t="s">
        <v>43</v>
      </c>
      <c r="E149" s="29" t="s">
        <v>4056</v>
      </c>
      <c r="F149" s="1098"/>
      <c r="G149" s="1097" t="s">
        <v>4057</v>
      </c>
    </row>
    <row r="150" spans="1:8" s="1093" customFormat="1" ht="36" customHeight="1">
      <c r="A150" s="1900"/>
      <c r="B150" s="1903"/>
      <c r="C150" s="1910" t="s">
        <v>477</v>
      </c>
      <c r="D150" s="24" t="s">
        <v>4064</v>
      </c>
      <c r="E150" s="31" t="s">
        <v>4062</v>
      </c>
      <c r="F150" s="24"/>
      <c r="G150" s="1911" t="s">
        <v>4066</v>
      </c>
    </row>
    <row r="151" spans="1:8" s="1093" customFormat="1" ht="36" customHeight="1">
      <c r="A151" s="1900"/>
      <c r="B151" s="1903"/>
      <c r="C151" s="1906"/>
      <c r="D151" s="24" t="s">
        <v>4065</v>
      </c>
      <c r="E151" s="31" t="s">
        <v>4063</v>
      </c>
      <c r="F151" s="24"/>
      <c r="G151" s="1912"/>
    </row>
    <row r="152" spans="1:8" s="1093" customFormat="1" ht="36" customHeight="1">
      <c r="A152" s="1900"/>
      <c r="B152" s="1903"/>
      <c r="C152" s="1910" t="s">
        <v>243</v>
      </c>
      <c r="D152" s="1098" t="s">
        <v>20</v>
      </c>
      <c r="E152" s="29" t="s">
        <v>4072</v>
      </c>
      <c r="F152" s="1098"/>
      <c r="G152" s="1911" t="s">
        <v>4074</v>
      </c>
    </row>
    <row r="153" spans="1:8" s="1093" customFormat="1" ht="36" customHeight="1">
      <c r="A153" s="1900"/>
      <c r="B153" s="1903"/>
      <c r="C153" s="1906"/>
      <c r="D153" s="1098" t="s">
        <v>4073</v>
      </c>
      <c r="E153" s="29" t="s">
        <v>4068</v>
      </c>
      <c r="F153" s="1098"/>
      <c r="G153" s="1912"/>
    </row>
    <row r="154" spans="1:8" s="1093" customFormat="1" ht="36" customHeight="1" thickBot="1">
      <c r="A154" s="1900"/>
      <c r="B154" s="1903"/>
      <c r="C154" s="1092"/>
      <c r="D154" s="26"/>
      <c r="E154" s="25"/>
      <c r="F154" s="910"/>
      <c r="G154" s="1094"/>
    </row>
    <row r="155" spans="1:8" s="982" customFormat="1" ht="36" customHeight="1" thickBot="1">
      <c r="A155" s="1901"/>
      <c r="B155" s="1904"/>
      <c r="C155" s="12"/>
      <c r="D155" s="11"/>
      <c r="E155" s="10"/>
      <c r="F155" s="10"/>
      <c r="G155" s="9"/>
    </row>
    <row r="156" spans="1:8" s="982" customFormat="1" ht="36" customHeight="1">
      <c r="A156" s="1899">
        <v>45162</v>
      </c>
      <c r="B156" s="1902" t="s">
        <v>1</v>
      </c>
      <c r="C156" s="1099" t="s">
        <v>3973</v>
      </c>
      <c r="D156" s="24" t="s">
        <v>3974</v>
      </c>
      <c r="E156" s="24" t="s">
        <v>3975</v>
      </c>
      <c r="F156" s="1098" t="s">
        <v>3976</v>
      </c>
      <c r="G156" s="1096" t="s">
        <v>623</v>
      </c>
    </row>
    <row r="157" spans="1:8" s="1072" customFormat="1" ht="36" customHeight="1">
      <c r="A157" s="1900"/>
      <c r="B157" s="1903"/>
      <c r="C157" s="1910" t="s">
        <v>3986</v>
      </c>
      <c r="D157" s="24" t="s">
        <v>3987</v>
      </c>
      <c r="E157" s="24" t="s">
        <v>3988</v>
      </c>
      <c r="F157" s="1098"/>
      <c r="G157" s="1096"/>
    </row>
    <row r="158" spans="1:8" s="1072" customFormat="1" ht="36" customHeight="1">
      <c r="A158" s="1900"/>
      <c r="B158" s="1903"/>
      <c r="C158" s="1906"/>
      <c r="D158" s="24" t="s">
        <v>3989</v>
      </c>
      <c r="E158" s="24" t="s">
        <v>3990</v>
      </c>
      <c r="F158" s="1098"/>
      <c r="G158" s="1096"/>
    </row>
    <row r="159" spans="1:8" s="982" customFormat="1" ht="36" customHeight="1">
      <c r="A159" s="1900"/>
      <c r="B159" s="1903"/>
      <c r="C159" s="1099" t="s">
        <v>267</v>
      </c>
      <c r="D159" s="24" t="s">
        <v>4024</v>
      </c>
      <c r="E159" s="24" t="s">
        <v>4315</v>
      </c>
      <c r="F159" s="1098"/>
      <c r="G159" s="1096"/>
    </row>
    <row r="160" spans="1:8" s="1093" customFormat="1" ht="36" customHeight="1">
      <c r="A160" s="1900"/>
      <c r="B160" s="1903"/>
      <c r="C160" s="1910" t="s">
        <v>265</v>
      </c>
      <c r="D160" s="24" t="s">
        <v>266</v>
      </c>
      <c r="E160" s="24" t="s">
        <v>180</v>
      </c>
      <c r="F160" s="1098"/>
      <c r="G160" s="1911" t="s">
        <v>3921</v>
      </c>
    </row>
    <row r="161" spans="1:8" s="1093" customFormat="1" ht="36" customHeight="1">
      <c r="A161" s="1900"/>
      <c r="B161" s="1903"/>
      <c r="C161" s="1906"/>
      <c r="D161" s="32" t="s">
        <v>194</v>
      </c>
      <c r="E161" s="31" t="s">
        <v>414</v>
      </c>
      <c r="F161" s="1098"/>
      <c r="G161" s="1912"/>
    </row>
    <row r="162" spans="1:8" s="1093" customFormat="1" ht="36" customHeight="1">
      <c r="A162" s="1900"/>
      <c r="B162" s="1903"/>
      <c r="C162" s="1099" t="s">
        <v>4043</v>
      </c>
      <c r="D162" s="32" t="s">
        <v>4044</v>
      </c>
      <c r="E162" s="31" t="s">
        <v>4045</v>
      </c>
      <c r="F162" s="24" t="s">
        <v>4046</v>
      </c>
      <c r="G162" s="1103"/>
    </row>
    <row r="163" spans="1:8" s="1093" customFormat="1" ht="36" customHeight="1">
      <c r="A163" s="1900"/>
      <c r="B163" s="1903"/>
      <c r="C163" s="1910" t="s">
        <v>4051</v>
      </c>
      <c r="D163" s="1098" t="s">
        <v>4052</v>
      </c>
      <c r="E163" s="29" t="s">
        <v>4053</v>
      </c>
      <c r="F163" s="1098"/>
      <c r="G163" s="1911" t="s">
        <v>4050</v>
      </c>
    </row>
    <row r="164" spans="1:8" s="1093" customFormat="1" ht="36" customHeight="1">
      <c r="A164" s="1900"/>
      <c r="B164" s="1903"/>
      <c r="C164" s="1906"/>
      <c r="D164" s="1098" t="s">
        <v>43</v>
      </c>
      <c r="E164" s="29" t="s">
        <v>4054</v>
      </c>
      <c r="F164" s="1098"/>
      <c r="G164" s="1912"/>
    </row>
    <row r="165" spans="1:8" s="58" customFormat="1" ht="36" customHeight="1">
      <c r="A165" s="1900"/>
      <c r="B165" s="1903"/>
      <c r="C165" s="1910" t="s">
        <v>436</v>
      </c>
      <c r="D165" s="1098" t="s">
        <v>20</v>
      </c>
      <c r="E165" s="24" t="s">
        <v>300</v>
      </c>
      <c r="F165" s="1098" t="s">
        <v>240</v>
      </c>
      <c r="G165" s="1911" t="s">
        <v>261</v>
      </c>
    </row>
    <row r="166" spans="1:8" s="58" customFormat="1" ht="36" customHeight="1">
      <c r="A166" s="1900"/>
      <c r="B166" s="1903"/>
      <c r="C166" s="1906"/>
      <c r="D166" s="1098" t="s">
        <v>20</v>
      </c>
      <c r="E166" s="24" t="s">
        <v>180</v>
      </c>
      <c r="F166" s="1098" t="s">
        <v>435</v>
      </c>
      <c r="G166" s="1912"/>
    </row>
    <row r="167" spans="1:8" s="982" customFormat="1" ht="36" customHeight="1">
      <c r="A167" s="1900"/>
      <c r="B167" s="1903"/>
      <c r="C167" s="1099" t="s">
        <v>4078</v>
      </c>
      <c r="D167" s="32" t="s">
        <v>4079</v>
      </c>
      <c r="E167" s="31" t="s">
        <v>4080</v>
      </c>
      <c r="F167" s="1098"/>
      <c r="G167" s="1096" t="s">
        <v>4081</v>
      </c>
      <c r="H167" s="982" t="s">
        <v>4087</v>
      </c>
    </row>
    <row r="168" spans="1:8" s="982" customFormat="1" ht="36" customHeight="1" thickBot="1">
      <c r="A168" s="1900"/>
      <c r="B168" s="1903"/>
      <c r="C168" s="985"/>
      <c r="D168" s="16"/>
      <c r="E168" s="15"/>
      <c r="F168" s="910"/>
      <c r="G168" s="983"/>
    </row>
    <row r="169" spans="1:8" s="982" customFormat="1" ht="36" customHeight="1" thickBot="1">
      <c r="A169" s="1901"/>
      <c r="B169" s="1904"/>
      <c r="C169" s="12"/>
      <c r="D169" s="11"/>
      <c r="E169" s="10"/>
      <c r="F169" s="10"/>
      <c r="G169" s="9"/>
    </row>
    <row r="170" spans="1:8" s="1101" customFormat="1" ht="36" customHeight="1">
      <c r="A170" s="1899">
        <v>45163</v>
      </c>
      <c r="B170" s="1916" t="s">
        <v>0</v>
      </c>
      <c r="C170" s="1109" t="s">
        <v>4075</v>
      </c>
      <c r="D170" s="32" t="s">
        <v>4076</v>
      </c>
      <c r="E170" s="31" t="s">
        <v>4077</v>
      </c>
      <c r="F170" s="1108"/>
      <c r="G170" s="1115"/>
    </row>
    <row r="171" spans="1:8" s="1101" customFormat="1" ht="36" customHeight="1">
      <c r="A171" s="1900"/>
      <c r="B171" s="1917"/>
      <c r="C171" s="1910" t="s">
        <v>4082</v>
      </c>
      <c r="D171" s="32" t="s">
        <v>4086</v>
      </c>
      <c r="E171" s="31" t="s">
        <v>4083</v>
      </c>
      <c r="F171" s="1936" t="s">
        <v>4089</v>
      </c>
      <c r="G171" s="1911" t="s">
        <v>4088</v>
      </c>
    </row>
    <row r="172" spans="1:8" s="1101" customFormat="1" ht="36" customHeight="1">
      <c r="A172" s="1900"/>
      <c r="B172" s="1917"/>
      <c r="C172" s="1906"/>
      <c r="D172" s="30" t="s">
        <v>4084</v>
      </c>
      <c r="E172" s="29" t="s">
        <v>4085</v>
      </c>
      <c r="F172" s="1938"/>
      <c r="G172" s="1912"/>
    </row>
    <row r="173" spans="1:8" s="982" customFormat="1" ht="36" customHeight="1">
      <c r="A173" s="1900"/>
      <c r="B173" s="1917"/>
      <c r="C173" s="1914" t="s">
        <v>4058</v>
      </c>
      <c r="D173" s="1108" t="s">
        <v>4059</v>
      </c>
      <c r="E173" s="1108" t="s">
        <v>4060</v>
      </c>
      <c r="F173" s="1108"/>
      <c r="G173" s="1106"/>
    </row>
    <row r="174" spans="1:8" s="982" customFormat="1" ht="36" customHeight="1">
      <c r="A174" s="1900"/>
      <c r="B174" s="1917"/>
      <c r="C174" s="1914"/>
      <c r="D174" s="24" t="s">
        <v>4061</v>
      </c>
      <c r="E174" s="24" t="s">
        <v>4060</v>
      </c>
      <c r="F174" s="1108"/>
      <c r="G174" s="1105"/>
    </row>
    <row r="175" spans="1:8" s="982" customFormat="1" ht="36" customHeight="1">
      <c r="A175" s="1900"/>
      <c r="B175" s="1917"/>
      <c r="C175" s="1906"/>
      <c r="D175" s="24" t="s">
        <v>218</v>
      </c>
      <c r="E175" s="31" t="s">
        <v>4054</v>
      </c>
      <c r="F175" s="1108" t="s">
        <v>201</v>
      </c>
      <c r="G175" s="1105"/>
    </row>
    <row r="176" spans="1:8" s="1101" customFormat="1" ht="36" customHeight="1">
      <c r="A176" s="1900"/>
      <c r="B176" s="1917"/>
      <c r="C176" s="1109" t="s">
        <v>4090</v>
      </c>
      <c r="D176" s="1108" t="s">
        <v>43</v>
      </c>
      <c r="E176" s="31" t="s">
        <v>4091</v>
      </c>
      <c r="F176" s="24"/>
      <c r="G176" s="1115" t="s">
        <v>4106</v>
      </c>
      <c r="H176" s="1104" t="s">
        <v>4107</v>
      </c>
    </row>
    <row r="177" spans="1:11" s="1101" customFormat="1" ht="36" customHeight="1">
      <c r="A177" s="1900"/>
      <c r="B177" s="1917"/>
      <c r="C177" s="1910" t="s">
        <v>4099</v>
      </c>
      <c r="D177" s="1108" t="s">
        <v>4100</v>
      </c>
      <c r="E177" s="29" t="s">
        <v>4101</v>
      </c>
      <c r="F177" s="1108"/>
      <c r="G177" s="1107"/>
      <c r="H177" s="1101" t="s">
        <v>4103</v>
      </c>
    </row>
    <row r="178" spans="1:11" s="1101" customFormat="1" ht="36" customHeight="1">
      <c r="A178" s="1900"/>
      <c r="B178" s="1917"/>
      <c r="C178" s="1906"/>
      <c r="D178" s="1108" t="s">
        <v>4100</v>
      </c>
      <c r="E178" s="29" t="s">
        <v>4102</v>
      </c>
      <c r="F178" s="1108"/>
      <c r="G178" s="1107"/>
      <c r="H178" s="1104" t="s">
        <v>4104</v>
      </c>
    </row>
    <row r="179" spans="1:11" s="982" customFormat="1" ht="36" customHeight="1" thickBot="1">
      <c r="A179" s="1900"/>
      <c r="B179" s="1917"/>
      <c r="C179" s="1100"/>
      <c r="D179" s="26"/>
      <c r="E179" s="25"/>
      <c r="F179" s="910"/>
      <c r="G179" s="1102"/>
    </row>
    <row r="180" spans="1:11" s="982" customFormat="1" ht="36" customHeight="1" thickBot="1">
      <c r="A180" s="1901"/>
      <c r="B180" s="1918"/>
      <c r="C180" s="12" t="s">
        <v>1483</v>
      </c>
      <c r="D180" s="11" t="s">
        <v>573</v>
      </c>
      <c r="E180" s="10" t="s">
        <v>4031</v>
      </c>
      <c r="F180" s="10" t="s">
        <v>390</v>
      </c>
      <c r="G180" s="9"/>
    </row>
    <row r="181" spans="1:11" s="982" customFormat="1" ht="60" customHeight="1" thickBot="1">
      <c r="A181" s="1907" t="s">
        <v>5</v>
      </c>
      <c r="B181" s="1908"/>
      <c r="C181" s="1908"/>
      <c r="D181" s="1908"/>
      <c r="E181" s="1908"/>
      <c r="F181" s="1908"/>
      <c r="G181" s="1909"/>
    </row>
    <row r="182" spans="1:11" s="982" customFormat="1" ht="36" customHeight="1">
      <c r="A182" s="1899">
        <v>45166</v>
      </c>
      <c r="B182" s="1902" t="s">
        <v>4</v>
      </c>
      <c r="C182" s="1125" t="s">
        <v>74</v>
      </c>
      <c r="D182" s="24" t="s">
        <v>61</v>
      </c>
      <c r="E182" s="24" t="s">
        <v>65</v>
      </c>
      <c r="F182" s="1124"/>
      <c r="G182" s="1129" t="s">
        <v>58</v>
      </c>
    </row>
    <row r="183" spans="1:11" s="1101" customFormat="1" ht="36" customHeight="1">
      <c r="A183" s="1900"/>
      <c r="B183" s="1903"/>
      <c r="C183" s="1119" t="s">
        <v>4121</v>
      </c>
      <c r="D183" s="1124" t="s">
        <v>4122</v>
      </c>
      <c r="E183" s="29" t="s">
        <v>4123</v>
      </c>
      <c r="F183" s="1124"/>
      <c r="G183" s="1121" t="s">
        <v>4124</v>
      </c>
      <c r="H183" s="1101" t="s">
        <v>4125</v>
      </c>
    </row>
    <row r="184" spans="1:11" s="1104" customFormat="1" ht="36" customHeight="1">
      <c r="A184" s="1900"/>
      <c r="B184" s="1903"/>
      <c r="C184" s="1119" t="s">
        <v>4126</v>
      </c>
      <c r="D184" s="1124" t="s">
        <v>4127</v>
      </c>
      <c r="E184" s="29" t="s">
        <v>4128</v>
      </c>
      <c r="F184" s="1124"/>
      <c r="G184" s="1123" t="s">
        <v>4129</v>
      </c>
      <c r="H184" s="1104" t="s">
        <v>4130</v>
      </c>
    </row>
    <row r="185" spans="1:11" s="982" customFormat="1" ht="36" customHeight="1">
      <c r="A185" s="1900"/>
      <c r="B185" s="1903"/>
      <c r="C185" s="1125" t="s">
        <v>4138</v>
      </c>
      <c r="D185" s="32" t="s">
        <v>4139</v>
      </c>
      <c r="E185" s="31" t="s">
        <v>4140</v>
      </c>
      <c r="F185" s="1124"/>
      <c r="G185" s="1120" t="s">
        <v>314</v>
      </c>
    </row>
    <row r="186" spans="1:11" s="1111" customFormat="1" ht="36" customHeight="1">
      <c r="A186" s="1900"/>
      <c r="B186" s="1903"/>
      <c r="C186" s="1125" t="s">
        <v>4141</v>
      </c>
      <c r="D186" s="32" t="s">
        <v>4142</v>
      </c>
      <c r="E186" s="31" t="s">
        <v>4143</v>
      </c>
      <c r="F186" s="24" t="s">
        <v>4144</v>
      </c>
      <c r="G186" s="1130"/>
    </row>
    <row r="187" spans="1:11" s="1111" customFormat="1" ht="36" customHeight="1">
      <c r="A187" s="1900"/>
      <c r="B187" s="1903"/>
      <c r="C187" s="1119" t="s">
        <v>4145</v>
      </c>
      <c r="D187" s="30" t="s">
        <v>20</v>
      </c>
      <c r="E187" s="29" t="s">
        <v>4146</v>
      </c>
      <c r="F187" s="1124" t="s">
        <v>4148</v>
      </c>
      <c r="G187" s="1121" t="s">
        <v>4147</v>
      </c>
      <c r="H187" s="1111" t="s">
        <v>4149</v>
      </c>
    </row>
    <row r="188" spans="1:11" s="1111" customFormat="1" ht="36" customHeight="1">
      <c r="A188" s="1900"/>
      <c r="B188" s="1903"/>
      <c r="C188" s="1119" t="s">
        <v>49</v>
      </c>
      <c r="D188" s="30" t="s">
        <v>40</v>
      </c>
      <c r="E188" s="29" t="s">
        <v>47</v>
      </c>
      <c r="F188" s="1124"/>
      <c r="G188" s="1121" t="s">
        <v>45</v>
      </c>
      <c r="H188" s="1111" t="s">
        <v>2402</v>
      </c>
    </row>
    <row r="189" spans="1:11" s="1111" customFormat="1" ht="36" customHeight="1">
      <c r="A189" s="1900"/>
      <c r="B189" s="1903"/>
      <c r="C189" s="1119" t="s">
        <v>4171</v>
      </c>
      <c r="D189" s="30" t="s">
        <v>20</v>
      </c>
      <c r="E189" s="29" t="s">
        <v>4170</v>
      </c>
      <c r="F189" s="1124" t="s">
        <v>4172</v>
      </c>
      <c r="G189" s="1121" t="s">
        <v>4173</v>
      </c>
    </row>
    <row r="190" spans="1:11" s="982" customFormat="1" ht="36" customHeight="1" thickBot="1">
      <c r="A190" s="1900"/>
      <c r="B190" s="1903"/>
      <c r="C190" s="1110"/>
      <c r="D190" s="26"/>
      <c r="E190" s="25"/>
      <c r="F190" s="910"/>
      <c r="G190" s="1114"/>
    </row>
    <row r="191" spans="1:11" s="982" customFormat="1" ht="36" customHeight="1" thickBot="1">
      <c r="A191" s="1901"/>
      <c r="B191" s="1904"/>
      <c r="C191" s="12"/>
      <c r="D191" s="11"/>
      <c r="E191" s="10"/>
      <c r="F191" s="10"/>
      <c r="G191" s="9"/>
    </row>
    <row r="192" spans="1:11" s="982" customFormat="1" ht="36" customHeight="1" thickBot="1">
      <c r="A192" s="1899">
        <v>45167</v>
      </c>
      <c r="B192" s="1902" t="s">
        <v>3</v>
      </c>
      <c r="C192" s="1905" t="s">
        <v>3994</v>
      </c>
      <c r="D192" s="49" t="s">
        <v>3995</v>
      </c>
      <c r="E192" s="49" t="s">
        <v>3996</v>
      </c>
      <c r="F192" s="49"/>
      <c r="G192" s="1122"/>
      <c r="H192" s="1089" t="s">
        <v>3997</v>
      </c>
      <c r="I192" s="1090" t="s">
        <v>3998</v>
      </c>
      <c r="J192" s="1090" t="s">
        <v>3999</v>
      </c>
      <c r="K192" s="1091" t="s">
        <v>4000</v>
      </c>
    </row>
    <row r="193" spans="1:11" s="1111" customFormat="1" ht="36" customHeight="1">
      <c r="A193" s="1900"/>
      <c r="B193" s="1903"/>
      <c r="C193" s="1906"/>
      <c r="D193" s="24" t="s">
        <v>4136</v>
      </c>
      <c r="E193" s="24" t="s">
        <v>4137</v>
      </c>
      <c r="F193" s="1124"/>
      <c r="G193" s="1130"/>
      <c r="H193" s="1117"/>
      <c r="I193" s="1118"/>
      <c r="J193" s="1118"/>
      <c r="K193" s="1091"/>
    </row>
    <row r="194" spans="1:11" s="982" customFormat="1" ht="36" customHeight="1">
      <c r="A194" s="1900"/>
      <c r="B194" s="1903"/>
      <c r="C194" s="1125" t="s">
        <v>288</v>
      </c>
      <c r="D194" s="1124" t="s">
        <v>4174</v>
      </c>
      <c r="E194" s="1124" t="s">
        <v>4176</v>
      </c>
      <c r="F194" s="1124"/>
      <c r="G194" s="1130" t="s">
        <v>261</v>
      </c>
    </row>
    <row r="195" spans="1:11" s="982" customFormat="1" ht="36" customHeight="1">
      <c r="A195" s="1900"/>
      <c r="B195" s="1903"/>
      <c r="C195" s="1125" t="s">
        <v>4183</v>
      </c>
      <c r="D195" s="24" t="s">
        <v>4177</v>
      </c>
      <c r="E195" s="31" t="s">
        <v>4184</v>
      </c>
      <c r="F195" s="1124"/>
      <c r="G195" s="1120" t="s">
        <v>4185</v>
      </c>
    </row>
    <row r="196" spans="1:11" s="1127" customFormat="1" ht="36" customHeight="1">
      <c r="A196" s="1900"/>
      <c r="B196" s="1903"/>
      <c r="C196" s="1125" t="s">
        <v>4187</v>
      </c>
      <c r="D196" s="24" t="s">
        <v>20</v>
      </c>
      <c r="E196" s="31" t="s">
        <v>4184</v>
      </c>
      <c r="F196" s="24" t="s">
        <v>4189</v>
      </c>
      <c r="G196" s="1130" t="s">
        <v>4193</v>
      </c>
      <c r="H196" s="1127" t="s">
        <v>4188</v>
      </c>
    </row>
    <row r="197" spans="1:11" s="1127" customFormat="1" ht="36" customHeight="1">
      <c r="A197" s="1900"/>
      <c r="B197" s="1903"/>
      <c r="C197" s="1125" t="s">
        <v>4190</v>
      </c>
      <c r="D197" s="24" t="s">
        <v>20</v>
      </c>
      <c r="E197" s="31" t="s">
        <v>4191</v>
      </c>
      <c r="F197" s="24" t="s">
        <v>4189</v>
      </c>
      <c r="G197" s="1130" t="s">
        <v>4192</v>
      </c>
    </row>
    <row r="198" spans="1:11" s="982" customFormat="1" ht="36" customHeight="1" thickBot="1">
      <c r="A198" s="1900"/>
      <c r="B198" s="1903"/>
      <c r="C198" s="1126"/>
      <c r="D198" s="26"/>
      <c r="E198" s="25"/>
      <c r="F198" s="910"/>
      <c r="G198" s="1128"/>
    </row>
    <row r="199" spans="1:11" s="982" customFormat="1" ht="36" customHeight="1" thickBot="1">
      <c r="A199" s="1901"/>
      <c r="B199" s="1904"/>
      <c r="C199" s="12" t="s">
        <v>4032</v>
      </c>
      <c r="D199" s="11" t="s">
        <v>4033</v>
      </c>
      <c r="E199" s="10"/>
      <c r="F199" s="10" t="s">
        <v>4034</v>
      </c>
      <c r="G199" s="9"/>
    </row>
    <row r="200" spans="1:11" s="982" customFormat="1" ht="36" customHeight="1">
      <c r="A200" s="1899">
        <v>45168</v>
      </c>
      <c r="B200" s="1902" t="s">
        <v>2</v>
      </c>
      <c r="C200" s="1135" t="s">
        <v>4150</v>
      </c>
      <c r="D200" s="24" t="s">
        <v>4151</v>
      </c>
      <c r="E200" s="24" t="s">
        <v>4152</v>
      </c>
      <c r="F200" s="1134"/>
      <c r="G200" s="1132"/>
    </row>
    <row r="201" spans="1:11" s="1111" customFormat="1" ht="36" customHeight="1">
      <c r="A201" s="1900"/>
      <c r="B201" s="1903"/>
      <c r="C201" s="1910" t="s">
        <v>4160</v>
      </c>
      <c r="D201" s="24" t="s">
        <v>4161</v>
      </c>
      <c r="E201" s="24" t="s">
        <v>4162</v>
      </c>
      <c r="F201" s="1134"/>
      <c r="G201" s="1132"/>
    </row>
    <row r="202" spans="1:11" s="1111" customFormat="1" ht="36" customHeight="1">
      <c r="A202" s="1900"/>
      <c r="B202" s="1903"/>
      <c r="C202" s="1914"/>
      <c r="D202" s="24" t="s">
        <v>4163</v>
      </c>
      <c r="E202" s="24" t="s">
        <v>4164</v>
      </c>
      <c r="F202" s="1134"/>
      <c r="G202" s="1132"/>
    </row>
    <row r="203" spans="1:11" s="1111" customFormat="1" ht="36" customHeight="1">
      <c r="A203" s="1900"/>
      <c r="B203" s="1903"/>
      <c r="C203" s="1914"/>
      <c r="D203" s="24" t="s">
        <v>4165</v>
      </c>
      <c r="E203" s="24" t="s">
        <v>4166</v>
      </c>
      <c r="F203" s="1134"/>
      <c r="G203" s="1132"/>
    </row>
    <row r="204" spans="1:11" s="1111" customFormat="1" ht="36" customHeight="1">
      <c r="A204" s="1900"/>
      <c r="B204" s="1903"/>
      <c r="C204" s="1914"/>
      <c r="D204" s="24" t="s">
        <v>4167</v>
      </c>
      <c r="E204" s="24" t="s">
        <v>4168</v>
      </c>
      <c r="F204" s="1134"/>
      <c r="G204" s="1132"/>
    </row>
    <row r="205" spans="1:11" s="982" customFormat="1" ht="36" customHeight="1">
      <c r="A205" s="1900"/>
      <c r="B205" s="1903"/>
      <c r="C205" s="1906"/>
      <c r="D205" s="24" t="s">
        <v>4169</v>
      </c>
      <c r="E205" s="24" t="s">
        <v>4158</v>
      </c>
      <c r="F205" s="1134" t="s">
        <v>201</v>
      </c>
      <c r="G205" s="1132"/>
    </row>
    <row r="206" spans="1:11" s="1127" customFormat="1" ht="36" customHeight="1">
      <c r="A206" s="1900"/>
      <c r="B206" s="1903"/>
      <c r="C206" s="1910" t="s">
        <v>4175</v>
      </c>
      <c r="D206" s="24" t="s">
        <v>337</v>
      </c>
      <c r="E206" s="24" t="s">
        <v>182</v>
      </c>
      <c r="F206" s="1936" t="s">
        <v>3461</v>
      </c>
      <c r="G206" s="1132"/>
      <c r="H206" s="1117"/>
      <c r="I206" s="1118"/>
      <c r="J206" s="1118"/>
      <c r="K206" s="1091"/>
    </row>
    <row r="207" spans="1:11" s="1127" customFormat="1" ht="36" customHeight="1">
      <c r="A207" s="1900"/>
      <c r="B207" s="1903"/>
      <c r="C207" s="1906"/>
      <c r="D207" s="24" t="s">
        <v>486</v>
      </c>
      <c r="E207" s="24" t="s">
        <v>182</v>
      </c>
      <c r="F207" s="1938"/>
      <c r="G207" s="1137"/>
      <c r="H207" s="1117"/>
      <c r="I207" s="1118"/>
      <c r="J207" s="1118"/>
      <c r="K207" s="1091"/>
    </row>
    <row r="208" spans="1:11" s="1127" customFormat="1" ht="36" customHeight="1">
      <c r="A208" s="1900"/>
      <c r="B208" s="1903"/>
      <c r="C208" s="1131" t="s">
        <v>4186</v>
      </c>
      <c r="D208" s="1134" t="s">
        <v>4178</v>
      </c>
      <c r="E208" s="1134" t="s">
        <v>4179</v>
      </c>
      <c r="F208" s="1134" t="s">
        <v>4180</v>
      </c>
      <c r="G208" s="1133" t="s">
        <v>4181</v>
      </c>
      <c r="H208" s="1127" t="s">
        <v>4182</v>
      </c>
    </row>
    <row r="209" spans="1:8" s="982" customFormat="1" ht="36" customHeight="1">
      <c r="A209" s="1900"/>
      <c r="B209" s="1903"/>
      <c r="C209" s="1135" t="s">
        <v>4194</v>
      </c>
      <c r="D209" s="32" t="s">
        <v>4195</v>
      </c>
      <c r="E209" s="31" t="s">
        <v>4196</v>
      </c>
      <c r="F209" s="1134"/>
      <c r="G209" s="1132" t="s">
        <v>4197</v>
      </c>
    </row>
    <row r="210" spans="1:8" s="982" customFormat="1" ht="36" customHeight="1" thickBot="1">
      <c r="A210" s="1900"/>
      <c r="B210" s="1903"/>
      <c r="C210" s="985"/>
      <c r="D210" s="16"/>
      <c r="E210" s="15"/>
      <c r="F210" s="910"/>
      <c r="G210" s="983"/>
    </row>
    <row r="211" spans="1:8" s="982" customFormat="1" ht="36" customHeight="1" thickBot="1">
      <c r="A211" s="1901"/>
      <c r="B211" s="1904"/>
      <c r="C211" s="12" t="s">
        <v>4035</v>
      </c>
      <c r="D211" s="11" t="s">
        <v>4036</v>
      </c>
      <c r="E211" s="10" t="s">
        <v>4037</v>
      </c>
      <c r="F211" s="10" t="s">
        <v>4038</v>
      </c>
      <c r="G211" s="9"/>
    </row>
    <row r="212" spans="1:8" s="982" customFormat="1" ht="36" customHeight="1">
      <c r="A212" s="1900">
        <v>45169</v>
      </c>
      <c r="B212" s="1903" t="s">
        <v>4234</v>
      </c>
      <c r="C212" s="1140" t="s">
        <v>4153</v>
      </c>
      <c r="D212" s="24" t="s">
        <v>4154</v>
      </c>
      <c r="E212" s="24" t="s">
        <v>4155</v>
      </c>
      <c r="F212" s="1139"/>
      <c r="G212" s="1138"/>
    </row>
    <row r="213" spans="1:8" s="1111" customFormat="1" ht="36" customHeight="1">
      <c r="A213" s="1900"/>
      <c r="B213" s="1903"/>
      <c r="C213" s="1140" t="s">
        <v>4156</v>
      </c>
      <c r="D213" s="24" t="s">
        <v>4157</v>
      </c>
      <c r="E213" s="24" t="s">
        <v>4158</v>
      </c>
      <c r="F213" s="1139"/>
      <c r="G213" s="1138" t="s">
        <v>4159</v>
      </c>
    </row>
    <row r="214" spans="1:8" s="1111" customFormat="1" ht="36" customHeight="1">
      <c r="A214" s="1900"/>
      <c r="B214" s="1903"/>
      <c r="C214" s="1910" t="s">
        <v>4203</v>
      </c>
      <c r="D214" s="24" t="s">
        <v>4204</v>
      </c>
      <c r="E214" s="24" t="s">
        <v>4205</v>
      </c>
      <c r="F214" s="1139"/>
      <c r="G214" s="1911" t="s">
        <v>4210</v>
      </c>
    </row>
    <row r="215" spans="1:8" s="1143" customFormat="1" ht="36" customHeight="1">
      <c r="A215" s="1900"/>
      <c r="B215" s="1903"/>
      <c r="C215" s="1914"/>
      <c r="D215" s="24" t="s">
        <v>4208</v>
      </c>
      <c r="E215" s="24" t="s">
        <v>4209</v>
      </c>
      <c r="F215" s="1139"/>
      <c r="G215" s="1912"/>
    </row>
    <row r="216" spans="1:8" s="1143" customFormat="1" ht="36" customHeight="1">
      <c r="A216" s="1900"/>
      <c r="B216" s="1903"/>
      <c r="C216" s="1906"/>
      <c r="D216" s="24" t="s">
        <v>4206</v>
      </c>
      <c r="E216" s="24" t="s">
        <v>4207</v>
      </c>
      <c r="F216" s="1139"/>
      <c r="G216" s="1138" t="s">
        <v>4211</v>
      </c>
    </row>
    <row r="217" spans="1:8" s="982" customFormat="1" ht="36" customHeight="1">
      <c r="A217" s="1900"/>
      <c r="B217" s="1903"/>
      <c r="C217" s="1140" t="s">
        <v>4212</v>
      </c>
      <c r="D217" s="24" t="s">
        <v>4213</v>
      </c>
      <c r="E217" s="24" t="s">
        <v>4214</v>
      </c>
      <c r="F217" s="1139" t="s">
        <v>4215</v>
      </c>
      <c r="G217" s="1138"/>
      <c r="H217" s="982" t="s">
        <v>4216</v>
      </c>
    </row>
    <row r="218" spans="1:8" s="1143" customFormat="1" ht="36" customHeight="1">
      <c r="A218" s="1900"/>
      <c r="B218" s="1903"/>
      <c r="C218" s="1910" t="s">
        <v>4217</v>
      </c>
      <c r="D218" s="24" t="s">
        <v>4218</v>
      </c>
      <c r="E218" s="24" t="s">
        <v>4219</v>
      </c>
      <c r="F218" s="24"/>
      <c r="G218" s="1911" t="s">
        <v>4222</v>
      </c>
    </row>
    <row r="219" spans="1:8" s="1143" customFormat="1" ht="36" customHeight="1">
      <c r="A219" s="1900"/>
      <c r="B219" s="1903"/>
      <c r="C219" s="1906"/>
      <c r="D219" s="1139" t="s">
        <v>4220</v>
      </c>
      <c r="E219" s="1139" t="s">
        <v>4221</v>
      </c>
      <c r="F219" s="1139"/>
      <c r="G219" s="1912"/>
    </row>
    <row r="220" spans="1:8" s="1143" customFormat="1" ht="36" customHeight="1">
      <c r="A220" s="1900"/>
      <c r="B220" s="1903"/>
      <c r="C220" s="1910" t="s">
        <v>198</v>
      </c>
      <c r="D220" s="32" t="s">
        <v>218</v>
      </c>
      <c r="E220" s="29" t="s">
        <v>4226</v>
      </c>
      <c r="F220" s="1139"/>
      <c r="G220" s="1911" t="s">
        <v>178</v>
      </c>
    </row>
    <row r="221" spans="1:8" s="1143" customFormat="1" ht="36" customHeight="1">
      <c r="A221" s="1900"/>
      <c r="B221" s="1903"/>
      <c r="C221" s="1914"/>
      <c r="D221" s="32" t="s">
        <v>474</v>
      </c>
      <c r="E221" s="29" t="s">
        <v>230</v>
      </c>
      <c r="F221" s="1139"/>
      <c r="G221" s="1913"/>
    </row>
    <row r="222" spans="1:8" s="1143" customFormat="1" ht="36" customHeight="1">
      <c r="A222" s="1900"/>
      <c r="B222" s="1903"/>
      <c r="C222" s="1914"/>
      <c r="D222" s="32" t="s">
        <v>233</v>
      </c>
      <c r="E222" s="29" t="s">
        <v>230</v>
      </c>
      <c r="F222" s="1139"/>
      <c r="G222" s="1913"/>
    </row>
    <row r="223" spans="1:8" s="1143" customFormat="1" ht="36" customHeight="1">
      <c r="A223" s="1900"/>
      <c r="B223" s="1903"/>
      <c r="C223" s="1914"/>
      <c r="D223" s="32" t="s">
        <v>221</v>
      </c>
      <c r="E223" s="29" t="s">
        <v>4227</v>
      </c>
      <c r="F223" s="1139"/>
      <c r="G223" s="1913"/>
    </row>
    <row r="224" spans="1:8" s="1143" customFormat="1" ht="36" customHeight="1" thickBot="1">
      <c r="A224" s="1900"/>
      <c r="B224" s="1903"/>
      <c r="C224" s="1906"/>
      <c r="D224" s="30" t="s">
        <v>176</v>
      </c>
      <c r="E224" s="29" t="s">
        <v>438</v>
      </c>
      <c r="F224" s="1139"/>
      <c r="G224" s="1912"/>
    </row>
    <row r="225" spans="1:7" s="1143" customFormat="1" ht="36" hidden="1" customHeight="1">
      <c r="A225" s="1900"/>
      <c r="B225" s="1903"/>
      <c r="C225" s="21"/>
      <c r="D225" s="22"/>
      <c r="E225" s="22"/>
      <c r="F225" s="22"/>
      <c r="G225" s="64"/>
    </row>
    <row r="226" spans="1:7" s="1143" customFormat="1" ht="36" hidden="1" customHeight="1">
      <c r="A226" s="1900"/>
      <c r="B226" s="1903"/>
      <c r="C226" s="1142"/>
      <c r="D226" s="1116"/>
      <c r="E226" s="1116"/>
      <c r="F226" s="1116"/>
      <c r="G226" s="1145"/>
    </row>
    <row r="227" spans="1:7" s="1143" customFormat="1" ht="36" hidden="1" customHeight="1">
      <c r="A227" s="1900"/>
      <c r="B227" s="1903"/>
      <c r="C227" s="1142"/>
      <c r="D227" s="1116"/>
      <c r="E227" s="1116"/>
      <c r="F227" s="1116"/>
      <c r="G227" s="1145"/>
    </row>
    <row r="228" spans="1:7" s="982" customFormat="1" ht="36" hidden="1" customHeight="1" thickBot="1">
      <c r="A228" s="1900"/>
      <c r="B228" s="1903"/>
      <c r="C228" s="1141"/>
      <c r="D228" s="26"/>
      <c r="E228" s="25"/>
      <c r="F228" s="910"/>
      <c r="G228" s="1144"/>
    </row>
    <row r="229" spans="1:7" s="982" customFormat="1" ht="36" customHeight="1" thickBot="1">
      <c r="A229" s="1901"/>
      <c r="B229" s="1904"/>
      <c r="C229" s="12" t="s">
        <v>4039</v>
      </c>
      <c r="D229" s="11" t="s">
        <v>4040</v>
      </c>
      <c r="E229" s="10" t="s">
        <v>4041</v>
      </c>
      <c r="F229" s="10" t="s">
        <v>4042</v>
      </c>
      <c r="G229" s="9"/>
    </row>
  </sheetData>
  <mergeCells count="111">
    <mergeCell ref="C220:C224"/>
    <mergeCell ref="G220:G224"/>
    <mergeCell ref="C87:C88"/>
    <mergeCell ref="G87:G88"/>
    <mergeCell ref="C105:C107"/>
    <mergeCell ref="C101:C104"/>
    <mergeCell ref="G105:G106"/>
    <mergeCell ref="F206:F207"/>
    <mergeCell ref="C206:C207"/>
    <mergeCell ref="C192:C193"/>
    <mergeCell ref="C201:C205"/>
    <mergeCell ref="C214:C216"/>
    <mergeCell ref="G214:G215"/>
    <mergeCell ref="G160:G161"/>
    <mergeCell ref="C173:C175"/>
    <mergeCell ref="C150:C151"/>
    <mergeCell ref="G150:G151"/>
    <mergeCell ref="C163:C164"/>
    <mergeCell ref="G163:G164"/>
    <mergeCell ref="C152:C153"/>
    <mergeCell ref="G152:G153"/>
    <mergeCell ref="C218:C219"/>
    <mergeCell ref="G218:G219"/>
    <mergeCell ref="A1:G1"/>
    <mergeCell ref="A192:A199"/>
    <mergeCell ref="B192:B199"/>
    <mergeCell ref="A200:A211"/>
    <mergeCell ref="B200:B211"/>
    <mergeCell ref="A212:A229"/>
    <mergeCell ref="B212:B229"/>
    <mergeCell ref="A156:A169"/>
    <mergeCell ref="B156:B169"/>
    <mergeCell ref="A112:A117"/>
    <mergeCell ref="B112:B117"/>
    <mergeCell ref="A181:G181"/>
    <mergeCell ref="C21:C23"/>
    <mergeCell ref="G63:G64"/>
    <mergeCell ref="C63:C64"/>
    <mergeCell ref="C66:C69"/>
    <mergeCell ref="G66:G69"/>
    <mergeCell ref="G36:G38"/>
    <mergeCell ref="A28:G28"/>
    <mergeCell ref="A46:A56"/>
    <mergeCell ref="B46:B56"/>
    <mergeCell ref="A57:A61"/>
    <mergeCell ref="B57:B61"/>
    <mergeCell ref="A62:G62"/>
    <mergeCell ref="A2:G2"/>
    <mergeCell ref="A29:A40"/>
    <mergeCell ref="B29:B40"/>
    <mergeCell ref="A41:A45"/>
    <mergeCell ref="B41:B45"/>
    <mergeCell ref="C32:C34"/>
    <mergeCell ref="C36:C38"/>
    <mergeCell ref="A3:A12"/>
    <mergeCell ref="B3:B12"/>
    <mergeCell ref="G3:G5"/>
    <mergeCell ref="A13:A27"/>
    <mergeCell ref="B13:B27"/>
    <mergeCell ref="C13:C14"/>
    <mergeCell ref="C3:C5"/>
    <mergeCell ref="C17:C20"/>
    <mergeCell ref="G17:G20"/>
    <mergeCell ref="C49:C50"/>
    <mergeCell ref="G49:G50"/>
    <mergeCell ref="A63:A74"/>
    <mergeCell ref="B63:B74"/>
    <mergeCell ref="G85:G86"/>
    <mergeCell ref="G82:G83"/>
    <mergeCell ref="C91:C92"/>
    <mergeCell ref="A170:A180"/>
    <mergeCell ref="B170:B180"/>
    <mergeCell ref="C171:C172"/>
    <mergeCell ref="G171:G172"/>
    <mergeCell ref="F171:F172"/>
    <mergeCell ref="C165:C166"/>
    <mergeCell ref="G165:G166"/>
    <mergeCell ref="A81:A94"/>
    <mergeCell ref="B81:B94"/>
    <mergeCell ref="C82:C83"/>
    <mergeCell ref="A118:G118"/>
    <mergeCell ref="A132:A141"/>
    <mergeCell ref="B132:B141"/>
    <mergeCell ref="A142:A155"/>
    <mergeCell ref="B142:B155"/>
    <mergeCell ref="C95:C99"/>
    <mergeCell ref="G113:G115"/>
    <mergeCell ref="A75:A80"/>
    <mergeCell ref="A95:A111"/>
    <mergeCell ref="B95:B111"/>
    <mergeCell ref="A182:A191"/>
    <mergeCell ref="B182:B191"/>
    <mergeCell ref="G101:G103"/>
    <mergeCell ref="A119:A131"/>
    <mergeCell ref="B119:B131"/>
    <mergeCell ref="C119:C120"/>
    <mergeCell ref="C123:C126"/>
    <mergeCell ref="F113:F114"/>
    <mergeCell ref="C113:C115"/>
    <mergeCell ref="G123:G126"/>
    <mergeCell ref="C157:C158"/>
    <mergeCell ref="C144:C145"/>
    <mergeCell ref="G144:G145"/>
    <mergeCell ref="C132:C134"/>
    <mergeCell ref="C135:C136"/>
    <mergeCell ref="G91:G92"/>
    <mergeCell ref="B75:B80"/>
    <mergeCell ref="C75:C76"/>
    <mergeCell ref="G75:G76"/>
    <mergeCell ref="C177:C178"/>
    <mergeCell ref="C160:C161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"/>
  <sheetViews>
    <sheetView zoomScale="70" zoomScaleNormal="70" zoomScaleSheetLayoutView="70" workbookViewId="0">
      <pane ySplit="1" topLeftCell="A75" activePane="bottomLeft" state="frozen"/>
      <selection pane="bottomLeft" activeCell="C90" sqref="A90:XFD90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111" customWidth="1"/>
    <col min="9" max="16384" width="9" style="1"/>
  </cols>
  <sheetData>
    <row r="1" spans="1:8" ht="53.25" customHeight="1" thickBot="1">
      <c r="A1" s="1956" t="s">
        <v>4098</v>
      </c>
      <c r="B1" s="1956"/>
      <c r="C1" s="1956"/>
      <c r="D1" s="1956"/>
      <c r="E1" s="1956"/>
      <c r="F1" s="1956"/>
      <c r="G1" s="1956"/>
      <c r="H1" s="65" t="s">
        <v>3858</v>
      </c>
    </row>
    <row r="2" spans="1:8" s="1147" customFormat="1" ht="60" customHeight="1" thickBot="1">
      <c r="A2" s="1907" t="s">
        <v>5</v>
      </c>
      <c r="B2" s="1908"/>
      <c r="C2" s="1908"/>
      <c r="D2" s="1908"/>
      <c r="E2" s="1908"/>
      <c r="F2" s="1908"/>
      <c r="G2" s="1909"/>
    </row>
    <row r="3" spans="1:8" s="1104" customFormat="1" ht="36" customHeight="1">
      <c r="A3" s="1899">
        <v>45170</v>
      </c>
      <c r="B3" s="1902" t="s">
        <v>0</v>
      </c>
      <c r="C3" s="1158" t="s">
        <v>594</v>
      </c>
      <c r="D3" s="24" t="s">
        <v>1284</v>
      </c>
      <c r="E3" s="24" t="s">
        <v>356</v>
      </c>
      <c r="F3" s="1156"/>
      <c r="G3" s="1160" t="s">
        <v>354</v>
      </c>
    </row>
    <row r="4" spans="1:8" s="1143" customFormat="1" ht="36" customHeight="1">
      <c r="A4" s="1900"/>
      <c r="B4" s="1903"/>
      <c r="C4" s="1158" t="s">
        <v>622</v>
      </c>
      <c r="D4" s="24" t="s">
        <v>370</v>
      </c>
      <c r="E4" s="24" t="s">
        <v>189</v>
      </c>
      <c r="F4" s="1156"/>
      <c r="G4" s="1152"/>
    </row>
    <row r="5" spans="1:8" s="982" customFormat="1" ht="36" customHeight="1">
      <c r="A5" s="1900"/>
      <c r="B5" s="1903"/>
      <c r="C5" s="1910" t="s">
        <v>4113</v>
      </c>
      <c r="D5" s="24" t="s">
        <v>4114</v>
      </c>
      <c r="E5" s="24" t="s">
        <v>4115</v>
      </c>
      <c r="F5" s="24"/>
      <c r="G5" s="1152"/>
    </row>
    <row r="6" spans="1:8" s="982" customFormat="1" ht="36" customHeight="1">
      <c r="A6" s="1900"/>
      <c r="B6" s="1903"/>
      <c r="C6" s="1914"/>
      <c r="D6" s="32" t="s">
        <v>4116</v>
      </c>
      <c r="E6" s="31" t="s">
        <v>4117</v>
      </c>
      <c r="F6" s="1156"/>
      <c r="G6" s="1152"/>
    </row>
    <row r="7" spans="1:8" s="982" customFormat="1" ht="36" customHeight="1">
      <c r="A7" s="1900"/>
      <c r="B7" s="1903"/>
      <c r="C7" s="1906"/>
      <c r="D7" s="32" t="s">
        <v>4118</v>
      </c>
      <c r="E7" s="31" t="s">
        <v>4119</v>
      </c>
      <c r="F7" s="1156" t="s">
        <v>4120</v>
      </c>
      <c r="G7" s="1161"/>
    </row>
    <row r="8" spans="1:8" s="1143" customFormat="1" ht="36" customHeight="1">
      <c r="A8" s="1900"/>
      <c r="B8" s="1903"/>
      <c r="C8" s="1910" t="s">
        <v>4217</v>
      </c>
      <c r="D8" s="24" t="s">
        <v>4223</v>
      </c>
      <c r="E8" s="24" t="s">
        <v>300</v>
      </c>
      <c r="F8" s="24"/>
      <c r="G8" s="1911" t="s">
        <v>4222</v>
      </c>
    </row>
    <row r="9" spans="1:8" s="1143" customFormat="1" ht="36" customHeight="1">
      <c r="A9" s="1900"/>
      <c r="B9" s="1903"/>
      <c r="C9" s="1906"/>
      <c r="D9" s="1156" t="s">
        <v>4224</v>
      </c>
      <c r="E9" s="1156" t="s">
        <v>4225</v>
      </c>
      <c r="F9" s="1156"/>
      <c r="G9" s="1912"/>
    </row>
    <row r="10" spans="1:8" s="1104" customFormat="1" ht="36" customHeight="1">
      <c r="A10" s="1900"/>
      <c r="B10" s="1903"/>
      <c r="C10" s="1151" t="s">
        <v>4228</v>
      </c>
      <c r="D10" s="24" t="s">
        <v>4223</v>
      </c>
      <c r="E10" s="29" t="s">
        <v>4229</v>
      </c>
      <c r="F10" s="1156" t="s">
        <v>316</v>
      </c>
      <c r="G10" s="1153" t="s">
        <v>4230</v>
      </c>
      <c r="H10" s="1104" t="s">
        <v>4231</v>
      </c>
    </row>
    <row r="11" spans="1:8" s="1104" customFormat="1" ht="36" customHeight="1">
      <c r="A11" s="1900"/>
      <c r="B11" s="1903"/>
      <c r="C11" s="1151" t="s">
        <v>4245</v>
      </c>
      <c r="D11" s="30" t="s">
        <v>4246</v>
      </c>
      <c r="E11" s="29" t="s">
        <v>4247</v>
      </c>
      <c r="F11" s="1156"/>
      <c r="G11" s="1153" t="s">
        <v>314</v>
      </c>
    </row>
    <row r="12" spans="1:8" s="1104" customFormat="1" ht="36" customHeight="1" thickBot="1">
      <c r="A12" s="1900"/>
      <c r="B12" s="1903"/>
      <c r="C12" s="1157" t="s">
        <v>4266</v>
      </c>
      <c r="D12" s="35" t="s">
        <v>4267</v>
      </c>
      <c r="E12" s="34" t="s">
        <v>4268</v>
      </c>
      <c r="F12" s="1155"/>
      <c r="G12" s="1154" t="s">
        <v>314</v>
      </c>
    </row>
    <row r="13" spans="1:8" s="1136" customFormat="1" ht="36" customHeight="1" thickBot="1">
      <c r="A13" s="1900"/>
      <c r="B13" s="1903"/>
      <c r="C13" s="12" t="s">
        <v>4198</v>
      </c>
      <c r="D13" s="11" t="s">
        <v>4199</v>
      </c>
      <c r="E13" s="10"/>
      <c r="F13" s="10" t="s">
        <v>4200</v>
      </c>
      <c r="G13" s="9"/>
    </row>
    <row r="14" spans="1:8" s="982" customFormat="1" ht="36" customHeight="1" thickBot="1">
      <c r="A14" s="1901"/>
      <c r="B14" s="1904"/>
      <c r="C14" s="12" t="s">
        <v>4201</v>
      </c>
      <c r="D14" s="11" t="s">
        <v>4199</v>
      </c>
      <c r="E14" s="10" t="s">
        <v>4235</v>
      </c>
      <c r="F14" s="10" t="s">
        <v>4202</v>
      </c>
      <c r="G14" s="9"/>
    </row>
    <row r="15" spans="1:8" ht="30" customHeight="1">
      <c r="A15" s="1899">
        <v>45171</v>
      </c>
      <c r="B15" s="1902" t="s">
        <v>33</v>
      </c>
      <c r="C15" s="1905" t="s">
        <v>4263</v>
      </c>
      <c r="D15" s="24" t="s">
        <v>4301</v>
      </c>
      <c r="E15" s="24" t="s">
        <v>4302</v>
      </c>
      <c r="F15" s="1156"/>
      <c r="G15" s="1915" t="s">
        <v>314</v>
      </c>
      <c r="H15" s="1147"/>
    </row>
    <row r="16" spans="1:8" ht="30" customHeight="1">
      <c r="A16" s="1900"/>
      <c r="B16" s="1903"/>
      <c r="C16" s="1914"/>
      <c r="D16" s="24" t="s">
        <v>4269</v>
      </c>
      <c r="E16" s="24" t="s">
        <v>4270</v>
      </c>
      <c r="F16" s="1156"/>
      <c r="G16" s="1913"/>
      <c r="H16" s="1147"/>
    </row>
    <row r="17" spans="1:8" ht="30" customHeight="1">
      <c r="A17" s="1900"/>
      <c r="B17" s="1903"/>
      <c r="C17" s="1906"/>
      <c r="D17" s="24" t="s">
        <v>4264</v>
      </c>
      <c r="E17" s="24" t="s">
        <v>4265</v>
      </c>
      <c r="F17" s="1156"/>
      <c r="G17" s="1912"/>
      <c r="H17" s="1147"/>
    </row>
    <row r="18" spans="1:8" ht="30" customHeight="1">
      <c r="A18" s="1900"/>
      <c r="B18" s="1903"/>
      <c r="C18" s="21"/>
      <c r="D18" s="20"/>
      <c r="E18" s="19"/>
      <c r="F18" s="1116"/>
      <c r="G18" s="1149"/>
      <c r="H18" s="1147"/>
    </row>
    <row r="19" spans="1:8" ht="30" customHeight="1" thickBot="1">
      <c r="A19" s="1900"/>
      <c r="B19" s="1903"/>
      <c r="C19" s="1148"/>
      <c r="D19" s="16"/>
      <c r="E19" s="15"/>
      <c r="F19" s="910"/>
      <c r="G19" s="1149"/>
      <c r="H19" s="1147"/>
    </row>
    <row r="20" spans="1:8" ht="30" customHeight="1" thickBot="1">
      <c r="A20" s="1901"/>
      <c r="B20" s="1904"/>
      <c r="C20" s="12"/>
      <c r="D20" s="11"/>
      <c r="E20" s="10"/>
      <c r="F20" s="10"/>
      <c r="G20" s="9"/>
      <c r="H20" s="1147"/>
    </row>
    <row r="21" spans="1:8" s="1111" customFormat="1" ht="60" customHeight="1" thickBot="1">
      <c r="A21" s="1907" t="s">
        <v>5</v>
      </c>
      <c r="B21" s="1908"/>
      <c r="C21" s="1908"/>
      <c r="D21" s="1908"/>
      <c r="E21" s="1908"/>
      <c r="F21" s="1908"/>
      <c r="G21" s="1909"/>
    </row>
    <row r="22" spans="1:8" s="1111" customFormat="1" ht="30" customHeight="1">
      <c r="A22" s="1899">
        <v>45173</v>
      </c>
      <c r="B22" s="1902" t="s">
        <v>4</v>
      </c>
      <c r="C22" s="1158" t="s">
        <v>4233</v>
      </c>
      <c r="D22" s="24" t="s">
        <v>395</v>
      </c>
      <c r="E22" s="24" t="s">
        <v>4303</v>
      </c>
      <c r="F22" s="1156"/>
      <c r="G22" s="1152"/>
    </row>
    <row r="23" spans="1:8" s="1147" customFormat="1" ht="30" customHeight="1">
      <c r="A23" s="1900"/>
      <c r="B23" s="1903"/>
      <c r="C23" s="1158" t="s">
        <v>4257</v>
      </c>
      <c r="D23" s="32" t="s">
        <v>4258</v>
      </c>
      <c r="E23" s="31" t="s">
        <v>4259</v>
      </c>
      <c r="F23" s="24"/>
      <c r="G23" s="1161" t="s">
        <v>490</v>
      </c>
    </row>
    <row r="24" spans="1:8" s="1111" customFormat="1" ht="30" customHeight="1">
      <c r="A24" s="1900"/>
      <c r="B24" s="1903"/>
      <c r="C24" s="1158" t="s">
        <v>4248</v>
      </c>
      <c r="D24" s="32" t="s">
        <v>4249</v>
      </c>
      <c r="E24" s="31" t="s">
        <v>4250</v>
      </c>
      <c r="F24" s="1156" t="s">
        <v>4251</v>
      </c>
      <c r="G24" s="1152" t="s">
        <v>4262</v>
      </c>
    </row>
    <row r="25" spans="1:8" s="1147" customFormat="1" ht="30" customHeight="1">
      <c r="A25" s="1900"/>
      <c r="B25" s="1903"/>
      <c r="C25" s="1158" t="s">
        <v>4272</v>
      </c>
      <c r="D25" s="32" t="s">
        <v>4274</v>
      </c>
      <c r="E25" s="31" t="s">
        <v>4275</v>
      </c>
      <c r="F25" s="24" t="s">
        <v>4273</v>
      </c>
      <c r="G25" s="1161" t="s">
        <v>4276</v>
      </c>
    </row>
    <row r="26" spans="1:8" s="1147" customFormat="1" ht="30" customHeight="1">
      <c r="A26" s="1900"/>
      <c r="B26" s="1903"/>
      <c r="C26" s="1158" t="s">
        <v>4232</v>
      </c>
      <c r="D26" s="24" t="s">
        <v>20</v>
      </c>
      <c r="E26" s="24" t="s">
        <v>39</v>
      </c>
      <c r="F26" s="1156" t="s">
        <v>38</v>
      </c>
      <c r="G26" s="1152" t="s">
        <v>4294</v>
      </c>
    </row>
    <row r="27" spans="1:8" s="1111" customFormat="1" ht="30" customHeight="1">
      <c r="A27" s="1900"/>
      <c r="B27" s="1903"/>
      <c r="C27" s="1158" t="s">
        <v>4286</v>
      </c>
      <c r="D27" s="32" t="s">
        <v>4287</v>
      </c>
      <c r="E27" s="31" t="s">
        <v>4288</v>
      </c>
      <c r="F27" s="24"/>
      <c r="G27" s="1161" t="s">
        <v>4289</v>
      </c>
      <c r="H27" s="1159" t="s">
        <v>4295</v>
      </c>
    </row>
    <row r="28" spans="1:8" s="1147" customFormat="1" ht="30" customHeight="1">
      <c r="A28" s="1900"/>
      <c r="B28" s="1903"/>
      <c r="C28" s="1158" t="s">
        <v>4290</v>
      </c>
      <c r="D28" s="32" t="s">
        <v>4291</v>
      </c>
      <c r="E28" s="31" t="s">
        <v>4292</v>
      </c>
      <c r="F28" s="24"/>
      <c r="G28" s="1161" t="s">
        <v>4293</v>
      </c>
    </row>
    <row r="29" spans="1:8" s="1147" customFormat="1" ht="30" customHeight="1">
      <c r="A29" s="1900"/>
      <c r="B29" s="1903"/>
      <c r="C29" s="1151" t="s">
        <v>4305</v>
      </c>
      <c r="D29" s="30" t="s">
        <v>4306</v>
      </c>
      <c r="E29" s="29" t="s">
        <v>4307</v>
      </c>
      <c r="F29" s="1156" t="s">
        <v>4308</v>
      </c>
      <c r="G29" s="1153" t="s">
        <v>4309</v>
      </c>
      <c r="H29" s="1159" t="s">
        <v>4310</v>
      </c>
    </row>
    <row r="30" spans="1:8" s="1159" customFormat="1" ht="30" customHeight="1">
      <c r="A30" s="1900"/>
      <c r="B30" s="1903"/>
      <c r="C30" s="1158" t="s">
        <v>4311</v>
      </c>
      <c r="D30" s="24" t="s">
        <v>20</v>
      </c>
      <c r="E30" s="31" t="s">
        <v>4312</v>
      </c>
      <c r="F30" s="24" t="s">
        <v>4313</v>
      </c>
      <c r="G30" s="1161" t="s">
        <v>4314</v>
      </c>
    </row>
    <row r="31" spans="1:8" s="1147" customFormat="1" ht="30" customHeight="1" thickBot="1">
      <c r="A31" s="1900"/>
      <c r="B31" s="1903"/>
      <c r="C31" s="1146"/>
      <c r="D31" s="26"/>
      <c r="E31" s="25"/>
      <c r="F31" s="910"/>
      <c r="G31" s="1150"/>
    </row>
    <row r="32" spans="1:8" s="1111" customFormat="1" ht="30" customHeight="1" thickBot="1">
      <c r="A32" s="1901"/>
      <c r="B32" s="1904"/>
      <c r="C32" s="12"/>
      <c r="D32" s="11"/>
      <c r="E32" s="10"/>
      <c r="F32" s="10"/>
      <c r="G32" s="9"/>
    </row>
    <row r="33" spans="1:8" ht="30" customHeight="1">
      <c r="A33" s="1899">
        <v>45174</v>
      </c>
      <c r="B33" s="1902" t="s">
        <v>3</v>
      </c>
      <c r="C33" s="1164" t="s">
        <v>4260</v>
      </c>
      <c r="D33" s="24" t="s">
        <v>4261</v>
      </c>
      <c r="E33" s="24" t="s">
        <v>4304</v>
      </c>
      <c r="F33" s="1163"/>
      <c r="G33" s="1162"/>
    </row>
    <row r="34" spans="1:8" ht="30" customHeight="1">
      <c r="A34" s="1900"/>
      <c r="B34" s="1903"/>
      <c r="C34" s="1910" t="s">
        <v>4282</v>
      </c>
      <c r="D34" s="24" t="s">
        <v>4283</v>
      </c>
      <c r="E34" s="24" t="s">
        <v>552</v>
      </c>
      <c r="F34" s="1163"/>
      <c r="G34" s="1162"/>
      <c r="H34" s="1159"/>
    </row>
    <row r="35" spans="1:8" ht="30" customHeight="1">
      <c r="A35" s="1900"/>
      <c r="B35" s="1903"/>
      <c r="C35" s="1914"/>
      <c r="D35" s="24" t="s">
        <v>4329</v>
      </c>
      <c r="E35" s="24" t="s">
        <v>4330</v>
      </c>
      <c r="F35" s="1163"/>
      <c r="G35" s="1162"/>
      <c r="H35" s="1165"/>
    </row>
    <row r="36" spans="1:8" ht="30" customHeight="1">
      <c r="A36" s="1900"/>
      <c r="B36" s="1903"/>
      <c r="C36" s="1906"/>
      <c r="D36" s="24" t="s">
        <v>4284</v>
      </c>
      <c r="E36" s="24" t="s">
        <v>4285</v>
      </c>
      <c r="F36" s="1163"/>
      <c r="G36" s="1162"/>
      <c r="H36" s="1159"/>
    </row>
    <row r="37" spans="1:8" ht="30" customHeight="1">
      <c r="A37" s="1900"/>
      <c r="B37" s="1903"/>
      <c r="C37" s="1164" t="s">
        <v>4324</v>
      </c>
      <c r="D37" s="24" t="s">
        <v>4326</v>
      </c>
      <c r="E37" s="24" t="s">
        <v>4325</v>
      </c>
      <c r="F37" s="1163" t="s">
        <v>4327</v>
      </c>
      <c r="G37" s="1162" t="s">
        <v>4328</v>
      </c>
      <c r="H37" s="1159"/>
    </row>
    <row r="38" spans="1:8" ht="30" customHeight="1">
      <c r="A38" s="1900"/>
      <c r="B38" s="1903"/>
      <c r="C38" s="21"/>
      <c r="D38" s="22"/>
      <c r="E38" s="19"/>
      <c r="F38" s="1116"/>
      <c r="G38" s="1113"/>
    </row>
    <row r="39" spans="1:8" ht="30" customHeight="1" thickBot="1">
      <c r="A39" s="1900"/>
      <c r="B39" s="1903"/>
      <c r="C39" s="1112"/>
      <c r="D39" s="16"/>
      <c r="E39" s="15"/>
      <c r="F39" s="910"/>
      <c r="G39" s="1113"/>
    </row>
    <row r="40" spans="1:8" ht="30" customHeight="1" thickBot="1">
      <c r="A40" s="1901"/>
      <c r="B40" s="1904"/>
      <c r="C40" s="12" t="s">
        <v>4236</v>
      </c>
      <c r="D40" s="11" t="s">
        <v>4237</v>
      </c>
      <c r="E40" s="10"/>
      <c r="F40" s="10" t="s">
        <v>4238</v>
      </c>
      <c r="G40" s="9"/>
    </row>
    <row r="41" spans="1:8" ht="30" customHeight="1">
      <c r="A41" s="1899">
        <v>45175</v>
      </c>
      <c r="B41" s="1902" t="s">
        <v>2</v>
      </c>
      <c r="C41" s="1905" t="s">
        <v>4277</v>
      </c>
      <c r="D41" s="24" t="s">
        <v>4278</v>
      </c>
      <c r="E41" s="24" t="s">
        <v>4279</v>
      </c>
      <c r="F41" s="1170"/>
      <c r="G41" s="1915" t="s">
        <v>4345</v>
      </c>
    </row>
    <row r="42" spans="1:8" ht="30" customHeight="1">
      <c r="A42" s="1900"/>
      <c r="B42" s="1903"/>
      <c r="C42" s="1906"/>
      <c r="D42" s="24" t="s">
        <v>4281</v>
      </c>
      <c r="E42" s="31" t="s">
        <v>4280</v>
      </c>
      <c r="F42" s="1170"/>
      <c r="G42" s="1912"/>
    </row>
    <row r="43" spans="1:8" ht="30" customHeight="1">
      <c r="A43" s="1900"/>
      <c r="B43" s="1903"/>
      <c r="C43" s="1171" t="s">
        <v>4320</v>
      </c>
      <c r="D43" s="32" t="s">
        <v>4323</v>
      </c>
      <c r="E43" s="31" t="s">
        <v>4321</v>
      </c>
      <c r="F43" s="1170" t="s">
        <v>4322</v>
      </c>
      <c r="G43" s="1169"/>
    </row>
    <row r="44" spans="1:8" ht="30" customHeight="1">
      <c r="A44" s="1900"/>
      <c r="B44" s="1903"/>
      <c r="C44" s="1910" t="s">
        <v>4331</v>
      </c>
      <c r="D44" s="24" t="s">
        <v>4332</v>
      </c>
      <c r="E44" s="24" t="s">
        <v>4321</v>
      </c>
      <c r="F44" s="1936" t="s">
        <v>4335</v>
      </c>
      <c r="G44" s="1169"/>
      <c r="H44" s="1165"/>
    </row>
    <row r="45" spans="1:8" ht="30" customHeight="1">
      <c r="A45" s="1900"/>
      <c r="B45" s="1903"/>
      <c r="C45" s="1914"/>
      <c r="D45" s="32" t="s">
        <v>4333</v>
      </c>
      <c r="E45" s="31" t="s">
        <v>4334</v>
      </c>
      <c r="F45" s="1938"/>
      <c r="G45" s="1169"/>
      <c r="H45" s="1165"/>
    </row>
    <row r="46" spans="1:8" ht="30" customHeight="1">
      <c r="A46" s="1900"/>
      <c r="B46" s="1903"/>
      <c r="C46" s="1914"/>
      <c r="D46" s="24" t="s">
        <v>4336</v>
      </c>
      <c r="E46" s="24" t="s">
        <v>4337</v>
      </c>
      <c r="F46" s="1936" t="s">
        <v>4340</v>
      </c>
      <c r="G46" s="1169"/>
      <c r="H46" s="1165"/>
    </row>
    <row r="47" spans="1:8" ht="30" customHeight="1">
      <c r="A47" s="1900"/>
      <c r="B47" s="1903"/>
      <c r="C47" s="1914"/>
      <c r="D47" s="32" t="s">
        <v>4338</v>
      </c>
      <c r="E47" s="31" t="s">
        <v>4337</v>
      </c>
      <c r="F47" s="1937"/>
      <c r="G47" s="1169"/>
      <c r="H47" s="1165"/>
    </row>
    <row r="48" spans="1:8" ht="30" customHeight="1">
      <c r="A48" s="1900"/>
      <c r="B48" s="1903"/>
      <c r="C48" s="1914"/>
      <c r="D48" s="24" t="s">
        <v>4339</v>
      </c>
      <c r="E48" s="24" t="s">
        <v>225</v>
      </c>
      <c r="F48" s="1938"/>
      <c r="G48" s="1169"/>
      <c r="H48" s="1165"/>
    </row>
    <row r="49" spans="1:8" ht="30" customHeight="1">
      <c r="A49" s="1900"/>
      <c r="B49" s="1903"/>
      <c r="C49" s="1906"/>
      <c r="D49" s="32" t="s">
        <v>4341</v>
      </c>
      <c r="E49" s="31" t="s">
        <v>4342</v>
      </c>
      <c r="F49" s="1170"/>
      <c r="G49" s="1169"/>
      <c r="H49" s="1165"/>
    </row>
    <row r="50" spans="1:8" ht="30" customHeight="1">
      <c r="A50" s="1900"/>
      <c r="B50" s="1903"/>
      <c r="C50" s="1171" t="s">
        <v>4346</v>
      </c>
      <c r="D50" s="32" t="s">
        <v>4347</v>
      </c>
      <c r="E50" s="31">
        <v>1</v>
      </c>
      <c r="F50" s="24"/>
      <c r="G50" s="1177" t="s">
        <v>4348</v>
      </c>
    </row>
    <row r="51" spans="1:8" ht="30" customHeight="1">
      <c r="A51" s="1900"/>
      <c r="B51" s="1903"/>
      <c r="C51" s="1910" t="s">
        <v>4353</v>
      </c>
      <c r="D51" s="32" t="s">
        <v>43</v>
      </c>
      <c r="E51" s="31" t="s">
        <v>4357</v>
      </c>
      <c r="F51" s="24" t="s">
        <v>4358</v>
      </c>
      <c r="G51" s="1911" t="s">
        <v>4359</v>
      </c>
      <c r="H51" s="1173" t="s">
        <v>4366</v>
      </c>
    </row>
    <row r="52" spans="1:8" ht="30" customHeight="1">
      <c r="A52" s="1900"/>
      <c r="B52" s="1903"/>
      <c r="C52" s="1914"/>
      <c r="D52" s="30" t="s">
        <v>20</v>
      </c>
      <c r="E52" s="29" t="s">
        <v>4360</v>
      </c>
      <c r="F52" s="1170" t="s">
        <v>4361</v>
      </c>
      <c r="G52" s="1913"/>
      <c r="H52" s="1173" t="s">
        <v>4362</v>
      </c>
    </row>
    <row r="53" spans="1:8" ht="30" customHeight="1">
      <c r="A53" s="1900"/>
      <c r="B53" s="1903"/>
      <c r="C53" s="1906"/>
      <c r="D53" s="30" t="s">
        <v>20</v>
      </c>
      <c r="E53" s="31" t="s">
        <v>4363</v>
      </c>
      <c r="F53" s="1170" t="s">
        <v>4364</v>
      </c>
      <c r="G53" s="1912"/>
      <c r="H53" s="1173" t="s">
        <v>4365</v>
      </c>
    </row>
    <row r="54" spans="1:8" ht="30" customHeight="1" thickBot="1">
      <c r="A54" s="1900"/>
      <c r="B54" s="1903"/>
      <c r="C54" s="1172"/>
      <c r="D54" s="26"/>
      <c r="E54" s="25"/>
      <c r="F54" s="1179"/>
      <c r="G54" s="1175"/>
      <c r="H54" s="1173"/>
    </row>
    <row r="55" spans="1:8" ht="30" customHeight="1" thickBot="1">
      <c r="A55" s="1901"/>
      <c r="B55" s="1904"/>
      <c r="C55" s="12"/>
      <c r="D55" s="11"/>
      <c r="E55" s="10"/>
      <c r="F55" s="10"/>
      <c r="G55" s="9"/>
    </row>
    <row r="56" spans="1:8" ht="30" customHeight="1">
      <c r="A56" s="1899">
        <v>45176</v>
      </c>
      <c r="B56" s="1902" t="s">
        <v>1</v>
      </c>
      <c r="C56" s="1185" t="s">
        <v>4343</v>
      </c>
      <c r="D56" s="24" t="s">
        <v>20</v>
      </c>
      <c r="E56" s="24" t="s">
        <v>4344</v>
      </c>
      <c r="F56" s="1184" t="s">
        <v>4367</v>
      </c>
      <c r="G56" s="1181" t="s">
        <v>4371</v>
      </c>
    </row>
    <row r="57" spans="1:8" ht="30" customHeight="1">
      <c r="A57" s="1900"/>
      <c r="B57" s="1903"/>
      <c r="C57" s="1910" t="s">
        <v>4353</v>
      </c>
      <c r="D57" s="24" t="s">
        <v>20</v>
      </c>
      <c r="E57" s="24" t="s">
        <v>4355</v>
      </c>
      <c r="F57" s="1184" t="s">
        <v>4367</v>
      </c>
      <c r="G57" s="1911" t="s">
        <v>4356</v>
      </c>
    </row>
    <row r="58" spans="1:8" ht="30" customHeight="1">
      <c r="A58" s="1900"/>
      <c r="B58" s="1903"/>
      <c r="C58" s="1914"/>
      <c r="D58" s="24" t="s">
        <v>4375</v>
      </c>
      <c r="E58" s="24" t="s">
        <v>531</v>
      </c>
      <c r="F58" s="1184"/>
      <c r="G58" s="1913"/>
      <c r="H58" s="1186"/>
    </row>
    <row r="59" spans="1:8" ht="30" customHeight="1">
      <c r="A59" s="1900"/>
      <c r="B59" s="1903"/>
      <c r="C59" s="1914"/>
      <c r="D59" s="32" t="s">
        <v>4354</v>
      </c>
      <c r="E59" s="31" t="s">
        <v>202</v>
      </c>
      <c r="F59" s="1184"/>
      <c r="G59" s="1912"/>
    </row>
    <row r="60" spans="1:8" ht="30" customHeight="1">
      <c r="A60" s="1900"/>
      <c r="B60" s="1903"/>
      <c r="C60" s="1906"/>
      <c r="D60" s="24" t="s">
        <v>20</v>
      </c>
      <c r="E60" s="31" t="s">
        <v>4386</v>
      </c>
      <c r="F60" s="1184" t="s">
        <v>4373</v>
      </c>
      <c r="G60" s="1182" t="s">
        <v>4387</v>
      </c>
      <c r="H60" s="1186" t="s">
        <v>4388</v>
      </c>
    </row>
    <row r="61" spans="1:8" ht="30" customHeight="1">
      <c r="A61" s="1900"/>
      <c r="B61" s="1903"/>
      <c r="C61" s="1185" t="s">
        <v>4368</v>
      </c>
      <c r="D61" s="32" t="s">
        <v>4369</v>
      </c>
      <c r="E61" s="31" t="s">
        <v>4370</v>
      </c>
      <c r="F61" s="24"/>
      <c r="G61" s="1187" t="s">
        <v>4371</v>
      </c>
    </row>
    <row r="62" spans="1:8" ht="30" customHeight="1">
      <c r="A62" s="1900"/>
      <c r="B62" s="1903"/>
      <c r="C62" s="1180" t="s">
        <v>4384</v>
      </c>
      <c r="D62" s="30" t="s">
        <v>4385</v>
      </c>
      <c r="E62" s="29" t="s">
        <v>4380</v>
      </c>
      <c r="F62" s="1184"/>
      <c r="G62" s="1182" t="s">
        <v>543</v>
      </c>
      <c r="H62" s="1186"/>
    </row>
    <row r="63" spans="1:8" ht="30" customHeight="1">
      <c r="A63" s="1900"/>
      <c r="B63" s="1903"/>
      <c r="C63" s="1185" t="s">
        <v>4389</v>
      </c>
      <c r="D63" s="24" t="s">
        <v>20</v>
      </c>
      <c r="E63" s="31" t="s">
        <v>4390</v>
      </c>
      <c r="F63" s="24" t="s">
        <v>4391</v>
      </c>
      <c r="G63" s="1187" t="s">
        <v>4392</v>
      </c>
      <c r="H63" s="1186"/>
    </row>
    <row r="64" spans="1:8" ht="30" customHeight="1">
      <c r="A64" s="1900"/>
      <c r="B64" s="1903"/>
      <c r="C64" s="1910" t="s">
        <v>541</v>
      </c>
      <c r="D64" s="24" t="s">
        <v>4393</v>
      </c>
      <c r="E64" s="31" t="s">
        <v>4394</v>
      </c>
      <c r="F64" s="1936" t="s">
        <v>4397</v>
      </c>
      <c r="G64" s="1911" t="s">
        <v>4396</v>
      </c>
      <c r="H64" s="1186"/>
    </row>
    <row r="65" spans="1:8" ht="30" customHeight="1">
      <c r="A65" s="1900"/>
      <c r="B65" s="1903"/>
      <c r="C65" s="1906"/>
      <c r="D65" s="1184" t="s">
        <v>4395</v>
      </c>
      <c r="E65" s="29" t="s">
        <v>4394</v>
      </c>
      <c r="F65" s="1938"/>
      <c r="G65" s="1912"/>
      <c r="H65" s="1186"/>
    </row>
    <row r="66" spans="1:8" ht="30" customHeight="1" thickBot="1">
      <c r="A66" s="1900"/>
      <c r="B66" s="1903"/>
      <c r="C66" s="419"/>
      <c r="D66" s="39"/>
      <c r="E66" s="25"/>
      <c r="F66" s="38"/>
      <c r="G66" s="1183"/>
      <c r="H66" s="1186"/>
    </row>
    <row r="67" spans="1:8" ht="30" customHeight="1" thickBot="1">
      <c r="A67" s="1901"/>
      <c r="B67" s="1904"/>
      <c r="C67" s="12" t="s">
        <v>4239</v>
      </c>
      <c r="D67" s="11" t="s">
        <v>4237</v>
      </c>
      <c r="E67" s="10" t="s">
        <v>4240</v>
      </c>
      <c r="F67" s="10" t="s">
        <v>4241</v>
      </c>
      <c r="G67" s="9"/>
    </row>
    <row r="68" spans="1:8" ht="30" customHeight="1">
      <c r="A68" s="1899">
        <v>45177</v>
      </c>
      <c r="B68" s="1902" t="s">
        <v>31</v>
      </c>
      <c r="C68" s="1190" t="s">
        <v>534</v>
      </c>
      <c r="D68" s="24" t="s">
        <v>535</v>
      </c>
      <c r="E68" s="24" t="s">
        <v>4372</v>
      </c>
      <c r="F68" s="1189"/>
      <c r="G68" s="1188"/>
    </row>
    <row r="69" spans="1:8" ht="30" customHeight="1">
      <c r="A69" s="1900"/>
      <c r="B69" s="1903"/>
      <c r="C69" s="1190" t="s">
        <v>532</v>
      </c>
      <c r="D69" s="24" t="s">
        <v>4317</v>
      </c>
      <c r="E69" s="24" t="s">
        <v>4409</v>
      </c>
      <c r="F69" s="1189" t="s">
        <v>4318</v>
      </c>
      <c r="G69" s="1188"/>
      <c r="H69" s="1186" t="s">
        <v>4319</v>
      </c>
    </row>
    <row r="70" spans="1:8" ht="30" customHeight="1">
      <c r="A70" s="1900"/>
      <c r="B70" s="1903"/>
      <c r="C70" s="1910" t="s">
        <v>541</v>
      </c>
      <c r="D70" s="24" t="s">
        <v>542</v>
      </c>
      <c r="E70" s="24" t="s">
        <v>603</v>
      </c>
      <c r="F70" s="1189"/>
      <c r="G70" s="1188" t="s">
        <v>543</v>
      </c>
    </row>
    <row r="71" spans="1:8" ht="30" customHeight="1">
      <c r="A71" s="1900"/>
      <c r="B71" s="1903"/>
      <c r="C71" s="1906"/>
      <c r="D71" s="24" t="s">
        <v>4398</v>
      </c>
      <c r="E71" s="24" t="s">
        <v>4399</v>
      </c>
      <c r="F71" s="1189"/>
      <c r="G71" s="1188"/>
      <c r="H71" s="1193"/>
    </row>
    <row r="72" spans="1:8" ht="30" customHeight="1">
      <c r="A72" s="1900"/>
      <c r="B72" s="1903"/>
      <c r="C72" s="1910" t="s">
        <v>4376</v>
      </c>
      <c r="D72" s="24" t="s">
        <v>4377</v>
      </c>
      <c r="E72" s="24" t="s">
        <v>4378</v>
      </c>
      <c r="F72" s="1189"/>
      <c r="G72" s="1188"/>
      <c r="H72" s="1197" t="s">
        <v>4381</v>
      </c>
    </row>
    <row r="73" spans="1:8" ht="30" customHeight="1">
      <c r="A73" s="1900"/>
      <c r="B73" s="1903"/>
      <c r="C73" s="1914"/>
      <c r="D73" s="24" t="s">
        <v>4379</v>
      </c>
      <c r="E73" s="24" t="s">
        <v>4380</v>
      </c>
      <c r="F73" s="1189"/>
      <c r="G73" s="1188"/>
      <c r="H73" s="1186"/>
    </row>
    <row r="74" spans="1:8" ht="30" customHeight="1">
      <c r="A74" s="1900"/>
      <c r="B74" s="1903"/>
      <c r="C74" s="1906"/>
      <c r="D74" s="24" t="s">
        <v>20</v>
      </c>
      <c r="E74" s="31" t="s">
        <v>4382</v>
      </c>
      <c r="F74" s="1189" t="s">
        <v>4383</v>
      </c>
      <c r="G74" s="1188"/>
    </row>
    <row r="75" spans="1:8" ht="30" customHeight="1">
      <c r="A75" s="1900"/>
      <c r="B75" s="1903"/>
      <c r="C75" s="1190" t="s">
        <v>4404</v>
      </c>
      <c r="D75" s="24" t="s">
        <v>4405</v>
      </c>
      <c r="E75" s="31" t="s">
        <v>4406</v>
      </c>
      <c r="F75" s="24" t="s">
        <v>4408</v>
      </c>
      <c r="G75" s="1196" t="s">
        <v>4407</v>
      </c>
      <c r="H75" s="1193"/>
    </row>
    <row r="76" spans="1:8" ht="30" customHeight="1">
      <c r="A76" s="1900"/>
      <c r="B76" s="1903"/>
      <c r="C76" s="1192"/>
      <c r="D76" s="1178"/>
      <c r="E76" s="27"/>
      <c r="F76" s="1178"/>
      <c r="G76" s="1195"/>
      <c r="H76" s="1193"/>
    </row>
    <row r="77" spans="1:8" ht="30" customHeight="1" thickBot="1">
      <c r="A77" s="1900"/>
      <c r="B77" s="1903"/>
      <c r="C77" s="1191"/>
      <c r="D77" s="26"/>
      <c r="E77" s="25"/>
      <c r="F77" s="910"/>
      <c r="G77" s="1194"/>
    </row>
    <row r="78" spans="1:8" ht="30" customHeight="1" thickBot="1">
      <c r="A78" s="1901"/>
      <c r="B78" s="1904"/>
      <c r="C78" s="12" t="s">
        <v>4242</v>
      </c>
      <c r="D78" s="11" t="s">
        <v>4243</v>
      </c>
      <c r="E78" s="10" t="s">
        <v>4244</v>
      </c>
      <c r="F78" s="10" t="s">
        <v>390</v>
      </c>
      <c r="G78" s="9"/>
    </row>
    <row r="79" spans="1:8" ht="36" hidden="1" customHeight="1">
      <c r="A79" s="1899">
        <v>45178</v>
      </c>
      <c r="B79" s="1902" t="s">
        <v>33</v>
      </c>
      <c r="C79" s="21" t="s">
        <v>4349</v>
      </c>
      <c r="D79" s="22" t="s">
        <v>4350</v>
      </c>
      <c r="E79" s="22" t="s">
        <v>4351</v>
      </c>
      <c r="F79" s="1178"/>
      <c r="G79" s="1174" t="s">
        <v>4352</v>
      </c>
      <c r="H79" s="1173"/>
    </row>
    <row r="80" spans="1:8" ht="36" hidden="1" customHeight="1">
      <c r="A80" s="1900"/>
      <c r="B80" s="1903"/>
      <c r="C80" s="21"/>
      <c r="D80" s="22"/>
      <c r="E80" s="22"/>
      <c r="F80" s="1178"/>
      <c r="G80" s="1174"/>
      <c r="H80" s="1173"/>
    </row>
    <row r="81" spans="1:8" ht="36" hidden="1" customHeight="1">
      <c r="A81" s="1900"/>
      <c r="B81" s="1903"/>
      <c r="C81" s="21"/>
      <c r="D81" s="20"/>
      <c r="E81" s="19"/>
      <c r="F81" s="1178"/>
      <c r="G81" s="1174"/>
      <c r="H81" s="1173"/>
    </row>
    <row r="82" spans="1:8" ht="36" hidden="1" customHeight="1" thickBot="1">
      <c r="A82" s="1900"/>
      <c r="B82" s="1903"/>
      <c r="C82" s="1176"/>
      <c r="D82" s="16"/>
      <c r="E82" s="15"/>
      <c r="F82" s="1179"/>
      <c r="G82" s="1174"/>
      <c r="H82" s="1173"/>
    </row>
    <row r="83" spans="1:8" ht="36" hidden="1" customHeight="1" thickBot="1">
      <c r="A83" s="1901"/>
      <c r="B83" s="1904"/>
      <c r="C83" s="12"/>
      <c r="D83" s="11"/>
      <c r="E83" s="10"/>
      <c r="F83" s="10"/>
      <c r="G83" s="9"/>
      <c r="H83" s="1173"/>
    </row>
    <row r="84" spans="1:8" ht="60" customHeight="1" thickBot="1">
      <c r="A84" s="1907" t="s">
        <v>5</v>
      </c>
      <c r="B84" s="1908"/>
      <c r="C84" s="1908"/>
      <c r="D84" s="1908"/>
      <c r="E84" s="1908"/>
      <c r="F84" s="1908"/>
      <c r="G84" s="1909"/>
    </row>
    <row r="85" spans="1:8" ht="36" customHeight="1">
      <c r="A85" s="1899">
        <v>45180</v>
      </c>
      <c r="B85" s="1902" t="s">
        <v>4</v>
      </c>
      <c r="C85" s="1200" t="s">
        <v>4400</v>
      </c>
      <c r="D85" s="24" t="s">
        <v>4401</v>
      </c>
      <c r="E85" s="24" t="s">
        <v>4402</v>
      </c>
      <c r="F85" s="1199"/>
      <c r="G85" s="1198"/>
      <c r="H85" s="1197" t="s">
        <v>4403</v>
      </c>
    </row>
    <row r="86" spans="1:8" ht="36" customHeight="1">
      <c r="A86" s="1900"/>
      <c r="B86" s="1903"/>
      <c r="C86" s="1200" t="s">
        <v>738</v>
      </c>
      <c r="D86" s="24" t="s">
        <v>20</v>
      </c>
      <c r="E86" s="24" t="s">
        <v>410</v>
      </c>
      <c r="F86" s="1199" t="s">
        <v>4422</v>
      </c>
      <c r="G86" s="1198"/>
    </row>
    <row r="87" spans="1:8" ht="36" customHeight="1">
      <c r="A87" s="1900"/>
      <c r="B87" s="1903"/>
      <c r="C87" s="1200" t="s">
        <v>432</v>
      </c>
      <c r="D87" s="24" t="s">
        <v>20</v>
      </c>
      <c r="E87" s="31" t="s">
        <v>4424</v>
      </c>
      <c r="F87" s="24" t="s">
        <v>4426</v>
      </c>
      <c r="G87" s="1204" t="s">
        <v>4425</v>
      </c>
      <c r="H87" s="1111" t="s">
        <v>4427</v>
      </c>
    </row>
    <row r="88" spans="1:8" ht="36" customHeight="1">
      <c r="A88" s="1900"/>
      <c r="B88" s="1903"/>
      <c r="C88" s="1910" t="s">
        <v>468</v>
      </c>
      <c r="D88" s="24" t="s">
        <v>429</v>
      </c>
      <c r="E88" s="24" t="s">
        <v>410</v>
      </c>
      <c r="F88" s="1199"/>
      <c r="G88" s="1198"/>
      <c r="H88" s="1202"/>
    </row>
    <row r="89" spans="1:8" ht="36" customHeight="1">
      <c r="A89" s="1900"/>
      <c r="B89" s="1903"/>
      <c r="C89" s="1906"/>
      <c r="D89" s="32" t="s">
        <v>20</v>
      </c>
      <c r="E89" s="31" t="s">
        <v>538</v>
      </c>
      <c r="F89" s="1199" t="s">
        <v>505</v>
      </c>
      <c r="G89" s="1204"/>
      <c r="H89" s="1202"/>
    </row>
    <row r="90" spans="1:8" ht="36" customHeight="1">
      <c r="A90" s="1900"/>
      <c r="B90" s="1903"/>
      <c r="C90" s="1208" t="s">
        <v>4414</v>
      </c>
      <c r="D90" s="24" t="s">
        <v>20</v>
      </c>
      <c r="E90" s="24" t="s">
        <v>4415</v>
      </c>
      <c r="F90" s="1207" t="s">
        <v>416</v>
      </c>
      <c r="G90" s="1213" t="s">
        <v>4416</v>
      </c>
      <c r="H90" s="1202"/>
    </row>
    <row r="91" spans="1:8" ht="36" customHeight="1">
      <c r="A91" s="1900"/>
      <c r="B91" s="1903"/>
      <c r="C91" s="1205" t="s">
        <v>4433</v>
      </c>
      <c r="D91" s="32" t="s">
        <v>4434</v>
      </c>
      <c r="E91" s="29" t="s">
        <v>4435</v>
      </c>
      <c r="F91" s="1207" t="s">
        <v>4436</v>
      </c>
      <c r="G91" s="1206" t="s">
        <v>4416</v>
      </c>
      <c r="H91" s="1202"/>
    </row>
    <row r="92" spans="1:8" ht="36" customHeight="1" thickBot="1">
      <c r="A92" s="1900"/>
      <c r="B92" s="1903"/>
      <c r="C92" s="1201"/>
      <c r="D92" s="26"/>
      <c r="E92" s="25"/>
      <c r="F92" s="1179"/>
      <c r="G92" s="1203"/>
      <c r="H92" s="1202"/>
    </row>
    <row r="93" spans="1:8" ht="36" customHeight="1" thickBot="1">
      <c r="A93" s="1901"/>
      <c r="B93" s="1904"/>
      <c r="C93" s="12"/>
      <c r="D93" s="11"/>
      <c r="E93" s="10"/>
      <c r="F93" s="10"/>
      <c r="G93" s="9"/>
    </row>
    <row r="94" spans="1:8" ht="36" customHeight="1">
      <c r="A94" s="1900">
        <v>45181</v>
      </c>
      <c r="B94" s="1903" t="s">
        <v>4432</v>
      </c>
      <c r="C94" s="1905" t="s">
        <v>4417</v>
      </c>
      <c r="D94" s="62" t="s">
        <v>4418</v>
      </c>
      <c r="E94" s="61" t="s">
        <v>4419</v>
      </c>
      <c r="F94" s="49"/>
      <c r="G94" s="1915" t="s">
        <v>4423</v>
      </c>
    </row>
    <row r="95" spans="1:8" ht="36" customHeight="1">
      <c r="A95" s="1900"/>
      <c r="B95" s="1903"/>
      <c r="C95" s="1906"/>
      <c r="D95" s="30" t="s">
        <v>4420</v>
      </c>
      <c r="E95" s="29" t="s">
        <v>4421</v>
      </c>
      <c r="F95" s="1207"/>
      <c r="G95" s="1912"/>
      <c r="H95" s="1202"/>
    </row>
    <row r="96" spans="1:8" ht="36" customHeight="1">
      <c r="A96" s="1900"/>
      <c r="B96" s="1903"/>
      <c r="C96" s="1208" t="s">
        <v>4437</v>
      </c>
      <c r="D96" s="32" t="s">
        <v>20</v>
      </c>
      <c r="E96" s="31" t="s">
        <v>4424</v>
      </c>
      <c r="F96" s="24" t="s">
        <v>4438</v>
      </c>
      <c r="G96" s="1213"/>
      <c r="H96" s="1202" t="s">
        <v>4439</v>
      </c>
    </row>
    <row r="97" spans="1:8" ht="36" customHeight="1">
      <c r="A97" s="1900"/>
      <c r="B97" s="1903"/>
      <c r="C97" s="1208" t="s">
        <v>443</v>
      </c>
      <c r="D97" s="32" t="s">
        <v>20</v>
      </c>
      <c r="E97" s="24" t="s">
        <v>239</v>
      </c>
      <c r="F97" s="24" t="s">
        <v>381</v>
      </c>
      <c r="G97" s="1213"/>
      <c r="H97" s="1210"/>
    </row>
    <row r="98" spans="1:8" ht="36" customHeight="1">
      <c r="A98" s="1900"/>
      <c r="B98" s="1903"/>
      <c r="C98" s="1205" t="s">
        <v>4443</v>
      </c>
      <c r="D98" s="32" t="s">
        <v>20</v>
      </c>
      <c r="E98" s="29" t="s">
        <v>4444</v>
      </c>
      <c r="F98" s="1211" t="s">
        <v>4447</v>
      </c>
      <c r="G98" s="1206" t="s">
        <v>4445</v>
      </c>
      <c r="H98" s="1202"/>
    </row>
    <row r="99" spans="1:8" ht="36" customHeight="1" thickBot="1">
      <c r="A99" s="1900"/>
      <c r="B99" s="1903"/>
      <c r="C99" s="1201"/>
      <c r="D99" s="26"/>
      <c r="E99" s="25"/>
      <c r="F99" s="1179"/>
      <c r="G99" s="1203"/>
      <c r="H99" s="1202"/>
    </row>
    <row r="100" spans="1:8" ht="36" customHeight="1" thickBot="1">
      <c r="A100" s="1901"/>
      <c r="B100" s="1904"/>
      <c r="C100" s="12"/>
      <c r="D100" s="11"/>
      <c r="E100" s="10"/>
      <c r="F100" s="10"/>
      <c r="G100" s="9"/>
    </row>
    <row r="101" spans="1:8" ht="36" customHeight="1">
      <c r="A101" s="1899">
        <v>45182</v>
      </c>
      <c r="B101" s="1902" t="s">
        <v>2</v>
      </c>
      <c r="C101" s="1214" t="s">
        <v>4316</v>
      </c>
      <c r="D101" s="24" t="s">
        <v>358</v>
      </c>
      <c r="E101" s="24" t="s">
        <v>217</v>
      </c>
      <c r="F101" s="24" t="s">
        <v>366</v>
      </c>
      <c r="G101" s="1220" t="s">
        <v>183</v>
      </c>
    </row>
    <row r="102" spans="1:8" ht="36" customHeight="1">
      <c r="A102" s="1900"/>
      <c r="B102" s="1903"/>
      <c r="C102" s="1215" t="s">
        <v>288</v>
      </c>
      <c r="D102" s="24" t="s">
        <v>4465</v>
      </c>
      <c r="E102" s="24" t="s">
        <v>4466</v>
      </c>
      <c r="F102" s="1217"/>
      <c r="G102" s="1216" t="s">
        <v>4461</v>
      </c>
      <c r="H102" s="1219"/>
    </row>
    <row r="103" spans="1:8" ht="36" customHeight="1">
      <c r="A103" s="1900"/>
      <c r="B103" s="1903"/>
      <c r="C103" s="1910" t="s">
        <v>4456</v>
      </c>
      <c r="D103" s="24" t="s">
        <v>4455</v>
      </c>
      <c r="E103" s="24" t="s">
        <v>4457</v>
      </c>
      <c r="F103" s="1217"/>
      <c r="G103" s="1911" t="s">
        <v>314</v>
      </c>
    </row>
    <row r="104" spans="1:8" ht="36" customHeight="1">
      <c r="A104" s="1900"/>
      <c r="B104" s="1903"/>
      <c r="C104" s="1914"/>
      <c r="D104" s="32" t="s">
        <v>20</v>
      </c>
      <c r="E104" s="31" t="s">
        <v>4454</v>
      </c>
      <c r="F104" s="1217" t="s">
        <v>4446</v>
      </c>
      <c r="G104" s="1913"/>
    </row>
    <row r="105" spans="1:8" ht="36" customHeight="1">
      <c r="A105" s="1900"/>
      <c r="B105" s="1903"/>
      <c r="C105" s="1906"/>
      <c r="D105" s="32" t="s">
        <v>4467</v>
      </c>
      <c r="E105" s="31" t="s">
        <v>4468</v>
      </c>
      <c r="F105" s="1217"/>
      <c r="G105" s="1912"/>
      <c r="H105" s="1219"/>
    </row>
    <row r="106" spans="1:8" ht="36" customHeight="1">
      <c r="A106" s="1900"/>
      <c r="B106" s="1903"/>
      <c r="C106" s="1218" t="s">
        <v>4458</v>
      </c>
      <c r="D106" s="32" t="s">
        <v>4459</v>
      </c>
      <c r="E106" s="31"/>
      <c r="F106" s="24"/>
      <c r="G106" s="1220" t="s">
        <v>4460</v>
      </c>
    </row>
    <row r="107" spans="1:8" ht="36" customHeight="1">
      <c r="A107" s="1900"/>
      <c r="B107" s="1903"/>
      <c r="C107" s="1218" t="s">
        <v>4464</v>
      </c>
      <c r="D107" s="32" t="s">
        <v>4462</v>
      </c>
      <c r="E107" s="31" t="s">
        <v>4463</v>
      </c>
      <c r="F107" s="24"/>
      <c r="G107" s="1220"/>
      <c r="H107" s="1210"/>
    </row>
    <row r="108" spans="1:8" ht="36" customHeight="1">
      <c r="A108" s="1900"/>
      <c r="B108" s="1903"/>
      <c r="C108" s="1218" t="s">
        <v>4469</v>
      </c>
      <c r="D108" s="32" t="s">
        <v>20</v>
      </c>
      <c r="E108" s="31" t="s">
        <v>4470</v>
      </c>
      <c r="F108" s="24" t="s">
        <v>4472</v>
      </c>
      <c r="G108" s="1220" t="s">
        <v>4471</v>
      </c>
      <c r="H108" s="1219" t="s">
        <v>4473</v>
      </c>
    </row>
    <row r="109" spans="1:8" ht="36" customHeight="1">
      <c r="A109" s="1900"/>
      <c r="B109" s="1903"/>
      <c r="C109" s="21"/>
      <c r="D109" s="20"/>
      <c r="E109" s="19"/>
      <c r="F109" s="22"/>
      <c r="G109" s="64"/>
      <c r="H109" s="1219"/>
    </row>
    <row r="110" spans="1:8" ht="36" customHeight="1" thickBot="1">
      <c r="A110" s="1900"/>
      <c r="B110" s="1903"/>
      <c r="C110" s="1209"/>
      <c r="D110" s="26"/>
      <c r="E110" s="25"/>
      <c r="F110" s="1179"/>
      <c r="G110" s="1212"/>
      <c r="H110" s="1210"/>
    </row>
    <row r="111" spans="1:8" ht="36" customHeight="1" thickBot="1">
      <c r="A111" s="1901"/>
      <c r="B111" s="1904"/>
      <c r="C111" s="12"/>
      <c r="D111" s="11"/>
      <c r="E111" s="10"/>
      <c r="F111" s="10"/>
      <c r="G111" s="9"/>
    </row>
    <row r="112" spans="1:8" ht="36" customHeight="1">
      <c r="A112" s="1899">
        <v>45183</v>
      </c>
      <c r="B112" s="1902" t="s">
        <v>1</v>
      </c>
      <c r="C112" s="1905" t="s">
        <v>4448</v>
      </c>
      <c r="D112" s="32" t="s">
        <v>20</v>
      </c>
      <c r="E112" s="24" t="s">
        <v>4449</v>
      </c>
      <c r="F112" s="1229"/>
      <c r="G112" s="1228"/>
    </row>
    <row r="113" spans="1:8" ht="36" customHeight="1">
      <c r="A113" s="1900"/>
      <c r="B113" s="1903"/>
      <c r="C113" s="1914"/>
      <c r="D113" s="24" t="s">
        <v>4450</v>
      </c>
      <c r="E113" s="24" t="s">
        <v>4451</v>
      </c>
      <c r="F113" s="1229"/>
      <c r="G113" s="1228"/>
    </row>
    <row r="114" spans="1:8" ht="36" customHeight="1">
      <c r="A114" s="1900"/>
      <c r="B114" s="1903"/>
      <c r="C114" s="1906"/>
      <c r="D114" s="32" t="s">
        <v>4452</v>
      </c>
      <c r="E114" s="31" t="s">
        <v>4453</v>
      </c>
      <c r="F114" s="1229"/>
      <c r="G114" s="1228"/>
    </row>
    <row r="115" spans="1:8" ht="36" customHeight="1">
      <c r="A115" s="1900"/>
      <c r="B115" s="1903"/>
      <c r="C115" s="1230" t="s">
        <v>4474</v>
      </c>
      <c r="D115" s="24" t="s">
        <v>4374</v>
      </c>
      <c r="E115" s="24" t="s">
        <v>182</v>
      </c>
      <c r="F115" s="1229" t="s">
        <v>2214</v>
      </c>
      <c r="G115" s="1228" t="s">
        <v>183</v>
      </c>
      <c r="H115" s="1219"/>
    </row>
    <row r="116" spans="1:8" ht="36" customHeight="1">
      <c r="A116" s="1900"/>
      <c r="B116" s="1903"/>
      <c r="C116" s="1227" t="s">
        <v>288</v>
      </c>
      <c r="D116" s="24" t="s">
        <v>4479</v>
      </c>
      <c r="E116" s="24" t="s">
        <v>4480</v>
      </c>
      <c r="F116" s="1229"/>
      <c r="G116" s="1228" t="s">
        <v>4481</v>
      </c>
      <c r="H116" s="1222"/>
    </row>
    <row r="117" spans="1:8" ht="36" customHeight="1">
      <c r="A117" s="1900"/>
      <c r="B117" s="1903"/>
      <c r="C117" s="1230" t="s">
        <v>4475</v>
      </c>
      <c r="D117" s="32" t="s">
        <v>4476</v>
      </c>
      <c r="E117" s="31" t="s">
        <v>4477</v>
      </c>
      <c r="F117" s="24" t="s">
        <v>4478</v>
      </c>
      <c r="G117" s="1236"/>
    </row>
    <row r="118" spans="1:8" ht="36" customHeight="1">
      <c r="A118" s="1900"/>
      <c r="B118" s="1903"/>
      <c r="C118" s="1230" t="s">
        <v>21</v>
      </c>
      <c r="D118" s="32" t="s">
        <v>20</v>
      </c>
      <c r="E118" s="31" t="s">
        <v>73</v>
      </c>
      <c r="F118" s="24" t="s">
        <v>172</v>
      </c>
      <c r="G118" s="1236" t="s">
        <v>18</v>
      </c>
      <c r="H118" s="1222" t="s">
        <v>4484</v>
      </c>
    </row>
    <row r="119" spans="1:8" ht="36" customHeight="1">
      <c r="A119" s="1900"/>
      <c r="B119" s="1903"/>
      <c r="C119" s="1230" t="s">
        <v>428</v>
      </c>
      <c r="D119" s="24" t="s">
        <v>569</v>
      </c>
      <c r="E119" s="24" t="s">
        <v>54</v>
      </c>
      <c r="F119" s="1229"/>
      <c r="G119" s="1228" t="s">
        <v>58</v>
      </c>
      <c r="H119" s="1225"/>
    </row>
    <row r="120" spans="1:8" ht="36" customHeight="1">
      <c r="A120" s="1900"/>
      <c r="B120" s="1903"/>
      <c r="C120" s="21"/>
      <c r="D120" s="20"/>
      <c r="E120" s="19"/>
      <c r="F120" s="22"/>
      <c r="G120" s="64"/>
      <c r="H120" s="1222"/>
    </row>
    <row r="121" spans="1:8" ht="36" customHeight="1" thickBot="1">
      <c r="A121" s="1900"/>
      <c r="B121" s="1903"/>
      <c r="C121" s="1221"/>
      <c r="D121" s="26"/>
      <c r="E121" s="25"/>
      <c r="F121" s="1179"/>
      <c r="G121" s="1223"/>
      <c r="H121" s="1222"/>
    </row>
    <row r="122" spans="1:8" ht="36" customHeight="1" thickBot="1">
      <c r="A122" s="1901"/>
      <c r="B122" s="1904"/>
      <c r="C122" s="12"/>
      <c r="D122" s="11"/>
      <c r="E122" s="10"/>
      <c r="F122" s="10"/>
      <c r="G122" s="9"/>
    </row>
    <row r="123" spans="1:8" ht="36" customHeight="1">
      <c r="A123" s="1899">
        <v>45184</v>
      </c>
      <c r="B123" s="1916" t="s">
        <v>0</v>
      </c>
      <c r="C123" s="1241" t="s">
        <v>394</v>
      </c>
      <c r="D123" s="24" t="s">
        <v>395</v>
      </c>
      <c r="E123" s="24" t="s">
        <v>4483</v>
      </c>
      <c r="F123" s="1240"/>
      <c r="G123" s="1239"/>
      <c r="H123" s="1222" t="s">
        <v>4271</v>
      </c>
    </row>
    <row r="124" spans="1:8" ht="36" customHeight="1">
      <c r="A124" s="1900"/>
      <c r="B124" s="1917"/>
      <c r="C124" s="1241" t="s">
        <v>4485</v>
      </c>
      <c r="D124" s="24" t="s">
        <v>4487</v>
      </c>
      <c r="E124" s="24" t="s">
        <v>4486</v>
      </c>
      <c r="F124" s="1240" t="s">
        <v>4503</v>
      </c>
      <c r="G124" s="1239" t="s">
        <v>4499</v>
      </c>
      <c r="H124" s="1238" t="s">
        <v>4488</v>
      </c>
    </row>
    <row r="125" spans="1:8" ht="36" customHeight="1">
      <c r="A125" s="1900"/>
      <c r="B125" s="1917"/>
      <c r="C125" s="1910" t="s">
        <v>4489</v>
      </c>
      <c r="D125" s="24" t="s">
        <v>4490</v>
      </c>
      <c r="E125" s="24" t="s">
        <v>4491</v>
      </c>
      <c r="F125" s="1240"/>
      <c r="G125" s="1239"/>
      <c r="H125" s="1233"/>
    </row>
    <row r="126" spans="1:8" ht="36" customHeight="1">
      <c r="A126" s="1900"/>
      <c r="B126" s="1917"/>
      <c r="C126" s="1914"/>
      <c r="D126" s="24" t="s">
        <v>4492</v>
      </c>
      <c r="E126" s="24" t="s">
        <v>4493</v>
      </c>
      <c r="F126" s="1240"/>
      <c r="G126" s="1239"/>
      <c r="H126" s="1233"/>
    </row>
    <row r="127" spans="1:8" ht="36" customHeight="1">
      <c r="A127" s="1900"/>
      <c r="B127" s="1917"/>
      <c r="C127" s="1914"/>
      <c r="D127" s="24" t="s">
        <v>43</v>
      </c>
      <c r="E127" s="24" t="s">
        <v>4494</v>
      </c>
      <c r="F127" s="1240"/>
      <c r="G127" s="1239"/>
      <c r="H127" s="1233"/>
    </row>
    <row r="128" spans="1:8" ht="36" customHeight="1">
      <c r="A128" s="1900"/>
      <c r="B128" s="1917"/>
      <c r="C128" s="1906"/>
      <c r="D128" s="32" t="s">
        <v>20</v>
      </c>
      <c r="E128" s="31" t="s">
        <v>4495</v>
      </c>
      <c r="F128" s="1240" t="s">
        <v>201</v>
      </c>
      <c r="G128" s="1239"/>
      <c r="H128" s="1233"/>
    </row>
    <row r="129" spans="1:8" ht="36" customHeight="1" thickBot="1">
      <c r="A129" s="1900"/>
      <c r="B129" s="1917"/>
      <c r="C129" s="1241" t="s">
        <v>4496</v>
      </c>
      <c r="D129" s="32" t="s">
        <v>20</v>
      </c>
      <c r="E129" s="31" t="s">
        <v>4497</v>
      </c>
      <c r="F129" s="24" t="s">
        <v>201</v>
      </c>
      <c r="G129" s="1243" t="s">
        <v>4498</v>
      </c>
      <c r="H129" s="1244" t="s">
        <v>4512</v>
      </c>
    </row>
    <row r="130" spans="1:8" ht="36" hidden="1" customHeight="1">
      <c r="A130" s="1900"/>
      <c r="B130" s="1917"/>
      <c r="C130" s="1232"/>
      <c r="D130" s="28"/>
      <c r="E130" s="27"/>
      <c r="F130" s="1178"/>
      <c r="G130" s="1235"/>
      <c r="H130" s="1237"/>
    </row>
    <row r="131" spans="1:8" ht="36" hidden="1" customHeight="1">
      <c r="A131" s="1900"/>
      <c r="B131" s="1917"/>
      <c r="C131" s="1232"/>
      <c r="D131" s="28"/>
      <c r="E131" s="27"/>
      <c r="F131" s="1178"/>
      <c r="G131" s="1235"/>
      <c r="H131" s="1237"/>
    </row>
    <row r="132" spans="1:8" ht="36" hidden="1" customHeight="1" thickBot="1">
      <c r="A132" s="1900"/>
      <c r="B132" s="1917"/>
      <c r="C132" s="1231"/>
      <c r="D132" s="26"/>
      <c r="E132" s="25"/>
      <c r="F132" s="1179"/>
      <c r="G132" s="1234"/>
      <c r="H132" s="1237"/>
    </row>
    <row r="133" spans="1:8" ht="36" customHeight="1" thickBot="1">
      <c r="A133" s="1901"/>
      <c r="B133" s="1918"/>
      <c r="C133" s="12"/>
      <c r="D133" s="11"/>
      <c r="E133" s="10"/>
      <c r="F133" s="10"/>
      <c r="G133" s="9"/>
    </row>
    <row r="134" spans="1:8" ht="60" customHeight="1" thickBot="1">
      <c r="A134" s="1907" t="s">
        <v>5</v>
      </c>
      <c r="B134" s="1908"/>
      <c r="C134" s="1908"/>
      <c r="D134" s="1908"/>
      <c r="E134" s="1908"/>
      <c r="F134" s="1908"/>
      <c r="G134" s="1909"/>
    </row>
    <row r="135" spans="1:8" ht="36" customHeight="1">
      <c r="A135" s="1899">
        <v>45187</v>
      </c>
      <c r="B135" s="1902" t="s">
        <v>4</v>
      </c>
      <c r="C135" s="1905" t="s">
        <v>4504</v>
      </c>
      <c r="D135" s="24" t="s">
        <v>4505</v>
      </c>
      <c r="E135" s="24" t="s">
        <v>4506</v>
      </c>
      <c r="F135" s="1240" t="s">
        <v>4507</v>
      </c>
      <c r="G135" s="1239"/>
      <c r="H135" s="1202" t="s">
        <v>4271</v>
      </c>
    </row>
    <row r="136" spans="1:8" ht="36" customHeight="1">
      <c r="A136" s="1900"/>
      <c r="B136" s="1903"/>
      <c r="C136" s="1906"/>
      <c r="D136" s="24" t="s">
        <v>4509</v>
      </c>
      <c r="E136" s="24" t="s">
        <v>4510</v>
      </c>
      <c r="F136" s="1240" t="s">
        <v>4507</v>
      </c>
      <c r="G136" s="1239"/>
      <c r="H136" s="1242"/>
    </row>
    <row r="137" spans="1:8" ht="36" customHeight="1">
      <c r="A137" s="1900"/>
      <c r="B137" s="1903"/>
      <c r="C137" s="1241" t="s">
        <v>4508</v>
      </c>
      <c r="D137" s="24" t="s">
        <v>4500</v>
      </c>
      <c r="E137" s="24" t="s">
        <v>4501</v>
      </c>
      <c r="F137" s="24"/>
      <c r="G137" s="1243" t="s">
        <v>4502</v>
      </c>
      <c r="H137" s="1233"/>
    </row>
    <row r="138" spans="1:8" ht="36" customHeight="1">
      <c r="A138" s="1900"/>
      <c r="B138" s="1903"/>
      <c r="C138" s="1241" t="s">
        <v>288</v>
      </c>
      <c r="D138" s="24" t="s">
        <v>497</v>
      </c>
      <c r="E138" s="24" t="s">
        <v>608</v>
      </c>
      <c r="F138" s="24" t="s">
        <v>591</v>
      </c>
      <c r="G138" s="1243" t="s">
        <v>314</v>
      </c>
      <c r="H138" s="1242"/>
    </row>
    <row r="139" spans="1:8" ht="36" customHeight="1">
      <c r="A139" s="1900"/>
      <c r="B139" s="1903"/>
      <c r="C139" s="1914" t="s">
        <v>377</v>
      </c>
      <c r="D139" s="1240" t="s">
        <v>295</v>
      </c>
      <c r="E139" s="1240" t="s">
        <v>539</v>
      </c>
      <c r="F139" s="1240"/>
      <c r="G139" s="1913" t="s">
        <v>4511</v>
      </c>
      <c r="H139" s="1242"/>
    </row>
    <row r="140" spans="1:8" ht="36" customHeight="1">
      <c r="A140" s="1900"/>
      <c r="B140" s="1903"/>
      <c r="C140" s="1914"/>
      <c r="D140" s="24" t="s">
        <v>315</v>
      </c>
      <c r="E140" s="24" t="s">
        <v>538</v>
      </c>
      <c r="F140" s="1240" t="s">
        <v>316</v>
      </c>
      <c r="G140" s="1913"/>
      <c r="H140" s="1242"/>
    </row>
    <row r="141" spans="1:8" ht="36" customHeight="1">
      <c r="A141" s="1900"/>
      <c r="B141" s="1903"/>
      <c r="C141" s="1906"/>
      <c r="D141" s="32" t="s">
        <v>4482</v>
      </c>
      <c r="E141" s="31" t="s">
        <v>611</v>
      </c>
      <c r="F141" s="1240"/>
      <c r="G141" s="1912"/>
      <c r="H141" s="1242"/>
    </row>
    <row r="142" spans="1:8" ht="36" customHeight="1">
      <c r="A142" s="1900"/>
      <c r="B142" s="1903"/>
      <c r="C142" s="1241" t="s">
        <v>576</v>
      </c>
      <c r="D142" s="24" t="s">
        <v>218</v>
      </c>
      <c r="E142" s="31" t="s">
        <v>349</v>
      </c>
      <c r="F142" s="24" t="s">
        <v>293</v>
      </c>
      <c r="G142" s="1239"/>
    </row>
    <row r="143" spans="1:8" ht="36" customHeight="1">
      <c r="A143" s="1900"/>
      <c r="B143" s="1903"/>
      <c r="C143" s="1241" t="s">
        <v>319</v>
      </c>
      <c r="D143" s="24" t="s">
        <v>4513</v>
      </c>
      <c r="E143" s="31" t="s">
        <v>4514</v>
      </c>
      <c r="F143" s="1240" t="s">
        <v>4515</v>
      </c>
      <c r="G143" s="1239"/>
      <c r="H143" s="1242"/>
    </row>
    <row r="144" spans="1:8" ht="36" customHeight="1">
      <c r="A144" s="1900"/>
      <c r="B144" s="1903"/>
      <c r="C144" s="1241" t="s">
        <v>4516</v>
      </c>
      <c r="D144" s="24" t="s">
        <v>4517</v>
      </c>
      <c r="E144" s="31" t="s">
        <v>4518</v>
      </c>
      <c r="F144" s="1240"/>
      <c r="G144" s="1239" t="s">
        <v>4519</v>
      </c>
      <c r="H144" s="1242" t="s">
        <v>4520</v>
      </c>
    </row>
    <row r="145" spans="1:8" ht="36" customHeight="1">
      <c r="A145" s="1900"/>
      <c r="B145" s="1903"/>
      <c r="C145" s="1910" t="s">
        <v>4521</v>
      </c>
      <c r="D145" s="24" t="s">
        <v>4522</v>
      </c>
      <c r="E145" s="31" t="s">
        <v>4523</v>
      </c>
      <c r="F145" s="1240"/>
      <c r="G145" s="1911" t="s">
        <v>4526</v>
      </c>
      <c r="H145" s="1242"/>
    </row>
    <row r="146" spans="1:8" ht="36" customHeight="1">
      <c r="A146" s="1900"/>
      <c r="B146" s="1903"/>
      <c r="C146" s="1906"/>
      <c r="D146" s="24" t="s">
        <v>4524</v>
      </c>
      <c r="E146" s="31" t="s">
        <v>4525</v>
      </c>
      <c r="F146" s="1240"/>
      <c r="G146" s="1912"/>
      <c r="H146" s="1242"/>
    </row>
    <row r="147" spans="1:8" ht="36" customHeight="1">
      <c r="A147" s="1900"/>
      <c r="B147" s="1903"/>
      <c r="C147" s="1241" t="s">
        <v>4529</v>
      </c>
      <c r="D147" s="32" t="s">
        <v>20</v>
      </c>
      <c r="E147" s="31" t="s">
        <v>4530</v>
      </c>
      <c r="F147" s="1240" t="s">
        <v>172</v>
      </c>
      <c r="G147" s="1239" t="s">
        <v>18</v>
      </c>
      <c r="H147" s="1242" t="s">
        <v>4531</v>
      </c>
    </row>
    <row r="148" spans="1:8" ht="36" customHeight="1" thickBot="1">
      <c r="A148" s="1900"/>
      <c r="B148" s="1903"/>
      <c r="C148" s="1112"/>
      <c r="D148" s="16"/>
      <c r="E148" s="15"/>
      <c r="F148" s="910"/>
      <c r="G148" s="1113"/>
    </row>
    <row r="149" spans="1:8" ht="36" customHeight="1" thickBot="1">
      <c r="A149" s="1901"/>
      <c r="B149" s="1904"/>
      <c r="C149" s="12"/>
      <c r="D149" s="11"/>
      <c r="E149" s="10"/>
      <c r="F149" s="10"/>
      <c r="G149" s="9"/>
    </row>
    <row r="150" spans="1:8" ht="36" customHeight="1">
      <c r="A150" s="1900">
        <v>45188</v>
      </c>
      <c r="B150" s="1903" t="s">
        <v>4547</v>
      </c>
      <c r="C150" s="1248" t="s">
        <v>4533</v>
      </c>
      <c r="D150" s="24" t="s">
        <v>4534</v>
      </c>
      <c r="E150" s="24" t="s">
        <v>4535</v>
      </c>
      <c r="F150" s="24"/>
      <c r="G150" s="1250" t="s">
        <v>261</v>
      </c>
    </row>
    <row r="151" spans="1:8" ht="36" customHeight="1">
      <c r="A151" s="1900"/>
      <c r="B151" s="1903"/>
      <c r="C151" s="1245" t="s">
        <v>4536</v>
      </c>
      <c r="D151" s="30" t="s">
        <v>4537</v>
      </c>
      <c r="E151" s="29" t="s">
        <v>4535</v>
      </c>
      <c r="F151" s="1247" t="s">
        <v>4543</v>
      </c>
      <c r="G151" s="1246"/>
    </row>
    <row r="152" spans="1:8" ht="36" customHeight="1">
      <c r="A152" s="1900"/>
      <c r="B152" s="1903"/>
      <c r="C152" s="1910" t="s">
        <v>627</v>
      </c>
      <c r="D152" s="24" t="s">
        <v>20</v>
      </c>
      <c r="E152" s="31" t="s">
        <v>41</v>
      </c>
      <c r="F152" s="24" t="s">
        <v>4544</v>
      </c>
      <c r="G152" s="1911" t="s">
        <v>45</v>
      </c>
    </row>
    <row r="153" spans="1:8" ht="36" customHeight="1">
      <c r="A153" s="1900"/>
      <c r="B153" s="1903"/>
      <c r="C153" s="1906"/>
      <c r="D153" s="32" t="s">
        <v>4545</v>
      </c>
      <c r="E153" s="31" t="s">
        <v>4546</v>
      </c>
      <c r="F153" s="24"/>
      <c r="G153" s="1912"/>
      <c r="H153" s="1225"/>
    </row>
    <row r="154" spans="1:8" ht="36" customHeight="1" thickBot="1">
      <c r="A154" s="1900"/>
      <c r="B154" s="1903"/>
      <c r="C154" s="1224"/>
      <c r="D154" s="26"/>
      <c r="E154" s="25"/>
      <c r="F154" s="1179"/>
      <c r="G154" s="1226"/>
      <c r="H154" s="1225"/>
    </row>
    <row r="155" spans="1:8" ht="36" customHeight="1" thickBot="1">
      <c r="A155" s="1901"/>
      <c r="B155" s="1904"/>
      <c r="C155" s="12"/>
      <c r="D155" s="11"/>
      <c r="E155" s="10"/>
      <c r="F155" s="10"/>
      <c r="G155" s="9"/>
    </row>
    <row r="156" spans="1:8" ht="36" customHeight="1">
      <c r="A156" s="1899">
        <v>45189</v>
      </c>
      <c r="B156" s="1902" t="s">
        <v>2</v>
      </c>
      <c r="C156" s="1253" t="s">
        <v>394</v>
      </c>
      <c r="D156" s="24" t="s">
        <v>395</v>
      </c>
      <c r="E156" s="24" t="s">
        <v>4527</v>
      </c>
      <c r="F156" s="1252"/>
      <c r="G156" s="1251"/>
    </row>
    <row r="157" spans="1:8" ht="36" customHeight="1">
      <c r="A157" s="1900"/>
      <c r="B157" s="1903"/>
      <c r="C157" s="1253" t="s">
        <v>4548</v>
      </c>
      <c r="D157" s="24" t="s">
        <v>4549</v>
      </c>
      <c r="E157" s="24" t="s">
        <v>4550</v>
      </c>
      <c r="F157" s="1252"/>
      <c r="G157" s="1251" t="s">
        <v>4551</v>
      </c>
      <c r="H157" s="1249" t="s">
        <v>4552</v>
      </c>
    </row>
    <row r="158" spans="1:8" ht="36" customHeight="1">
      <c r="A158" s="1900"/>
      <c r="B158" s="1903"/>
      <c r="C158" s="1253" t="s">
        <v>4553</v>
      </c>
      <c r="D158" s="32" t="s">
        <v>4554</v>
      </c>
      <c r="E158" s="31" t="s">
        <v>4555</v>
      </c>
      <c r="F158" s="1252"/>
      <c r="G158" s="1251" t="s">
        <v>4556</v>
      </c>
    </row>
    <row r="159" spans="1:8" ht="36" customHeight="1" thickBot="1">
      <c r="A159" s="1900"/>
      <c r="B159" s="1903"/>
      <c r="C159" s="1112"/>
      <c r="D159" s="16"/>
      <c r="E159" s="15"/>
      <c r="F159" s="910"/>
      <c r="G159" s="1113"/>
    </row>
    <row r="160" spans="1:8" ht="36" customHeight="1" thickBot="1">
      <c r="A160" s="1901"/>
      <c r="B160" s="1904"/>
      <c r="C160" s="12" t="s">
        <v>4532</v>
      </c>
      <c r="D160" s="11"/>
      <c r="E160" s="10"/>
      <c r="F160" s="10" t="s">
        <v>290</v>
      </c>
      <c r="G160" s="9"/>
    </row>
    <row r="161" spans="1:8" ht="36" customHeight="1">
      <c r="A161" s="1900">
        <v>45190</v>
      </c>
      <c r="B161" s="1903" t="s">
        <v>4574</v>
      </c>
      <c r="C161" s="1263" t="s">
        <v>394</v>
      </c>
      <c r="D161" s="24" t="s">
        <v>395</v>
      </c>
      <c r="E161" s="24" t="s">
        <v>4528</v>
      </c>
      <c r="F161" s="1262"/>
      <c r="G161" s="1260"/>
    </row>
    <row r="162" spans="1:8" ht="36" customHeight="1">
      <c r="A162" s="1900"/>
      <c r="B162" s="1903"/>
      <c r="C162" s="1910" t="s">
        <v>4538</v>
      </c>
      <c r="D162" s="32" t="s">
        <v>4539</v>
      </c>
      <c r="E162" s="31" t="s">
        <v>4540</v>
      </c>
      <c r="F162" s="1262"/>
      <c r="G162" s="1911" t="s">
        <v>3914</v>
      </c>
      <c r="H162" s="1111" t="s">
        <v>4541</v>
      </c>
    </row>
    <row r="163" spans="1:8" ht="36" customHeight="1">
      <c r="A163" s="1900"/>
      <c r="B163" s="1903"/>
      <c r="C163" s="1906"/>
      <c r="D163" s="32" t="s">
        <v>4588</v>
      </c>
      <c r="E163" s="31" t="s">
        <v>4589</v>
      </c>
      <c r="F163" s="1262"/>
      <c r="G163" s="1912"/>
      <c r="H163" s="1255"/>
    </row>
    <row r="164" spans="1:8" ht="36" customHeight="1">
      <c r="A164" s="1900"/>
      <c r="B164" s="1903"/>
      <c r="C164" s="1259" t="s">
        <v>4557</v>
      </c>
      <c r="D164" s="30" t="s">
        <v>20</v>
      </c>
      <c r="E164" s="29" t="s">
        <v>4558</v>
      </c>
      <c r="F164" s="1262"/>
      <c r="G164" s="1261" t="s">
        <v>4581</v>
      </c>
      <c r="H164" s="1249"/>
    </row>
    <row r="165" spans="1:8" ht="36" customHeight="1">
      <c r="A165" s="1900"/>
      <c r="B165" s="1903"/>
      <c r="C165" s="1910" t="s">
        <v>4590</v>
      </c>
      <c r="D165" s="30" t="s">
        <v>4591</v>
      </c>
      <c r="E165" s="29" t="s">
        <v>4592</v>
      </c>
      <c r="F165" s="1262"/>
      <c r="G165" s="1911" t="s">
        <v>4595</v>
      </c>
      <c r="H165" s="1255"/>
    </row>
    <row r="166" spans="1:8" ht="36" customHeight="1">
      <c r="A166" s="1900"/>
      <c r="B166" s="1903"/>
      <c r="C166" s="1906"/>
      <c r="D166" s="30" t="s">
        <v>4593</v>
      </c>
      <c r="E166" s="29" t="s">
        <v>4594</v>
      </c>
      <c r="F166" s="1262"/>
      <c r="G166" s="1912"/>
      <c r="H166" s="1255"/>
    </row>
    <row r="167" spans="1:8" ht="36" customHeight="1">
      <c r="A167" s="1900"/>
      <c r="B167" s="1903"/>
      <c r="C167" s="1259" t="s">
        <v>4577</v>
      </c>
      <c r="D167" s="30" t="s">
        <v>4578</v>
      </c>
      <c r="E167" s="29" t="s">
        <v>4555</v>
      </c>
      <c r="F167" s="1262"/>
      <c r="G167" s="1261" t="s">
        <v>4579</v>
      </c>
      <c r="H167" s="1249"/>
    </row>
    <row r="168" spans="1:8" ht="36" customHeight="1">
      <c r="A168" s="1900"/>
      <c r="B168" s="1903"/>
      <c r="C168" s="1263" t="s">
        <v>4582</v>
      </c>
      <c r="D168" s="32" t="s">
        <v>4583</v>
      </c>
      <c r="E168" s="31"/>
      <c r="F168" s="24"/>
      <c r="G168" s="1267" t="s">
        <v>4584</v>
      </c>
      <c r="H168" s="1249"/>
    </row>
    <row r="169" spans="1:8" ht="36" customHeight="1">
      <c r="A169" s="1900"/>
      <c r="B169" s="1903"/>
      <c r="C169" s="1910" t="s">
        <v>4596</v>
      </c>
      <c r="D169" s="30" t="s">
        <v>4597</v>
      </c>
      <c r="E169" s="29" t="s">
        <v>4594</v>
      </c>
      <c r="F169" s="1262"/>
      <c r="G169" s="1911" t="s">
        <v>4600</v>
      </c>
      <c r="H169" s="1255"/>
    </row>
    <row r="170" spans="1:8" ht="36" customHeight="1">
      <c r="A170" s="1900"/>
      <c r="B170" s="1903"/>
      <c r="C170" s="1914"/>
      <c r="D170" s="30" t="s">
        <v>4598</v>
      </c>
      <c r="E170" s="29" t="s">
        <v>4599</v>
      </c>
      <c r="F170" s="1262"/>
      <c r="G170" s="1913"/>
      <c r="H170" s="1255"/>
    </row>
    <row r="171" spans="1:8" ht="36" customHeight="1">
      <c r="A171" s="1900"/>
      <c r="B171" s="1903"/>
      <c r="C171" s="1906"/>
      <c r="D171" s="32" t="s">
        <v>20</v>
      </c>
      <c r="E171" s="31" t="s">
        <v>4601</v>
      </c>
      <c r="F171" s="24"/>
      <c r="G171" s="1912"/>
      <c r="H171" s="1255"/>
    </row>
    <row r="172" spans="1:8" ht="36" customHeight="1">
      <c r="A172" s="1900"/>
      <c r="B172" s="1903"/>
      <c r="C172" s="1263" t="s">
        <v>212</v>
      </c>
      <c r="D172" s="24" t="s">
        <v>4122</v>
      </c>
      <c r="E172" s="24" t="s">
        <v>464</v>
      </c>
      <c r="F172" s="24" t="s">
        <v>426</v>
      </c>
      <c r="G172" s="1267"/>
      <c r="H172" s="1265"/>
    </row>
    <row r="173" spans="1:8" ht="36" customHeight="1" thickBot="1">
      <c r="A173" s="1900"/>
      <c r="B173" s="1903"/>
      <c r="C173" s="1254"/>
      <c r="D173" s="26"/>
      <c r="E173" s="25"/>
      <c r="F173" s="1179"/>
      <c r="G173" s="1257"/>
      <c r="H173" s="1255"/>
    </row>
    <row r="174" spans="1:8" ht="36" customHeight="1" thickBot="1">
      <c r="A174" s="1901"/>
      <c r="B174" s="1904"/>
      <c r="C174" s="12"/>
      <c r="D174" s="11"/>
      <c r="E174" s="10"/>
      <c r="F174" s="10"/>
      <c r="G174" s="9"/>
    </row>
    <row r="175" spans="1:8" ht="36" customHeight="1">
      <c r="A175" s="1899">
        <v>45191</v>
      </c>
      <c r="B175" s="1902" t="s">
        <v>0</v>
      </c>
      <c r="C175" s="1275" t="s">
        <v>4559</v>
      </c>
      <c r="D175" s="24" t="s">
        <v>4560</v>
      </c>
      <c r="E175" s="24" t="s">
        <v>4561</v>
      </c>
      <c r="F175" s="1272" t="s">
        <v>4562</v>
      </c>
      <c r="G175" s="1269"/>
      <c r="H175" s="1111" t="s">
        <v>4563</v>
      </c>
    </row>
    <row r="176" spans="1:8" ht="36" customHeight="1">
      <c r="A176" s="1900"/>
      <c r="B176" s="1903"/>
      <c r="C176" s="1910" t="s">
        <v>232</v>
      </c>
      <c r="D176" s="32" t="s">
        <v>4542</v>
      </c>
      <c r="E176" s="31" t="s">
        <v>259</v>
      </c>
      <c r="F176" s="24" t="s">
        <v>4580</v>
      </c>
      <c r="G176" s="1911" t="s">
        <v>4611</v>
      </c>
      <c r="H176" s="1255"/>
    </row>
    <row r="177" spans="1:8" ht="36" customHeight="1">
      <c r="A177" s="1900"/>
      <c r="B177" s="1903"/>
      <c r="C177" s="1906"/>
      <c r="D177" s="24" t="s">
        <v>4585</v>
      </c>
      <c r="E177" s="24" t="s">
        <v>4586</v>
      </c>
      <c r="F177" s="1272" t="s">
        <v>4587</v>
      </c>
      <c r="G177" s="1912"/>
      <c r="H177" s="1255"/>
    </row>
    <row r="178" spans="1:8" ht="36" customHeight="1">
      <c r="A178" s="1900"/>
      <c r="B178" s="1903"/>
      <c r="C178" s="1910" t="s">
        <v>4612</v>
      </c>
      <c r="D178" s="24" t="s">
        <v>4613</v>
      </c>
      <c r="E178" s="24" t="s">
        <v>4603</v>
      </c>
      <c r="F178" s="1272"/>
      <c r="G178" s="1279"/>
      <c r="H178" s="1255"/>
    </row>
    <row r="179" spans="1:8" ht="36" customHeight="1">
      <c r="A179" s="1900"/>
      <c r="B179" s="1903"/>
      <c r="C179" s="1914"/>
      <c r="D179" s="24" t="s">
        <v>4614</v>
      </c>
      <c r="E179" s="24" t="s">
        <v>4615</v>
      </c>
      <c r="F179" s="1272"/>
      <c r="G179" s="1279"/>
      <c r="H179" s="1255"/>
    </row>
    <row r="180" spans="1:8" ht="36" customHeight="1">
      <c r="A180" s="1900"/>
      <c r="B180" s="1903"/>
      <c r="C180" s="1914"/>
      <c r="D180" s="24" t="s">
        <v>4588</v>
      </c>
      <c r="E180" s="24" t="s">
        <v>4616</v>
      </c>
      <c r="F180" s="1272"/>
      <c r="G180" s="1271"/>
      <c r="H180" s="1255"/>
    </row>
    <row r="181" spans="1:8" ht="36" customHeight="1">
      <c r="A181" s="1900"/>
      <c r="B181" s="1903"/>
      <c r="C181" s="1906"/>
      <c r="D181" s="32" t="s">
        <v>4617</v>
      </c>
      <c r="E181" s="31" t="s">
        <v>4618</v>
      </c>
      <c r="F181" s="1272" t="s">
        <v>4619</v>
      </c>
      <c r="G181" s="1269"/>
    </row>
    <row r="182" spans="1:8" ht="36" customHeight="1">
      <c r="A182" s="1900"/>
      <c r="B182" s="1903"/>
      <c r="C182" s="1275" t="s">
        <v>175</v>
      </c>
      <c r="D182" s="32" t="s">
        <v>4620</v>
      </c>
      <c r="E182" s="31" t="s">
        <v>4621</v>
      </c>
      <c r="F182" s="24"/>
      <c r="G182" s="1279"/>
      <c r="H182" s="1265"/>
    </row>
    <row r="183" spans="1:8" ht="36" customHeight="1" thickBot="1">
      <c r="A183" s="1900"/>
      <c r="B183" s="1903"/>
      <c r="C183" s="1264"/>
      <c r="D183" s="26"/>
      <c r="E183" s="25"/>
      <c r="F183" s="910"/>
      <c r="G183" s="1266"/>
    </row>
    <row r="184" spans="1:8" ht="36" customHeight="1" thickBot="1">
      <c r="A184" s="1901"/>
      <c r="B184" s="1904"/>
      <c r="C184" s="12"/>
      <c r="D184" s="11"/>
      <c r="E184" s="10"/>
      <c r="F184" s="10"/>
      <c r="G184" s="9"/>
    </row>
    <row r="185" spans="1:8" ht="60" customHeight="1" thickBot="1">
      <c r="A185" s="1907" t="s">
        <v>5</v>
      </c>
      <c r="B185" s="1908"/>
      <c r="C185" s="1908"/>
      <c r="D185" s="1908"/>
      <c r="E185" s="1908"/>
      <c r="F185" s="1908"/>
      <c r="G185" s="1909"/>
    </row>
    <row r="186" spans="1:8" ht="36" customHeight="1">
      <c r="A186" s="1899">
        <v>45194</v>
      </c>
      <c r="B186" s="1902" t="s">
        <v>4</v>
      </c>
      <c r="C186" s="1275" t="s">
        <v>4411</v>
      </c>
      <c r="D186" s="24" t="s">
        <v>4410</v>
      </c>
      <c r="E186" s="24" t="s">
        <v>4412</v>
      </c>
      <c r="F186" s="1272"/>
      <c r="G186" s="1915" t="s">
        <v>4610</v>
      </c>
    </row>
    <row r="187" spans="1:8" ht="36" customHeight="1">
      <c r="A187" s="1900"/>
      <c r="B187" s="1903"/>
      <c r="C187" s="1268" t="s">
        <v>4607</v>
      </c>
      <c r="D187" s="24" t="s">
        <v>4608</v>
      </c>
      <c r="E187" s="24" t="s">
        <v>4609</v>
      </c>
      <c r="F187" s="1272"/>
      <c r="G187" s="1912"/>
      <c r="H187" s="1255"/>
    </row>
    <row r="188" spans="1:8" ht="36" customHeight="1">
      <c r="A188" s="1900"/>
      <c r="B188" s="1903"/>
      <c r="C188" s="1910" t="s">
        <v>4564</v>
      </c>
      <c r="D188" s="24" t="s">
        <v>4565</v>
      </c>
      <c r="E188" s="24" t="s">
        <v>4566</v>
      </c>
      <c r="F188" s="24"/>
      <c r="G188" s="1911" t="s">
        <v>4572</v>
      </c>
      <c r="H188" s="1111" t="s">
        <v>4573</v>
      </c>
    </row>
    <row r="189" spans="1:8" ht="36" customHeight="1">
      <c r="A189" s="1900"/>
      <c r="B189" s="1903"/>
      <c r="C189" s="1914"/>
      <c r="D189" s="32" t="s">
        <v>4567</v>
      </c>
      <c r="E189" s="31" t="s">
        <v>4568</v>
      </c>
      <c r="F189" s="1936" t="s">
        <v>4571</v>
      </c>
      <c r="G189" s="1913"/>
    </row>
    <row r="190" spans="1:8" ht="36" customHeight="1">
      <c r="A190" s="1900"/>
      <c r="B190" s="1903"/>
      <c r="C190" s="1914"/>
      <c r="D190" s="32" t="s">
        <v>4569</v>
      </c>
      <c r="E190" s="31" t="s">
        <v>4570</v>
      </c>
      <c r="F190" s="1938"/>
      <c r="G190" s="1913"/>
    </row>
    <row r="191" spans="1:8" ht="36" customHeight="1">
      <c r="A191" s="1900"/>
      <c r="B191" s="1903"/>
      <c r="C191" s="1906"/>
      <c r="D191" s="30" t="s">
        <v>4575</v>
      </c>
      <c r="E191" s="29" t="s">
        <v>4622</v>
      </c>
      <c r="F191" s="1272" t="s">
        <v>4576</v>
      </c>
      <c r="G191" s="1912"/>
      <c r="H191" s="1249"/>
    </row>
    <row r="192" spans="1:8" ht="36" customHeight="1">
      <c r="A192" s="1900"/>
      <c r="B192" s="1903"/>
      <c r="C192" s="1275" t="s">
        <v>4602</v>
      </c>
      <c r="D192" s="24" t="s">
        <v>4604</v>
      </c>
      <c r="E192" s="24" t="s">
        <v>4605</v>
      </c>
      <c r="F192" s="1277" t="s">
        <v>4606</v>
      </c>
      <c r="G192" s="1279"/>
      <c r="H192" s="1255"/>
    </row>
    <row r="193" spans="1:8" ht="36" customHeight="1">
      <c r="A193" s="1900"/>
      <c r="B193" s="1903"/>
      <c r="C193" s="1275" t="s">
        <v>4629</v>
      </c>
      <c r="D193" s="32" t="s">
        <v>4630</v>
      </c>
      <c r="E193" s="31" t="s">
        <v>4631</v>
      </c>
      <c r="F193" s="24" t="s">
        <v>4648</v>
      </c>
      <c r="G193" s="1279" t="s">
        <v>4632</v>
      </c>
      <c r="H193" s="1249" t="s">
        <v>4647</v>
      </c>
    </row>
    <row r="194" spans="1:8" ht="36" customHeight="1">
      <c r="A194" s="1900"/>
      <c r="B194" s="1903"/>
      <c r="C194" s="1910" t="s">
        <v>4633</v>
      </c>
      <c r="D194" s="32" t="s">
        <v>4634</v>
      </c>
      <c r="E194" s="31" t="s">
        <v>4635</v>
      </c>
      <c r="F194" s="24"/>
      <c r="G194" s="1911" t="s">
        <v>4640</v>
      </c>
      <c r="H194" s="1276"/>
    </row>
    <row r="195" spans="1:8" ht="36" customHeight="1">
      <c r="A195" s="1900"/>
      <c r="B195" s="1903"/>
      <c r="C195" s="1914"/>
      <c r="D195" s="30" t="s">
        <v>4636</v>
      </c>
      <c r="E195" s="29" t="s">
        <v>4637</v>
      </c>
      <c r="F195" s="1272" t="s">
        <v>4649</v>
      </c>
      <c r="G195" s="1913"/>
      <c r="H195" s="1276"/>
    </row>
    <row r="196" spans="1:8" ht="36" customHeight="1">
      <c r="A196" s="1900"/>
      <c r="B196" s="1903"/>
      <c r="C196" s="1906"/>
      <c r="D196" s="30" t="s">
        <v>4638</v>
      </c>
      <c r="E196" s="29" t="s">
        <v>4639</v>
      </c>
      <c r="F196" s="1272"/>
      <c r="G196" s="1912"/>
      <c r="H196" s="1276"/>
    </row>
    <row r="197" spans="1:8" ht="36" customHeight="1">
      <c r="A197" s="1900"/>
      <c r="B197" s="1903"/>
      <c r="C197" s="1910" t="s">
        <v>4641</v>
      </c>
      <c r="D197" s="32" t="s">
        <v>4642</v>
      </c>
      <c r="E197" s="31" t="s">
        <v>29</v>
      </c>
      <c r="F197" s="24" t="s">
        <v>4643</v>
      </c>
      <c r="G197" s="1279" t="s">
        <v>63</v>
      </c>
      <c r="H197" s="1276"/>
    </row>
    <row r="198" spans="1:8" ht="36" customHeight="1">
      <c r="A198" s="1900"/>
      <c r="B198" s="1903"/>
      <c r="C198" s="1906"/>
      <c r="D198" s="30" t="s">
        <v>4644</v>
      </c>
      <c r="E198" s="29" t="s">
        <v>4645</v>
      </c>
      <c r="F198" s="1272"/>
      <c r="G198" s="1270" t="s">
        <v>4646</v>
      </c>
      <c r="H198" s="1276"/>
    </row>
    <row r="199" spans="1:8" ht="36" customHeight="1" thickBot="1">
      <c r="A199" s="1900"/>
      <c r="B199" s="1903"/>
      <c r="C199" s="1273" t="s">
        <v>4650</v>
      </c>
      <c r="D199" s="35" t="s">
        <v>4651</v>
      </c>
      <c r="E199" s="34" t="s">
        <v>4652</v>
      </c>
      <c r="F199" s="1278"/>
      <c r="G199" s="1274" t="s">
        <v>353</v>
      </c>
      <c r="H199" s="1276"/>
    </row>
    <row r="200" spans="1:8" ht="36" customHeight="1" thickBot="1">
      <c r="A200" s="1901"/>
      <c r="B200" s="1904"/>
      <c r="C200" s="12" t="s">
        <v>4624</v>
      </c>
      <c r="D200" s="11" t="s">
        <v>418</v>
      </c>
      <c r="E200" s="10"/>
      <c r="F200" s="10" t="s">
        <v>4625</v>
      </c>
      <c r="G200" s="9"/>
    </row>
    <row r="201" spans="1:8" ht="36" customHeight="1">
      <c r="A201" s="1899">
        <v>45195</v>
      </c>
      <c r="B201" s="1902" t="s">
        <v>3</v>
      </c>
      <c r="C201" s="1282" t="s">
        <v>4413</v>
      </c>
      <c r="D201" s="24" t="s">
        <v>4410</v>
      </c>
      <c r="E201" s="24" t="s">
        <v>4623</v>
      </c>
      <c r="F201" s="1281"/>
      <c r="G201" s="1280"/>
    </row>
    <row r="202" spans="1:8" ht="36" customHeight="1">
      <c r="A202" s="1900"/>
      <c r="B202" s="1903"/>
      <c r="C202" s="1282" t="s">
        <v>4660</v>
      </c>
      <c r="D202" s="24" t="s">
        <v>2392</v>
      </c>
      <c r="E202" s="24" t="s">
        <v>4661</v>
      </c>
      <c r="F202" s="1281" t="s">
        <v>4662</v>
      </c>
      <c r="G202" s="1280"/>
    </row>
    <row r="203" spans="1:8" ht="36" customHeight="1">
      <c r="A203" s="1900"/>
      <c r="B203" s="1903"/>
      <c r="C203" s="21"/>
      <c r="D203" s="20"/>
      <c r="E203" s="19"/>
      <c r="F203" s="1116"/>
      <c r="G203" s="1113"/>
    </row>
    <row r="204" spans="1:8" ht="36" customHeight="1" thickBot="1">
      <c r="A204" s="1900"/>
      <c r="B204" s="1903"/>
      <c r="C204" s="1112"/>
      <c r="D204" s="16"/>
      <c r="E204" s="15"/>
      <c r="F204" s="910"/>
      <c r="G204" s="1113"/>
    </row>
    <row r="205" spans="1:8" ht="36" customHeight="1" thickBot="1">
      <c r="A205" s="1901"/>
      <c r="B205" s="1904"/>
      <c r="C205" s="12"/>
      <c r="D205" s="11"/>
      <c r="E205" s="10"/>
      <c r="F205" s="10"/>
      <c r="G205" s="9"/>
    </row>
    <row r="206" spans="1:8" ht="36" customHeight="1">
      <c r="A206" s="1899">
        <v>45196</v>
      </c>
      <c r="B206" s="1902" t="s">
        <v>32</v>
      </c>
      <c r="C206" s="1905" t="s">
        <v>4626</v>
      </c>
      <c r="D206" s="24" t="s">
        <v>4627</v>
      </c>
      <c r="E206" s="24" t="s">
        <v>4628</v>
      </c>
      <c r="F206" s="1285"/>
      <c r="G206" s="1915" t="s">
        <v>4669</v>
      </c>
    </row>
    <row r="207" spans="1:8" ht="36" customHeight="1">
      <c r="A207" s="1900"/>
      <c r="B207" s="1903"/>
      <c r="C207" s="1906"/>
      <c r="D207" s="24" t="s">
        <v>4670</v>
      </c>
      <c r="E207" s="24" t="s">
        <v>4672</v>
      </c>
      <c r="F207" s="1285" t="s">
        <v>4673</v>
      </c>
      <c r="G207" s="1912"/>
    </row>
    <row r="208" spans="1:8" ht="36" customHeight="1">
      <c r="A208" s="1900"/>
      <c r="B208" s="1903"/>
      <c r="C208" s="1286" t="s">
        <v>4677</v>
      </c>
      <c r="D208" s="32" t="s">
        <v>4678</v>
      </c>
      <c r="E208" s="31" t="s">
        <v>4679</v>
      </c>
      <c r="F208" s="1285"/>
      <c r="G208" s="1284"/>
      <c r="H208" s="1111" t="s">
        <v>4680</v>
      </c>
    </row>
    <row r="209" spans="1:7" ht="36" customHeight="1" thickBot="1">
      <c r="A209" s="1900"/>
      <c r="B209" s="1903"/>
      <c r="C209" s="1112"/>
      <c r="D209" s="16"/>
      <c r="E209" s="15"/>
      <c r="F209" s="910"/>
      <c r="G209" s="1113"/>
    </row>
    <row r="210" spans="1:7" ht="36" customHeight="1" thickBot="1">
      <c r="A210" s="1901"/>
      <c r="B210" s="1904"/>
      <c r="C210" s="12"/>
      <c r="D210" s="11"/>
      <c r="E210" s="10"/>
      <c r="F210" s="10"/>
      <c r="G210" s="9"/>
    </row>
  </sheetData>
  <mergeCells count="100">
    <mergeCell ref="B123:B133"/>
    <mergeCell ref="G51:G53"/>
    <mergeCell ref="A1:G1"/>
    <mergeCell ref="C41:C42"/>
    <mergeCell ref="G41:G42"/>
    <mergeCell ref="F44:F45"/>
    <mergeCell ref="F46:F48"/>
    <mergeCell ref="C44:C49"/>
    <mergeCell ref="A2:G2"/>
    <mergeCell ref="A15:A20"/>
    <mergeCell ref="B15:B20"/>
    <mergeCell ref="C15:C17"/>
    <mergeCell ref="G15:G17"/>
    <mergeCell ref="C8:C9"/>
    <mergeCell ref="G8:G9"/>
    <mergeCell ref="A3:A14"/>
    <mergeCell ref="A85:A93"/>
    <mergeCell ref="B85:B93"/>
    <mergeCell ref="A21:G21"/>
    <mergeCell ref="A22:A32"/>
    <mergeCell ref="B22:B32"/>
    <mergeCell ref="A33:A40"/>
    <mergeCell ref="B33:B40"/>
    <mergeCell ref="A41:A55"/>
    <mergeCell ref="B41:B55"/>
    <mergeCell ref="A56:A67"/>
    <mergeCell ref="B56:B67"/>
    <mergeCell ref="A68:A78"/>
    <mergeCell ref="B68:B78"/>
    <mergeCell ref="A79:A83"/>
    <mergeCell ref="B79:B83"/>
    <mergeCell ref="A84:G84"/>
    <mergeCell ref="A206:A210"/>
    <mergeCell ref="B206:B210"/>
    <mergeCell ref="F189:F190"/>
    <mergeCell ref="C206:C207"/>
    <mergeCell ref="A156:A160"/>
    <mergeCell ref="B156:B160"/>
    <mergeCell ref="A161:A174"/>
    <mergeCell ref="B161:B174"/>
    <mergeCell ref="A175:A184"/>
    <mergeCell ref="B175:B184"/>
    <mergeCell ref="C176:C177"/>
    <mergeCell ref="C178:C181"/>
    <mergeCell ref="A185:G185"/>
    <mergeCell ref="A186:A200"/>
    <mergeCell ref="B186:B200"/>
    <mergeCell ref="G188:G191"/>
    <mergeCell ref="G165:G166"/>
    <mergeCell ref="C169:C171"/>
    <mergeCell ref="G194:G196"/>
    <mergeCell ref="C197:C198"/>
    <mergeCell ref="C194:C196"/>
    <mergeCell ref="G176:G177"/>
    <mergeCell ref="B3:B14"/>
    <mergeCell ref="C34:C36"/>
    <mergeCell ref="C72:C74"/>
    <mergeCell ref="C57:C60"/>
    <mergeCell ref="C64:C65"/>
    <mergeCell ref="C51:C53"/>
    <mergeCell ref="C5:C7"/>
    <mergeCell ref="A201:A205"/>
    <mergeCell ref="B201:B205"/>
    <mergeCell ref="A150:A155"/>
    <mergeCell ref="B150:B155"/>
    <mergeCell ref="A94:A100"/>
    <mergeCell ref="B94:B100"/>
    <mergeCell ref="A101:A111"/>
    <mergeCell ref="B101:B111"/>
    <mergeCell ref="A112:A122"/>
    <mergeCell ref="B112:B122"/>
    <mergeCell ref="A134:G134"/>
    <mergeCell ref="A135:A149"/>
    <mergeCell ref="B135:B149"/>
    <mergeCell ref="C112:C114"/>
    <mergeCell ref="C125:C128"/>
    <mergeCell ref="A123:A133"/>
    <mergeCell ref="G103:G105"/>
    <mergeCell ref="G206:G207"/>
    <mergeCell ref="G145:G146"/>
    <mergeCell ref="C152:C153"/>
    <mergeCell ref="G152:G153"/>
    <mergeCell ref="C162:C163"/>
    <mergeCell ref="G162:G163"/>
    <mergeCell ref="C103:C105"/>
    <mergeCell ref="C188:C191"/>
    <mergeCell ref="C135:C136"/>
    <mergeCell ref="C139:C141"/>
    <mergeCell ref="C145:C146"/>
    <mergeCell ref="C165:C166"/>
    <mergeCell ref="G139:G141"/>
    <mergeCell ref="G169:G171"/>
    <mergeCell ref="G186:G187"/>
    <mergeCell ref="G64:G65"/>
    <mergeCell ref="F64:F65"/>
    <mergeCell ref="G57:G59"/>
    <mergeCell ref="C70:C71"/>
    <mergeCell ref="G94:G95"/>
    <mergeCell ref="C94:C95"/>
    <mergeCell ref="C88:C8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topLeftCell="A228" zoomScale="70" zoomScaleNormal="70" zoomScaleSheetLayoutView="70" workbookViewId="0">
      <selection activeCell="D242" sqref="D242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255" customWidth="1"/>
    <col min="9" max="16384" width="9" style="1"/>
  </cols>
  <sheetData>
    <row r="1" spans="1:8" s="1255" customFormat="1" ht="60" customHeight="1" thickBot="1">
      <c r="A1" s="1907" t="s">
        <v>5</v>
      </c>
      <c r="B1" s="1908"/>
      <c r="C1" s="1908"/>
      <c r="D1" s="1908"/>
      <c r="E1" s="1908"/>
      <c r="F1" s="1908"/>
      <c r="G1" s="1909"/>
    </row>
    <row r="2" spans="1:8" ht="36" customHeight="1">
      <c r="A2" s="1899">
        <v>45203</v>
      </c>
      <c r="B2" s="1919" t="s">
        <v>2</v>
      </c>
      <c r="C2" s="1294" t="s">
        <v>4664</v>
      </c>
      <c r="D2" s="24" t="s">
        <v>20</v>
      </c>
      <c r="E2" s="24" t="s">
        <v>4665</v>
      </c>
      <c r="F2" s="1293" t="s">
        <v>4667</v>
      </c>
      <c r="G2" s="1292"/>
      <c r="H2" s="1283" t="s">
        <v>4666</v>
      </c>
    </row>
    <row r="3" spans="1:8" ht="36" customHeight="1">
      <c r="A3" s="1900"/>
      <c r="B3" s="1920"/>
      <c r="C3" s="1294" t="s">
        <v>4701</v>
      </c>
      <c r="D3" s="24" t="s">
        <v>4702</v>
      </c>
      <c r="E3" s="24" t="s">
        <v>4703</v>
      </c>
      <c r="F3" s="1293" t="s">
        <v>4704</v>
      </c>
      <c r="G3" s="1292"/>
      <c r="H3" s="1289"/>
    </row>
    <row r="4" spans="1:8" ht="36" customHeight="1">
      <c r="A4" s="1900"/>
      <c r="B4" s="1920"/>
      <c r="C4" s="1910" t="s">
        <v>4705</v>
      </c>
      <c r="D4" s="24" t="s">
        <v>4706</v>
      </c>
      <c r="E4" s="24" t="s">
        <v>4707</v>
      </c>
      <c r="F4" s="1293"/>
      <c r="G4" s="1911" t="s">
        <v>4711</v>
      </c>
      <c r="H4" s="1289"/>
    </row>
    <row r="5" spans="1:8" ht="36" customHeight="1">
      <c r="A5" s="1900"/>
      <c r="B5" s="1920"/>
      <c r="C5" s="1914"/>
      <c r="D5" s="24" t="s">
        <v>4708</v>
      </c>
      <c r="E5" s="24" t="s">
        <v>4709</v>
      </c>
      <c r="F5" s="1293"/>
      <c r="G5" s="1913"/>
      <c r="H5" s="1289"/>
    </row>
    <row r="6" spans="1:8" ht="36" customHeight="1">
      <c r="A6" s="1900"/>
      <c r="B6" s="1920"/>
      <c r="C6" s="1906"/>
      <c r="D6" s="24" t="s">
        <v>20</v>
      </c>
      <c r="E6" s="24" t="s">
        <v>4710</v>
      </c>
      <c r="F6" s="1293" t="s">
        <v>316</v>
      </c>
      <c r="G6" s="1912"/>
      <c r="H6" s="1289"/>
    </row>
    <row r="7" spans="1:8" s="1255" customFormat="1" ht="30" customHeight="1">
      <c r="A7" s="1900"/>
      <c r="B7" s="1920"/>
      <c r="C7" s="1294" t="s">
        <v>4690</v>
      </c>
      <c r="D7" s="24" t="s">
        <v>20</v>
      </c>
      <c r="E7" s="24" t="s">
        <v>4691</v>
      </c>
      <c r="F7" s="1293" t="s">
        <v>240</v>
      </c>
      <c r="G7" s="1292" t="s">
        <v>4692</v>
      </c>
      <c r="H7" s="1287" t="s">
        <v>4149</v>
      </c>
    </row>
    <row r="8" spans="1:8" s="1255" customFormat="1" ht="30" customHeight="1">
      <c r="A8" s="1900"/>
      <c r="B8" s="1920"/>
      <c r="C8" s="1294" t="s">
        <v>4695</v>
      </c>
      <c r="D8" s="24" t="s">
        <v>4696</v>
      </c>
      <c r="E8" s="24" t="s">
        <v>4697</v>
      </c>
      <c r="F8" s="1293" t="s">
        <v>4698</v>
      </c>
      <c r="G8" s="1292" t="s">
        <v>4699</v>
      </c>
      <c r="H8" s="1287" t="s">
        <v>4700</v>
      </c>
    </row>
    <row r="9" spans="1:8" s="1255" customFormat="1" ht="30" customHeight="1">
      <c r="A9" s="1900"/>
      <c r="B9" s="1920"/>
      <c r="C9" s="1294"/>
      <c r="D9" s="32"/>
      <c r="E9" s="31"/>
      <c r="F9" s="1293"/>
      <c r="G9" s="1292" t="s">
        <v>4712</v>
      </c>
      <c r="H9" s="1289" t="s">
        <v>6333</v>
      </c>
    </row>
    <row r="10" spans="1:8" s="1289" customFormat="1" ht="30" customHeight="1">
      <c r="A10" s="1900"/>
      <c r="B10" s="1920"/>
      <c r="C10" s="1294" t="s">
        <v>4722</v>
      </c>
      <c r="D10" s="24" t="s">
        <v>4723</v>
      </c>
      <c r="E10" s="24" t="s">
        <v>4724</v>
      </c>
      <c r="F10" s="24"/>
      <c r="G10" s="1296" t="s">
        <v>4725</v>
      </c>
      <c r="H10" s="1289" t="s">
        <v>4726</v>
      </c>
    </row>
    <row r="11" spans="1:8" s="1289" customFormat="1" ht="30" customHeight="1" thickBot="1">
      <c r="A11" s="1900"/>
      <c r="B11" s="1920"/>
      <c r="C11" s="1288"/>
      <c r="D11" s="26"/>
      <c r="E11" s="25"/>
      <c r="F11" s="1179"/>
      <c r="G11" s="1290"/>
    </row>
    <row r="12" spans="1:8" s="1255" customFormat="1" ht="30" customHeight="1" thickBot="1">
      <c r="A12" s="1901"/>
      <c r="B12" s="1921"/>
      <c r="C12" s="12"/>
      <c r="D12" s="11"/>
      <c r="E12" s="10"/>
      <c r="F12" s="10"/>
      <c r="G12" s="9"/>
    </row>
    <row r="13" spans="1:8" s="1289" customFormat="1" ht="30" customHeight="1">
      <c r="A13" s="1899">
        <v>45204</v>
      </c>
      <c r="B13" s="1916" t="s">
        <v>4668</v>
      </c>
      <c r="C13" s="1910" t="s">
        <v>4713</v>
      </c>
      <c r="D13" s="24" t="s">
        <v>20</v>
      </c>
      <c r="E13" s="31" t="s">
        <v>4716</v>
      </c>
      <c r="F13" s="24"/>
      <c r="G13" s="384"/>
    </row>
    <row r="14" spans="1:8" s="1289" customFormat="1" ht="30" customHeight="1">
      <c r="A14" s="1900"/>
      <c r="B14" s="1917"/>
      <c r="C14" s="1914"/>
      <c r="D14" s="24" t="s">
        <v>4708</v>
      </c>
      <c r="E14" s="29" t="s">
        <v>4717</v>
      </c>
      <c r="F14" s="1293"/>
      <c r="G14" s="190"/>
    </row>
    <row r="15" spans="1:8" s="1289" customFormat="1" ht="30" customHeight="1">
      <c r="A15" s="1900"/>
      <c r="B15" s="1917"/>
      <c r="C15" s="1914"/>
      <c r="D15" s="30" t="s">
        <v>4714</v>
      </c>
      <c r="E15" s="29" t="s">
        <v>4718</v>
      </c>
      <c r="F15" s="1293"/>
      <c r="G15" s="190"/>
    </row>
    <row r="16" spans="1:8" s="1289" customFormat="1" ht="30" customHeight="1">
      <c r="A16" s="1900"/>
      <c r="B16" s="1917"/>
      <c r="C16" s="1914"/>
      <c r="D16" s="30" t="s">
        <v>4715</v>
      </c>
      <c r="E16" s="29" t="s">
        <v>4719</v>
      </c>
      <c r="F16" s="1293"/>
      <c r="G16" s="190"/>
    </row>
    <row r="17" spans="1:7" s="1289" customFormat="1" ht="30" customHeight="1">
      <c r="A17" s="1900"/>
      <c r="B17" s="1917"/>
      <c r="C17" s="1906"/>
      <c r="D17" s="30" t="s">
        <v>4720</v>
      </c>
      <c r="E17" s="29" t="s">
        <v>4721</v>
      </c>
      <c r="F17" s="1293"/>
      <c r="G17" s="190"/>
    </row>
    <row r="18" spans="1:7" s="1276" customFormat="1" ht="30" customHeight="1">
      <c r="A18" s="1900"/>
      <c r="B18" s="1917"/>
      <c r="C18" s="1910" t="s">
        <v>4653</v>
      </c>
      <c r="D18" s="24" t="s">
        <v>4657</v>
      </c>
      <c r="E18" s="24" t="s">
        <v>4658</v>
      </c>
      <c r="F18" s="1936" t="s">
        <v>4733</v>
      </c>
      <c r="G18" s="1292"/>
    </row>
    <row r="19" spans="1:7" s="1276" customFormat="1" ht="30" customHeight="1">
      <c r="A19" s="1900"/>
      <c r="B19" s="1917"/>
      <c r="C19" s="1914"/>
      <c r="D19" s="24" t="s">
        <v>465</v>
      </c>
      <c r="E19" s="24" t="s">
        <v>4659</v>
      </c>
      <c r="F19" s="1937"/>
      <c r="G19" s="1292"/>
    </row>
    <row r="20" spans="1:7" s="1255" customFormat="1" ht="30" customHeight="1">
      <c r="A20" s="1900"/>
      <c r="B20" s="1917"/>
      <c r="C20" s="1906"/>
      <c r="D20" s="24" t="s">
        <v>4655</v>
      </c>
      <c r="E20" s="24" t="s">
        <v>4654</v>
      </c>
      <c r="F20" s="1938"/>
      <c r="G20" s="1292"/>
    </row>
    <row r="21" spans="1:7" s="1289" customFormat="1" ht="30" customHeight="1">
      <c r="A21" s="1900"/>
      <c r="B21" s="1917"/>
      <c r="C21" s="1294" t="s">
        <v>377</v>
      </c>
      <c r="D21" s="24" t="s">
        <v>378</v>
      </c>
      <c r="E21" s="24" t="s">
        <v>537</v>
      </c>
      <c r="F21" s="1293" t="s">
        <v>4656</v>
      </c>
      <c r="G21" s="1296" t="s">
        <v>440</v>
      </c>
    </row>
    <row r="22" spans="1:7" s="1295" customFormat="1" ht="30" customHeight="1">
      <c r="A22" s="1900"/>
      <c r="B22" s="1917"/>
      <c r="C22" s="1294" t="s">
        <v>393</v>
      </c>
      <c r="D22" s="1293" t="s">
        <v>378</v>
      </c>
      <c r="E22" s="1293" t="s">
        <v>376</v>
      </c>
      <c r="F22" s="1293"/>
      <c r="G22" s="1913" t="s">
        <v>183</v>
      </c>
    </row>
    <row r="23" spans="1:7" s="1295" customFormat="1" ht="30" customHeight="1">
      <c r="A23" s="1900"/>
      <c r="B23" s="1917"/>
      <c r="C23" s="1291" t="s">
        <v>4740</v>
      </c>
      <c r="D23" s="1293" t="s">
        <v>20</v>
      </c>
      <c r="E23" s="1293" t="s">
        <v>368</v>
      </c>
      <c r="F23" s="1293"/>
      <c r="G23" s="1912"/>
    </row>
    <row r="24" spans="1:7" s="1289" customFormat="1" ht="30" customHeight="1">
      <c r="A24" s="1900"/>
      <c r="B24" s="1917"/>
      <c r="C24" s="1910" t="s">
        <v>4757</v>
      </c>
      <c r="D24" s="24" t="s">
        <v>4758</v>
      </c>
      <c r="E24" s="24" t="s">
        <v>4759</v>
      </c>
      <c r="F24" s="1293"/>
      <c r="G24" s="1911" t="s">
        <v>4763</v>
      </c>
    </row>
    <row r="25" spans="1:7" s="1295" customFormat="1" ht="30" customHeight="1">
      <c r="A25" s="1900"/>
      <c r="B25" s="1917"/>
      <c r="C25" s="1914"/>
      <c r="D25" s="24" t="s">
        <v>4760</v>
      </c>
      <c r="E25" s="24" t="s">
        <v>4759</v>
      </c>
      <c r="F25" s="1293"/>
      <c r="G25" s="1913"/>
    </row>
    <row r="26" spans="1:7" s="1295" customFormat="1" ht="30" customHeight="1">
      <c r="A26" s="1900"/>
      <c r="B26" s="1917"/>
      <c r="C26" s="1914"/>
      <c r="D26" s="24" t="s">
        <v>20</v>
      </c>
      <c r="E26" s="24" t="s">
        <v>4761</v>
      </c>
      <c r="F26" s="1293" t="s">
        <v>4764</v>
      </c>
      <c r="G26" s="1913"/>
    </row>
    <row r="27" spans="1:7" s="1289" customFormat="1" ht="30" customHeight="1">
      <c r="A27" s="1900"/>
      <c r="B27" s="1917"/>
      <c r="C27" s="1906"/>
      <c r="D27" s="24" t="s">
        <v>43</v>
      </c>
      <c r="E27" s="24" t="s">
        <v>4762</v>
      </c>
      <c r="F27" s="1293"/>
      <c r="G27" s="1912"/>
    </row>
    <row r="28" spans="1:7" s="1255" customFormat="1" ht="30" customHeight="1">
      <c r="A28" s="1900"/>
      <c r="B28" s="1917"/>
      <c r="C28" s="1301" t="s">
        <v>475</v>
      </c>
      <c r="D28" s="32" t="s">
        <v>20</v>
      </c>
      <c r="E28" s="31" t="s">
        <v>476</v>
      </c>
      <c r="F28" s="1300" t="s">
        <v>38</v>
      </c>
      <c r="G28" s="1298" t="s">
        <v>37</v>
      </c>
    </row>
    <row r="29" spans="1:7" s="1255" customFormat="1" ht="30" customHeight="1" thickBot="1">
      <c r="A29" s="1900"/>
      <c r="B29" s="1917"/>
      <c r="C29" s="1258"/>
      <c r="D29" s="16"/>
      <c r="E29" s="15"/>
      <c r="F29" s="1179"/>
      <c r="G29" s="1256"/>
    </row>
    <row r="30" spans="1:7" s="1255" customFormat="1" ht="30" customHeight="1" thickBot="1">
      <c r="A30" s="1901"/>
      <c r="B30" s="1918"/>
      <c r="C30" s="12" t="s">
        <v>4727</v>
      </c>
      <c r="D30" s="11" t="s">
        <v>4728</v>
      </c>
      <c r="E30" s="10" t="s">
        <v>4729</v>
      </c>
      <c r="F30" s="10" t="s">
        <v>4730</v>
      </c>
      <c r="G30" s="9"/>
    </row>
    <row r="31" spans="1:7" s="1287" customFormat="1" ht="30" customHeight="1">
      <c r="A31" s="1899">
        <v>45205</v>
      </c>
      <c r="B31" s="1916" t="s">
        <v>0</v>
      </c>
      <c r="C31" s="1905" t="s">
        <v>4693</v>
      </c>
      <c r="D31" s="62" t="s">
        <v>4694</v>
      </c>
      <c r="E31" s="61" t="s">
        <v>4731</v>
      </c>
      <c r="F31" s="49"/>
      <c r="G31" s="1305"/>
    </row>
    <row r="32" spans="1:7" s="1295" customFormat="1" ht="30" customHeight="1">
      <c r="A32" s="1900"/>
      <c r="B32" s="1917"/>
      <c r="C32" s="1906"/>
      <c r="D32" s="30" t="s">
        <v>4773</v>
      </c>
      <c r="E32" s="29" t="s">
        <v>4772</v>
      </c>
      <c r="F32" s="1300"/>
      <c r="G32" s="1299"/>
    </row>
    <row r="33" spans="1:8" s="1295" customFormat="1" ht="30" customHeight="1">
      <c r="A33" s="1900"/>
      <c r="B33" s="1917"/>
      <c r="C33" s="1910" t="s">
        <v>4741</v>
      </c>
      <c r="D33" s="32" t="s">
        <v>4738</v>
      </c>
      <c r="E33" s="31" t="s">
        <v>4742</v>
      </c>
      <c r="F33" s="1300"/>
      <c r="G33" s="1911" t="s">
        <v>4755</v>
      </c>
    </row>
    <row r="34" spans="1:8" s="1295" customFormat="1" ht="30" customHeight="1">
      <c r="A34" s="1900"/>
      <c r="B34" s="1917"/>
      <c r="C34" s="1914"/>
      <c r="D34" s="32" t="s">
        <v>4743</v>
      </c>
      <c r="E34" s="31" t="s">
        <v>4744</v>
      </c>
      <c r="F34" s="1300"/>
      <c r="G34" s="1913"/>
    </row>
    <row r="35" spans="1:8" s="1295" customFormat="1" ht="30" customHeight="1">
      <c r="A35" s="1900"/>
      <c r="B35" s="1917"/>
      <c r="C35" s="1914"/>
      <c r="D35" s="32" t="s">
        <v>4745</v>
      </c>
      <c r="E35" s="31" t="s">
        <v>4746</v>
      </c>
      <c r="F35" s="1300"/>
      <c r="G35" s="1913"/>
    </row>
    <row r="36" spans="1:8" s="1295" customFormat="1" ht="30" customHeight="1">
      <c r="A36" s="1900"/>
      <c r="B36" s="1917"/>
      <c r="C36" s="1906"/>
      <c r="D36" s="32" t="s">
        <v>20</v>
      </c>
      <c r="E36" s="31" t="s">
        <v>4749</v>
      </c>
      <c r="F36" s="1300" t="s">
        <v>4781</v>
      </c>
      <c r="G36" s="1913"/>
    </row>
    <row r="37" spans="1:8" s="1295" customFormat="1" ht="36" customHeight="1">
      <c r="A37" s="1900"/>
      <c r="B37" s="1917"/>
      <c r="C37" s="1301" t="s">
        <v>4754</v>
      </c>
      <c r="D37" s="24" t="s">
        <v>4752</v>
      </c>
      <c r="E37" s="24" t="s">
        <v>4753</v>
      </c>
      <c r="F37" s="1300" t="s">
        <v>4782</v>
      </c>
      <c r="G37" s="1912"/>
    </row>
    <row r="38" spans="1:8" s="1303" customFormat="1" ht="36" customHeight="1">
      <c r="A38" s="1900"/>
      <c r="B38" s="1917"/>
      <c r="C38" s="21" t="s">
        <v>4787</v>
      </c>
      <c r="D38" s="22" t="s">
        <v>4788</v>
      </c>
      <c r="E38" s="22" t="s">
        <v>4789</v>
      </c>
      <c r="F38" s="22"/>
      <c r="G38" s="64" t="s">
        <v>261</v>
      </c>
    </row>
    <row r="39" spans="1:8" s="1303" customFormat="1" ht="36" customHeight="1">
      <c r="A39" s="1900"/>
      <c r="B39" s="1917"/>
      <c r="C39" s="1910" t="s">
        <v>4795</v>
      </c>
      <c r="D39" s="1300" t="s">
        <v>4796</v>
      </c>
      <c r="E39" s="1300" t="s">
        <v>4793</v>
      </c>
      <c r="F39" s="1300"/>
      <c r="G39" s="1911" t="s">
        <v>4798</v>
      </c>
    </row>
    <row r="40" spans="1:8" s="1303" customFormat="1" ht="36" customHeight="1">
      <c r="A40" s="1900"/>
      <c r="B40" s="1917"/>
      <c r="C40" s="1906"/>
      <c r="D40" s="1300" t="s">
        <v>4797</v>
      </c>
      <c r="E40" s="1300" t="s">
        <v>4794</v>
      </c>
      <c r="F40" s="1300"/>
      <c r="G40" s="1912"/>
    </row>
    <row r="41" spans="1:8" s="1303" customFormat="1" ht="30" customHeight="1">
      <c r="A41" s="1900"/>
      <c r="B41" s="1917"/>
      <c r="C41" s="1301" t="s">
        <v>4799</v>
      </c>
      <c r="D41" s="32" t="s">
        <v>43</v>
      </c>
      <c r="E41" s="31" t="s">
        <v>4800</v>
      </c>
      <c r="F41" s="24"/>
      <c r="G41" s="1306" t="s">
        <v>4801</v>
      </c>
    </row>
    <row r="42" spans="1:8" s="1255" customFormat="1" ht="30" customHeight="1" thickBot="1">
      <c r="A42" s="1900"/>
      <c r="B42" s="1917"/>
      <c r="C42" s="1302"/>
      <c r="D42" s="26"/>
      <c r="E42" s="25"/>
      <c r="F42" s="1179"/>
      <c r="G42" s="1304"/>
    </row>
    <row r="43" spans="1:8" s="1255" customFormat="1" ht="30" customHeight="1" thickBot="1">
      <c r="A43" s="1901"/>
      <c r="B43" s="1918"/>
      <c r="C43" s="12"/>
      <c r="D43" s="11"/>
      <c r="E43" s="10"/>
      <c r="F43" s="10"/>
      <c r="G43" s="9"/>
    </row>
    <row r="44" spans="1:8" s="1255" customFormat="1" ht="60" customHeight="1" thickBot="1">
      <c r="A44" s="1907" t="s">
        <v>5</v>
      </c>
      <c r="B44" s="1908"/>
      <c r="C44" s="1908"/>
      <c r="D44" s="1908"/>
      <c r="E44" s="1908"/>
      <c r="F44" s="1908"/>
      <c r="G44" s="1909"/>
    </row>
    <row r="45" spans="1:8" s="1255" customFormat="1" ht="36" customHeight="1">
      <c r="A45" s="1899">
        <v>45209</v>
      </c>
      <c r="B45" s="1902" t="s">
        <v>3</v>
      </c>
      <c r="C45" s="1905" t="s">
        <v>4681</v>
      </c>
      <c r="D45" s="24" t="s">
        <v>4682</v>
      </c>
      <c r="E45" s="24" t="s">
        <v>4683</v>
      </c>
      <c r="F45" s="1311"/>
      <c r="G45" s="1915" t="s">
        <v>4747</v>
      </c>
      <c r="H45" s="1255">
        <v>16</v>
      </c>
    </row>
    <row r="46" spans="1:8" s="1255" customFormat="1" ht="36" customHeight="1">
      <c r="A46" s="1900"/>
      <c r="B46" s="1903"/>
      <c r="C46" s="1906"/>
      <c r="D46" s="24" t="s">
        <v>4684</v>
      </c>
      <c r="E46" s="24" t="s">
        <v>4685</v>
      </c>
      <c r="F46" s="1311" t="s">
        <v>4748</v>
      </c>
      <c r="G46" s="1912"/>
    </row>
    <row r="47" spans="1:8" s="1255" customFormat="1" ht="36" customHeight="1">
      <c r="A47" s="1900"/>
      <c r="B47" s="1903"/>
      <c r="C47" s="1312" t="s">
        <v>4737</v>
      </c>
      <c r="D47" s="32" t="s">
        <v>4738</v>
      </c>
      <c r="E47" s="31" t="s">
        <v>4739</v>
      </c>
      <c r="F47" s="1311"/>
      <c r="G47" s="1309"/>
    </row>
    <row r="48" spans="1:8" s="1295" customFormat="1" ht="30" customHeight="1">
      <c r="A48" s="1900"/>
      <c r="B48" s="1903"/>
      <c r="C48" s="1312" t="s">
        <v>4734</v>
      </c>
      <c r="D48" s="32" t="s">
        <v>20</v>
      </c>
      <c r="E48" s="31" t="s">
        <v>4735</v>
      </c>
      <c r="F48" s="1311" t="s">
        <v>240</v>
      </c>
      <c r="G48" s="1309" t="s">
        <v>4736</v>
      </c>
    </row>
    <row r="49" spans="1:8" s="1295" customFormat="1" ht="36" customHeight="1">
      <c r="A49" s="1900"/>
      <c r="B49" s="1903"/>
      <c r="C49" s="1910" t="s">
        <v>4774</v>
      </c>
      <c r="D49" s="24" t="s">
        <v>4775</v>
      </c>
      <c r="E49" s="24" t="s">
        <v>4776</v>
      </c>
      <c r="F49" s="1311"/>
      <c r="G49" s="1911" t="s">
        <v>4780</v>
      </c>
      <c r="H49" s="1295" t="s">
        <v>4777</v>
      </c>
    </row>
    <row r="50" spans="1:8" s="1295" customFormat="1" ht="36" customHeight="1">
      <c r="A50" s="1900"/>
      <c r="B50" s="1903"/>
      <c r="C50" s="1906"/>
      <c r="D50" s="24" t="s">
        <v>4778</v>
      </c>
      <c r="E50" s="24" t="s">
        <v>4779</v>
      </c>
      <c r="F50" s="1311" t="s">
        <v>240</v>
      </c>
      <c r="G50" s="1912"/>
    </row>
    <row r="51" spans="1:8" s="1303" customFormat="1" ht="36" customHeight="1">
      <c r="A51" s="1900"/>
      <c r="B51" s="1903"/>
      <c r="C51" s="1312" t="s">
        <v>4783</v>
      </c>
      <c r="D51" s="24" t="s">
        <v>4784</v>
      </c>
      <c r="E51" s="24" t="s">
        <v>4785</v>
      </c>
      <c r="F51" s="24"/>
      <c r="G51" s="1318" t="s">
        <v>4786</v>
      </c>
      <c r="H51" s="1303">
        <v>6</v>
      </c>
    </row>
    <row r="52" spans="1:8" s="1303" customFormat="1" ht="36" customHeight="1">
      <c r="A52" s="1900"/>
      <c r="B52" s="1903"/>
      <c r="C52" s="1308" t="s">
        <v>4806</v>
      </c>
      <c r="D52" s="1311" t="s">
        <v>4812</v>
      </c>
      <c r="E52" s="1311" t="s">
        <v>4807</v>
      </c>
      <c r="F52" s="1311"/>
      <c r="G52" s="1310" t="s">
        <v>4808</v>
      </c>
    </row>
    <row r="53" spans="1:8" s="1315" customFormat="1" ht="36" customHeight="1">
      <c r="A53" s="1900"/>
      <c r="B53" s="1903"/>
      <c r="C53" s="1307" t="s">
        <v>4819</v>
      </c>
      <c r="D53" s="1311" t="s">
        <v>20</v>
      </c>
      <c r="E53" s="1311" t="s">
        <v>4820</v>
      </c>
      <c r="F53" s="1311" t="s">
        <v>316</v>
      </c>
      <c r="G53" s="1310" t="s">
        <v>4821</v>
      </c>
      <c r="H53" s="1315" t="s">
        <v>4822</v>
      </c>
    </row>
    <row r="54" spans="1:8" s="1255" customFormat="1" ht="36" customHeight="1">
      <c r="A54" s="1900"/>
      <c r="B54" s="1903"/>
      <c r="C54" s="1320" t="s">
        <v>4832</v>
      </c>
      <c r="D54" s="24" t="s">
        <v>315</v>
      </c>
      <c r="E54" s="31" t="s">
        <v>4833</v>
      </c>
      <c r="F54" s="24" t="s">
        <v>329</v>
      </c>
      <c r="G54" s="1324" t="s">
        <v>18</v>
      </c>
    </row>
    <row r="55" spans="1:8" s="1315" customFormat="1" ht="36" customHeight="1">
      <c r="A55" s="1900"/>
      <c r="B55" s="1903"/>
      <c r="C55" s="1320" t="s">
        <v>4834</v>
      </c>
      <c r="D55" s="24" t="s">
        <v>315</v>
      </c>
      <c r="E55" s="31" t="s">
        <v>4835</v>
      </c>
      <c r="F55" s="24" t="s">
        <v>4841</v>
      </c>
      <c r="G55" s="1324" t="s">
        <v>4836</v>
      </c>
    </row>
    <row r="56" spans="1:8" s="1315" customFormat="1" ht="36" customHeight="1">
      <c r="A56" s="1900"/>
      <c r="B56" s="1903"/>
      <c r="C56" s="1910" t="s">
        <v>622</v>
      </c>
      <c r="D56" s="24" t="s">
        <v>400</v>
      </c>
      <c r="E56" s="24" t="s">
        <v>424</v>
      </c>
      <c r="F56" s="24"/>
      <c r="G56" s="1911" t="s">
        <v>4842</v>
      </c>
    </row>
    <row r="57" spans="1:8" s="1315" customFormat="1" ht="36" customHeight="1" thickBot="1">
      <c r="A57" s="1900"/>
      <c r="B57" s="1903"/>
      <c r="C57" s="1932"/>
      <c r="D57" s="32" t="s">
        <v>507</v>
      </c>
      <c r="E57" s="24" t="s">
        <v>349</v>
      </c>
      <c r="F57" s="1319"/>
      <c r="G57" s="1933"/>
    </row>
    <row r="58" spans="1:8" s="1255" customFormat="1" ht="36" customHeight="1" thickBot="1">
      <c r="A58" s="1901"/>
      <c r="B58" s="1904"/>
      <c r="C58" s="12"/>
      <c r="D58" s="11"/>
      <c r="E58" s="10"/>
      <c r="F58" s="10"/>
      <c r="G58" s="9"/>
    </row>
    <row r="59" spans="1:8" s="1295" customFormat="1" ht="30" customHeight="1">
      <c r="A59" s="1899">
        <v>45210</v>
      </c>
      <c r="B59" s="1916" t="s">
        <v>2</v>
      </c>
      <c r="C59" s="1914" t="s">
        <v>216</v>
      </c>
      <c r="D59" s="1328" t="s">
        <v>596</v>
      </c>
      <c r="E59" s="1328" t="s">
        <v>4756</v>
      </c>
      <c r="F59" s="1328"/>
      <c r="G59" s="1915" t="s">
        <v>4805</v>
      </c>
    </row>
    <row r="60" spans="1:8" s="1295" customFormat="1" ht="30" customHeight="1">
      <c r="A60" s="1900"/>
      <c r="B60" s="1917"/>
      <c r="C60" s="1914"/>
      <c r="D60" s="24" t="s">
        <v>215</v>
      </c>
      <c r="E60" s="24" t="s">
        <v>217</v>
      </c>
      <c r="F60" s="1328"/>
      <c r="G60" s="1913"/>
    </row>
    <row r="61" spans="1:8" s="1295" customFormat="1" ht="30" customHeight="1">
      <c r="A61" s="1900"/>
      <c r="B61" s="1917"/>
      <c r="C61" s="1914"/>
      <c r="D61" s="24" t="s">
        <v>508</v>
      </c>
      <c r="E61" s="24" t="s">
        <v>4750</v>
      </c>
      <c r="F61" s="1328"/>
      <c r="G61" s="1913"/>
    </row>
    <row r="62" spans="1:8" s="1295" customFormat="1" ht="30" customHeight="1">
      <c r="A62" s="1900"/>
      <c r="B62" s="1917"/>
      <c r="C62" s="1906"/>
      <c r="D62" s="24" t="s">
        <v>4751</v>
      </c>
      <c r="E62" s="24" t="s">
        <v>182</v>
      </c>
      <c r="F62" s="1328"/>
      <c r="G62" s="1913"/>
    </row>
    <row r="63" spans="1:8" s="1255" customFormat="1" ht="36" customHeight="1">
      <c r="A63" s="1900"/>
      <c r="B63" s="1917"/>
      <c r="C63" s="1329" t="s">
        <v>4790</v>
      </c>
      <c r="D63" s="24" t="s">
        <v>4791</v>
      </c>
      <c r="E63" s="24" t="s">
        <v>4792</v>
      </c>
      <c r="F63" s="1328"/>
      <c r="G63" s="1913"/>
    </row>
    <row r="64" spans="1:8" s="1255" customFormat="1" ht="36" customHeight="1">
      <c r="A64" s="1900"/>
      <c r="B64" s="1917"/>
      <c r="C64" s="1326" t="s">
        <v>4802</v>
      </c>
      <c r="D64" s="24" t="s">
        <v>4803</v>
      </c>
      <c r="E64" s="24" t="s">
        <v>4804</v>
      </c>
      <c r="F64" s="1328"/>
      <c r="G64" s="1912"/>
    </row>
    <row r="65" spans="1:10" s="1315" customFormat="1" ht="36" customHeight="1">
      <c r="A65" s="1900"/>
      <c r="B65" s="1917"/>
      <c r="C65" s="1910" t="s">
        <v>4809</v>
      </c>
      <c r="D65" s="32" t="s">
        <v>4810</v>
      </c>
      <c r="E65" s="31" t="s">
        <v>4811</v>
      </c>
      <c r="F65" s="24"/>
      <c r="G65" s="1911" t="s">
        <v>4839</v>
      </c>
    </row>
    <row r="66" spans="1:10" s="1315" customFormat="1" ht="36" customHeight="1">
      <c r="A66" s="1900"/>
      <c r="B66" s="1917"/>
      <c r="C66" s="1914"/>
      <c r="D66" s="30" t="s">
        <v>4817</v>
      </c>
      <c r="E66" s="29" t="s">
        <v>4827</v>
      </c>
      <c r="F66" s="1328" t="s">
        <v>4818</v>
      </c>
      <c r="G66" s="1913"/>
    </row>
    <row r="67" spans="1:10" s="1315" customFormat="1" ht="36" customHeight="1">
      <c r="A67" s="1900"/>
      <c r="B67" s="1917"/>
      <c r="C67" s="1914"/>
      <c r="D67" s="30" t="s">
        <v>4828</v>
      </c>
      <c r="E67" s="29" t="s">
        <v>4829</v>
      </c>
      <c r="F67" s="1328"/>
      <c r="G67" s="1913"/>
    </row>
    <row r="68" spans="1:10" s="1315" customFormat="1" ht="36" customHeight="1">
      <c r="A68" s="1900"/>
      <c r="B68" s="1917"/>
      <c r="C68" s="1906"/>
      <c r="D68" s="30" t="s">
        <v>4830</v>
      </c>
      <c r="E68" s="29" t="s">
        <v>4831</v>
      </c>
      <c r="F68" s="1328"/>
      <c r="G68" s="1912"/>
    </row>
    <row r="69" spans="1:10" s="1255" customFormat="1" ht="36" customHeight="1">
      <c r="A69" s="1900"/>
      <c r="B69" s="1917"/>
      <c r="C69" s="1326" t="s">
        <v>4823</v>
      </c>
      <c r="D69" s="30" t="s">
        <v>4824</v>
      </c>
      <c r="E69" s="29" t="s">
        <v>4825</v>
      </c>
      <c r="F69" s="1328"/>
      <c r="G69" s="1327" t="s">
        <v>4826</v>
      </c>
    </row>
    <row r="70" spans="1:10" s="1315" customFormat="1" ht="30" customHeight="1">
      <c r="A70" s="1900"/>
      <c r="B70" s="1917"/>
      <c r="C70" s="1329" t="s">
        <v>4671</v>
      </c>
      <c r="D70" s="24" t="s">
        <v>4674</v>
      </c>
      <c r="E70" s="24" t="s">
        <v>4837</v>
      </c>
      <c r="F70" s="1328"/>
      <c r="G70" s="1335" t="s">
        <v>4838</v>
      </c>
      <c r="H70" s="1315" t="s">
        <v>4675</v>
      </c>
      <c r="J70" s="1315" t="s">
        <v>4840</v>
      </c>
    </row>
    <row r="71" spans="1:10" s="1322" customFormat="1" ht="36" customHeight="1">
      <c r="A71" s="1900"/>
      <c r="B71" s="1917"/>
      <c r="C71" s="1910" t="s">
        <v>198</v>
      </c>
      <c r="D71" s="30" t="s">
        <v>20</v>
      </c>
      <c r="E71" s="29" t="s">
        <v>4844</v>
      </c>
      <c r="F71" s="1936" t="s">
        <v>4855</v>
      </c>
      <c r="G71" s="1911" t="s">
        <v>4846</v>
      </c>
    </row>
    <row r="72" spans="1:10" s="1322" customFormat="1" ht="36" customHeight="1">
      <c r="A72" s="1900"/>
      <c r="B72" s="1917"/>
      <c r="C72" s="1906"/>
      <c r="D72" s="30" t="s">
        <v>4843</v>
      </c>
      <c r="E72" s="29" t="s">
        <v>4845</v>
      </c>
      <c r="F72" s="1938"/>
      <c r="G72" s="1912"/>
    </row>
    <row r="73" spans="1:10" s="1322" customFormat="1" ht="36" customHeight="1">
      <c r="A73" s="1900"/>
      <c r="B73" s="1917"/>
      <c r="C73" s="1910" t="s">
        <v>4847</v>
      </c>
      <c r="D73" s="30" t="s">
        <v>4848</v>
      </c>
      <c r="E73" s="29" t="s">
        <v>4849</v>
      </c>
      <c r="F73" s="1328"/>
      <c r="G73" s="1911" t="s">
        <v>4852</v>
      </c>
    </row>
    <row r="74" spans="1:10" s="1322" customFormat="1" ht="36" customHeight="1" thickBot="1">
      <c r="A74" s="1900"/>
      <c r="B74" s="1917"/>
      <c r="C74" s="1906"/>
      <c r="D74" s="30" t="s">
        <v>4850</v>
      </c>
      <c r="E74" s="29" t="s">
        <v>4851</v>
      </c>
      <c r="F74" s="1328" t="s">
        <v>4853</v>
      </c>
      <c r="G74" s="1912"/>
    </row>
    <row r="75" spans="1:10" s="1322" customFormat="1" ht="36" hidden="1" customHeight="1">
      <c r="A75" s="1900"/>
      <c r="B75" s="1917"/>
      <c r="C75" s="1321"/>
      <c r="D75" s="28"/>
      <c r="E75" s="27"/>
      <c r="F75" s="1297"/>
      <c r="G75" s="1323"/>
    </row>
    <row r="76" spans="1:10" s="1315" customFormat="1" ht="36" hidden="1" customHeight="1">
      <c r="A76" s="1900"/>
      <c r="B76" s="1917"/>
      <c r="C76" s="1314"/>
      <c r="D76" s="28"/>
      <c r="E76" s="27"/>
      <c r="F76" s="1297"/>
      <c r="G76" s="1317"/>
    </row>
    <row r="77" spans="1:10" s="1315" customFormat="1" ht="36" hidden="1" customHeight="1" thickBot="1">
      <c r="A77" s="1900"/>
      <c r="B77" s="1917"/>
      <c r="C77" s="1313"/>
      <c r="D77" s="26"/>
      <c r="E77" s="25"/>
      <c r="F77" s="1179"/>
      <c r="G77" s="1316"/>
    </row>
    <row r="78" spans="1:10" s="1255" customFormat="1" ht="36" customHeight="1" thickBot="1">
      <c r="A78" s="1901"/>
      <c r="B78" s="1918"/>
      <c r="C78" s="12"/>
      <c r="D78" s="11"/>
      <c r="E78" s="10"/>
      <c r="F78" s="10"/>
      <c r="G78" s="9"/>
    </row>
    <row r="79" spans="1:10" s="1255" customFormat="1" ht="36" customHeight="1">
      <c r="A79" s="1899">
        <v>45211</v>
      </c>
      <c r="B79" s="1902" t="s">
        <v>1</v>
      </c>
      <c r="C79" s="1340" t="s">
        <v>198</v>
      </c>
      <c r="D79" s="32" t="s">
        <v>43</v>
      </c>
      <c r="E79" s="31" t="s">
        <v>226</v>
      </c>
      <c r="F79" s="1339" t="s">
        <v>401</v>
      </c>
      <c r="G79" s="1337"/>
    </row>
    <row r="80" spans="1:10" s="1322" customFormat="1" ht="36" customHeight="1">
      <c r="A80" s="1900"/>
      <c r="B80" s="1903"/>
      <c r="C80" s="1340" t="s">
        <v>4861</v>
      </c>
      <c r="D80" s="32" t="s">
        <v>4862</v>
      </c>
      <c r="E80" s="31" t="s">
        <v>4863</v>
      </c>
      <c r="F80" s="1339"/>
      <c r="G80" s="1337"/>
    </row>
    <row r="81" spans="1:8" s="1255" customFormat="1" ht="36" customHeight="1">
      <c r="A81" s="1900"/>
      <c r="B81" s="1903"/>
      <c r="C81" s="1340" t="s">
        <v>4859</v>
      </c>
      <c r="D81" s="32" t="s">
        <v>20</v>
      </c>
      <c r="E81" s="31" t="s">
        <v>4860</v>
      </c>
      <c r="F81" s="1339" t="s">
        <v>240</v>
      </c>
      <c r="G81" s="1337"/>
    </row>
    <row r="82" spans="1:8" s="1315" customFormat="1" ht="36" customHeight="1">
      <c r="A82" s="1900"/>
      <c r="B82" s="1903"/>
      <c r="C82" s="1340" t="s">
        <v>4873</v>
      </c>
      <c r="D82" s="32" t="s">
        <v>4874</v>
      </c>
      <c r="E82" s="31" t="s">
        <v>4875</v>
      </c>
      <c r="F82" s="1339" t="s">
        <v>4876</v>
      </c>
      <c r="G82" s="1337" t="s">
        <v>4877</v>
      </c>
    </row>
    <row r="83" spans="1:8" s="1315" customFormat="1" ht="36" customHeight="1">
      <c r="A83" s="1900"/>
      <c r="B83" s="1903"/>
      <c r="C83" s="1910" t="s">
        <v>4879</v>
      </c>
      <c r="D83" s="32" t="s">
        <v>4880</v>
      </c>
      <c r="E83" s="31" t="s">
        <v>4881</v>
      </c>
      <c r="F83" s="1339"/>
      <c r="G83" s="1911" t="s">
        <v>261</v>
      </c>
    </row>
    <row r="84" spans="1:8" s="1315" customFormat="1" ht="36" customHeight="1">
      <c r="A84" s="1900"/>
      <c r="B84" s="1903"/>
      <c r="C84" s="1914"/>
      <c r="D84" s="32" t="s">
        <v>20</v>
      </c>
      <c r="E84" s="31" t="s">
        <v>4883</v>
      </c>
      <c r="F84" s="1339" t="s">
        <v>240</v>
      </c>
      <c r="G84" s="1913"/>
    </row>
    <row r="85" spans="1:8" s="1315" customFormat="1" ht="36" customHeight="1">
      <c r="A85" s="1900"/>
      <c r="B85" s="1903"/>
      <c r="C85" s="1906"/>
      <c r="D85" s="32" t="s">
        <v>4882</v>
      </c>
      <c r="E85" s="29" t="s">
        <v>4884</v>
      </c>
      <c r="F85" s="1339"/>
      <c r="G85" s="1912"/>
    </row>
    <row r="86" spans="1:8" s="58" customFormat="1" ht="36" customHeight="1">
      <c r="A86" s="1900"/>
      <c r="B86" s="1903"/>
      <c r="C86" s="1336" t="s">
        <v>263</v>
      </c>
      <c r="D86" s="24" t="s">
        <v>20</v>
      </c>
      <c r="E86" s="31" t="s">
        <v>73</v>
      </c>
      <c r="F86" s="1339" t="s">
        <v>172</v>
      </c>
      <c r="G86" s="1338" t="s">
        <v>18</v>
      </c>
      <c r="H86" s="58" t="s">
        <v>2251</v>
      </c>
    </row>
    <row r="87" spans="1:8" s="1255" customFormat="1" ht="36" customHeight="1">
      <c r="A87" s="1900"/>
      <c r="B87" s="1903"/>
      <c r="C87" s="1340" t="s">
        <v>4885</v>
      </c>
      <c r="D87" s="32" t="s">
        <v>262</v>
      </c>
      <c r="E87" s="31" t="s">
        <v>4886</v>
      </c>
      <c r="F87" s="24" t="s">
        <v>4887</v>
      </c>
      <c r="G87" s="1344" t="s">
        <v>4888</v>
      </c>
      <c r="H87" s="1255" t="s">
        <v>4889</v>
      </c>
    </row>
    <row r="88" spans="1:8" s="1347" customFormat="1" ht="36" customHeight="1">
      <c r="A88" s="1900"/>
      <c r="B88" s="1903"/>
      <c r="C88" s="1910" t="s">
        <v>340</v>
      </c>
      <c r="D88" s="32" t="s">
        <v>341</v>
      </c>
      <c r="E88" s="24" t="s">
        <v>333</v>
      </c>
      <c r="F88" s="1345"/>
      <c r="G88" s="1911" t="s">
        <v>4890</v>
      </c>
    </row>
    <row r="89" spans="1:8" s="1347" customFormat="1" ht="36" customHeight="1">
      <c r="A89" s="1900"/>
      <c r="B89" s="1903"/>
      <c r="C89" s="1906"/>
      <c r="D89" s="32" t="s">
        <v>465</v>
      </c>
      <c r="E89" s="31" t="s">
        <v>311</v>
      </c>
      <c r="F89" s="1345"/>
      <c r="G89" s="1912"/>
    </row>
    <row r="90" spans="1:8" s="1331" customFormat="1" ht="36" customHeight="1" thickBot="1">
      <c r="A90" s="1900"/>
      <c r="B90" s="1903"/>
      <c r="C90" s="1330"/>
      <c r="D90" s="28"/>
      <c r="E90" s="27"/>
      <c r="F90" s="1297"/>
      <c r="G90" s="1334"/>
    </row>
    <row r="91" spans="1:8" s="1331" customFormat="1" ht="36" hidden="1" customHeight="1">
      <c r="A91" s="1900"/>
      <c r="B91" s="1903"/>
      <c r="C91" s="1330"/>
      <c r="D91" s="28"/>
      <c r="E91" s="27"/>
      <c r="F91" s="1297"/>
      <c r="G91" s="1334"/>
    </row>
    <row r="92" spans="1:8" s="1331" customFormat="1" ht="36" hidden="1" customHeight="1" thickBot="1">
      <c r="A92" s="1900"/>
      <c r="B92" s="1903"/>
      <c r="C92" s="1330"/>
      <c r="D92" s="28"/>
      <c r="E92" s="27"/>
      <c r="F92" s="1297"/>
      <c r="G92" s="1333"/>
    </row>
    <row r="93" spans="1:8" s="1255" customFormat="1" ht="36" customHeight="1" thickBot="1">
      <c r="A93" s="1901"/>
      <c r="B93" s="1904"/>
      <c r="C93" s="12"/>
      <c r="D93" s="11"/>
      <c r="E93" s="10"/>
      <c r="F93" s="10"/>
      <c r="G93" s="9"/>
    </row>
    <row r="94" spans="1:8" s="1255" customFormat="1" ht="36" customHeight="1">
      <c r="A94" s="1899">
        <v>45212</v>
      </c>
      <c r="B94" s="1902" t="s">
        <v>0</v>
      </c>
      <c r="C94" s="1340"/>
      <c r="D94" s="24" t="s">
        <v>4732</v>
      </c>
      <c r="E94" s="24"/>
      <c r="F94" s="1339"/>
      <c r="G94" s="1337"/>
    </row>
    <row r="95" spans="1:8" s="1255" customFormat="1" ht="36" customHeight="1">
      <c r="A95" s="1900"/>
      <c r="B95" s="1903"/>
      <c r="C95" s="1340" t="s">
        <v>4878</v>
      </c>
      <c r="D95" s="24" t="s">
        <v>569</v>
      </c>
      <c r="E95" s="24" t="s">
        <v>54</v>
      </c>
      <c r="F95" s="1339"/>
      <c r="G95" s="1337" t="s">
        <v>58</v>
      </c>
    </row>
    <row r="96" spans="1:8" s="1341" customFormat="1" ht="36" customHeight="1">
      <c r="A96" s="1900"/>
      <c r="B96" s="1903"/>
      <c r="C96" s="1340"/>
      <c r="D96" s="32" t="s">
        <v>352</v>
      </c>
      <c r="E96" s="31"/>
      <c r="F96" s="1339"/>
      <c r="G96" s="1337"/>
    </row>
    <row r="97" spans="1:7" s="1255" customFormat="1" ht="36" customHeight="1">
      <c r="A97" s="1900"/>
      <c r="B97" s="1903"/>
      <c r="C97" s="1340" t="s">
        <v>4894</v>
      </c>
      <c r="D97" s="24" t="s">
        <v>4895</v>
      </c>
      <c r="E97" s="31" t="s">
        <v>4896</v>
      </c>
      <c r="F97" s="1339"/>
      <c r="G97" s="1337" t="s">
        <v>4897</v>
      </c>
    </row>
    <row r="98" spans="1:7" s="1255" customFormat="1" ht="36" customHeight="1" thickBot="1">
      <c r="A98" s="1900"/>
      <c r="B98" s="1903"/>
      <c r="C98" s="1258"/>
      <c r="D98" s="16"/>
      <c r="E98" s="15"/>
      <c r="F98" s="1179"/>
      <c r="G98" s="1256"/>
    </row>
    <row r="99" spans="1:7" s="1255" customFormat="1" ht="36" customHeight="1" thickBot="1">
      <c r="A99" s="1901"/>
      <c r="B99" s="1904"/>
      <c r="C99" s="12"/>
      <c r="D99" s="11"/>
      <c r="E99" s="10"/>
      <c r="F99" s="10"/>
      <c r="G99" s="9"/>
    </row>
    <row r="100" spans="1:7" s="1341" customFormat="1" ht="36" customHeight="1">
      <c r="A100" s="1899">
        <v>45213</v>
      </c>
      <c r="B100" s="1902" t="s">
        <v>33</v>
      </c>
      <c r="C100" s="1355" t="s">
        <v>4904</v>
      </c>
      <c r="D100" s="24" t="s">
        <v>4905</v>
      </c>
      <c r="E100" s="24" t="s">
        <v>4906</v>
      </c>
      <c r="F100" s="1354" t="s">
        <v>4907</v>
      </c>
      <c r="G100" s="1351" t="s">
        <v>4908</v>
      </c>
    </row>
    <row r="101" spans="1:7" s="1341" customFormat="1" ht="36" customHeight="1" thickBot="1">
      <c r="A101" s="1900"/>
      <c r="B101" s="1903"/>
      <c r="C101" s="21"/>
      <c r="D101" s="22"/>
      <c r="E101" s="22"/>
      <c r="F101" s="1297"/>
      <c r="G101" s="1343"/>
    </row>
    <row r="102" spans="1:7" s="1341" customFormat="1" ht="36" hidden="1" customHeight="1">
      <c r="A102" s="1900"/>
      <c r="B102" s="1903"/>
      <c r="C102" s="21"/>
      <c r="D102" s="20"/>
      <c r="E102" s="19"/>
      <c r="F102" s="1297"/>
      <c r="G102" s="1343"/>
    </row>
    <row r="103" spans="1:7" s="1341" customFormat="1" ht="36" hidden="1" customHeight="1" thickBot="1">
      <c r="A103" s="1900"/>
      <c r="B103" s="1903"/>
      <c r="C103" s="1342"/>
      <c r="D103" s="16"/>
      <c r="E103" s="15"/>
      <c r="F103" s="1179"/>
      <c r="G103" s="1343"/>
    </row>
    <row r="104" spans="1:7" s="1341" customFormat="1" ht="36" customHeight="1" thickBot="1">
      <c r="A104" s="1901"/>
      <c r="B104" s="1904"/>
      <c r="C104" s="12"/>
      <c r="D104" s="11"/>
      <c r="E104" s="10"/>
      <c r="F104" s="10"/>
      <c r="G104" s="9"/>
    </row>
    <row r="105" spans="1:7" s="1255" customFormat="1" ht="60" customHeight="1" thickBot="1">
      <c r="A105" s="1907" t="s">
        <v>5</v>
      </c>
      <c r="B105" s="1908"/>
      <c r="C105" s="1908"/>
      <c r="D105" s="1908"/>
      <c r="E105" s="1908"/>
      <c r="F105" s="1908"/>
      <c r="G105" s="1909"/>
    </row>
    <row r="106" spans="1:7" s="1255" customFormat="1" ht="36" customHeight="1">
      <c r="A106" s="1899">
        <v>45215</v>
      </c>
      <c r="B106" s="1902" t="s">
        <v>4</v>
      </c>
      <c r="C106" s="36" t="s">
        <v>4858</v>
      </c>
      <c r="D106" s="49" t="s">
        <v>4857</v>
      </c>
      <c r="E106" s="49" t="s">
        <v>4856</v>
      </c>
      <c r="F106" s="49"/>
      <c r="G106" s="1915" t="s">
        <v>4872</v>
      </c>
    </row>
    <row r="107" spans="1:7" s="1322" customFormat="1" ht="36" customHeight="1">
      <c r="A107" s="1900"/>
      <c r="B107" s="1903"/>
      <c r="C107" s="1910" t="s">
        <v>4864</v>
      </c>
      <c r="D107" s="32" t="s">
        <v>4865</v>
      </c>
      <c r="E107" s="24" t="s">
        <v>4866</v>
      </c>
      <c r="F107" s="1354"/>
      <c r="G107" s="1913"/>
    </row>
    <row r="108" spans="1:7" s="1322" customFormat="1" ht="36" customHeight="1">
      <c r="A108" s="1900"/>
      <c r="B108" s="1903"/>
      <c r="C108" s="1914"/>
      <c r="D108" s="32" t="s">
        <v>4892</v>
      </c>
      <c r="E108" s="24" t="s">
        <v>4867</v>
      </c>
      <c r="F108" s="1354"/>
      <c r="G108" s="1913"/>
    </row>
    <row r="109" spans="1:7" s="1322" customFormat="1" ht="36" customHeight="1">
      <c r="A109" s="1900"/>
      <c r="B109" s="1903"/>
      <c r="C109" s="1914"/>
      <c r="D109" s="32" t="s">
        <v>4868</v>
      </c>
      <c r="E109" s="24" t="s">
        <v>4869</v>
      </c>
      <c r="F109" s="1354"/>
      <c r="G109" s="1913"/>
    </row>
    <row r="110" spans="1:7" s="1255" customFormat="1" ht="36" customHeight="1">
      <c r="A110" s="1900"/>
      <c r="B110" s="1903"/>
      <c r="C110" s="1906"/>
      <c r="D110" s="32" t="s">
        <v>4870</v>
      </c>
      <c r="E110" s="31" t="s">
        <v>4871</v>
      </c>
      <c r="F110" s="1354"/>
      <c r="G110" s="1912"/>
    </row>
    <row r="111" spans="1:7" s="1331" customFormat="1" ht="36" customHeight="1">
      <c r="A111" s="1900"/>
      <c r="B111" s="1903"/>
      <c r="C111" s="1914" t="s">
        <v>267</v>
      </c>
      <c r="D111" s="1354" t="s">
        <v>375</v>
      </c>
      <c r="E111" s="1354" t="s">
        <v>283</v>
      </c>
      <c r="F111" s="1354"/>
      <c r="G111" s="1352"/>
    </row>
    <row r="112" spans="1:7" s="1331" customFormat="1" ht="36" customHeight="1">
      <c r="A112" s="1900"/>
      <c r="B112" s="1903"/>
      <c r="C112" s="1906"/>
      <c r="D112" s="24" t="s">
        <v>20</v>
      </c>
      <c r="E112" s="24" t="s">
        <v>280</v>
      </c>
      <c r="F112" s="1354" t="s">
        <v>4898</v>
      </c>
      <c r="G112" s="1351"/>
    </row>
    <row r="113" spans="1:8" s="58" customFormat="1" ht="36" customHeight="1">
      <c r="A113" s="1900"/>
      <c r="B113" s="1903"/>
      <c r="C113" s="1910" t="s">
        <v>243</v>
      </c>
      <c r="D113" s="32" t="s">
        <v>186</v>
      </c>
      <c r="E113" s="31" t="s">
        <v>182</v>
      </c>
      <c r="F113" s="1936" t="s">
        <v>4935</v>
      </c>
      <c r="G113" s="1911" t="s">
        <v>204</v>
      </c>
      <c r="H113" s="58" t="s">
        <v>3559</v>
      </c>
    </row>
    <row r="114" spans="1:8" s="58" customFormat="1" ht="36" customHeight="1">
      <c r="A114" s="1900"/>
      <c r="B114" s="1903"/>
      <c r="C114" s="1914"/>
      <c r="D114" s="32" t="s">
        <v>20</v>
      </c>
      <c r="E114" s="37" t="s">
        <v>4893</v>
      </c>
      <c r="F114" s="1938"/>
      <c r="G114" s="1912"/>
    </row>
    <row r="115" spans="1:8" s="58" customFormat="1" ht="36" customHeight="1">
      <c r="A115" s="1900"/>
      <c r="B115" s="1903"/>
      <c r="C115" s="1914"/>
      <c r="D115" s="32" t="s">
        <v>20</v>
      </c>
      <c r="E115" s="37" t="s">
        <v>4928</v>
      </c>
      <c r="F115" s="1354" t="s">
        <v>4934</v>
      </c>
      <c r="G115" s="1358" t="s">
        <v>4929</v>
      </c>
      <c r="H115" s="58" t="s">
        <v>4930</v>
      </c>
    </row>
    <row r="116" spans="1:8" s="58" customFormat="1" ht="36" customHeight="1">
      <c r="A116" s="1900"/>
      <c r="B116" s="1903"/>
      <c r="C116" s="1906"/>
      <c r="D116" s="32" t="s">
        <v>4931</v>
      </c>
      <c r="E116" s="37" t="s">
        <v>4932</v>
      </c>
      <c r="F116" s="1354" t="s">
        <v>4933</v>
      </c>
      <c r="G116" s="1358" t="s">
        <v>4937</v>
      </c>
      <c r="H116" s="58" t="s">
        <v>4936</v>
      </c>
    </row>
    <row r="117" spans="1:8" s="1322" customFormat="1" ht="36" customHeight="1">
      <c r="A117" s="1900"/>
      <c r="B117" s="1903"/>
      <c r="C117" s="1355" t="s">
        <v>4909</v>
      </c>
      <c r="D117" s="32" t="s">
        <v>4910</v>
      </c>
      <c r="E117" s="24" t="s">
        <v>4911</v>
      </c>
      <c r="F117" s="1354" t="s">
        <v>4913</v>
      </c>
      <c r="G117" s="1358" t="s">
        <v>4912</v>
      </c>
    </row>
    <row r="118" spans="1:8" s="58" customFormat="1" ht="36" customHeight="1">
      <c r="A118" s="1900"/>
      <c r="B118" s="1903"/>
      <c r="C118" s="1910" t="s">
        <v>263</v>
      </c>
      <c r="D118" s="24" t="s">
        <v>20</v>
      </c>
      <c r="E118" s="31" t="s">
        <v>73</v>
      </c>
      <c r="F118" s="1354" t="s">
        <v>172</v>
      </c>
      <c r="G118" s="1353" t="s">
        <v>18</v>
      </c>
      <c r="H118" s="58" t="s">
        <v>2251</v>
      </c>
    </row>
    <row r="119" spans="1:8" s="58" customFormat="1" ht="36" customHeight="1">
      <c r="A119" s="1900"/>
      <c r="B119" s="1903"/>
      <c r="C119" s="1906"/>
      <c r="D119" s="24" t="s">
        <v>20</v>
      </c>
      <c r="E119" s="31" t="s">
        <v>73</v>
      </c>
      <c r="F119" s="1354" t="s">
        <v>172</v>
      </c>
      <c r="G119" s="1353" t="s">
        <v>18</v>
      </c>
      <c r="H119" s="58" t="s">
        <v>4938</v>
      </c>
    </row>
    <row r="120" spans="1:8" s="1347" customFormat="1" ht="36" customHeight="1">
      <c r="A120" s="1900"/>
      <c r="B120" s="1903"/>
      <c r="C120" s="1350" t="s">
        <v>4919</v>
      </c>
      <c r="D120" s="24" t="s">
        <v>20</v>
      </c>
      <c r="E120" s="29" t="s">
        <v>4926</v>
      </c>
      <c r="F120" s="1354" t="s">
        <v>329</v>
      </c>
      <c r="G120" s="1353" t="s">
        <v>4927</v>
      </c>
    </row>
    <row r="121" spans="1:8" s="1347" customFormat="1" ht="36" customHeight="1">
      <c r="A121" s="1900"/>
      <c r="B121" s="1903"/>
      <c r="C121" s="1910" t="s">
        <v>4920</v>
      </c>
      <c r="D121" s="32" t="s">
        <v>4921</v>
      </c>
      <c r="E121" s="31" t="s">
        <v>4922</v>
      </c>
      <c r="F121" s="1936" t="s">
        <v>4925</v>
      </c>
      <c r="G121" s="1358"/>
    </row>
    <row r="122" spans="1:8" s="1347" customFormat="1" ht="36" customHeight="1">
      <c r="A122" s="1900"/>
      <c r="B122" s="1903"/>
      <c r="C122" s="1906"/>
      <c r="D122" s="30" t="s">
        <v>4923</v>
      </c>
      <c r="E122" s="29" t="s">
        <v>4924</v>
      </c>
      <c r="F122" s="1938"/>
      <c r="G122" s="1353"/>
    </row>
    <row r="123" spans="1:8" s="1347" customFormat="1" ht="36" customHeight="1">
      <c r="A123" s="1900"/>
      <c r="B123" s="1903"/>
      <c r="C123" s="1355" t="s">
        <v>4914</v>
      </c>
      <c r="D123" s="32" t="s">
        <v>4915</v>
      </c>
      <c r="E123" s="31" t="s">
        <v>4916</v>
      </c>
      <c r="F123" s="24" t="s">
        <v>4917</v>
      </c>
      <c r="G123" s="1357" t="s">
        <v>4918</v>
      </c>
    </row>
    <row r="124" spans="1:8" s="1347" customFormat="1" ht="36" customHeight="1">
      <c r="A124" s="1900"/>
      <c r="B124" s="1903"/>
      <c r="C124" s="1910" t="s">
        <v>477</v>
      </c>
      <c r="D124" s="30" t="s">
        <v>4939</v>
      </c>
      <c r="E124" s="29" t="s">
        <v>4940</v>
      </c>
      <c r="F124" s="1354"/>
      <c r="G124" s="1911" t="s">
        <v>4944</v>
      </c>
    </row>
    <row r="125" spans="1:8" s="1347" customFormat="1" ht="36" customHeight="1">
      <c r="A125" s="1900"/>
      <c r="B125" s="1903"/>
      <c r="C125" s="1914"/>
      <c r="D125" s="30" t="s">
        <v>4941</v>
      </c>
      <c r="E125" s="29" t="s">
        <v>4942</v>
      </c>
      <c r="F125" s="1354"/>
      <c r="G125" s="1913"/>
    </row>
    <row r="126" spans="1:8" s="1347" customFormat="1" ht="36" customHeight="1">
      <c r="A126" s="1900"/>
      <c r="B126" s="1903"/>
      <c r="C126" s="1906"/>
      <c r="D126" s="32" t="s">
        <v>4921</v>
      </c>
      <c r="E126" s="29" t="s">
        <v>4943</v>
      </c>
      <c r="F126" s="1354" t="s">
        <v>316</v>
      </c>
      <c r="G126" s="1912"/>
    </row>
    <row r="127" spans="1:8" s="1347" customFormat="1" ht="36" customHeight="1">
      <c r="A127" s="1900"/>
      <c r="B127" s="1903"/>
      <c r="C127" s="1346"/>
      <c r="D127" s="28"/>
      <c r="E127" s="27"/>
      <c r="F127" s="1297"/>
      <c r="G127" s="1349"/>
    </row>
    <row r="128" spans="1:8" s="1347" customFormat="1" ht="36" customHeight="1" thickBot="1">
      <c r="A128" s="1900"/>
      <c r="B128" s="1903"/>
      <c r="C128" s="201"/>
      <c r="D128" s="26"/>
      <c r="E128" s="25"/>
      <c r="F128" s="66"/>
      <c r="G128" s="1348"/>
    </row>
    <row r="129" spans="1:7" s="1255" customFormat="1" ht="36" customHeight="1" thickBot="1">
      <c r="A129" s="1901"/>
      <c r="B129" s="1904"/>
      <c r="C129" s="12"/>
      <c r="D129" s="11"/>
      <c r="E129" s="10"/>
      <c r="F129" s="10"/>
      <c r="G129" s="9"/>
    </row>
    <row r="130" spans="1:7" s="1255" customFormat="1" ht="36" customHeight="1">
      <c r="A130" s="1900">
        <v>45216</v>
      </c>
      <c r="B130" s="1903" t="s">
        <v>4891</v>
      </c>
      <c r="C130" s="1355" t="s">
        <v>394</v>
      </c>
      <c r="D130" s="24" t="s">
        <v>395</v>
      </c>
      <c r="E130" s="24" t="s">
        <v>588</v>
      </c>
      <c r="F130" s="1354"/>
      <c r="G130" s="1915" t="s">
        <v>4902</v>
      </c>
    </row>
    <row r="131" spans="1:7" s="1341" customFormat="1" ht="36" customHeight="1">
      <c r="A131" s="1900"/>
      <c r="B131" s="1903"/>
      <c r="C131" s="1910" t="s">
        <v>4899</v>
      </c>
      <c r="D131" s="24" t="s">
        <v>20</v>
      </c>
      <c r="E131" s="24" t="s">
        <v>4903</v>
      </c>
      <c r="F131" s="1354"/>
      <c r="G131" s="1913"/>
    </row>
    <row r="132" spans="1:7" s="1341" customFormat="1" ht="36" customHeight="1">
      <c r="A132" s="1900"/>
      <c r="B132" s="1903"/>
      <c r="C132" s="1906"/>
      <c r="D132" s="24" t="s">
        <v>4900</v>
      </c>
      <c r="E132" s="31" t="s">
        <v>4901</v>
      </c>
      <c r="F132" s="1354"/>
      <c r="G132" s="1912"/>
    </row>
    <row r="133" spans="1:7" s="1356" customFormat="1" ht="36" customHeight="1" thickBot="1">
      <c r="A133" s="1900"/>
      <c r="B133" s="1903"/>
      <c r="C133" s="1355" t="s">
        <v>423</v>
      </c>
      <c r="D133" s="32" t="s">
        <v>411</v>
      </c>
      <c r="E133" s="31" t="s">
        <v>360</v>
      </c>
      <c r="F133" s="1354"/>
      <c r="G133" s="1351" t="s">
        <v>4947</v>
      </c>
    </row>
    <row r="134" spans="1:7" s="1341" customFormat="1" ht="36" hidden="1" customHeight="1">
      <c r="A134" s="1900"/>
      <c r="B134" s="1903"/>
      <c r="C134" s="21"/>
      <c r="D134" s="20"/>
      <c r="E134" s="19"/>
      <c r="F134" s="1297"/>
      <c r="G134" s="1343"/>
    </row>
    <row r="135" spans="1:7" s="1331" customFormat="1" ht="36" hidden="1" customHeight="1" thickBot="1">
      <c r="A135" s="1900"/>
      <c r="B135" s="1903"/>
      <c r="C135" s="21"/>
      <c r="D135" s="20"/>
      <c r="E135" s="22"/>
      <c r="F135" s="1297"/>
      <c r="G135" s="1332"/>
    </row>
    <row r="136" spans="1:7" s="1331" customFormat="1" ht="36" hidden="1" customHeight="1">
      <c r="A136" s="1900"/>
      <c r="B136" s="1903"/>
      <c r="C136" s="21"/>
      <c r="D136" s="20"/>
      <c r="E136" s="19"/>
      <c r="F136" s="1297"/>
      <c r="G136" s="1332"/>
    </row>
    <row r="137" spans="1:7" s="1255" customFormat="1" ht="36" hidden="1" customHeight="1" thickBot="1">
      <c r="A137" s="1900"/>
      <c r="B137" s="1903"/>
      <c r="C137" s="1258"/>
      <c r="D137" s="16"/>
      <c r="E137" s="15"/>
      <c r="F137" s="1179"/>
      <c r="G137" s="1256"/>
    </row>
    <row r="138" spans="1:7" s="1255" customFormat="1" ht="36" customHeight="1" thickBot="1">
      <c r="A138" s="1901"/>
      <c r="B138" s="1904"/>
      <c r="C138" s="12" t="s">
        <v>4949</v>
      </c>
      <c r="D138" s="11" t="s">
        <v>4950</v>
      </c>
      <c r="E138" s="10" t="s">
        <v>4951</v>
      </c>
      <c r="F138" s="10" t="s">
        <v>4952</v>
      </c>
      <c r="G138" s="9"/>
    </row>
    <row r="139" spans="1:7" s="1255" customFormat="1" ht="36" customHeight="1">
      <c r="A139" s="1899">
        <v>45217</v>
      </c>
      <c r="B139" s="1902" t="s">
        <v>2</v>
      </c>
      <c r="C139" s="1363"/>
      <c r="D139" s="32" t="s">
        <v>612</v>
      </c>
      <c r="E139" s="24"/>
      <c r="F139" s="1362"/>
      <c r="G139" s="1361"/>
    </row>
    <row r="140" spans="1:7" s="1356" customFormat="1" ht="36" customHeight="1">
      <c r="A140" s="1900"/>
      <c r="B140" s="1903"/>
      <c r="C140" s="1363" t="s">
        <v>2916</v>
      </c>
      <c r="D140" s="24" t="s">
        <v>604</v>
      </c>
      <c r="E140" s="24" t="s">
        <v>189</v>
      </c>
      <c r="F140" s="1362"/>
      <c r="G140" s="1361" t="s">
        <v>178</v>
      </c>
    </row>
    <row r="141" spans="1:7" s="1255" customFormat="1" ht="36" customHeight="1">
      <c r="A141" s="1900"/>
      <c r="B141" s="1903"/>
      <c r="C141" s="1363" t="s">
        <v>4945</v>
      </c>
      <c r="D141" s="32" t="s">
        <v>5178</v>
      </c>
      <c r="E141" s="24" t="s">
        <v>4946</v>
      </c>
      <c r="F141" s="1362"/>
      <c r="G141" s="1361" t="s">
        <v>4974</v>
      </c>
    </row>
    <row r="142" spans="1:7" s="1356" customFormat="1" ht="36" customHeight="1">
      <c r="A142" s="1900"/>
      <c r="B142" s="1903"/>
      <c r="C142" s="1910" t="s">
        <v>4956</v>
      </c>
      <c r="D142" s="32" t="s">
        <v>4958</v>
      </c>
      <c r="E142" s="31" t="s">
        <v>4959</v>
      </c>
      <c r="F142" s="1362"/>
      <c r="G142" s="1911" t="s">
        <v>58</v>
      </c>
    </row>
    <row r="143" spans="1:7" s="1360" customFormat="1" ht="36" customHeight="1">
      <c r="A143" s="1900"/>
      <c r="B143" s="1903"/>
      <c r="C143" s="1914"/>
      <c r="D143" s="32" t="s">
        <v>43</v>
      </c>
      <c r="E143" s="31" t="s">
        <v>4957</v>
      </c>
      <c r="F143" s="1362"/>
      <c r="G143" s="1913"/>
    </row>
    <row r="144" spans="1:7" s="1360" customFormat="1" ht="36" customHeight="1">
      <c r="A144" s="1900"/>
      <c r="B144" s="1903"/>
      <c r="C144" s="1906"/>
      <c r="D144" s="32" t="s">
        <v>20</v>
      </c>
      <c r="E144" s="31" t="s">
        <v>4960</v>
      </c>
      <c r="F144" s="1362" t="s">
        <v>172</v>
      </c>
      <c r="G144" s="1912"/>
    </row>
    <row r="145" spans="1:8" s="1255" customFormat="1" ht="36" customHeight="1">
      <c r="A145" s="1900"/>
      <c r="B145" s="1903"/>
      <c r="C145" s="1363" t="s">
        <v>4961</v>
      </c>
      <c r="D145" s="32" t="s">
        <v>4962</v>
      </c>
      <c r="E145" s="31" t="s">
        <v>4963</v>
      </c>
      <c r="F145" s="24"/>
      <c r="G145" s="1361" t="s">
        <v>4964</v>
      </c>
    </row>
    <row r="146" spans="1:8" s="1255" customFormat="1" ht="36" customHeight="1">
      <c r="A146" s="1900"/>
      <c r="B146" s="1903"/>
      <c r="C146" s="1363" t="s">
        <v>4970</v>
      </c>
      <c r="D146" s="32" t="s">
        <v>4971</v>
      </c>
      <c r="E146" s="31" t="s">
        <v>4972</v>
      </c>
      <c r="F146" s="1362"/>
      <c r="G146" s="1367"/>
      <c r="H146" s="1255" t="s">
        <v>4973</v>
      </c>
    </row>
    <row r="147" spans="1:8" s="1360" customFormat="1" ht="36" customHeight="1">
      <c r="A147" s="1900"/>
      <c r="B147" s="1903"/>
      <c r="C147" s="1914" t="s">
        <v>563</v>
      </c>
      <c r="D147" s="1362" t="s">
        <v>313</v>
      </c>
      <c r="E147" s="1362" t="s">
        <v>626</v>
      </c>
      <c r="F147" s="1362"/>
      <c r="G147" s="1913" t="s">
        <v>343</v>
      </c>
      <c r="H147" s="1360" t="s">
        <v>3889</v>
      </c>
    </row>
    <row r="148" spans="1:8" s="1360" customFormat="1" ht="36" customHeight="1">
      <c r="A148" s="1900"/>
      <c r="B148" s="1903"/>
      <c r="C148" s="1914"/>
      <c r="D148" s="24" t="s">
        <v>472</v>
      </c>
      <c r="E148" s="24" t="s">
        <v>318</v>
      </c>
      <c r="F148" s="1362"/>
      <c r="G148" s="1913"/>
    </row>
    <row r="149" spans="1:8" s="1360" customFormat="1" ht="36" customHeight="1" thickBot="1">
      <c r="A149" s="1900"/>
      <c r="B149" s="1903"/>
      <c r="C149" s="1906"/>
      <c r="D149" s="32" t="s">
        <v>20</v>
      </c>
      <c r="E149" s="31" t="s">
        <v>1986</v>
      </c>
      <c r="F149" s="1362" t="s">
        <v>381</v>
      </c>
      <c r="G149" s="1912"/>
    </row>
    <row r="150" spans="1:8" s="1255" customFormat="1" ht="36" customHeight="1" thickBot="1">
      <c r="A150" s="1901"/>
      <c r="B150" s="1904"/>
      <c r="C150" s="12" t="s">
        <v>4953</v>
      </c>
      <c r="D150" s="11" t="s">
        <v>4954</v>
      </c>
      <c r="E150" s="10" t="s">
        <v>4951</v>
      </c>
      <c r="F150" s="10" t="s">
        <v>4955</v>
      </c>
      <c r="G150" s="9"/>
    </row>
    <row r="151" spans="1:8" s="1255" customFormat="1" ht="36" customHeight="1">
      <c r="A151" s="1899">
        <v>45218</v>
      </c>
      <c r="B151" s="1902" t="s">
        <v>1</v>
      </c>
      <c r="C151" s="1905" t="s">
        <v>4975</v>
      </c>
      <c r="D151" s="32" t="s">
        <v>20</v>
      </c>
      <c r="E151" s="24" t="s">
        <v>4982</v>
      </c>
      <c r="F151" s="1371"/>
      <c r="G151" s="384"/>
      <c r="H151" s="1322" t="s">
        <v>4854</v>
      </c>
    </row>
    <row r="152" spans="1:8" s="1322" customFormat="1" ht="36" customHeight="1">
      <c r="A152" s="1900"/>
      <c r="B152" s="1903"/>
      <c r="C152" s="1914"/>
      <c r="D152" s="32" t="s">
        <v>4987</v>
      </c>
      <c r="E152" s="24" t="s">
        <v>4983</v>
      </c>
      <c r="F152" s="1371"/>
      <c r="G152" s="190"/>
    </row>
    <row r="153" spans="1:8" s="1322" customFormat="1" ht="36" customHeight="1">
      <c r="A153" s="1900"/>
      <c r="B153" s="1903"/>
      <c r="C153" s="1914"/>
      <c r="D153" s="32" t="s">
        <v>4979</v>
      </c>
      <c r="E153" s="31" t="s">
        <v>4984</v>
      </c>
      <c r="F153" s="1371"/>
      <c r="G153" s="194"/>
    </row>
    <row r="154" spans="1:8" s="1322" customFormat="1" ht="36" customHeight="1">
      <c r="A154" s="1900"/>
      <c r="B154" s="1903"/>
      <c r="C154" s="1914"/>
      <c r="D154" s="32" t="s">
        <v>4980</v>
      </c>
      <c r="E154" s="31" t="s">
        <v>4985</v>
      </c>
      <c r="F154" s="1371"/>
      <c r="G154" s="1369"/>
    </row>
    <row r="155" spans="1:8" s="1255" customFormat="1" ht="36" customHeight="1">
      <c r="A155" s="1900"/>
      <c r="B155" s="1903"/>
      <c r="C155" s="1906"/>
      <c r="D155" s="32" t="s">
        <v>4981</v>
      </c>
      <c r="E155" s="31" t="s">
        <v>4986</v>
      </c>
      <c r="F155" s="1371"/>
      <c r="G155" s="1369"/>
    </row>
    <row r="156" spans="1:8" s="1255" customFormat="1" ht="36" customHeight="1">
      <c r="A156" s="1900"/>
      <c r="B156" s="1903"/>
      <c r="C156" s="1372" t="s">
        <v>4976</v>
      </c>
      <c r="D156" s="32" t="s">
        <v>4965</v>
      </c>
      <c r="E156" s="31" t="s">
        <v>4977</v>
      </c>
      <c r="F156" s="1371"/>
      <c r="G156" s="1369" t="s">
        <v>4978</v>
      </c>
    </row>
    <row r="157" spans="1:8" ht="36" customHeight="1">
      <c r="A157" s="1900"/>
      <c r="B157" s="1903"/>
      <c r="C157" s="1372" t="s">
        <v>21</v>
      </c>
      <c r="D157" s="32" t="s">
        <v>20</v>
      </c>
      <c r="E157" s="31" t="s">
        <v>73</v>
      </c>
      <c r="F157" s="24" t="s">
        <v>172</v>
      </c>
      <c r="G157" s="1375" t="s">
        <v>18</v>
      </c>
      <c r="H157" s="1365" t="s">
        <v>607</v>
      </c>
    </row>
    <row r="158" spans="1:8" s="1365" customFormat="1" ht="36" customHeight="1">
      <c r="A158" s="1900"/>
      <c r="B158" s="1903"/>
      <c r="C158" s="1368" t="s">
        <v>406</v>
      </c>
      <c r="D158" s="1371" t="s">
        <v>20</v>
      </c>
      <c r="E158" s="1371" t="s">
        <v>407</v>
      </c>
      <c r="F158" s="1371" t="s">
        <v>240</v>
      </c>
      <c r="G158" s="1370" t="s">
        <v>345</v>
      </c>
    </row>
    <row r="159" spans="1:8" s="1255" customFormat="1" ht="36" customHeight="1" thickBot="1">
      <c r="A159" s="1900"/>
      <c r="B159" s="1903"/>
      <c r="C159" s="1258"/>
      <c r="D159" s="16"/>
      <c r="E159" s="15"/>
      <c r="F159" s="1179"/>
      <c r="G159" s="1256"/>
    </row>
    <row r="160" spans="1:8" s="1255" customFormat="1" ht="36" customHeight="1" thickBot="1">
      <c r="A160" s="1901"/>
      <c r="B160" s="1904"/>
      <c r="C160" s="12"/>
      <c r="D160" s="11"/>
      <c r="E160" s="10"/>
      <c r="F160" s="10"/>
      <c r="G160" s="9"/>
    </row>
    <row r="161" spans="1:8" s="1356" customFormat="1" ht="36" customHeight="1">
      <c r="A161" s="1899">
        <v>45219</v>
      </c>
      <c r="B161" s="1916" t="s">
        <v>0</v>
      </c>
      <c r="C161" s="36" t="s">
        <v>4948</v>
      </c>
      <c r="D161" s="49" t="s">
        <v>207</v>
      </c>
      <c r="E161" s="49" t="s">
        <v>4997</v>
      </c>
      <c r="F161" s="49"/>
      <c r="G161" s="1385"/>
    </row>
    <row r="162" spans="1:8" s="1255" customFormat="1" ht="36" customHeight="1">
      <c r="A162" s="1900"/>
      <c r="B162" s="1917"/>
      <c r="C162" s="1914" t="s">
        <v>4765</v>
      </c>
      <c r="D162" s="1380" t="s">
        <v>4766</v>
      </c>
      <c r="E162" s="1380" t="s">
        <v>4767</v>
      </c>
      <c r="F162" s="1380"/>
      <c r="G162" s="1378"/>
    </row>
    <row r="163" spans="1:8" s="1255" customFormat="1" ht="36" customHeight="1">
      <c r="A163" s="1900"/>
      <c r="B163" s="1917"/>
      <c r="C163" s="1906"/>
      <c r="D163" s="24" t="s">
        <v>4768</v>
      </c>
      <c r="E163" s="24" t="s">
        <v>4769</v>
      </c>
      <c r="F163" s="1380"/>
      <c r="G163" s="1377"/>
    </row>
    <row r="164" spans="1:8" s="1255" customFormat="1" ht="36" customHeight="1">
      <c r="A164" s="1900"/>
      <c r="B164" s="1917"/>
      <c r="C164" s="1381" t="s">
        <v>4992</v>
      </c>
      <c r="D164" s="32" t="s">
        <v>4993</v>
      </c>
      <c r="E164" s="31" t="s">
        <v>4994</v>
      </c>
      <c r="F164" s="1380"/>
      <c r="G164" s="1377" t="s">
        <v>4995</v>
      </c>
      <c r="H164" s="1255" t="s">
        <v>4996</v>
      </c>
    </row>
    <row r="165" spans="1:8" s="1255" customFormat="1" ht="36" customHeight="1">
      <c r="A165" s="1900"/>
      <c r="B165" s="1917"/>
      <c r="C165" s="1381" t="s">
        <v>3308</v>
      </c>
      <c r="D165" s="32" t="s">
        <v>5007</v>
      </c>
      <c r="E165" s="31" t="s">
        <v>5023</v>
      </c>
      <c r="F165" s="24" t="s">
        <v>5008</v>
      </c>
      <c r="G165" s="1386" t="s">
        <v>5009</v>
      </c>
    </row>
    <row r="166" spans="1:8" s="1365" customFormat="1" ht="36" customHeight="1">
      <c r="A166" s="1900"/>
      <c r="B166" s="1917"/>
      <c r="C166" s="1376" t="s">
        <v>5018</v>
      </c>
      <c r="D166" s="30" t="s">
        <v>5019</v>
      </c>
      <c r="E166" s="29" t="s">
        <v>5020</v>
      </c>
      <c r="F166" s="1380" t="s">
        <v>5021</v>
      </c>
      <c r="G166" s="1379" t="s">
        <v>5022</v>
      </c>
    </row>
    <row r="167" spans="1:8" s="1365" customFormat="1" ht="36" customHeight="1" thickBot="1">
      <c r="A167" s="1900"/>
      <c r="B167" s="1917"/>
      <c r="C167" s="1364"/>
      <c r="D167" s="26"/>
      <c r="E167" s="25"/>
      <c r="F167" s="1179"/>
      <c r="G167" s="1366"/>
    </row>
    <row r="168" spans="1:8" s="1255" customFormat="1" ht="36" customHeight="1" thickBot="1">
      <c r="A168" s="1901"/>
      <c r="B168" s="1918"/>
      <c r="C168" s="12"/>
      <c r="D168" s="11"/>
      <c r="E168" s="10"/>
      <c r="F168" s="10"/>
      <c r="G168" s="9"/>
    </row>
    <row r="169" spans="1:8" s="1255" customFormat="1" ht="60" customHeight="1" thickBot="1">
      <c r="A169" s="1907" t="s">
        <v>5</v>
      </c>
      <c r="B169" s="1908"/>
      <c r="C169" s="1908"/>
      <c r="D169" s="1908"/>
      <c r="E169" s="1908"/>
      <c r="F169" s="1908"/>
      <c r="G169" s="1909"/>
    </row>
    <row r="170" spans="1:8" s="1255" customFormat="1" ht="36" customHeight="1">
      <c r="A170" s="1899">
        <v>45222</v>
      </c>
      <c r="B170" s="1902" t="s">
        <v>4</v>
      </c>
      <c r="C170" s="1910" t="s">
        <v>374</v>
      </c>
      <c r="D170" s="32" t="s">
        <v>4967</v>
      </c>
      <c r="E170" s="31" t="s">
        <v>4966</v>
      </c>
      <c r="F170" s="1380"/>
      <c r="G170" s="1377"/>
    </row>
    <row r="171" spans="1:8" s="1255" customFormat="1" ht="36" customHeight="1">
      <c r="A171" s="1900"/>
      <c r="B171" s="1903"/>
      <c r="C171" s="1906"/>
      <c r="D171" s="32" t="s">
        <v>4965</v>
      </c>
      <c r="E171" s="31" t="s">
        <v>4966</v>
      </c>
      <c r="F171" s="1380"/>
      <c r="G171" s="1377"/>
    </row>
    <row r="172" spans="1:8" s="1255" customFormat="1" ht="36" customHeight="1">
      <c r="A172" s="1900"/>
      <c r="B172" s="1903"/>
      <c r="C172" s="1381" t="s">
        <v>4968</v>
      </c>
      <c r="D172" s="32" t="s">
        <v>4969</v>
      </c>
      <c r="E172" s="31" t="s">
        <v>182</v>
      </c>
      <c r="F172" s="1380"/>
      <c r="G172" s="1377"/>
    </row>
    <row r="173" spans="1:8" s="1255" customFormat="1" ht="36" customHeight="1">
      <c r="A173" s="1900"/>
      <c r="B173" s="1903"/>
      <c r="C173" s="1381" t="s">
        <v>5010</v>
      </c>
      <c r="D173" s="32" t="s">
        <v>5011</v>
      </c>
      <c r="E173" s="31" t="s">
        <v>5012</v>
      </c>
      <c r="F173" s="24"/>
      <c r="G173" s="1386" t="s">
        <v>5013</v>
      </c>
      <c r="H173" s="1255" t="s">
        <v>5033</v>
      </c>
    </row>
    <row r="174" spans="1:8" s="1383" customFormat="1" ht="36" customHeight="1">
      <c r="A174" s="1900"/>
      <c r="B174" s="1903"/>
      <c r="C174" s="1376" t="s">
        <v>5025</v>
      </c>
      <c r="D174" s="30" t="s">
        <v>5026</v>
      </c>
      <c r="E174" s="29" t="s">
        <v>5027</v>
      </c>
      <c r="F174" s="1380" t="s">
        <v>5029</v>
      </c>
      <c r="G174" s="1379" t="s">
        <v>5028</v>
      </c>
      <c r="H174" s="1383" t="s">
        <v>5044</v>
      </c>
    </row>
    <row r="175" spans="1:8" s="1383" customFormat="1" ht="37.5" customHeight="1">
      <c r="A175" s="1900"/>
      <c r="B175" s="1903"/>
      <c r="C175" s="1381" t="s">
        <v>372</v>
      </c>
      <c r="D175" s="24" t="s">
        <v>20</v>
      </c>
      <c r="E175" s="24" t="s">
        <v>333</v>
      </c>
      <c r="F175" s="24" t="s">
        <v>240</v>
      </c>
      <c r="G175" s="1386" t="s">
        <v>4692</v>
      </c>
      <c r="H175" s="1383" t="s">
        <v>4149</v>
      </c>
    </row>
    <row r="176" spans="1:8" s="1383" customFormat="1" ht="36" customHeight="1">
      <c r="A176" s="1900"/>
      <c r="B176" s="1903"/>
      <c r="C176" s="1376" t="s">
        <v>5034</v>
      </c>
      <c r="D176" s="30" t="s">
        <v>5035</v>
      </c>
      <c r="E176" s="29" t="s">
        <v>5036</v>
      </c>
      <c r="F176" s="1380" t="s">
        <v>5037</v>
      </c>
      <c r="G176" s="1379" t="s">
        <v>5038</v>
      </c>
      <c r="H176" s="1383" t="s">
        <v>5039</v>
      </c>
    </row>
    <row r="177" spans="1:8" s="1383" customFormat="1" ht="36" customHeight="1">
      <c r="A177" s="1900"/>
      <c r="B177" s="1903"/>
      <c r="C177" s="1376" t="s">
        <v>5040</v>
      </c>
      <c r="D177" s="30" t="s">
        <v>5041</v>
      </c>
      <c r="E177" s="29" t="s">
        <v>5042</v>
      </c>
      <c r="F177" s="1380"/>
      <c r="G177" s="1379" t="s">
        <v>5043</v>
      </c>
    </row>
    <row r="178" spans="1:8" s="1383" customFormat="1" ht="36" customHeight="1">
      <c r="A178" s="1900"/>
      <c r="B178" s="1903"/>
      <c r="C178" s="1387" t="s">
        <v>5053</v>
      </c>
      <c r="D178" s="32" t="s">
        <v>5054</v>
      </c>
      <c r="E178" s="31" t="s">
        <v>5055</v>
      </c>
      <c r="F178" s="24" t="s">
        <v>5056</v>
      </c>
      <c r="G178" s="1391"/>
    </row>
    <row r="179" spans="1:8" s="1383" customFormat="1" ht="36" customHeight="1" thickBot="1">
      <c r="A179" s="1900"/>
      <c r="B179" s="1903"/>
      <c r="C179" s="1382"/>
      <c r="D179" s="26"/>
      <c r="E179" s="25"/>
      <c r="F179" s="1179"/>
      <c r="G179" s="1384"/>
    </row>
    <row r="180" spans="1:8" s="1255" customFormat="1" ht="36" customHeight="1" thickBot="1">
      <c r="A180" s="1901"/>
      <c r="B180" s="1904"/>
      <c r="C180" s="12"/>
      <c r="D180" s="11"/>
      <c r="E180" s="10"/>
      <c r="F180" s="10"/>
      <c r="G180" s="9"/>
    </row>
    <row r="181" spans="1:8" s="1255" customFormat="1" ht="36" customHeight="1">
      <c r="A181" s="1899">
        <v>45223</v>
      </c>
      <c r="B181" s="1902" t="s">
        <v>3</v>
      </c>
      <c r="C181" s="1418" t="s">
        <v>4988</v>
      </c>
      <c r="D181" s="24" t="s">
        <v>4991</v>
      </c>
      <c r="E181" s="24" t="s">
        <v>4989</v>
      </c>
      <c r="F181" s="1415" t="s">
        <v>4990</v>
      </c>
      <c r="G181" s="1413" t="s">
        <v>5060</v>
      </c>
    </row>
    <row r="182" spans="1:8" s="1383" customFormat="1" ht="36" customHeight="1">
      <c r="A182" s="1900"/>
      <c r="B182" s="1903"/>
      <c r="C182" s="1418" t="s">
        <v>5050</v>
      </c>
      <c r="D182" s="24" t="s">
        <v>5051</v>
      </c>
      <c r="E182" s="24" t="s">
        <v>5052</v>
      </c>
      <c r="F182" s="1415"/>
      <c r="G182" s="1413"/>
    </row>
    <row r="183" spans="1:8" s="1383" customFormat="1" ht="36" customHeight="1">
      <c r="A183" s="1900"/>
      <c r="B183" s="1903"/>
      <c r="C183" s="1418" t="s">
        <v>3631</v>
      </c>
      <c r="D183" s="30" t="s">
        <v>320</v>
      </c>
      <c r="E183" s="24" t="s">
        <v>302</v>
      </c>
      <c r="F183" s="1415" t="s">
        <v>618</v>
      </c>
      <c r="G183" s="1413" t="s">
        <v>2229</v>
      </c>
    </row>
    <row r="184" spans="1:8" s="1255" customFormat="1" ht="36" customHeight="1">
      <c r="A184" s="1900"/>
      <c r="B184" s="1903"/>
      <c r="C184" s="1418" t="s">
        <v>5061</v>
      </c>
      <c r="D184" s="32" t="s">
        <v>5062</v>
      </c>
      <c r="E184" s="31"/>
      <c r="F184" s="1415" t="s">
        <v>5063</v>
      </c>
      <c r="G184" s="1413" t="s">
        <v>5064</v>
      </c>
    </row>
    <row r="185" spans="1:8" s="1255" customFormat="1" ht="36" customHeight="1">
      <c r="A185" s="1900"/>
      <c r="B185" s="1903"/>
      <c r="C185" s="1418" t="s">
        <v>5065</v>
      </c>
      <c r="D185" s="32" t="s">
        <v>5054</v>
      </c>
      <c r="E185" s="31" t="s">
        <v>5066</v>
      </c>
      <c r="F185" s="24"/>
      <c r="G185" s="1417"/>
    </row>
    <row r="186" spans="1:8" s="1383" customFormat="1" ht="36" customHeight="1">
      <c r="A186" s="1900"/>
      <c r="B186" s="1903"/>
      <c r="C186" s="1418" t="s">
        <v>5067</v>
      </c>
      <c r="D186" s="24" t="s">
        <v>20</v>
      </c>
      <c r="E186" s="31" t="s">
        <v>5068</v>
      </c>
      <c r="F186" s="24" t="s">
        <v>201</v>
      </c>
      <c r="G186" s="1417" t="s">
        <v>5069</v>
      </c>
      <c r="H186" s="1383" t="s">
        <v>5070</v>
      </c>
    </row>
    <row r="187" spans="1:8" s="1389" customFormat="1" ht="36" customHeight="1">
      <c r="A187" s="1900"/>
      <c r="B187" s="1903"/>
      <c r="C187" s="1418" t="s">
        <v>5071</v>
      </c>
      <c r="D187" s="24" t="s">
        <v>20</v>
      </c>
      <c r="E187" s="31" t="s">
        <v>5068</v>
      </c>
      <c r="F187" s="24" t="s">
        <v>5072</v>
      </c>
      <c r="G187" s="1417" t="s">
        <v>5069</v>
      </c>
      <c r="H187" s="1389" t="s">
        <v>5074</v>
      </c>
    </row>
    <row r="188" spans="1:8" s="1383" customFormat="1" ht="36" customHeight="1" thickBot="1">
      <c r="A188" s="1900"/>
      <c r="B188" s="1903"/>
      <c r="C188" s="1382"/>
      <c r="D188" s="26"/>
      <c r="E188" s="25"/>
      <c r="F188" s="1179"/>
      <c r="G188" s="1384"/>
    </row>
    <row r="189" spans="1:8" s="1255" customFormat="1" ht="36" customHeight="1" thickBot="1">
      <c r="A189" s="1901"/>
      <c r="B189" s="1904"/>
      <c r="C189" s="12"/>
      <c r="D189" s="11"/>
      <c r="E189" s="10"/>
      <c r="F189" s="10"/>
      <c r="G189" s="9"/>
    </row>
    <row r="190" spans="1:8" s="1255" customFormat="1" ht="36" customHeight="1">
      <c r="A190" s="1899">
        <v>45224</v>
      </c>
      <c r="B190" s="1902" t="s">
        <v>32</v>
      </c>
      <c r="C190" s="1905" t="s">
        <v>524</v>
      </c>
      <c r="D190" s="49" t="s">
        <v>5014</v>
      </c>
      <c r="E190" s="49" t="s">
        <v>5015</v>
      </c>
      <c r="F190" s="49"/>
      <c r="G190" s="1416"/>
    </row>
    <row r="191" spans="1:8" s="1255" customFormat="1" ht="36" customHeight="1">
      <c r="A191" s="1900"/>
      <c r="B191" s="1903"/>
      <c r="C191" s="1906"/>
      <c r="D191" s="24" t="s">
        <v>20</v>
      </c>
      <c r="E191" s="24" t="s">
        <v>5016</v>
      </c>
      <c r="F191" s="1415" t="s">
        <v>5017</v>
      </c>
      <c r="G191" s="1414"/>
    </row>
    <row r="192" spans="1:8" s="1373" customFormat="1" ht="36" customHeight="1">
      <c r="A192" s="1900"/>
      <c r="B192" s="1903"/>
      <c r="C192" s="1418" t="s">
        <v>198</v>
      </c>
      <c r="D192" s="32" t="s">
        <v>43</v>
      </c>
      <c r="E192" s="31" t="s">
        <v>226</v>
      </c>
      <c r="F192" s="1415" t="s">
        <v>401</v>
      </c>
      <c r="G192" s="1413"/>
    </row>
    <row r="193" spans="1:14" s="1383" customFormat="1" ht="36" customHeight="1">
      <c r="A193" s="1900"/>
      <c r="B193" s="1903"/>
      <c r="C193" s="1418" t="s">
        <v>5057</v>
      </c>
      <c r="D193" s="32" t="s">
        <v>5058</v>
      </c>
      <c r="E193" s="31" t="s">
        <v>5059</v>
      </c>
      <c r="F193" s="1415"/>
      <c r="G193" s="1417" t="s">
        <v>5043</v>
      </c>
    </row>
    <row r="194" spans="1:14" s="1393" customFormat="1" ht="36" customHeight="1">
      <c r="A194" s="1900"/>
      <c r="B194" s="1903"/>
      <c r="C194" s="1412" t="s">
        <v>228</v>
      </c>
      <c r="D194" s="30" t="s">
        <v>229</v>
      </c>
      <c r="E194" s="1415" t="s">
        <v>219</v>
      </c>
      <c r="F194" s="1415"/>
      <c r="G194" s="1414"/>
    </row>
    <row r="195" spans="1:14" s="1373" customFormat="1" ht="36" customHeight="1">
      <c r="A195" s="1900"/>
      <c r="B195" s="1903"/>
      <c r="C195" s="21"/>
      <c r="D195" s="20"/>
      <c r="E195" s="19"/>
      <c r="F195" s="1359"/>
      <c r="G195" s="1374"/>
    </row>
    <row r="196" spans="1:14" s="1255" customFormat="1" ht="36" customHeight="1" thickBot="1">
      <c r="A196" s="1900"/>
      <c r="B196" s="1903"/>
      <c r="C196" s="1258"/>
      <c r="D196" s="16"/>
      <c r="E196" s="15"/>
      <c r="F196" s="1179"/>
      <c r="G196" s="1256"/>
    </row>
    <row r="197" spans="1:14" s="1255" customFormat="1" ht="36" customHeight="1" thickBot="1">
      <c r="A197" s="1901"/>
      <c r="B197" s="1904"/>
      <c r="C197" s="12" t="s">
        <v>4998</v>
      </c>
      <c r="D197" s="11" t="s">
        <v>418</v>
      </c>
      <c r="E197" s="10" t="s">
        <v>4999</v>
      </c>
      <c r="F197" s="10" t="s">
        <v>560</v>
      </c>
      <c r="G197" s="9"/>
    </row>
    <row r="198" spans="1:14" s="1393" customFormat="1" ht="36" customHeight="1">
      <c r="A198" s="1899">
        <v>45225</v>
      </c>
      <c r="B198" s="1916" t="s">
        <v>1</v>
      </c>
      <c r="C198" s="1399" t="s">
        <v>484</v>
      </c>
      <c r="D198" s="24" t="s">
        <v>619</v>
      </c>
      <c r="E198" s="24" t="s">
        <v>202</v>
      </c>
      <c r="F198" s="1398"/>
      <c r="G198" s="1915" t="s">
        <v>5077</v>
      </c>
    </row>
    <row r="199" spans="1:14" s="1393" customFormat="1" ht="36" customHeight="1">
      <c r="A199" s="1900"/>
      <c r="B199" s="1917"/>
      <c r="C199" s="1399" t="s">
        <v>594</v>
      </c>
      <c r="D199" s="24" t="s">
        <v>497</v>
      </c>
      <c r="E199" s="24" t="s">
        <v>217</v>
      </c>
      <c r="F199" s="1398"/>
      <c r="G199" s="1912"/>
    </row>
    <row r="200" spans="1:14" s="1389" customFormat="1" ht="36" customHeight="1">
      <c r="A200" s="1900"/>
      <c r="B200" s="1917"/>
      <c r="C200" s="1910" t="s">
        <v>622</v>
      </c>
      <c r="D200" s="1398" t="s">
        <v>295</v>
      </c>
      <c r="E200" s="1398" t="s">
        <v>500</v>
      </c>
      <c r="F200" s="1398"/>
      <c r="G200" s="1911" t="s">
        <v>5078</v>
      </c>
      <c r="N200" s="1393"/>
    </row>
    <row r="201" spans="1:14" s="1389" customFormat="1" ht="36" customHeight="1">
      <c r="A201" s="1900"/>
      <c r="B201" s="1917"/>
      <c r="C201" s="1914"/>
      <c r="D201" s="24" t="s">
        <v>295</v>
      </c>
      <c r="E201" s="24" t="s">
        <v>414</v>
      </c>
      <c r="F201" s="1398" t="s">
        <v>616</v>
      </c>
      <c r="G201" s="1913"/>
    </row>
    <row r="202" spans="1:14" s="1255" customFormat="1" ht="36" customHeight="1">
      <c r="A202" s="1900"/>
      <c r="B202" s="1917"/>
      <c r="C202" s="1914"/>
      <c r="D202" s="24" t="s">
        <v>409</v>
      </c>
      <c r="E202" s="24" t="s">
        <v>181</v>
      </c>
      <c r="F202" s="1398"/>
      <c r="G202" s="1913"/>
    </row>
    <row r="203" spans="1:14" s="1255" customFormat="1" ht="36" customHeight="1">
      <c r="A203" s="1900"/>
      <c r="B203" s="1917"/>
      <c r="C203" s="1914"/>
      <c r="D203" s="24" t="s">
        <v>298</v>
      </c>
      <c r="E203" s="24" t="s">
        <v>181</v>
      </c>
      <c r="F203" s="1398"/>
      <c r="G203" s="1913"/>
    </row>
    <row r="204" spans="1:14" s="1389" customFormat="1" ht="36" customHeight="1">
      <c r="A204" s="1900"/>
      <c r="B204" s="1917"/>
      <c r="C204" s="1906"/>
      <c r="D204" s="24" t="s">
        <v>5075</v>
      </c>
      <c r="E204" s="24" t="s">
        <v>5076</v>
      </c>
      <c r="F204" s="1398"/>
      <c r="G204" s="1913"/>
    </row>
    <row r="205" spans="1:14" s="1389" customFormat="1" ht="36" customHeight="1">
      <c r="A205" s="1900"/>
      <c r="B205" s="1917"/>
      <c r="C205" s="1396" t="s">
        <v>5073</v>
      </c>
      <c r="D205" s="1398" t="s">
        <v>2392</v>
      </c>
      <c r="E205" s="1398" t="s">
        <v>39</v>
      </c>
      <c r="F205" s="1398"/>
      <c r="G205" s="1912"/>
    </row>
    <row r="206" spans="1:14" s="1395" customFormat="1" ht="36" customHeight="1">
      <c r="A206" s="1900"/>
      <c r="B206" s="1917"/>
      <c r="C206" s="1399" t="s">
        <v>5079</v>
      </c>
      <c r="D206" s="24" t="s">
        <v>5086</v>
      </c>
      <c r="E206" s="24" t="s">
        <v>5080</v>
      </c>
      <c r="F206" s="24" t="s">
        <v>5081</v>
      </c>
      <c r="G206" s="1403" t="s">
        <v>5082</v>
      </c>
    </row>
    <row r="207" spans="1:14" s="1395" customFormat="1" ht="36" customHeight="1">
      <c r="A207" s="1900"/>
      <c r="B207" s="1917"/>
      <c r="C207" s="1910" t="s">
        <v>377</v>
      </c>
      <c r="D207" s="24" t="s">
        <v>378</v>
      </c>
      <c r="E207" s="24" t="s">
        <v>537</v>
      </c>
      <c r="F207" s="24"/>
      <c r="G207" s="1911" t="s">
        <v>2055</v>
      </c>
      <c r="H207" s="1395" t="s">
        <v>5024</v>
      </c>
    </row>
    <row r="208" spans="1:14" s="1395" customFormat="1" ht="36" customHeight="1">
      <c r="A208" s="1900"/>
      <c r="B208" s="1917"/>
      <c r="C208" s="1914"/>
      <c r="D208" s="32" t="s">
        <v>3107</v>
      </c>
      <c r="E208" s="31" t="s">
        <v>359</v>
      </c>
      <c r="F208" s="1398"/>
      <c r="G208" s="1913"/>
    </row>
    <row r="209" spans="1:10" s="1395" customFormat="1" ht="36" customHeight="1">
      <c r="A209" s="1900"/>
      <c r="B209" s="1917"/>
      <c r="C209" s="1906"/>
      <c r="D209" s="24" t="s">
        <v>507</v>
      </c>
      <c r="E209" s="24" t="s">
        <v>382</v>
      </c>
      <c r="F209" s="1398"/>
      <c r="G209" s="1912"/>
    </row>
    <row r="210" spans="1:10" s="1395" customFormat="1" ht="36" customHeight="1">
      <c r="A210" s="1900"/>
      <c r="B210" s="1917"/>
      <c r="C210" s="1396" t="s">
        <v>5083</v>
      </c>
      <c r="D210" s="1398" t="s">
        <v>5084</v>
      </c>
      <c r="E210" s="1398" t="s">
        <v>5085</v>
      </c>
      <c r="F210" s="1398"/>
      <c r="G210" s="1397"/>
    </row>
    <row r="211" spans="1:10" s="1395" customFormat="1" ht="36" customHeight="1">
      <c r="A211" s="1900"/>
      <c r="B211" s="1917"/>
      <c r="C211" s="1399" t="s">
        <v>5087</v>
      </c>
      <c r="D211" s="24" t="s">
        <v>20</v>
      </c>
      <c r="E211" s="24" t="s">
        <v>5088</v>
      </c>
      <c r="F211" s="24" t="s">
        <v>416</v>
      </c>
      <c r="G211" s="1403" t="s">
        <v>5089</v>
      </c>
    </row>
    <row r="212" spans="1:10" s="1395" customFormat="1" ht="36" customHeight="1">
      <c r="A212" s="1900"/>
      <c r="B212" s="1917"/>
      <c r="C212" s="1396" t="s">
        <v>5091</v>
      </c>
      <c r="D212" s="1398" t="s">
        <v>61</v>
      </c>
      <c r="E212" s="1398" t="s">
        <v>68</v>
      </c>
      <c r="F212" s="1398"/>
      <c r="G212" s="1397" t="s">
        <v>58</v>
      </c>
    </row>
    <row r="213" spans="1:10" s="1255" customFormat="1" ht="36" customHeight="1" thickBot="1">
      <c r="A213" s="1900"/>
      <c r="B213" s="1917"/>
      <c r="C213" s="1388"/>
      <c r="D213" s="26"/>
      <c r="E213" s="25"/>
      <c r="F213" s="1179"/>
      <c r="G213" s="1390"/>
    </row>
    <row r="214" spans="1:10" s="1255" customFormat="1" ht="36" customHeight="1" thickBot="1">
      <c r="A214" s="1901"/>
      <c r="B214" s="1918"/>
      <c r="C214" s="12"/>
      <c r="D214" s="11"/>
      <c r="E214" s="10"/>
      <c r="F214" s="10"/>
      <c r="G214" s="9"/>
    </row>
    <row r="215" spans="1:10" s="1395" customFormat="1" ht="36" customHeight="1">
      <c r="A215" s="1900">
        <v>45226</v>
      </c>
      <c r="B215" s="1903" t="s">
        <v>5095</v>
      </c>
      <c r="C215" s="1406" t="s">
        <v>5092</v>
      </c>
      <c r="D215" s="24" t="s">
        <v>43</v>
      </c>
      <c r="E215" s="24" t="s">
        <v>72</v>
      </c>
      <c r="F215" s="1405" t="s">
        <v>5093</v>
      </c>
      <c r="G215" s="1404" t="s">
        <v>501</v>
      </c>
      <c r="H215" s="1395" t="s">
        <v>5094</v>
      </c>
    </row>
    <row r="216" spans="1:10" s="1395" customFormat="1" ht="36" customHeight="1">
      <c r="A216" s="1900"/>
      <c r="B216" s="1903"/>
      <c r="C216" s="1910" t="s">
        <v>5096</v>
      </c>
      <c r="D216" s="24" t="s">
        <v>5097</v>
      </c>
      <c r="E216" s="24" t="s">
        <v>5098</v>
      </c>
      <c r="F216" s="1405"/>
      <c r="G216" s="1404"/>
      <c r="H216" s="1411" t="s">
        <v>5101</v>
      </c>
    </row>
    <row r="217" spans="1:10" s="1395" customFormat="1" ht="36" customHeight="1">
      <c r="A217" s="1900"/>
      <c r="B217" s="1903"/>
      <c r="C217" s="1906"/>
      <c r="D217" s="24" t="s">
        <v>5099</v>
      </c>
      <c r="E217" s="24" t="s">
        <v>5100</v>
      </c>
      <c r="F217" s="1405"/>
      <c r="G217" s="1404"/>
    </row>
    <row r="218" spans="1:10" s="1395" customFormat="1" ht="36" customHeight="1">
      <c r="A218" s="1900"/>
      <c r="B218" s="1903"/>
      <c r="C218" s="1406" t="s">
        <v>5109</v>
      </c>
      <c r="D218" s="24" t="s">
        <v>5103</v>
      </c>
      <c r="E218" s="24" t="s">
        <v>5104</v>
      </c>
      <c r="F218" s="1405" t="s">
        <v>5105</v>
      </c>
      <c r="G218" s="1404" t="s">
        <v>5106</v>
      </c>
      <c r="H218" s="1400" t="s">
        <v>5107</v>
      </c>
      <c r="J218" s="1395" t="s">
        <v>5108</v>
      </c>
    </row>
    <row r="219" spans="1:10" s="1255" customFormat="1" ht="36" customHeight="1" thickBot="1">
      <c r="A219" s="1900"/>
      <c r="B219" s="1903"/>
      <c r="C219" s="21"/>
      <c r="D219" s="20"/>
      <c r="E219" s="19"/>
      <c r="F219" s="22"/>
      <c r="G219" s="64"/>
    </row>
    <row r="220" spans="1:10" s="1255" customFormat="1" ht="36" hidden="1" customHeight="1">
      <c r="A220" s="1900"/>
      <c r="B220" s="1903"/>
      <c r="C220" s="1392"/>
      <c r="D220" s="1359"/>
      <c r="E220" s="1359"/>
      <c r="F220" s="1359"/>
      <c r="G220" s="1394"/>
    </row>
    <row r="221" spans="1:10" s="1255" customFormat="1" ht="36" hidden="1" customHeight="1" thickBot="1">
      <c r="A221" s="1900"/>
      <c r="B221" s="1903"/>
      <c r="C221" s="1258"/>
      <c r="D221" s="16"/>
      <c r="E221" s="15"/>
      <c r="F221" s="1179"/>
      <c r="G221" s="1256"/>
    </row>
    <row r="222" spans="1:10" s="1255" customFormat="1" ht="36" customHeight="1" thickBot="1">
      <c r="A222" s="1901"/>
      <c r="B222" s="1904"/>
      <c r="C222" s="12"/>
      <c r="D222" s="11"/>
      <c r="E222" s="10"/>
      <c r="F222" s="10"/>
      <c r="G222" s="9"/>
    </row>
    <row r="223" spans="1:10" s="1255" customFormat="1" ht="60" customHeight="1" thickBot="1">
      <c r="A223" s="1907" t="s">
        <v>5</v>
      </c>
      <c r="B223" s="1908"/>
      <c r="C223" s="1908"/>
      <c r="D223" s="1908"/>
      <c r="E223" s="1908"/>
      <c r="F223" s="1908"/>
      <c r="G223" s="1909"/>
    </row>
    <row r="224" spans="1:10" s="1255" customFormat="1" ht="36" customHeight="1">
      <c r="A224" s="1899">
        <v>45229</v>
      </c>
      <c r="B224" s="1916" t="s">
        <v>4</v>
      </c>
      <c r="C224" s="1406" t="s">
        <v>5030</v>
      </c>
      <c r="D224" s="24" t="s">
        <v>5031</v>
      </c>
      <c r="E224" s="24" t="s">
        <v>5032</v>
      </c>
      <c r="F224" s="1405"/>
      <c r="G224" s="1404"/>
    </row>
    <row r="225" spans="1:8" s="1255" customFormat="1" ht="36" customHeight="1">
      <c r="A225" s="1900"/>
      <c r="B225" s="1917"/>
      <c r="C225" s="1406"/>
      <c r="D225" s="24" t="s">
        <v>352</v>
      </c>
      <c r="E225" s="24"/>
      <c r="F225" s="1405"/>
      <c r="G225" s="1404"/>
    </row>
    <row r="226" spans="1:8" s="1255" customFormat="1" ht="36" customHeight="1">
      <c r="A226" s="1900"/>
      <c r="B226" s="1917"/>
      <c r="C226" s="1910" t="s">
        <v>5114</v>
      </c>
      <c r="D226" s="32" t="s">
        <v>20</v>
      </c>
      <c r="E226" s="31" t="s">
        <v>5119</v>
      </c>
      <c r="F226" s="1936" t="s">
        <v>5120</v>
      </c>
      <c r="G226" s="1911" t="s">
        <v>5130</v>
      </c>
    </row>
    <row r="227" spans="1:8" s="1400" customFormat="1" ht="36" customHeight="1">
      <c r="A227" s="1900"/>
      <c r="B227" s="1917"/>
      <c r="C227" s="1914"/>
      <c r="D227" s="32" t="s">
        <v>5115</v>
      </c>
      <c r="E227" s="31" t="s">
        <v>5118</v>
      </c>
      <c r="F227" s="1937"/>
      <c r="G227" s="1913"/>
    </row>
    <row r="228" spans="1:8" s="1400" customFormat="1" ht="36" customHeight="1" thickBot="1">
      <c r="A228" s="1900"/>
      <c r="B228" s="1917"/>
      <c r="C228" s="1906"/>
      <c r="D228" s="30" t="s">
        <v>5116</v>
      </c>
      <c r="E228" s="29" t="s">
        <v>5117</v>
      </c>
      <c r="F228" s="1938"/>
      <c r="G228" s="1912"/>
    </row>
    <row r="229" spans="1:8" s="1400" customFormat="1" ht="36" hidden="1" customHeight="1">
      <c r="A229" s="1900"/>
      <c r="B229" s="1917"/>
      <c r="C229" s="1408"/>
      <c r="D229" s="28"/>
      <c r="E229" s="27"/>
      <c r="F229" s="1359"/>
      <c r="G229" s="1410"/>
    </row>
    <row r="230" spans="1:8" s="1255" customFormat="1" ht="36" hidden="1" customHeight="1" thickBot="1">
      <c r="A230" s="1900"/>
      <c r="B230" s="1917"/>
      <c r="C230" s="1407"/>
      <c r="D230" s="26"/>
      <c r="E230" s="25"/>
      <c r="F230" s="1179"/>
      <c r="G230" s="1409"/>
    </row>
    <row r="231" spans="1:8" s="1255" customFormat="1" ht="36" customHeight="1" thickBot="1">
      <c r="A231" s="1900"/>
      <c r="B231" s="1917"/>
      <c r="C231" s="12" t="s">
        <v>5000</v>
      </c>
      <c r="D231" s="11" t="s">
        <v>5001</v>
      </c>
      <c r="E231" s="10" t="s">
        <v>5002</v>
      </c>
      <c r="F231" s="10" t="s">
        <v>5003</v>
      </c>
      <c r="G231" s="9"/>
    </row>
    <row r="232" spans="1:8" s="1393" customFormat="1" ht="36" customHeight="1" thickBot="1">
      <c r="A232" s="1901"/>
      <c r="B232" s="1918"/>
      <c r="C232" s="12" t="s">
        <v>417</v>
      </c>
      <c r="D232" s="11" t="s">
        <v>398</v>
      </c>
      <c r="E232" s="10" t="s">
        <v>3216</v>
      </c>
      <c r="F232" s="10" t="s">
        <v>390</v>
      </c>
      <c r="G232" s="9"/>
    </row>
    <row r="233" spans="1:8" s="1255" customFormat="1" ht="36" customHeight="1">
      <c r="A233" s="1899">
        <v>45230</v>
      </c>
      <c r="B233" s="1902" t="s">
        <v>3</v>
      </c>
      <c r="C233" s="1905" t="s">
        <v>223</v>
      </c>
      <c r="D233" s="24" t="s">
        <v>5121</v>
      </c>
      <c r="E233" s="24" t="s">
        <v>5122</v>
      </c>
      <c r="F233" s="1425" t="s">
        <v>5129</v>
      </c>
      <c r="G233" s="1426"/>
      <c r="H233" s="1411" t="s">
        <v>5128</v>
      </c>
    </row>
    <row r="234" spans="1:8" s="1400" customFormat="1" ht="36" customHeight="1">
      <c r="A234" s="1900"/>
      <c r="B234" s="1903"/>
      <c r="C234" s="1914"/>
      <c r="D234" s="24" t="s">
        <v>5123</v>
      </c>
      <c r="E234" s="24" t="s">
        <v>5125</v>
      </c>
      <c r="F234" s="1425"/>
      <c r="G234" s="1427"/>
    </row>
    <row r="235" spans="1:8" s="1400" customFormat="1" ht="36" customHeight="1">
      <c r="A235" s="1900"/>
      <c r="B235" s="1903"/>
      <c r="C235" s="1914"/>
      <c r="D235" s="24" t="s">
        <v>186</v>
      </c>
      <c r="E235" s="24" t="s">
        <v>193</v>
      </c>
      <c r="F235" s="1425"/>
      <c r="G235" s="1427"/>
    </row>
    <row r="236" spans="1:8" s="1400" customFormat="1" ht="36" customHeight="1">
      <c r="A236" s="1900"/>
      <c r="B236" s="1903"/>
      <c r="C236" s="1914"/>
      <c r="D236" s="24" t="s">
        <v>241</v>
      </c>
      <c r="E236" s="24" t="s">
        <v>5136</v>
      </c>
      <c r="F236" s="1425"/>
      <c r="G236" s="1427"/>
    </row>
    <row r="237" spans="1:8" s="1400" customFormat="1" ht="36" customHeight="1">
      <c r="A237" s="1900"/>
      <c r="B237" s="1903"/>
      <c r="C237" s="1914"/>
      <c r="D237" s="24" t="s">
        <v>5124</v>
      </c>
      <c r="E237" s="24" t="s">
        <v>5126</v>
      </c>
      <c r="F237" s="1425"/>
      <c r="G237" s="1427"/>
    </row>
    <row r="238" spans="1:8" s="1255" customFormat="1" ht="36" customHeight="1">
      <c r="A238" s="1900"/>
      <c r="B238" s="1903"/>
      <c r="C238" s="1906"/>
      <c r="D238" s="32" t="s">
        <v>20</v>
      </c>
      <c r="E238" s="24" t="s">
        <v>5127</v>
      </c>
      <c r="F238" s="1425" t="s">
        <v>201</v>
      </c>
      <c r="G238" s="1419"/>
    </row>
    <row r="239" spans="1:8" s="1400" customFormat="1" ht="36" customHeight="1">
      <c r="A239" s="1900"/>
      <c r="B239" s="1903"/>
      <c r="C239" s="1428" t="s">
        <v>272</v>
      </c>
      <c r="D239" s="24" t="s">
        <v>176</v>
      </c>
      <c r="E239" s="24" t="s">
        <v>335</v>
      </c>
      <c r="F239" s="1425" t="s">
        <v>355</v>
      </c>
      <c r="G239" s="1419"/>
      <c r="H239" s="1400" t="s">
        <v>5137</v>
      </c>
    </row>
    <row r="240" spans="1:8" s="1255" customFormat="1" ht="36" customHeight="1">
      <c r="A240" s="1900"/>
      <c r="B240" s="1903"/>
      <c r="C240" s="1421" t="s">
        <v>5131</v>
      </c>
      <c r="D240" s="32" t="s">
        <v>5132</v>
      </c>
      <c r="E240" s="31" t="s">
        <v>5133</v>
      </c>
      <c r="F240" s="1425" t="s">
        <v>5134</v>
      </c>
      <c r="G240" s="1419" t="s">
        <v>5135</v>
      </c>
    </row>
    <row r="241" spans="1:8" s="1400" customFormat="1" ht="36" customHeight="1">
      <c r="A241" s="1900"/>
      <c r="B241" s="1903"/>
      <c r="C241" s="1910" t="s">
        <v>5138</v>
      </c>
      <c r="D241" s="32" t="s">
        <v>20</v>
      </c>
      <c r="E241" s="24" t="s">
        <v>5140</v>
      </c>
      <c r="F241" s="1425" t="s">
        <v>240</v>
      </c>
      <c r="G241" s="1911" t="s">
        <v>5141</v>
      </c>
      <c r="H241" s="1400" t="s">
        <v>5200</v>
      </c>
    </row>
    <row r="242" spans="1:8" s="1400" customFormat="1" ht="36" customHeight="1">
      <c r="A242" s="1900"/>
      <c r="B242" s="1903"/>
      <c r="C242" s="1906"/>
      <c r="D242" s="32" t="s">
        <v>5139</v>
      </c>
      <c r="E242" s="24" t="s">
        <v>5140</v>
      </c>
      <c r="F242" s="24"/>
      <c r="G242" s="1912"/>
    </row>
    <row r="243" spans="1:8" s="1400" customFormat="1" ht="36" customHeight="1">
      <c r="A243" s="1900"/>
      <c r="B243" s="1903"/>
      <c r="C243" s="1421" t="s">
        <v>5147</v>
      </c>
      <c r="D243" s="1425" t="s">
        <v>5148</v>
      </c>
      <c r="E243" s="1425" t="s">
        <v>5149</v>
      </c>
      <c r="F243" s="1425"/>
      <c r="G243" s="1420"/>
    </row>
    <row r="244" spans="1:8" s="1255" customFormat="1" ht="36" customHeight="1">
      <c r="A244" s="1900"/>
      <c r="B244" s="1903"/>
      <c r="C244" s="1428" t="s">
        <v>5153</v>
      </c>
      <c r="D244" s="32" t="s">
        <v>5154</v>
      </c>
      <c r="E244" s="31" t="s">
        <v>5155</v>
      </c>
      <c r="F244" s="24" t="s">
        <v>5156</v>
      </c>
      <c r="G244" s="1427"/>
      <c r="H244" s="1255" t="s">
        <v>5157</v>
      </c>
    </row>
    <row r="245" spans="1:8" s="1400" customFormat="1" ht="36" customHeight="1" thickBot="1">
      <c r="A245" s="1900"/>
      <c r="B245" s="1903"/>
      <c r="C245" s="1421" t="s">
        <v>5164</v>
      </c>
      <c r="D245" s="30" t="s">
        <v>176</v>
      </c>
      <c r="E245" s="29" t="s">
        <v>177</v>
      </c>
      <c r="F245" s="1425" t="s">
        <v>5165</v>
      </c>
      <c r="G245" s="1422" t="s">
        <v>178</v>
      </c>
      <c r="H245" s="1400" t="s">
        <v>5166</v>
      </c>
    </row>
    <row r="246" spans="1:8" s="1255" customFormat="1" ht="36" customHeight="1" thickBot="1">
      <c r="A246" s="1901"/>
      <c r="B246" s="1904"/>
      <c r="C246" s="12" t="s">
        <v>5004</v>
      </c>
      <c r="D246" s="11" t="s">
        <v>5005</v>
      </c>
      <c r="E246" s="10" t="s">
        <v>5006</v>
      </c>
      <c r="F246" s="10" t="s">
        <v>5102</v>
      </c>
      <c r="G246" s="9"/>
    </row>
  </sheetData>
  <mergeCells count="110">
    <mergeCell ref="C207:C209"/>
    <mergeCell ref="G207:G209"/>
    <mergeCell ref="C200:C204"/>
    <mergeCell ref="G113:G114"/>
    <mergeCell ref="C190:C191"/>
    <mergeCell ref="C142:C144"/>
    <mergeCell ref="G142:G144"/>
    <mergeCell ref="C170:C171"/>
    <mergeCell ref="C147:C149"/>
    <mergeCell ref="G147:G149"/>
    <mergeCell ref="C151:C155"/>
    <mergeCell ref="C124:C126"/>
    <mergeCell ref="G124:G126"/>
    <mergeCell ref="G198:G199"/>
    <mergeCell ref="G200:G205"/>
    <mergeCell ref="C131:C132"/>
    <mergeCell ref="G130:G132"/>
    <mergeCell ref="F121:F122"/>
    <mergeCell ref="C113:C116"/>
    <mergeCell ref="F113:F114"/>
    <mergeCell ref="A100:A104"/>
    <mergeCell ref="C49:C50"/>
    <mergeCell ref="C65:C68"/>
    <mergeCell ref="A233:A246"/>
    <mergeCell ref="B233:B246"/>
    <mergeCell ref="A198:A214"/>
    <mergeCell ref="B198:B214"/>
    <mergeCell ref="A169:G169"/>
    <mergeCell ref="C162:C163"/>
    <mergeCell ref="C241:C242"/>
    <mergeCell ref="G241:G242"/>
    <mergeCell ref="A106:A129"/>
    <mergeCell ref="B106:B129"/>
    <mergeCell ref="B181:B189"/>
    <mergeCell ref="A130:A138"/>
    <mergeCell ref="B130:B138"/>
    <mergeCell ref="A151:A160"/>
    <mergeCell ref="C118:C119"/>
    <mergeCell ref="C121:C122"/>
    <mergeCell ref="A224:A232"/>
    <mergeCell ref="C226:C228"/>
    <mergeCell ref="F226:F228"/>
    <mergeCell ref="C233:C238"/>
    <mergeCell ref="G226:G228"/>
    <mergeCell ref="B224:B232"/>
    <mergeCell ref="A215:A222"/>
    <mergeCell ref="B215:B222"/>
    <mergeCell ref="A223:G223"/>
    <mergeCell ref="A161:A168"/>
    <mergeCell ref="C216:C217"/>
    <mergeCell ref="A181:A189"/>
    <mergeCell ref="G88:G89"/>
    <mergeCell ref="F71:F72"/>
    <mergeCell ref="C83:C85"/>
    <mergeCell ref="G83:G85"/>
    <mergeCell ref="A190:A197"/>
    <mergeCell ref="B190:B197"/>
    <mergeCell ref="A139:A150"/>
    <mergeCell ref="B139:B150"/>
    <mergeCell ref="A170:A180"/>
    <mergeCell ref="B170:B180"/>
    <mergeCell ref="B100:B104"/>
    <mergeCell ref="B151:B160"/>
    <mergeCell ref="B161:B168"/>
    <mergeCell ref="A105:G105"/>
    <mergeCell ref="C107:C110"/>
    <mergeCell ref="G106:G110"/>
    <mergeCell ref="C111:C112"/>
    <mergeCell ref="G45:G46"/>
    <mergeCell ref="B79:B93"/>
    <mergeCell ref="A94:A99"/>
    <mergeCell ref="G65:G68"/>
    <mergeCell ref="G56:G57"/>
    <mergeCell ref="G49:G50"/>
    <mergeCell ref="C59:C62"/>
    <mergeCell ref="B94:B99"/>
    <mergeCell ref="A59:A78"/>
    <mergeCell ref="B59:B78"/>
    <mergeCell ref="A45:A58"/>
    <mergeCell ref="B45:B58"/>
    <mergeCell ref="C71:C72"/>
    <mergeCell ref="G71:G72"/>
    <mergeCell ref="C73:C74"/>
    <mergeCell ref="G73:G74"/>
    <mergeCell ref="A79:A93"/>
    <mergeCell ref="C45:C46"/>
    <mergeCell ref="C56:C57"/>
    <mergeCell ref="C88:C89"/>
    <mergeCell ref="G59:G64"/>
    <mergeCell ref="A1:G1"/>
    <mergeCell ref="A44:G44"/>
    <mergeCell ref="C18:C20"/>
    <mergeCell ref="A2:A12"/>
    <mergeCell ref="B2:B12"/>
    <mergeCell ref="C4:C6"/>
    <mergeCell ref="G4:G6"/>
    <mergeCell ref="C13:C17"/>
    <mergeCell ref="C39:C40"/>
    <mergeCell ref="G39:G40"/>
    <mergeCell ref="C24:C27"/>
    <mergeCell ref="G24:G27"/>
    <mergeCell ref="A13:A30"/>
    <mergeCell ref="B13:B30"/>
    <mergeCell ref="F18:F20"/>
    <mergeCell ref="G22:G23"/>
    <mergeCell ref="C33:C36"/>
    <mergeCell ref="C31:C32"/>
    <mergeCell ref="G33:G37"/>
    <mergeCell ref="A31:A43"/>
    <mergeCell ref="B31:B43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9"/>
  <sheetViews>
    <sheetView topLeftCell="A155" zoomScale="70" zoomScaleNormal="70" zoomScaleSheetLayoutView="70" workbookViewId="0">
      <selection activeCell="C160" sqref="C160:G160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400" customWidth="1"/>
    <col min="9" max="16384" width="9" style="1"/>
  </cols>
  <sheetData>
    <row r="1" spans="1:8" s="1400" customFormat="1" ht="60" customHeight="1" thickBot="1">
      <c r="A1" s="1907" t="s">
        <v>5</v>
      </c>
      <c r="B1" s="1908"/>
      <c r="C1" s="1908"/>
      <c r="D1" s="1908"/>
      <c r="E1" s="1908"/>
      <c r="F1" s="1908"/>
      <c r="G1" s="1909"/>
    </row>
    <row r="2" spans="1:8" s="1400" customFormat="1" ht="36" customHeight="1">
      <c r="A2" s="1899">
        <v>45231</v>
      </c>
      <c r="B2" s="1902" t="s">
        <v>2</v>
      </c>
      <c r="C2" s="1438" t="s">
        <v>206</v>
      </c>
      <c r="D2" s="24" t="s">
        <v>207</v>
      </c>
      <c r="E2" s="24" t="s">
        <v>5110</v>
      </c>
      <c r="F2" s="1436"/>
      <c r="G2" s="1430"/>
      <c r="H2" s="1400" t="s">
        <v>5162</v>
      </c>
    </row>
    <row r="3" spans="1:8" s="1400" customFormat="1" ht="36" customHeight="1">
      <c r="A3" s="1900"/>
      <c r="B3" s="1903"/>
      <c r="C3" s="1438" t="s">
        <v>3217</v>
      </c>
      <c r="D3" s="24" t="s">
        <v>194</v>
      </c>
      <c r="E3" s="24" t="s">
        <v>570</v>
      </c>
      <c r="F3" s="1436" t="s">
        <v>591</v>
      </c>
      <c r="G3" s="1430" t="s">
        <v>5186</v>
      </c>
    </row>
    <row r="4" spans="1:8" s="1400" customFormat="1" ht="36" customHeight="1">
      <c r="A4" s="1900"/>
      <c r="B4" s="1903"/>
      <c r="C4" s="1910" t="s">
        <v>5163</v>
      </c>
      <c r="D4" s="32" t="s">
        <v>20</v>
      </c>
      <c r="E4" s="24" t="s">
        <v>5172</v>
      </c>
      <c r="F4" s="1436"/>
      <c r="G4" s="1911" t="s">
        <v>5177</v>
      </c>
    </row>
    <row r="5" spans="1:8" s="1400" customFormat="1" ht="36" customHeight="1">
      <c r="A5" s="1900"/>
      <c r="B5" s="1903"/>
      <c r="C5" s="1914"/>
      <c r="D5" s="32" t="s">
        <v>5167</v>
      </c>
      <c r="E5" s="24" t="s">
        <v>5173</v>
      </c>
      <c r="F5" s="1436"/>
      <c r="G5" s="1913"/>
    </row>
    <row r="6" spans="1:8" s="1400" customFormat="1" ht="36" customHeight="1">
      <c r="A6" s="1900"/>
      <c r="B6" s="1903"/>
      <c r="C6" s="1914"/>
      <c r="D6" s="32" t="s">
        <v>5170</v>
      </c>
      <c r="E6" s="24" t="s">
        <v>5174</v>
      </c>
      <c r="F6" s="1436"/>
      <c r="G6" s="1913"/>
    </row>
    <row r="7" spans="1:8" s="1400" customFormat="1" ht="36" customHeight="1">
      <c r="A7" s="1900"/>
      <c r="B7" s="1903"/>
      <c r="C7" s="1914"/>
      <c r="D7" s="32" t="s">
        <v>5171</v>
      </c>
      <c r="E7" s="24" t="s">
        <v>5175</v>
      </c>
      <c r="F7" s="1436"/>
      <c r="G7" s="1913"/>
    </row>
    <row r="8" spans="1:8" s="1400" customFormat="1" ht="36" customHeight="1">
      <c r="A8" s="1900"/>
      <c r="B8" s="1903"/>
      <c r="C8" s="1914"/>
      <c r="D8" s="32" t="s">
        <v>5139</v>
      </c>
      <c r="E8" s="24" t="s">
        <v>5176</v>
      </c>
      <c r="F8" s="1436"/>
      <c r="G8" s="1913"/>
    </row>
    <row r="9" spans="1:8" s="1400" customFormat="1" ht="36" customHeight="1">
      <c r="A9" s="1900"/>
      <c r="B9" s="1903"/>
      <c r="C9" s="1914"/>
      <c r="D9" s="24" t="s">
        <v>5168</v>
      </c>
      <c r="E9" s="24" t="s">
        <v>5169</v>
      </c>
      <c r="F9" s="1436"/>
      <c r="G9" s="1912"/>
    </row>
    <row r="10" spans="1:8" s="1400" customFormat="1" ht="36" customHeight="1">
      <c r="A10" s="1900"/>
      <c r="B10" s="1903"/>
      <c r="C10" s="1906"/>
      <c r="D10" s="24" t="s">
        <v>176</v>
      </c>
      <c r="E10" s="24" t="s">
        <v>5204</v>
      </c>
      <c r="F10" s="1436"/>
      <c r="G10" s="1431" t="s">
        <v>5205</v>
      </c>
      <c r="H10" s="1400" t="s">
        <v>5206</v>
      </c>
    </row>
    <row r="11" spans="1:8" s="1400" customFormat="1" ht="36" customHeight="1">
      <c r="A11" s="1900"/>
      <c r="B11" s="1903"/>
      <c r="C11" s="1438" t="s">
        <v>5196</v>
      </c>
      <c r="D11" s="32" t="s">
        <v>5197</v>
      </c>
      <c r="E11" s="31" t="s">
        <v>5198</v>
      </c>
      <c r="F11" s="24"/>
      <c r="G11" s="1437" t="s">
        <v>261</v>
      </c>
    </row>
    <row r="12" spans="1:8" s="1400" customFormat="1" ht="30" customHeight="1">
      <c r="A12" s="1900"/>
      <c r="B12" s="1903"/>
      <c r="C12" s="1438" t="s">
        <v>5193</v>
      </c>
      <c r="D12" s="24" t="s">
        <v>5194</v>
      </c>
      <c r="E12" s="24" t="s">
        <v>5195</v>
      </c>
      <c r="F12" s="24" t="s">
        <v>5207</v>
      </c>
      <c r="G12" s="1437" t="s">
        <v>5199</v>
      </c>
    </row>
    <row r="13" spans="1:8" s="1400" customFormat="1" ht="36" customHeight="1">
      <c r="A13" s="1900"/>
      <c r="B13" s="1903"/>
      <c r="C13" s="1429" t="s">
        <v>5212</v>
      </c>
      <c r="D13" s="24" t="s">
        <v>20</v>
      </c>
      <c r="E13" s="29" t="s">
        <v>5213</v>
      </c>
      <c r="F13" s="1436"/>
      <c r="G13" s="1431" t="s">
        <v>5214</v>
      </c>
    </row>
    <row r="14" spans="1:8" s="1400" customFormat="1" ht="36" customHeight="1" thickBot="1">
      <c r="A14" s="1900"/>
      <c r="B14" s="1903"/>
      <c r="C14" s="1424"/>
      <c r="D14" s="26"/>
      <c r="E14" s="25"/>
      <c r="F14" s="1179"/>
      <c r="G14" s="1423"/>
    </row>
    <row r="15" spans="1:8" s="1400" customFormat="1" ht="36" customHeight="1" thickBot="1">
      <c r="A15" s="1901"/>
      <c r="B15" s="1904"/>
      <c r="C15" s="12" t="s">
        <v>5143</v>
      </c>
      <c r="D15" s="11" t="s">
        <v>5144</v>
      </c>
      <c r="E15" s="10" t="s">
        <v>5145</v>
      </c>
      <c r="F15" s="10" t="s">
        <v>5146</v>
      </c>
      <c r="G15" s="9"/>
    </row>
    <row r="16" spans="1:8" s="1400" customFormat="1" ht="30" customHeight="1">
      <c r="A16" s="1899">
        <v>45232</v>
      </c>
      <c r="B16" s="1902" t="s">
        <v>1</v>
      </c>
      <c r="C16" s="1905" t="s">
        <v>5179</v>
      </c>
      <c r="D16" s="24" t="s">
        <v>5180</v>
      </c>
      <c r="E16" s="24" t="s">
        <v>5182</v>
      </c>
      <c r="F16" s="1443"/>
      <c r="G16" s="1440"/>
    </row>
    <row r="17" spans="1:8" s="1400" customFormat="1" ht="30" customHeight="1">
      <c r="A17" s="1900"/>
      <c r="B17" s="1903"/>
      <c r="C17" s="1914"/>
      <c r="D17" s="24" t="s">
        <v>5181</v>
      </c>
      <c r="E17" s="24" t="s">
        <v>5183</v>
      </c>
      <c r="F17" s="1443"/>
      <c r="G17" s="1440"/>
    </row>
    <row r="18" spans="1:8" s="1400" customFormat="1" ht="30" customHeight="1">
      <c r="A18" s="1900"/>
      <c r="B18" s="1903"/>
      <c r="C18" s="1914"/>
      <c r="D18" s="24" t="s">
        <v>20</v>
      </c>
      <c r="E18" s="24" t="s">
        <v>5184</v>
      </c>
      <c r="F18" s="1443" t="s">
        <v>5220</v>
      </c>
      <c r="G18" s="1440"/>
    </row>
    <row r="19" spans="1:8" s="1400" customFormat="1" ht="30" customHeight="1">
      <c r="A19" s="1900"/>
      <c r="B19" s="1903"/>
      <c r="C19" s="1906"/>
      <c r="D19" s="24" t="s">
        <v>43</v>
      </c>
      <c r="E19" s="24" t="s">
        <v>5185</v>
      </c>
      <c r="F19" s="1443"/>
      <c r="G19" s="1440"/>
    </row>
    <row r="20" spans="1:8" s="1400" customFormat="1" ht="30" customHeight="1">
      <c r="A20" s="1900"/>
      <c r="B20" s="1903"/>
      <c r="C20" s="1445" t="s">
        <v>5208</v>
      </c>
      <c r="D20" s="24" t="s">
        <v>20</v>
      </c>
      <c r="E20" s="24" t="s">
        <v>5210</v>
      </c>
      <c r="F20" s="1443" t="s">
        <v>5211</v>
      </c>
      <c r="G20" s="1440" t="s">
        <v>5209</v>
      </c>
    </row>
    <row r="21" spans="1:8" s="1400" customFormat="1" ht="30" customHeight="1">
      <c r="A21" s="1900"/>
      <c r="B21" s="1903"/>
      <c r="C21" s="1445" t="s">
        <v>5221</v>
      </c>
      <c r="D21" s="32" t="s">
        <v>5222</v>
      </c>
      <c r="E21" s="31" t="s">
        <v>5223</v>
      </c>
      <c r="F21" s="1443"/>
      <c r="G21" s="1440" t="s">
        <v>204</v>
      </c>
    </row>
    <row r="22" spans="1:8" s="1400" customFormat="1" ht="30" customHeight="1">
      <c r="A22" s="1900"/>
      <c r="B22" s="1903"/>
      <c r="C22" s="1445" t="s">
        <v>5226</v>
      </c>
      <c r="D22" s="32" t="s">
        <v>5227</v>
      </c>
      <c r="E22" s="31" t="s">
        <v>5228</v>
      </c>
      <c r="F22" s="24"/>
      <c r="G22" s="1444" t="s">
        <v>5229</v>
      </c>
    </row>
    <row r="23" spans="1:8" s="1400" customFormat="1" ht="30" customHeight="1" thickBot="1">
      <c r="A23" s="1900"/>
      <c r="B23" s="1903"/>
      <c r="C23" s="1432"/>
      <c r="D23" s="26"/>
      <c r="E23" s="25"/>
      <c r="F23" s="1179"/>
      <c r="G23" s="1435"/>
    </row>
    <row r="24" spans="1:8" s="1400" customFormat="1" ht="30" customHeight="1" thickBot="1">
      <c r="A24" s="1901"/>
      <c r="B24" s="1904"/>
      <c r="C24" s="12" t="s">
        <v>5224</v>
      </c>
      <c r="D24" s="11" t="s">
        <v>398</v>
      </c>
      <c r="E24" s="10"/>
      <c r="F24" s="10" t="s">
        <v>5225</v>
      </c>
      <c r="G24" s="9"/>
    </row>
    <row r="25" spans="1:8" s="1400" customFormat="1" ht="30" customHeight="1">
      <c r="A25" s="1899">
        <v>45233</v>
      </c>
      <c r="B25" s="1902" t="s">
        <v>31</v>
      </c>
      <c r="C25" s="1445" t="s">
        <v>5158</v>
      </c>
      <c r="D25" s="24" t="s">
        <v>5159</v>
      </c>
      <c r="E25" s="24" t="s">
        <v>5160</v>
      </c>
      <c r="F25" s="1443"/>
      <c r="G25" s="1440" t="s">
        <v>5161</v>
      </c>
    </row>
    <row r="26" spans="1:8" s="1400" customFormat="1" ht="30" customHeight="1">
      <c r="A26" s="1900"/>
      <c r="B26" s="1903"/>
      <c r="C26" s="1910" t="s">
        <v>5187</v>
      </c>
      <c r="D26" s="24" t="s">
        <v>5188</v>
      </c>
      <c r="E26" s="24" t="s">
        <v>5189</v>
      </c>
      <c r="F26" s="1443" t="s">
        <v>5190</v>
      </c>
      <c r="G26" s="1440"/>
    </row>
    <row r="27" spans="1:8" s="1400" customFormat="1" ht="30" customHeight="1">
      <c r="A27" s="1900"/>
      <c r="B27" s="1903"/>
      <c r="C27" s="1906"/>
      <c r="D27" s="32" t="s">
        <v>5191</v>
      </c>
      <c r="E27" s="31" t="s">
        <v>5192</v>
      </c>
      <c r="F27" s="1443"/>
      <c r="G27" s="1440"/>
    </row>
    <row r="28" spans="1:8" s="1400" customFormat="1" ht="30" customHeight="1">
      <c r="A28" s="1900"/>
      <c r="B28" s="1903"/>
      <c r="C28" s="1910" t="s">
        <v>5230</v>
      </c>
      <c r="D28" s="32" t="s">
        <v>5242</v>
      </c>
      <c r="E28" s="31" t="s">
        <v>5231</v>
      </c>
      <c r="F28" s="24" t="s">
        <v>240</v>
      </c>
      <c r="G28" s="1911" t="s">
        <v>5240</v>
      </c>
    </row>
    <row r="29" spans="1:8" s="1400" customFormat="1" ht="30" customHeight="1">
      <c r="A29" s="1900"/>
      <c r="B29" s="1903"/>
      <c r="C29" s="1914"/>
      <c r="D29" s="30" t="s">
        <v>5243</v>
      </c>
      <c r="E29" s="29" t="s">
        <v>5232</v>
      </c>
      <c r="F29" s="1443"/>
      <c r="G29" s="1913"/>
    </row>
    <row r="30" spans="1:8" s="1400" customFormat="1" ht="30" customHeight="1">
      <c r="A30" s="1900"/>
      <c r="B30" s="1903"/>
      <c r="C30" s="1906"/>
      <c r="D30" s="30" t="s">
        <v>5233</v>
      </c>
      <c r="E30" s="29" t="s">
        <v>5234</v>
      </c>
      <c r="F30" s="1443"/>
      <c r="G30" s="1912"/>
    </row>
    <row r="31" spans="1:8" s="1400" customFormat="1" ht="30" customHeight="1">
      <c r="A31" s="1900"/>
      <c r="B31" s="1903"/>
      <c r="C31" s="1442" t="s">
        <v>5244</v>
      </c>
      <c r="D31" s="32" t="s">
        <v>5245</v>
      </c>
      <c r="E31" s="29" t="s">
        <v>5246</v>
      </c>
      <c r="F31" s="1443"/>
      <c r="G31" s="1441" t="s">
        <v>5240</v>
      </c>
    </row>
    <row r="32" spans="1:8" s="1400" customFormat="1" ht="30" customHeight="1">
      <c r="A32" s="1900"/>
      <c r="B32" s="1903"/>
      <c r="C32" s="1442" t="s">
        <v>5249</v>
      </c>
      <c r="D32" s="30" t="s">
        <v>5250</v>
      </c>
      <c r="E32" s="29" t="s">
        <v>5251</v>
      </c>
      <c r="F32" s="1443" t="s">
        <v>5252</v>
      </c>
      <c r="G32" s="1441" t="s">
        <v>5254</v>
      </c>
      <c r="H32" s="1400" t="s">
        <v>5253</v>
      </c>
    </row>
    <row r="33" spans="1:10" s="1400" customFormat="1" ht="30" customHeight="1" thickBot="1">
      <c r="A33" s="1900"/>
      <c r="B33" s="1903"/>
      <c r="C33" s="1424"/>
      <c r="D33" s="26"/>
      <c r="E33" s="25"/>
      <c r="F33" s="1179"/>
      <c r="G33" s="1423"/>
    </row>
    <row r="34" spans="1:10" s="1400" customFormat="1" ht="30" customHeight="1" thickBot="1">
      <c r="A34" s="1901"/>
      <c r="B34" s="1904"/>
      <c r="C34" s="12"/>
      <c r="D34" s="11"/>
      <c r="E34" s="10"/>
      <c r="F34" s="10"/>
      <c r="G34" s="9"/>
    </row>
    <row r="35" spans="1:10" s="1400" customFormat="1" ht="36" customHeight="1">
      <c r="A35" s="1899">
        <v>45235</v>
      </c>
      <c r="B35" s="1902" t="s">
        <v>5235</v>
      </c>
      <c r="C35" s="1905" t="s">
        <v>5236</v>
      </c>
      <c r="D35" s="24" t="s">
        <v>5243</v>
      </c>
      <c r="E35" s="24" t="s">
        <v>5237</v>
      </c>
      <c r="F35" s="1450"/>
      <c r="G35" s="1915" t="s">
        <v>5241</v>
      </c>
    </row>
    <row r="36" spans="1:10" s="1400" customFormat="1" ht="36" customHeight="1">
      <c r="A36" s="1900"/>
      <c r="B36" s="1903"/>
      <c r="C36" s="1906"/>
      <c r="D36" s="24" t="s">
        <v>5238</v>
      </c>
      <c r="E36" s="24" t="s">
        <v>5239</v>
      </c>
      <c r="F36" s="1450"/>
      <c r="G36" s="1912"/>
    </row>
    <row r="37" spans="1:10" s="1400" customFormat="1" ht="36" customHeight="1">
      <c r="A37" s="1900"/>
      <c r="B37" s="1903"/>
      <c r="C37" s="21"/>
      <c r="D37" s="20"/>
      <c r="E37" s="19"/>
      <c r="F37" s="1359"/>
      <c r="G37" s="1434"/>
    </row>
    <row r="38" spans="1:10" s="1400" customFormat="1" ht="36" customHeight="1" thickBot="1">
      <c r="A38" s="1900"/>
      <c r="B38" s="1903"/>
      <c r="C38" s="1433"/>
      <c r="D38" s="16"/>
      <c r="E38" s="15"/>
      <c r="F38" s="1179"/>
      <c r="G38" s="1434"/>
    </row>
    <row r="39" spans="1:10" s="1400" customFormat="1" ht="36" customHeight="1" thickBot="1">
      <c r="A39" s="1901"/>
      <c r="B39" s="1904"/>
      <c r="C39" s="12"/>
      <c r="D39" s="11"/>
      <c r="E39" s="10"/>
      <c r="F39" s="10"/>
      <c r="G39" s="9"/>
    </row>
    <row r="40" spans="1:10" s="1400" customFormat="1" ht="60" customHeight="1" thickBot="1">
      <c r="A40" s="1907" t="s">
        <v>5</v>
      </c>
      <c r="B40" s="1908"/>
      <c r="C40" s="1908"/>
      <c r="D40" s="1908"/>
      <c r="E40" s="1908"/>
      <c r="F40" s="1908"/>
      <c r="G40" s="1909"/>
    </row>
    <row r="41" spans="1:10" s="1400" customFormat="1" ht="36" customHeight="1">
      <c r="A41" s="1899">
        <v>45236</v>
      </c>
      <c r="B41" s="1902" t="s">
        <v>4</v>
      </c>
      <c r="C41" s="1446" t="s">
        <v>4919</v>
      </c>
      <c r="D41" s="24" t="s">
        <v>20</v>
      </c>
      <c r="E41" s="29" t="s">
        <v>2473</v>
      </c>
      <c r="F41" s="1450" t="s">
        <v>201</v>
      </c>
      <c r="G41" s="1447" t="s">
        <v>236</v>
      </c>
    </row>
    <row r="42" spans="1:10" s="1400" customFormat="1" ht="36" customHeight="1">
      <c r="A42" s="1900"/>
      <c r="B42" s="1903"/>
      <c r="C42" s="1452" t="s">
        <v>5271</v>
      </c>
      <c r="D42" s="24" t="s">
        <v>5276</v>
      </c>
      <c r="E42" s="24" t="s">
        <v>5273</v>
      </c>
      <c r="F42" s="24" t="s">
        <v>5288</v>
      </c>
      <c r="G42" s="1451" t="s">
        <v>5275</v>
      </c>
      <c r="H42" s="1400" t="s">
        <v>5274</v>
      </c>
      <c r="J42" s="1400" t="s">
        <v>5277</v>
      </c>
    </row>
    <row r="43" spans="1:10" s="1400" customFormat="1" ht="36" customHeight="1">
      <c r="A43" s="1900"/>
      <c r="B43" s="1903"/>
      <c r="C43" s="1914" t="s">
        <v>5284</v>
      </c>
      <c r="D43" s="30" t="s">
        <v>5285</v>
      </c>
      <c r="E43" s="29" t="s">
        <v>5287</v>
      </c>
      <c r="F43" s="1450"/>
      <c r="G43" s="1447"/>
    </row>
    <row r="44" spans="1:10" s="1400" customFormat="1" ht="36" customHeight="1">
      <c r="A44" s="1900"/>
      <c r="B44" s="1903"/>
      <c r="C44" s="1906"/>
      <c r="D44" s="30" t="s">
        <v>215</v>
      </c>
      <c r="E44" s="29" t="s">
        <v>5286</v>
      </c>
      <c r="F44" s="1450"/>
      <c r="G44" s="1447"/>
    </row>
    <row r="45" spans="1:10" s="1400" customFormat="1" ht="36" customHeight="1" thickBot="1">
      <c r="A45" s="1900"/>
      <c r="B45" s="1903"/>
      <c r="C45" s="1448"/>
      <c r="D45" s="26"/>
      <c r="E45" s="25"/>
      <c r="F45" s="1179"/>
      <c r="G45" s="1449"/>
    </row>
    <row r="46" spans="1:10" s="1400" customFormat="1" ht="36" customHeight="1" thickBot="1">
      <c r="A46" s="1901"/>
      <c r="B46" s="1904"/>
      <c r="C46" s="12"/>
      <c r="D46" s="11"/>
      <c r="E46" s="10"/>
      <c r="F46" s="10"/>
      <c r="G46" s="9"/>
    </row>
    <row r="47" spans="1:10" s="1400" customFormat="1" ht="36" customHeight="1">
      <c r="A47" s="1899">
        <v>45237</v>
      </c>
      <c r="B47" s="1902" t="s">
        <v>3</v>
      </c>
      <c r="C47" s="1460" t="s">
        <v>5201</v>
      </c>
      <c r="D47" s="24" t="s">
        <v>5202</v>
      </c>
      <c r="E47" s="24" t="s">
        <v>5203</v>
      </c>
      <c r="F47" s="1458"/>
      <c r="G47" s="1457" t="s">
        <v>261</v>
      </c>
    </row>
    <row r="48" spans="1:10" s="1400" customFormat="1" ht="36" customHeight="1">
      <c r="A48" s="1900"/>
      <c r="B48" s="1903"/>
      <c r="C48" s="1460" t="s">
        <v>5260</v>
      </c>
      <c r="D48" s="24" t="s">
        <v>5261</v>
      </c>
      <c r="E48" s="24" t="s">
        <v>5262</v>
      </c>
      <c r="F48" s="1458" t="s">
        <v>5290</v>
      </c>
      <c r="G48" s="1457" t="s">
        <v>5292</v>
      </c>
    </row>
    <row r="49" spans="1:8" s="1400" customFormat="1" ht="36" customHeight="1">
      <c r="A49" s="1900"/>
      <c r="B49" s="1903"/>
      <c r="C49" s="1460" t="s">
        <v>5266</v>
      </c>
      <c r="D49" s="32" t="s">
        <v>5267</v>
      </c>
      <c r="E49" s="31" t="s">
        <v>5268</v>
      </c>
      <c r="F49" s="1458" t="s">
        <v>5293</v>
      </c>
      <c r="G49" s="1457" t="s">
        <v>5291</v>
      </c>
    </row>
    <row r="50" spans="1:8" s="1400" customFormat="1" ht="36" customHeight="1">
      <c r="A50" s="1900"/>
      <c r="B50" s="1903"/>
      <c r="C50" s="1910" t="s">
        <v>5278</v>
      </c>
      <c r="D50" s="32" t="s">
        <v>5279</v>
      </c>
      <c r="E50" s="31" t="s">
        <v>5289</v>
      </c>
      <c r="F50" s="24"/>
      <c r="G50" s="1911" t="s">
        <v>5283</v>
      </c>
    </row>
    <row r="51" spans="1:8" s="1400" customFormat="1" ht="36" customHeight="1">
      <c r="A51" s="1900"/>
      <c r="B51" s="1903"/>
      <c r="C51" s="1914"/>
      <c r="D51" s="32" t="s">
        <v>5280</v>
      </c>
      <c r="E51" s="31" t="s">
        <v>5281</v>
      </c>
      <c r="F51" s="1458"/>
      <c r="G51" s="1913"/>
    </row>
    <row r="52" spans="1:8" s="1400" customFormat="1" ht="36" customHeight="1">
      <c r="A52" s="1900"/>
      <c r="B52" s="1903"/>
      <c r="C52" s="1906"/>
      <c r="D52" s="32" t="s">
        <v>5267</v>
      </c>
      <c r="E52" s="29" t="s">
        <v>5282</v>
      </c>
      <c r="F52" s="1458" t="s">
        <v>240</v>
      </c>
      <c r="G52" s="1912"/>
    </row>
    <row r="53" spans="1:8" s="1400" customFormat="1" ht="36" customHeight="1">
      <c r="A53" s="1900"/>
      <c r="B53" s="1903"/>
      <c r="C53" s="1460" t="s">
        <v>5294</v>
      </c>
      <c r="D53" s="24" t="s">
        <v>43</v>
      </c>
      <c r="E53" s="31" t="s">
        <v>5295</v>
      </c>
      <c r="F53" s="1458" t="s">
        <v>5296</v>
      </c>
      <c r="G53" s="1459" t="s">
        <v>5297</v>
      </c>
      <c r="H53" s="1400" t="s">
        <v>5298</v>
      </c>
    </row>
    <row r="54" spans="1:8" s="1400" customFormat="1" ht="36" customHeight="1">
      <c r="A54" s="1900"/>
      <c r="B54" s="1903"/>
      <c r="C54" s="1460" t="s">
        <v>5299</v>
      </c>
      <c r="D54" s="24" t="s">
        <v>20</v>
      </c>
      <c r="E54" s="31" t="s">
        <v>5300</v>
      </c>
      <c r="F54" s="1458" t="s">
        <v>172</v>
      </c>
      <c r="G54" s="1459" t="s">
        <v>18</v>
      </c>
      <c r="H54" s="1400" t="s">
        <v>5301</v>
      </c>
    </row>
    <row r="55" spans="1:8" s="1400" customFormat="1" ht="36" customHeight="1">
      <c r="A55" s="1900"/>
      <c r="B55" s="1903"/>
      <c r="C55" s="1460" t="s">
        <v>5302</v>
      </c>
      <c r="D55" s="24" t="s">
        <v>5303</v>
      </c>
      <c r="E55" s="31" t="s">
        <v>5304</v>
      </c>
      <c r="F55" s="1458" t="s">
        <v>5305</v>
      </c>
      <c r="G55" s="1459" t="s">
        <v>5306</v>
      </c>
      <c r="H55" s="1400" t="s">
        <v>5307</v>
      </c>
    </row>
    <row r="56" spans="1:8" s="1400" customFormat="1" ht="36" customHeight="1">
      <c r="A56" s="1900"/>
      <c r="B56" s="1903"/>
      <c r="C56" s="21"/>
      <c r="D56" s="20"/>
      <c r="E56" s="19"/>
      <c r="F56" s="22"/>
      <c r="G56" s="64"/>
    </row>
    <row r="57" spans="1:8" s="1400" customFormat="1" ht="36" customHeight="1" thickBot="1">
      <c r="A57" s="1900"/>
      <c r="B57" s="1903"/>
      <c r="C57" s="1456"/>
      <c r="D57" s="26"/>
      <c r="E57" s="25"/>
      <c r="F57" s="1179"/>
      <c r="G57" s="1453"/>
    </row>
    <row r="58" spans="1:8" s="1400" customFormat="1" ht="36" customHeight="1" thickBot="1">
      <c r="A58" s="1901"/>
      <c r="B58" s="1904"/>
      <c r="C58" s="12" t="s">
        <v>5308</v>
      </c>
      <c r="D58" s="11" t="s">
        <v>5309</v>
      </c>
      <c r="E58" s="10"/>
      <c r="F58" s="10" t="s">
        <v>5310</v>
      </c>
      <c r="G58" s="9"/>
    </row>
    <row r="59" spans="1:8" s="1400" customFormat="1" ht="36" customHeight="1">
      <c r="A59" s="1899">
        <v>45238</v>
      </c>
      <c r="B59" s="1902" t="s">
        <v>2</v>
      </c>
      <c r="C59" s="1460" t="s">
        <v>5111</v>
      </c>
      <c r="D59" s="24" t="s">
        <v>207</v>
      </c>
      <c r="E59" s="24" t="s">
        <v>5247</v>
      </c>
      <c r="F59" s="1458"/>
      <c r="G59" s="1457"/>
    </row>
    <row r="60" spans="1:8" s="1400" customFormat="1" ht="36" customHeight="1">
      <c r="A60" s="1900"/>
      <c r="B60" s="1903"/>
      <c r="C60" s="1460" t="s">
        <v>5265</v>
      </c>
      <c r="D60" s="24" t="s">
        <v>5269</v>
      </c>
      <c r="E60" s="24" t="s">
        <v>5270</v>
      </c>
      <c r="F60" s="1458"/>
      <c r="G60" s="1457"/>
    </row>
    <row r="61" spans="1:8" s="1400" customFormat="1" ht="36" customHeight="1">
      <c r="A61" s="1900"/>
      <c r="B61" s="1903"/>
      <c r="C61" s="1460" t="s">
        <v>5272</v>
      </c>
      <c r="D61" s="32" t="s">
        <v>569</v>
      </c>
      <c r="E61" s="31" t="s">
        <v>54</v>
      </c>
      <c r="F61" s="1458"/>
      <c r="G61" s="1457" t="s">
        <v>58</v>
      </c>
    </row>
    <row r="62" spans="1:8" s="1400" customFormat="1" ht="36" customHeight="1">
      <c r="A62" s="1900"/>
      <c r="B62" s="1903"/>
      <c r="C62" s="1910" t="s">
        <v>5311</v>
      </c>
      <c r="D62" s="32" t="s">
        <v>5312</v>
      </c>
      <c r="E62" s="31" t="s">
        <v>5313</v>
      </c>
      <c r="F62" s="24"/>
      <c r="G62" s="1911" t="s">
        <v>5318</v>
      </c>
    </row>
    <row r="63" spans="1:8" s="1400" customFormat="1" ht="36" customHeight="1">
      <c r="A63" s="1900"/>
      <c r="B63" s="1903"/>
      <c r="C63" s="1914"/>
      <c r="D63" s="30" t="s">
        <v>20</v>
      </c>
      <c r="E63" s="29" t="s">
        <v>5316</v>
      </c>
      <c r="F63" s="1458" t="s">
        <v>5327</v>
      </c>
      <c r="G63" s="1913"/>
    </row>
    <row r="64" spans="1:8" s="1400" customFormat="1" ht="36" customHeight="1">
      <c r="A64" s="1900"/>
      <c r="B64" s="1903"/>
      <c r="C64" s="1914"/>
      <c r="D64" s="32" t="s">
        <v>5314</v>
      </c>
      <c r="E64" s="31" t="s">
        <v>5317</v>
      </c>
      <c r="F64" s="24"/>
      <c r="G64" s="1913"/>
    </row>
    <row r="65" spans="1:8" s="1400" customFormat="1" ht="36" customHeight="1">
      <c r="A65" s="1900"/>
      <c r="B65" s="1903"/>
      <c r="C65" s="1906"/>
      <c r="D65" s="30" t="s">
        <v>5315</v>
      </c>
      <c r="E65" s="29" t="s">
        <v>5300</v>
      </c>
      <c r="F65" s="1458"/>
      <c r="G65" s="1912"/>
    </row>
    <row r="66" spans="1:8" s="1400" customFormat="1" ht="36" customHeight="1">
      <c r="A66" s="1900"/>
      <c r="B66" s="1903"/>
      <c r="C66" s="1460" t="s">
        <v>243</v>
      </c>
      <c r="D66" s="24" t="s">
        <v>43</v>
      </c>
      <c r="E66" s="31" t="s">
        <v>437</v>
      </c>
      <c r="F66" s="24" t="s">
        <v>4022</v>
      </c>
      <c r="G66" s="1459" t="s">
        <v>204</v>
      </c>
      <c r="H66" s="1400" t="s">
        <v>4023</v>
      </c>
    </row>
    <row r="67" spans="1:8" s="1400" customFormat="1" ht="36" customHeight="1">
      <c r="A67" s="1900"/>
      <c r="B67" s="1903"/>
      <c r="C67" s="1455"/>
      <c r="D67" s="28"/>
      <c r="E67" s="27"/>
      <c r="F67" s="1359"/>
      <c r="G67" s="1454"/>
    </row>
    <row r="68" spans="1:8" s="1400" customFormat="1" ht="36" customHeight="1" thickBot="1">
      <c r="A68" s="1900"/>
      <c r="B68" s="1903"/>
      <c r="C68" s="1456"/>
      <c r="D68" s="26"/>
      <c r="E68" s="25"/>
      <c r="F68" s="1179"/>
      <c r="G68" s="1453"/>
    </row>
    <row r="69" spans="1:8" s="1400" customFormat="1" ht="36" customHeight="1" thickBot="1">
      <c r="A69" s="1901"/>
      <c r="B69" s="1904"/>
      <c r="C69" s="12" t="s">
        <v>5328</v>
      </c>
      <c r="D69" s="11" t="s">
        <v>5329</v>
      </c>
      <c r="E69" s="10"/>
      <c r="F69" s="10" t="s">
        <v>5330</v>
      </c>
      <c r="G69" s="9"/>
    </row>
    <row r="70" spans="1:8" s="1400" customFormat="1" ht="36" customHeight="1">
      <c r="A70" s="1899">
        <v>45239</v>
      </c>
      <c r="B70" s="1902" t="s">
        <v>1</v>
      </c>
      <c r="C70" s="1905" t="s">
        <v>5255</v>
      </c>
      <c r="D70" s="24" t="s">
        <v>5256</v>
      </c>
      <c r="E70" s="24" t="s">
        <v>5257</v>
      </c>
      <c r="F70" s="1471"/>
      <c r="G70" s="1466"/>
    </row>
    <row r="71" spans="1:8" s="1400" customFormat="1" ht="36" customHeight="1">
      <c r="A71" s="1900"/>
      <c r="B71" s="1903"/>
      <c r="C71" s="1906"/>
      <c r="D71" s="24" t="s">
        <v>5258</v>
      </c>
      <c r="E71" s="24" t="s">
        <v>5259</v>
      </c>
      <c r="F71" s="1471"/>
      <c r="G71" s="1466"/>
    </row>
    <row r="72" spans="1:8" s="1400" customFormat="1" ht="36" customHeight="1">
      <c r="A72" s="1900"/>
      <c r="B72" s="1903"/>
      <c r="C72" s="1473" t="s">
        <v>5344</v>
      </c>
      <c r="D72" s="32" t="s">
        <v>5345</v>
      </c>
      <c r="E72" s="31" t="s">
        <v>5346</v>
      </c>
      <c r="F72" s="1471"/>
      <c r="G72" s="1466" t="s">
        <v>5347</v>
      </c>
    </row>
    <row r="73" spans="1:8" s="1400" customFormat="1" ht="36" customHeight="1">
      <c r="A73" s="1900"/>
      <c r="B73" s="1903"/>
      <c r="C73" s="1473" t="s">
        <v>5348</v>
      </c>
      <c r="D73" s="32" t="s">
        <v>5349</v>
      </c>
      <c r="E73" s="31" t="s">
        <v>5350</v>
      </c>
      <c r="F73" s="24"/>
      <c r="G73" s="1472" t="s">
        <v>5351</v>
      </c>
    </row>
    <row r="74" spans="1:8" s="1400" customFormat="1" ht="36" customHeight="1">
      <c r="A74" s="1900"/>
      <c r="B74" s="1903"/>
      <c r="C74" s="1468" t="s">
        <v>5353</v>
      </c>
      <c r="D74" s="30" t="s">
        <v>5354</v>
      </c>
      <c r="E74" s="29" t="s">
        <v>5355</v>
      </c>
      <c r="F74" s="1471" t="s">
        <v>5356</v>
      </c>
      <c r="G74" s="1467" t="s">
        <v>204</v>
      </c>
      <c r="H74" s="1400" t="s">
        <v>2402</v>
      </c>
    </row>
    <row r="75" spans="1:8" s="1400" customFormat="1" ht="36" customHeight="1">
      <c r="A75" s="1900"/>
      <c r="B75" s="1903"/>
      <c r="C75" s="1910" t="s">
        <v>5357</v>
      </c>
      <c r="D75" s="30" t="s">
        <v>5358</v>
      </c>
      <c r="E75" s="29" t="s">
        <v>5359</v>
      </c>
      <c r="F75" s="1471"/>
      <c r="G75" s="1911" t="s">
        <v>5363</v>
      </c>
    </row>
    <row r="76" spans="1:8" s="1400" customFormat="1" ht="36" customHeight="1">
      <c r="A76" s="1900"/>
      <c r="B76" s="1903"/>
      <c r="C76" s="1914"/>
      <c r="D76" s="30" t="s">
        <v>5360</v>
      </c>
      <c r="E76" s="29" t="s">
        <v>5361</v>
      </c>
      <c r="F76" s="1471"/>
      <c r="G76" s="1913"/>
    </row>
    <row r="77" spans="1:8" s="1400" customFormat="1" ht="36" customHeight="1">
      <c r="A77" s="1900"/>
      <c r="B77" s="1903"/>
      <c r="C77" s="1906"/>
      <c r="D77" s="30" t="s">
        <v>20</v>
      </c>
      <c r="E77" s="29" t="s">
        <v>5362</v>
      </c>
      <c r="F77" s="1471" t="s">
        <v>240</v>
      </c>
      <c r="G77" s="1912"/>
    </row>
    <row r="78" spans="1:8" s="1400" customFormat="1" ht="36" customHeight="1">
      <c r="A78" s="1900"/>
      <c r="B78" s="1903"/>
      <c r="C78" s="1910" t="s">
        <v>198</v>
      </c>
      <c r="D78" s="30" t="s">
        <v>20</v>
      </c>
      <c r="E78" s="24" t="s">
        <v>332</v>
      </c>
      <c r="F78" s="1471"/>
      <c r="G78" s="1911" t="s">
        <v>5347</v>
      </c>
    </row>
    <row r="79" spans="1:8" s="1400" customFormat="1" ht="36" customHeight="1">
      <c r="A79" s="1900"/>
      <c r="B79" s="1903"/>
      <c r="C79" s="1914"/>
      <c r="D79" s="30" t="s">
        <v>221</v>
      </c>
      <c r="E79" s="24" t="s">
        <v>291</v>
      </c>
      <c r="F79" s="1471"/>
      <c r="G79" s="1913"/>
    </row>
    <row r="80" spans="1:8" s="1400" customFormat="1" ht="36" customHeight="1">
      <c r="A80" s="1900"/>
      <c r="B80" s="1903"/>
      <c r="C80" s="1914"/>
      <c r="D80" s="32" t="s">
        <v>176</v>
      </c>
      <c r="E80" s="31" t="s">
        <v>438</v>
      </c>
      <c r="F80" s="1471"/>
      <c r="G80" s="1913"/>
    </row>
    <row r="81" spans="1:8" s="1400" customFormat="1" ht="36" customHeight="1">
      <c r="A81" s="1900"/>
      <c r="B81" s="1903"/>
      <c r="C81" s="1906"/>
      <c r="D81" s="32" t="s">
        <v>5352</v>
      </c>
      <c r="E81" s="31" t="s">
        <v>5364</v>
      </c>
      <c r="F81" s="1471"/>
      <c r="G81" s="1912"/>
    </row>
    <row r="82" spans="1:8" s="1400" customFormat="1" ht="36" customHeight="1">
      <c r="A82" s="1900"/>
      <c r="B82" s="1903"/>
      <c r="C82" s="1464"/>
      <c r="D82" s="28"/>
      <c r="E82" s="27"/>
      <c r="F82" s="1359"/>
      <c r="G82" s="1463"/>
    </row>
    <row r="83" spans="1:8" s="1400" customFormat="1" ht="36" customHeight="1" thickBot="1">
      <c r="A83" s="1900"/>
      <c r="B83" s="1903"/>
      <c r="C83" s="1465"/>
      <c r="D83" s="26"/>
      <c r="E83" s="25"/>
      <c r="F83" s="1179"/>
      <c r="G83" s="1462"/>
    </row>
    <row r="84" spans="1:8" s="1400" customFormat="1" ht="36" customHeight="1" thickBot="1">
      <c r="A84" s="1901"/>
      <c r="B84" s="1904"/>
      <c r="C84" s="12"/>
      <c r="D84" s="11"/>
      <c r="E84" s="10"/>
      <c r="F84" s="10"/>
      <c r="G84" s="9"/>
    </row>
    <row r="85" spans="1:8" s="1400" customFormat="1" ht="36" customHeight="1">
      <c r="A85" s="1899">
        <v>45240</v>
      </c>
      <c r="B85" s="1902" t="s">
        <v>0</v>
      </c>
      <c r="C85" s="1476" t="s">
        <v>5150</v>
      </c>
      <c r="D85" s="24" t="s">
        <v>215</v>
      </c>
      <c r="E85" s="24" t="s">
        <v>182</v>
      </c>
      <c r="F85" s="1475" t="s">
        <v>5152</v>
      </c>
      <c r="G85" s="1915" t="s">
        <v>5326</v>
      </c>
      <c r="H85" s="1400" t="s">
        <v>5151</v>
      </c>
    </row>
    <row r="86" spans="1:8" s="1400" customFormat="1" ht="36" customHeight="1">
      <c r="A86" s="1900"/>
      <c r="B86" s="1903"/>
      <c r="C86" s="1910" t="s">
        <v>5319</v>
      </c>
      <c r="D86" s="24" t="s">
        <v>5320</v>
      </c>
      <c r="E86" s="24" t="s">
        <v>5321</v>
      </c>
      <c r="F86" s="1475"/>
      <c r="G86" s="1913"/>
    </row>
    <row r="87" spans="1:8" s="1400" customFormat="1" ht="36" customHeight="1">
      <c r="A87" s="1900"/>
      <c r="B87" s="1903"/>
      <c r="C87" s="1914"/>
      <c r="D87" s="24" t="s">
        <v>5322</v>
      </c>
      <c r="E87" s="24" t="s">
        <v>1958</v>
      </c>
      <c r="F87" s="1475"/>
      <c r="G87" s="1913"/>
    </row>
    <row r="88" spans="1:8" s="1400" customFormat="1" ht="36" customHeight="1">
      <c r="A88" s="1900"/>
      <c r="B88" s="1903"/>
      <c r="C88" s="1914"/>
      <c r="D88" s="24" t="s">
        <v>5323</v>
      </c>
      <c r="E88" s="24" t="s">
        <v>5324</v>
      </c>
      <c r="F88" s="1475" t="s">
        <v>5325</v>
      </c>
      <c r="G88" s="1913"/>
    </row>
    <row r="89" spans="1:8" s="1400" customFormat="1" ht="36" customHeight="1">
      <c r="A89" s="1900"/>
      <c r="B89" s="1903"/>
      <c r="C89" s="1906"/>
      <c r="D89" s="1475" t="s">
        <v>5341</v>
      </c>
      <c r="E89" s="24" t="s">
        <v>5342</v>
      </c>
      <c r="F89" s="1475"/>
      <c r="G89" s="1912"/>
    </row>
    <row r="90" spans="1:8" s="1400" customFormat="1" ht="36" customHeight="1">
      <c r="A90" s="1900"/>
      <c r="B90" s="1903"/>
      <c r="C90" s="1476" t="s">
        <v>5343</v>
      </c>
      <c r="D90" s="24" t="s">
        <v>43</v>
      </c>
      <c r="E90" s="24" t="s">
        <v>41</v>
      </c>
      <c r="F90" s="1475"/>
      <c r="G90" s="1474"/>
    </row>
    <row r="91" spans="1:8" s="1400" customFormat="1" ht="36" customHeight="1">
      <c r="A91" s="1900"/>
      <c r="B91" s="1903"/>
      <c r="C91" s="1910" t="s">
        <v>5370</v>
      </c>
      <c r="D91" s="32" t="s">
        <v>321</v>
      </c>
      <c r="E91" s="31" t="s">
        <v>5371</v>
      </c>
      <c r="F91" s="24"/>
      <c r="G91" s="1911" t="s">
        <v>5373</v>
      </c>
    </row>
    <row r="92" spans="1:8" s="1400" customFormat="1" ht="36" customHeight="1">
      <c r="A92" s="1900"/>
      <c r="B92" s="1903"/>
      <c r="C92" s="1906"/>
      <c r="D92" s="30" t="s">
        <v>5374</v>
      </c>
      <c r="E92" s="29" t="s">
        <v>5372</v>
      </c>
      <c r="F92" s="1475"/>
      <c r="G92" s="1912"/>
    </row>
    <row r="93" spans="1:8" s="1400" customFormat="1" ht="36" customHeight="1" thickBot="1">
      <c r="A93" s="1900"/>
      <c r="B93" s="1903"/>
      <c r="C93" s="1484" t="s">
        <v>191</v>
      </c>
      <c r="D93" s="32" t="s">
        <v>20</v>
      </c>
      <c r="E93" s="31" t="s">
        <v>407</v>
      </c>
      <c r="F93" s="24" t="s">
        <v>240</v>
      </c>
      <c r="G93" s="1483" t="s">
        <v>235</v>
      </c>
      <c r="H93" s="1400" t="s">
        <v>1081</v>
      </c>
    </row>
    <row r="94" spans="1:8" s="1400" customFormat="1" ht="36" hidden="1" customHeight="1">
      <c r="A94" s="1900"/>
      <c r="B94" s="1903"/>
      <c r="C94" s="21"/>
      <c r="D94" s="20"/>
      <c r="E94" s="19"/>
      <c r="F94" s="22"/>
      <c r="G94" s="64"/>
    </row>
    <row r="95" spans="1:8" s="1400" customFormat="1" ht="36" hidden="1" customHeight="1">
      <c r="A95" s="1900"/>
      <c r="B95" s="1903"/>
      <c r="C95" s="1470"/>
      <c r="D95" s="28"/>
      <c r="E95" s="27"/>
      <c r="F95" s="1359"/>
      <c r="G95" s="1469"/>
    </row>
    <row r="96" spans="1:8" s="1400" customFormat="1" ht="36" hidden="1" customHeight="1">
      <c r="A96" s="1900"/>
      <c r="B96" s="1903"/>
      <c r="C96" s="1470"/>
      <c r="D96" s="28"/>
      <c r="E96" s="27"/>
      <c r="F96" s="1359"/>
      <c r="G96" s="1469"/>
    </row>
    <row r="97" spans="1:7" s="1400" customFormat="1" ht="36" hidden="1" customHeight="1" thickBot="1">
      <c r="A97" s="1900"/>
      <c r="B97" s="1903"/>
      <c r="C97" s="1465"/>
      <c r="D97" s="26"/>
      <c r="E97" s="25"/>
      <c r="F97" s="1179"/>
      <c r="G97" s="1462"/>
    </row>
    <row r="98" spans="1:7" s="1400" customFormat="1" ht="36" customHeight="1" thickBot="1">
      <c r="A98" s="1900"/>
      <c r="B98" s="1903"/>
      <c r="C98" s="12" t="s">
        <v>5331</v>
      </c>
      <c r="D98" s="11" t="s">
        <v>5332</v>
      </c>
      <c r="E98" s="10" t="s">
        <v>5333</v>
      </c>
      <c r="F98" s="10" t="s">
        <v>5334</v>
      </c>
      <c r="G98" s="9"/>
    </row>
    <row r="99" spans="1:7" s="1400" customFormat="1" ht="36" customHeight="1" thickBot="1">
      <c r="A99" s="1901"/>
      <c r="B99" s="1904"/>
      <c r="C99" s="12" t="s">
        <v>5335</v>
      </c>
      <c r="D99" s="11" t="s">
        <v>5332</v>
      </c>
      <c r="E99" s="10" t="s">
        <v>5336</v>
      </c>
      <c r="F99" s="10" t="s">
        <v>5337</v>
      </c>
      <c r="G99" s="9"/>
    </row>
    <row r="100" spans="1:7" s="1400" customFormat="1" ht="60" customHeight="1" thickBot="1">
      <c r="A100" s="1907" t="s">
        <v>5</v>
      </c>
      <c r="B100" s="1908"/>
      <c r="C100" s="1908"/>
      <c r="D100" s="1908"/>
      <c r="E100" s="1908"/>
      <c r="F100" s="1908"/>
      <c r="G100" s="1909"/>
    </row>
    <row r="101" spans="1:7" s="1400" customFormat="1" ht="36" customHeight="1">
      <c r="A101" s="1899">
        <v>45243</v>
      </c>
      <c r="B101" s="1902" t="s">
        <v>4</v>
      </c>
      <c r="C101" s="1484" t="s">
        <v>5112</v>
      </c>
      <c r="D101" s="24" t="s">
        <v>5113</v>
      </c>
      <c r="E101" s="24" t="s">
        <v>5248</v>
      </c>
      <c r="F101" s="1482"/>
      <c r="G101" s="1477"/>
    </row>
    <row r="102" spans="1:7" s="1400" customFormat="1" ht="36" customHeight="1">
      <c r="A102" s="1900"/>
      <c r="B102" s="1903"/>
      <c r="C102" s="1910" t="s">
        <v>5381</v>
      </c>
      <c r="D102" s="24" t="s">
        <v>5382</v>
      </c>
      <c r="E102" s="24" t="s">
        <v>5383</v>
      </c>
      <c r="F102" s="1482"/>
      <c r="G102" s="1911" t="s">
        <v>5386</v>
      </c>
    </row>
    <row r="103" spans="1:7" s="1400" customFormat="1" ht="36" customHeight="1">
      <c r="A103" s="1900"/>
      <c r="B103" s="1903"/>
      <c r="C103" s="1914"/>
      <c r="D103" s="32" t="s">
        <v>5384</v>
      </c>
      <c r="E103" s="31" t="s">
        <v>5385</v>
      </c>
      <c r="F103" s="1482"/>
      <c r="G103" s="1912"/>
    </row>
    <row r="104" spans="1:7" s="1400" customFormat="1" ht="36" customHeight="1">
      <c r="A104" s="1900"/>
      <c r="B104" s="1903"/>
      <c r="C104" s="1906"/>
      <c r="D104" s="32" t="s">
        <v>5388</v>
      </c>
      <c r="E104" s="31" t="s">
        <v>5389</v>
      </c>
      <c r="F104" s="1482" t="s">
        <v>5391</v>
      </c>
      <c r="G104" s="1478" t="s">
        <v>5390</v>
      </c>
    </row>
    <row r="105" spans="1:7" s="1400" customFormat="1" ht="36" customHeight="1">
      <c r="A105" s="1900"/>
      <c r="B105" s="1903"/>
      <c r="C105" s="1479" t="s">
        <v>5392</v>
      </c>
      <c r="D105" s="32" t="s">
        <v>5393</v>
      </c>
      <c r="E105" s="29" t="s">
        <v>5394</v>
      </c>
      <c r="F105" s="1482"/>
      <c r="G105" s="1478" t="s">
        <v>5387</v>
      </c>
    </row>
    <row r="106" spans="1:7" s="1400" customFormat="1" ht="36" customHeight="1" thickBot="1">
      <c r="A106" s="1900"/>
      <c r="B106" s="1903"/>
      <c r="C106" s="1481"/>
      <c r="D106" s="26"/>
      <c r="E106" s="25"/>
      <c r="F106" s="1179"/>
      <c r="G106" s="1480"/>
    </row>
    <row r="107" spans="1:7" s="1400" customFormat="1" ht="36" customHeight="1" thickBot="1">
      <c r="A107" s="1901"/>
      <c r="B107" s="1904"/>
      <c r="C107" s="12"/>
      <c r="D107" s="11"/>
      <c r="E107" s="10"/>
      <c r="F107" s="10"/>
      <c r="G107" s="9"/>
    </row>
    <row r="108" spans="1:7" s="1400" customFormat="1" ht="36" customHeight="1">
      <c r="A108" s="1899">
        <v>45244</v>
      </c>
      <c r="B108" s="1902" t="s">
        <v>15</v>
      </c>
      <c r="C108" s="1491" t="s">
        <v>5396</v>
      </c>
      <c r="D108" s="24" t="s">
        <v>5397</v>
      </c>
      <c r="E108" s="24" t="s">
        <v>5398</v>
      </c>
      <c r="F108" s="1489"/>
      <c r="G108" s="1485" t="s">
        <v>5387</v>
      </c>
    </row>
    <row r="109" spans="1:7" s="1400" customFormat="1" ht="36" customHeight="1">
      <c r="A109" s="1900"/>
      <c r="B109" s="1903"/>
      <c r="C109" s="1491" t="s">
        <v>5400</v>
      </c>
      <c r="D109" s="24" t="s">
        <v>5401</v>
      </c>
      <c r="E109" s="24" t="s">
        <v>5402</v>
      </c>
      <c r="F109" s="1489"/>
      <c r="G109" s="1485"/>
    </row>
    <row r="110" spans="1:7" s="1400" customFormat="1" ht="36" customHeight="1">
      <c r="A110" s="1900"/>
      <c r="B110" s="1903"/>
      <c r="C110" s="1910" t="s">
        <v>237</v>
      </c>
      <c r="D110" s="32" t="s">
        <v>247</v>
      </c>
      <c r="E110" s="31" t="s">
        <v>323</v>
      </c>
      <c r="F110" s="24"/>
      <c r="G110" s="1490"/>
    </row>
    <row r="111" spans="1:7" s="1400" customFormat="1" ht="36" customHeight="1">
      <c r="A111" s="1900"/>
      <c r="B111" s="1903"/>
      <c r="C111" s="1914"/>
      <c r="D111" s="24" t="s">
        <v>5403</v>
      </c>
      <c r="E111" s="24" t="s">
        <v>5404</v>
      </c>
      <c r="F111" s="24"/>
      <c r="G111" s="1490"/>
    </row>
    <row r="112" spans="1:7" s="1400" customFormat="1" ht="36" customHeight="1">
      <c r="A112" s="1900"/>
      <c r="B112" s="1903"/>
      <c r="C112" s="1906"/>
      <c r="D112" s="1489" t="s">
        <v>242</v>
      </c>
      <c r="E112" s="1489" t="s">
        <v>5405</v>
      </c>
      <c r="F112" s="1489"/>
      <c r="G112" s="1486"/>
    </row>
    <row r="113" spans="1:8" s="1400" customFormat="1" ht="36" customHeight="1" thickBot="1">
      <c r="A113" s="1900"/>
      <c r="B113" s="1903"/>
      <c r="C113" s="1487"/>
      <c r="D113" s="26"/>
      <c r="E113" s="25"/>
      <c r="F113" s="1179"/>
      <c r="G113" s="1488"/>
    </row>
    <row r="114" spans="1:8" s="1400" customFormat="1" ht="36" customHeight="1" thickBot="1">
      <c r="A114" s="1901"/>
      <c r="B114" s="1904"/>
      <c r="C114" s="12"/>
      <c r="D114" s="11"/>
      <c r="E114" s="10"/>
      <c r="F114" s="10"/>
      <c r="G114" s="9"/>
    </row>
    <row r="115" spans="1:8" s="1400" customFormat="1" ht="36" customHeight="1">
      <c r="A115" s="1899">
        <v>45245</v>
      </c>
      <c r="B115" s="1902" t="s">
        <v>2</v>
      </c>
      <c r="C115" s="1494" t="s">
        <v>206</v>
      </c>
      <c r="D115" s="24" t="s">
        <v>207</v>
      </c>
      <c r="E115" s="24" t="s">
        <v>5399</v>
      </c>
      <c r="F115" s="1493"/>
      <c r="G115" s="1492"/>
    </row>
    <row r="116" spans="1:8" s="1400" customFormat="1" ht="36" customHeight="1">
      <c r="A116" s="1900"/>
      <c r="B116" s="1903"/>
      <c r="C116" s="1910" t="s">
        <v>5406</v>
      </c>
      <c r="D116" s="24" t="s">
        <v>5407</v>
      </c>
      <c r="E116" s="24" t="s">
        <v>5411</v>
      </c>
      <c r="F116" s="1493"/>
      <c r="G116" s="1492"/>
    </row>
    <row r="117" spans="1:8" s="1400" customFormat="1" ht="36" customHeight="1">
      <c r="A117" s="1900"/>
      <c r="B117" s="1903"/>
      <c r="C117" s="1914"/>
      <c r="D117" s="24" t="s">
        <v>5408</v>
      </c>
      <c r="E117" s="24" t="s">
        <v>5412</v>
      </c>
      <c r="F117" s="1493"/>
      <c r="G117" s="1492"/>
    </row>
    <row r="118" spans="1:8" s="1400" customFormat="1" ht="36" customHeight="1">
      <c r="A118" s="1900"/>
      <c r="B118" s="1903"/>
      <c r="C118" s="1906"/>
      <c r="D118" s="24" t="s">
        <v>5409</v>
      </c>
      <c r="E118" s="24" t="s">
        <v>5410</v>
      </c>
      <c r="F118" s="1493" t="s">
        <v>5413</v>
      </c>
      <c r="G118" s="1492"/>
    </row>
    <row r="119" spans="1:8" s="1400" customFormat="1" ht="36" customHeight="1">
      <c r="A119" s="1900"/>
      <c r="B119" s="1903"/>
      <c r="C119" s="1910" t="s">
        <v>5418</v>
      </c>
      <c r="D119" s="24" t="s">
        <v>233</v>
      </c>
      <c r="E119" s="24" t="s">
        <v>5419</v>
      </c>
      <c r="F119" s="1493"/>
      <c r="G119" s="1911" t="s">
        <v>5421</v>
      </c>
      <c r="H119" s="1400" t="s">
        <v>5422</v>
      </c>
    </row>
    <row r="120" spans="1:8" s="1400" customFormat="1" ht="36" customHeight="1">
      <c r="A120" s="1900"/>
      <c r="B120" s="1903"/>
      <c r="C120" s="1906"/>
      <c r="D120" s="24" t="s">
        <v>218</v>
      </c>
      <c r="E120" s="24" t="s">
        <v>5420</v>
      </c>
      <c r="F120" s="1493" t="s">
        <v>172</v>
      </c>
      <c r="G120" s="1912"/>
    </row>
    <row r="121" spans="1:8" s="1400" customFormat="1" ht="36" customHeight="1">
      <c r="A121" s="1900"/>
      <c r="B121" s="1903"/>
      <c r="C121" s="1494" t="s">
        <v>5423</v>
      </c>
      <c r="D121" s="32" t="s">
        <v>266</v>
      </c>
      <c r="E121" s="31" t="s">
        <v>5424</v>
      </c>
      <c r="F121" s="1493" t="s">
        <v>5427</v>
      </c>
      <c r="G121" s="1492" t="s">
        <v>5425</v>
      </c>
      <c r="H121" s="1400" t="s">
        <v>5426</v>
      </c>
    </row>
    <row r="122" spans="1:8" s="1400" customFormat="1" ht="36" customHeight="1" thickBot="1">
      <c r="A122" s="1900"/>
      <c r="B122" s="1903"/>
      <c r="C122" s="1401"/>
      <c r="D122" s="16"/>
      <c r="E122" s="15"/>
      <c r="F122" s="1179"/>
      <c r="G122" s="1402"/>
    </row>
    <row r="123" spans="1:8" s="1400" customFormat="1" ht="36" customHeight="1" thickBot="1">
      <c r="A123" s="1901"/>
      <c r="B123" s="1904"/>
      <c r="C123" s="12"/>
      <c r="D123" s="11"/>
      <c r="E123" s="10"/>
      <c r="F123" s="10"/>
      <c r="G123" s="9"/>
    </row>
    <row r="124" spans="1:8" s="1400" customFormat="1" ht="36" customHeight="1">
      <c r="A124" s="1899">
        <v>45246</v>
      </c>
      <c r="B124" s="1902" t="s">
        <v>1</v>
      </c>
      <c r="C124" s="1905" t="s">
        <v>5375</v>
      </c>
      <c r="D124" s="24" t="s">
        <v>5376</v>
      </c>
      <c r="E124" s="24" t="s">
        <v>5377</v>
      </c>
      <c r="F124" s="1498"/>
      <c r="G124" s="1915" t="s">
        <v>5380</v>
      </c>
    </row>
    <row r="125" spans="1:8" s="1400" customFormat="1" ht="36" customHeight="1">
      <c r="A125" s="1900"/>
      <c r="B125" s="1903"/>
      <c r="C125" s="1906"/>
      <c r="D125" s="24" t="s">
        <v>5378</v>
      </c>
      <c r="E125" s="24" t="s">
        <v>5379</v>
      </c>
      <c r="F125" s="1498"/>
      <c r="G125" s="1912"/>
    </row>
    <row r="126" spans="1:8" s="1400" customFormat="1" ht="36" customHeight="1">
      <c r="A126" s="1900"/>
      <c r="B126" s="1903"/>
      <c r="C126" s="1495" t="s">
        <v>5414</v>
      </c>
      <c r="D126" s="24" t="s">
        <v>5415</v>
      </c>
      <c r="E126" s="24" t="s">
        <v>5416</v>
      </c>
      <c r="F126" s="1498" t="s">
        <v>5417</v>
      </c>
      <c r="G126" s="1499"/>
    </row>
    <row r="127" spans="1:8" s="1400" customFormat="1" ht="36" customHeight="1">
      <c r="A127" s="1900"/>
      <c r="B127" s="1903"/>
      <c r="C127" s="1495" t="s">
        <v>622</v>
      </c>
      <c r="D127" s="24" t="s">
        <v>5437</v>
      </c>
      <c r="E127" s="24" t="s">
        <v>5438</v>
      </c>
      <c r="F127" s="1498" t="s">
        <v>5439</v>
      </c>
      <c r="G127" s="1499" t="s">
        <v>5440</v>
      </c>
    </row>
    <row r="128" spans="1:8" s="1400" customFormat="1" ht="36" customHeight="1">
      <c r="A128" s="1900"/>
      <c r="B128" s="1903"/>
      <c r="C128" s="1495" t="s">
        <v>5435</v>
      </c>
      <c r="D128" s="24" t="s">
        <v>5432</v>
      </c>
      <c r="E128" s="24" t="s">
        <v>5433</v>
      </c>
      <c r="F128" s="1498"/>
      <c r="G128" s="1499" t="s">
        <v>5434</v>
      </c>
      <c r="H128" s="1400" t="s">
        <v>5436</v>
      </c>
    </row>
    <row r="129" spans="1:8" s="1400" customFormat="1" ht="36" customHeight="1">
      <c r="A129" s="1900"/>
      <c r="B129" s="1903"/>
      <c r="C129" s="1495" t="s">
        <v>5441</v>
      </c>
      <c r="D129" s="24" t="s">
        <v>5442</v>
      </c>
      <c r="E129" s="24" t="s">
        <v>5447</v>
      </c>
      <c r="F129" s="1498"/>
      <c r="G129" s="1911" t="s">
        <v>5446</v>
      </c>
    </row>
    <row r="130" spans="1:8" s="1400" customFormat="1" ht="36" customHeight="1">
      <c r="A130" s="1900"/>
      <c r="B130" s="1903"/>
      <c r="C130" s="1495" t="s">
        <v>5444</v>
      </c>
      <c r="D130" s="24" t="s">
        <v>20</v>
      </c>
      <c r="E130" s="24" t="s">
        <v>5443</v>
      </c>
      <c r="F130" s="1498" t="s">
        <v>5445</v>
      </c>
      <c r="G130" s="1912"/>
    </row>
    <row r="131" spans="1:8" s="1400" customFormat="1" ht="36" customHeight="1">
      <c r="A131" s="1900"/>
      <c r="B131" s="1903"/>
      <c r="C131" s="1500" t="s">
        <v>5449</v>
      </c>
      <c r="D131" s="32" t="s">
        <v>5451</v>
      </c>
      <c r="E131" s="31" t="s">
        <v>5452</v>
      </c>
      <c r="F131" s="1498" t="s">
        <v>5450</v>
      </c>
      <c r="G131" s="1496" t="s">
        <v>5453</v>
      </c>
    </row>
    <row r="132" spans="1:8" s="1400" customFormat="1" ht="36" customHeight="1" thickBot="1">
      <c r="A132" s="1900"/>
      <c r="B132" s="1903"/>
      <c r="C132" s="1401"/>
      <c r="D132" s="16"/>
      <c r="E132" s="15"/>
      <c r="F132" s="1179"/>
      <c r="G132" s="1402"/>
    </row>
    <row r="133" spans="1:8" s="1400" customFormat="1" ht="36" customHeight="1" thickBot="1">
      <c r="A133" s="1901"/>
      <c r="B133" s="1904"/>
      <c r="C133" s="12"/>
      <c r="D133" s="11"/>
      <c r="E133" s="10"/>
      <c r="F133" s="10"/>
      <c r="G133" s="9"/>
    </row>
    <row r="134" spans="1:8" s="1400" customFormat="1" ht="36" customHeight="1">
      <c r="A134" s="1899">
        <v>45247</v>
      </c>
      <c r="B134" s="1902" t="s">
        <v>0</v>
      </c>
      <c r="C134" s="1546" t="s">
        <v>5454</v>
      </c>
      <c r="D134" s="32" t="s">
        <v>5455</v>
      </c>
      <c r="E134" s="31" t="s">
        <v>5456</v>
      </c>
      <c r="F134" s="24" t="s">
        <v>5457</v>
      </c>
      <c r="G134" s="1545" t="s">
        <v>5458</v>
      </c>
    </row>
    <row r="135" spans="1:8" s="1400" customFormat="1" ht="36" customHeight="1">
      <c r="A135" s="1900"/>
      <c r="B135" s="1903"/>
      <c r="C135" s="1910" t="s">
        <v>237</v>
      </c>
      <c r="D135" s="24" t="s">
        <v>5463</v>
      </c>
      <c r="E135" s="24" t="s">
        <v>5462</v>
      </c>
      <c r="F135" s="1544"/>
      <c r="G135" s="1911" t="s">
        <v>261</v>
      </c>
    </row>
    <row r="136" spans="1:8" s="1400" customFormat="1" ht="36" customHeight="1">
      <c r="A136" s="1900"/>
      <c r="B136" s="1903"/>
      <c r="C136" s="1906"/>
      <c r="D136" s="32" t="s">
        <v>5459</v>
      </c>
      <c r="E136" s="31" t="s">
        <v>5464</v>
      </c>
      <c r="F136" s="1544" t="s">
        <v>5460</v>
      </c>
      <c r="G136" s="1912"/>
    </row>
    <row r="137" spans="1:8" ht="36" customHeight="1">
      <c r="A137" s="1900"/>
      <c r="B137" s="1903"/>
      <c r="C137" s="1546" t="s">
        <v>21</v>
      </c>
      <c r="D137" s="32" t="s">
        <v>20</v>
      </c>
      <c r="E137" s="31" t="s">
        <v>5465</v>
      </c>
      <c r="F137" s="24" t="s">
        <v>172</v>
      </c>
      <c r="G137" s="1545" t="s">
        <v>18</v>
      </c>
      <c r="H137" s="1400" t="s">
        <v>607</v>
      </c>
    </row>
    <row r="138" spans="1:8" s="1400" customFormat="1" ht="36" customHeight="1">
      <c r="A138" s="1900"/>
      <c r="B138" s="1903"/>
      <c r="C138" s="1910" t="s">
        <v>5470</v>
      </c>
      <c r="D138" s="32" t="s">
        <v>5471</v>
      </c>
      <c r="E138" s="31" t="s">
        <v>5472</v>
      </c>
      <c r="F138" s="1936" t="s">
        <v>5475</v>
      </c>
      <c r="G138" s="1911" t="s">
        <v>5476</v>
      </c>
    </row>
    <row r="139" spans="1:8" s="1400" customFormat="1" ht="36" customHeight="1">
      <c r="A139" s="1900"/>
      <c r="B139" s="1903"/>
      <c r="C139" s="1906"/>
      <c r="D139" s="32" t="s">
        <v>5473</v>
      </c>
      <c r="E139" s="31" t="s">
        <v>5474</v>
      </c>
      <c r="F139" s="1938"/>
      <c r="G139" s="1912"/>
    </row>
    <row r="140" spans="1:8" s="1400" customFormat="1" ht="36" customHeight="1" thickBot="1">
      <c r="A140" s="1900"/>
      <c r="B140" s="1903"/>
      <c r="C140" s="1502"/>
      <c r="D140" s="26"/>
      <c r="E140" s="25"/>
      <c r="F140" s="1179"/>
      <c r="G140" s="1501"/>
    </row>
    <row r="141" spans="1:8" s="1400" customFormat="1" ht="36" customHeight="1" thickBot="1">
      <c r="A141" s="1901"/>
      <c r="B141" s="1904"/>
      <c r="C141" s="12" t="s">
        <v>5338</v>
      </c>
      <c r="D141" s="11" t="s">
        <v>5339</v>
      </c>
      <c r="E141" s="10"/>
      <c r="F141" s="10" t="s">
        <v>5340</v>
      </c>
      <c r="G141" s="9"/>
    </row>
    <row r="142" spans="1:8" s="1400" customFormat="1" ht="60" customHeight="1" thickBot="1">
      <c r="A142" s="1907" t="s">
        <v>5</v>
      </c>
      <c r="B142" s="1908"/>
      <c r="C142" s="1908"/>
      <c r="D142" s="1908"/>
      <c r="E142" s="1908"/>
      <c r="F142" s="1908"/>
      <c r="G142" s="1909"/>
    </row>
    <row r="143" spans="1:8" s="1400" customFormat="1" ht="36" customHeight="1">
      <c r="A143" s="1899">
        <v>45250</v>
      </c>
      <c r="B143" s="1902" t="s">
        <v>4</v>
      </c>
      <c r="C143" s="1510" t="s">
        <v>5111</v>
      </c>
      <c r="D143" s="24" t="s">
        <v>207</v>
      </c>
      <c r="E143" s="24" t="s">
        <v>348</v>
      </c>
      <c r="F143" s="1508"/>
      <c r="G143" s="1503"/>
      <c r="H143" s="1400" t="s">
        <v>5395</v>
      </c>
    </row>
    <row r="144" spans="1:8" s="1400" customFormat="1" ht="36" customHeight="1">
      <c r="A144" s="1900"/>
      <c r="B144" s="1903"/>
      <c r="C144" s="1510" t="s">
        <v>5477</v>
      </c>
      <c r="D144" s="24" t="s">
        <v>5478</v>
      </c>
      <c r="E144" s="24" t="s">
        <v>5479</v>
      </c>
      <c r="F144" s="1508" t="s">
        <v>5480</v>
      </c>
      <c r="G144" s="1503"/>
    </row>
    <row r="145" spans="1:8" s="1400" customFormat="1" ht="36" customHeight="1">
      <c r="A145" s="1900"/>
      <c r="B145" s="1903"/>
      <c r="C145" s="1510" t="s">
        <v>288</v>
      </c>
      <c r="D145" s="24" t="s">
        <v>5481</v>
      </c>
      <c r="E145" s="24" t="s">
        <v>5482</v>
      </c>
      <c r="F145" s="1508"/>
      <c r="G145" s="1503" t="s">
        <v>261</v>
      </c>
    </row>
    <row r="146" spans="1:8" s="1400" customFormat="1" ht="36" customHeight="1">
      <c r="A146" s="1900"/>
      <c r="B146" s="1903"/>
      <c r="C146" s="1510" t="s">
        <v>5483</v>
      </c>
      <c r="D146" s="32" t="s">
        <v>5484</v>
      </c>
      <c r="E146" s="31" t="s">
        <v>5485</v>
      </c>
      <c r="F146" s="24"/>
      <c r="G146" s="1509" t="s">
        <v>5496</v>
      </c>
    </row>
    <row r="147" spans="1:8" s="1400" customFormat="1" ht="36" customHeight="1">
      <c r="A147" s="1900"/>
      <c r="B147" s="1903"/>
      <c r="C147" s="1914" t="s">
        <v>436</v>
      </c>
      <c r="D147" s="1508" t="s">
        <v>218</v>
      </c>
      <c r="E147" s="1508" t="s">
        <v>300</v>
      </c>
      <c r="F147" s="1508" t="s">
        <v>435</v>
      </c>
      <c r="G147" s="1913" t="s">
        <v>261</v>
      </c>
    </row>
    <row r="148" spans="1:8" s="1400" customFormat="1" ht="36" customHeight="1">
      <c r="A148" s="1900"/>
      <c r="B148" s="1903"/>
      <c r="C148" s="1906"/>
      <c r="D148" s="24" t="s">
        <v>218</v>
      </c>
      <c r="E148" s="24" t="s">
        <v>300</v>
      </c>
      <c r="F148" s="1508" t="s">
        <v>240</v>
      </c>
      <c r="G148" s="1912"/>
    </row>
    <row r="149" spans="1:8" s="1400" customFormat="1" ht="36" customHeight="1">
      <c r="A149" s="1900"/>
      <c r="B149" s="1903"/>
      <c r="C149" s="1514" t="s">
        <v>5492</v>
      </c>
      <c r="D149" s="32" t="s">
        <v>5493</v>
      </c>
      <c r="E149" s="31" t="s">
        <v>5494</v>
      </c>
      <c r="F149" s="24"/>
      <c r="G149" s="1511" t="s">
        <v>5495</v>
      </c>
    </row>
    <row r="150" spans="1:8" s="1400" customFormat="1" ht="36" customHeight="1">
      <c r="A150" s="1900"/>
      <c r="B150" s="1903"/>
      <c r="C150" s="1910" t="s">
        <v>5505</v>
      </c>
      <c r="D150" s="32" t="s">
        <v>5497</v>
      </c>
      <c r="E150" s="31" t="s">
        <v>5498</v>
      </c>
      <c r="F150" s="24" t="s">
        <v>5499</v>
      </c>
      <c r="G150" s="1911" t="s">
        <v>261</v>
      </c>
    </row>
    <row r="151" spans="1:8" s="1400" customFormat="1" ht="36" customHeight="1">
      <c r="A151" s="1900"/>
      <c r="B151" s="1903"/>
      <c r="C151" s="1914"/>
      <c r="D151" s="30" t="s">
        <v>5484</v>
      </c>
      <c r="E151" s="29" t="s">
        <v>5500</v>
      </c>
      <c r="F151" s="1512"/>
      <c r="G151" s="1913"/>
    </row>
    <row r="152" spans="1:8" s="1400" customFormat="1" ht="36" customHeight="1">
      <c r="A152" s="1900"/>
      <c r="B152" s="1903"/>
      <c r="C152" s="1914"/>
      <c r="D152" s="30" t="s">
        <v>221</v>
      </c>
      <c r="E152" s="29" t="s">
        <v>5501</v>
      </c>
      <c r="F152" s="1512"/>
      <c r="G152" s="1913"/>
    </row>
    <row r="153" spans="1:8" s="1400" customFormat="1" ht="36" customHeight="1">
      <c r="A153" s="1900"/>
      <c r="B153" s="1903"/>
      <c r="C153" s="1906"/>
      <c r="D153" s="30" t="s">
        <v>5502</v>
      </c>
      <c r="E153" s="31" t="s">
        <v>5503</v>
      </c>
      <c r="F153" s="24"/>
      <c r="G153" s="1513" t="s">
        <v>5504</v>
      </c>
    </row>
    <row r="154" spans="1:8" s="1400" customFormat="1" ht="36" customHeight="1" thickBot="1">
      <c r="A154" s="1900"/>
      <c r="B154" s="1903"/>
      <c r="C154" s="1504"/>
      <c r="D154" s="26"/>
      <c r="E154" s="25"/>
      <c r="F154" s="1179"/>
      <c r="G154" s="1506"/>
    </row>
    <row r="155" spans="1:8" s="1400" customFormat="1" ht="36" customHeight="1" thickBot="1">
      <c r="A155" s="1901"/>
      <c r="B155" s="1904"/>
      <c r="C155" s="12"/>
      <c r="D155" s="11"/>
      <c r="E155" s="10"/>
      <c r="F155" s="10"/>
      <c r="G155" s="9"/>
    </row>
    <row r="156" spans="1:8" s="1400" customFormat="1" ht="36" customHeight="1">
      <c r="A156" s="1899">
        <v>45251</v>
      </c>
      <c r="B156" s="1902" t="s">
        <v>3</v>
      </c>
      <c r="C156" s="1519" t="s">
        <v>5466</v>
      </c>
      <c r="D156" s="24" t="s">
        <v>5461</v>
      </c>
      <c r="E156" s="24" t="s">
        <v>5467</v>
      </c>
      <c r="F156" s="1517" t="s">
        <v>5468</v>
      </c>
      <c r="G156" s="1516" t="s">
        <v>5510</v>
      </c>
      <c r="H156" s="1400" t="s">
        <v>5469</v>
      </c>
    </row>
    <row r="157" spans="1:8" s="1400" customFormat="1" ht="36" customHeight="1">
      <c r="A157" s="1900"/>
      <c r="B157" s="1903"/>
      <c r="C157" s="1519" t="s">
        <v>393</v>
      </c>
      <c r="D157" s="24" t="s">
        <v>378</v>
      </c>
      <c r="E157" s="24" t="s">
        <v>200</v>
      </c>
      <c r="F157" s="1517" t="s">
        <v>5448</v>
      </c>
      <c r="G157" s="1516" t="s">
        <v>183</v>
      </c>
      <c r="H157" s="1400" t="s">
        <v>5511</v>
      </c>
    </row>
    <row r="158" spans="1:8" s="1400" customFormat="1" ht="36" customHeight="1">
      <c r="A158" s="1900"/>
      <c r="B158" s="1903"/>
      <c r="C158" s="1519" t="s">
        <v>5516</v>
      </c>
      <c r="D158" s="24" t="s">
        <v>5517</v>
      </c>
      <c r="E158" s="24" t="s">
        <v>5518</v>
      </c>
      <c r="F158" s="1517"/>
      <c r="G158" s="1516" t="s">
        <v>5519</v>
      </c>
    </row>
    <row r="159" spans="1:8" s="1400" customFormat="1" ht="36" customHeight="1">
      <c r="A159" s="1900"/>
      <c r="B159" s="1903"/>
      <c r="C159" s="1519" t="s">
        <v>5521</v>
      </c>
      <c r="D159" s="32" t="s">
        <v>5432</v>
      </c>
      <c r="E159" s="31"/>
      <c r="F159" s="24"/>
      <c r="G159" s="1516"/>
      <c r="H159" s="1400" t="s">
        <v>5522</v>
      </c>
    </row>
    <row r="160" spans="1:8" s="1400" customFormat="1" ht="36" customHeight="1">
      <c r="A160" s="1900"/>
      <c r="B160" s="1903"/>
      <c r="C160" s="1515" t="s">
        <v>5523</v>
      </c>
      <c r="D160" s="32" t="s">
        <v>5525</v>
      </c>
      <c r="E160" s="31" t="s">
        <v>5524</v>
      </c>
      <c r="F160" s="1517" t="s">
        <v>5526</v>
      </c>
      <c r="G160" s="1518" t="s">
        <v>501</v>
      </c>
    </row>
    <row r="161" spans="1:8" s="1400" customFormat="1" ht="36" customHeight="1">
      <c r="A161" s="1900"/>
      <c r="B161" s="1903"/>
      <c r="C161" s="1519" t="s">
        <v>21</v>
      </c>
      <c r="D161" s="32" t="s">
        <v>20</v>
      </c>
      <c r="E161" s="31" t="s">
        <v>73</v>
      </c>
      <c r="F161" s="1517" t="s">
        <v>172</v>
      </c>
      <c r="G161" s="1516" t="s">
        <v>18</v>
      </c>
      <c r="H161" s="1400" t="s">
        <v>5527</v>
      </c>
    </row>
    <row r="162" spans="1:8" s="1400" customFormat="1" ht="36" customHeight="1" thickBot="1">
      <c r="A162" s="1900"/>
      <c r="B162" s="1903"/>
      <c r="C162" s="1401"/>
      <c r="D162" s="16"/>
      <c r="E162" s="15"/>
      <c r="F162" s="1179"/>
      <c r="G162" s="1402"/>
    </row>
    <row r="163" spans="1:8" s="1400" customFormat="1" ht="36" customHeight="1" thickBot="1">
      <c r="A163" s="1901"/>
      <c r="B163" s="1904"/>
      <c r="C163" s="12"/>
      <c r="D163" s="11"/>
      <c r="E163" s="10"/>
      <c r="F163" s="10"/>
      <c r="G163" s="9"/>
    </row>
    <row r="164" spans="1:8" s="1400" customFormat="1" ht="36" customHeight="1">
      <c r="A164" s="1899">
        <v>45252</v>
      </c>
      <c r="B164" s="1902" t="s">
        <v>32</v>
      </c>
      <c r="C164" s="1525" t="s">
        <v>5263</v>
      </c>
      <c r="D164" s="24" t="s">
        <v>5264</v>
      </c>
      <c r="E164" s="24" t="s">
        <v>5520</v>
      </c>
      <c r="F164" s="1523"/>
      <c r="G164" s="1520"/>
    </row>
    <row r="165" spans="1:8" s="1400" customFormat="1" ht="36" customHeight="1">
      <c r="A165" s="1900"/>
      <c r="B165" s="1903"/>
      <c r="C165" s="1910" t="s">
        <v>5512</v>
      </c>
      <c r="D165" s="24" t="s">
        <v>5513</v>
      </c>
      <c r="E165" s="24" t="s">
        <v>5514</v>
      </c>
      <c r="F165" s="1523"/>
      <c r="G165" s="1911" t="s">
        <v>5528</v>
      </c>
    </row>
    <row r="166" spans="1:8" s="1400" customFormat="1" ht="36" customHeight="1">
      <c r="A166" s="1900"/>
      <c r="B166" s="1903"/>
      <c r="C166" s="1914"/>
      <c r="D166" s="30" t="s">
        <v>221</v>
      </c>
      <c r="E166" s="24" t="s">
        <v>5515</v>
      </c>
      <c r="F166" s="1523"/>
      <c r="G166" s="1913"/>
    </row>
    <row r="167" spans="1:8" s="1400" customFormat="1" ht="36" customHeight="1">
      <c r="A167" s="1900"/>
      <c r="B167" s="1903"/>
      <c r="C167" s="1906"/>
      <c r="D167" s="30" t="s">
        <v>5547</v>
      </c>
      <c r="E167" s="24" t="s">
        <v>5548</v>
      </c>
      <c r="F167" s="1523"/>
      <c r="G167" s="1912"/>
    </row>
    <row r="168" spans="1:8" s="1400" customFormat="1" ht="36" customHeight="1">
      <c r="A168" s="1900"/>
      <c r="B168" s="1903"/>
      <c r="C168" s="1525" t="s">
        <v>5534</v>
      </c>
      <c r="D168" s="32" t="s">
        <v>5535</v>
      </c>
      <c r="E168" s="31" t="s">
        <v>5536</v>
      </c>
      <c r="F168" s="24"/>
      <c r="G168" s="1524" t="s">
        <v>5537</v>
      </c>
    </row>
    <row r="169" spans="1:8" s="1400" customFormat="1" ht="36" customHeight="1">
      <c r="A169" s="1900"/>
      <c r="B169" s="1903"/>
      <c r="C169" s="1522" t="s">
        <v>5538</v>
      </c>
      <c r="D169" s="30" t="s">
        <v>5539</v>
      </c>
      <c r="E169" s="29" t="s">
        <v>5540</v>
      </c>
      <c r="F169" s="1523"/>
      <c r="G169" s="1521" t="s">
        <v>5541</v>
      </c>
      <c r="H169" s="1400" t="s">
        <v>5542</v>
      </c>
    </row>
    <row r="170" spans="1:8" s="1400" customFormat="1" ht="36" customHeight="1">
      <c r="A170" s="1900"/>
      <c r="B170" s="1903"/>
      <c r="C170" s="1525" t="s">
        <v>21</v>
      </c>
      <c r="D170" s="32" t="s">
        <v>20</v>
      </c>
      <c r="E170" s="31" t="s">
        <v>73</v>
      </c>
      <c r="F170" s="24" t="s">
        <v>172</v>
      </c>
      <c r="G170" s="1524" t="s">
        <v>18</v>
      </c>
      <c r="H170" s="1400" t="s">
        <v>5549</v>
      </c>
    </row>
    <row r="171" spans="1:8" s="1400" customFormat="1" ht="36" customHeight="1" thickBot="1">
      <c r="A171" s="1900"/>
      <c r="B171" s="1903"/>
      <c r="C171" s="201"/>
      <c r="D171" s="26"/>
      <c r="E171" s="25"/>
      <c r="F171" s="1179"/>
      <c r="G171" s="1497"/>
    </row>
    <row r="172" spans="1:8" s="1400" customFormat="1" ht="36" customHeight="1" thickBot="1">
      <c r="A172" s="1901"/>
      <c r="B172" s="1904"/>
      <c r="C172" s="12"/>
      <c r="D172" s="11"/>
      <c r="E172" s="10"/>
      <c r="F172" s="10"/>
      <c r="G172" s="9"/>
    </row>
    <row r="173" spans="1:8" s="1400" customFormat="1" ht="36" customHeight="1">
      <c r="A173" s="1899">
        <v>45253</v>
      </c>
      <c r="B173" s="1902" t="s">
        <v>1</v>
      </c>
      <c r="C173" s="1910" t="s">
        <v>1005</v>
      </c>
      <c r="D173" s="32" t="s">
        <v>194</v>
      </c>
      <c r="E173" s="31" t="s">
        <v>182</v>
      </c>
      <c r="F173" s="24"/>
      <c r="G173" s="1915" t="s">
        <v>5533</v>
      </c>
    </row>
    <row r="174" spans="1:8" s="1400" customFormat="1" ht="36" customHeight="1">
      <c r="A174" s="1900"/>
      <c r="B174" s="1903"/>
      <c r="C174" s="1906"/>
      <c r="D174" s="32" t="s">
        <v>215</v>
      </c>
      <c r="E174" s="31" t="s">
        <v>182</v>
      </c>
      <c r="F174" s="1523"/>
      <c r="G174" s="1912"/>
    </row>
    <row r="175" spans="1:8" s="1400" customFormat="1" ht="36" customHeight="1">
      <c r="A175" s="1900"/>
      <c r="B175" s="1903"/>
      <c r="C175" s="1910" t="s">
        <v>5506</v>
      </c>
      <c r="D175" s="24" t="s">
        <v>295</v>
      </c>
      <c r="E175" s="31" t="s">
        <v>5507</v>
      </c>
      <c r="F175" s="24"/>
      <c r="G175" s="1911" t="s">
        <v>5565</v>
      </c>
      <c r="H175" s="1400" t="s">
        <v>5532</v>
      </c>
    </row>
    <row r="176" spans="1:8" s="1400" customFormat="1" ht="36" customHeight="1">
      <c r="A176" s="1900"/>
      <c r="B176" s="1903"/>
      <c r="C176" s="1906"/>
      <c r="D176" s="30" t="s">
        <v>5508</v>
      </c>
      <c r="E176" s="29" t="s">
        <v>5509</v>
      </c>
      <c r="F176" s="1523"/>
      <c r="G176" s="1912"/>
    </row>
    <row r="177" spans="1:9" s="1400" customFormat="1" ht="36" customHeight="1">
      <c r="A177" s="1900"/>
      <c r="B177" s="1903"/>
      <c r="C177" s="1526" t="s">
        <v>5561</v>
      </c>
      <c r="D177" s="24" t="s">
        <v>218</v>
      </c>
      <c r="E177" s="29" t="s">
        <v>5562</v>
      </c>
      <c r="F177" s="1530" t="s">
        <v>5563</v>
      </c>
      <c r="G177" s="1528" t="s">
        <v>5564</v>
      </c>
    </row>
    <row r="178" spans="1:9" s="1400" customFormat="1" ht="36" customHeight="1">
      <c r="A178" s="1900"/>
      <c r="B178" s="1903"/>
      <c r="C178" s="1526" t="s">
        <v>5567</v>
      </c>
      <c r="D178" s="24" t="s">
        <v>218</v>
      </c>
      <c r="E178" s="29" t="s">
        <v>5568</v>
      </c>
      <c r="F178" s="1530" t="s">
        <v>172</v>
      </c>
      <c r="G178" s="1528" t="s">
        <v>5569</v>
      </c>
    </row>
    <row r="179" spans="1:9" s="1400" customFormat="1" ht="36" customHeight="1">
      <c r="A179" s="1900"/>
      <c r="B179" s="1903"/>
      <c r="C179" s="1505"/>
      <c r="D179" s="28"/>
      <c r="E179" s="27"/>
      <c r="F179" s="1359"/>
      <c r="G179" s="1507"/>
    </row>
    <row r="180" spans="1:9" s="1400" customFormat="1" ht="36" customHeight="1" thickBot="1">
      <c r="A180" s="1900"/>
      <c r="B180" s="1903"/>
      <c r="C180" s="1504"/>
      <c r="D180" s="26"/>
      <c r="E180" s="25"/>
      <c r="F180" s="1179"/>
      <c r="G180" s="1506"/>
    </row>
    <row r="181" spans="1:9" s="1400" customFormat="1" ht="36" customHeight="1" thickBot="1">
      <c r="A181" s="1901"/>
      <c r="B181" s="1904"/>
      <c r="C181" s="12" t="s">
        <v>5544</v>
      </c>
      <c r="D181" s="11" t="s">
        <v>252</v>
      </c>
      <c r="E181" s="10" t="s">
        <v>5545</v>
      </c>
      <c r="F181" s="10" t="s">
        <v>5546</v>
      </c>
      <c r="G181" s="9"/>
    </row>
    <row r="182" spans="1:9" s="1400" customFormat="1" ht="36" customHeight="1">
      <c r="A182" s="1899">
        <v>45254</v>
      </c>
      <c r="B182" s="1902" t="s">
        <v>0</v>
      </c>
      <c r="C182" s="1905" t="s">
        <v>5486</v>
      </c>
      <c r="D182" s="24" t="s">
        <v>218</v>
      </c>
      <c r="E182" s="24" t="s">
        <v>5489</v>
      </c>
      <c r="F182" s="1530"/>
      <c r="G182" s="1527"/>
    </row>
    <row r="183" spans="1:9" s="1400" customFormat="1" ht="36" customHeight="1">
      <c r="A183" s="1900"/>
      <c r="B183" s="1903"/>
      <c r="C183" s="1914"/>
      <c r="D183" s="24" t="s">
        <v>5487</v>
      </c>
      <c r="E183" s="24" t="s">
        <v>5490</v>
      </c>
      <c r="F183" s="1530"/>
      <c r="G183" s="1527"/>
    </row>
    <row r="184" spans="1:9" s="1400" customFormat="1" ht="36" customHeight="1">
      <c r="A184" s="1900"/>
      <c r="B184" s="1903"/>
      <c r="C184" s="1914"/>
      <c r="D184" s="24" t="s">
        <v>5488</v>
      </c>
      <c r="E184" s="24" t="s">
        <v>5577</v>
      </c>
      <c r="F184" s="1530"/>
      <c r="G184" s="1527"/>
    </row>
    <row r="185" spans="1:9" s="1400" customFormat="1" ht="36" customHeight="1">
      <c r="A185" s="1900"/>
      <c r="B185" s="1903"/>
      <c r="C185" s="1914"/>
      <c r="D185" s="24" t="s">
        <v>215</v>
      </c>
      <c r="E185" s="24" t="s">
        <v>5491</v>
      </c>
      <c r="F185" s="1530"/>
      <c r="G185" s="1527"/>
    </row>
    <row r="186" spans="1:9" s="1400" customFormat="1" ht="36" customHeight="1">
      <c r="A186" s="1900"/>
      <c r="B186" s="1903"/>
      <c r="C186" s="1914"/>
      <c r="D186" s="24" t="s">
        <v>5574</v>
      </c>
      <c r="E186" s="24" t="s">
        <v>5575</v>
      </c>
      <c r="F186" s="1530"/>
      <c r="G186" s="1527"/>
    </row>
    <row r="187" spans="1:9" s="1400" customFormat="1" ht="36" customHeight="1">
      <c r="A187" s="1900"/>
      <c r="B187" s="1903"/>
      <c r="C187" s="1906"/>
      <c r="D187" s="24" t="s">
        <v>5576</v>
      </c>
      <c r="E187" s="24" t="s">
        <v>5575</v>
      </c>
      <c r="F187" s="1530"/>
      <c r="G187" s="1527"/>
    </row>
    <row r="188" spans="1:9" s="1400" customFormat="1" ht="36" customHeight="1">
      <c r="A188" s="1900"/>
      <c r="B188" s="1903"/>
      <c r="C188" s="1910" t="s">
        <v>5550</v>
      </c>
      <c r="D188" s="24" t="s">
        <v>5551</v>
      </c>
      <c r="E188" s="24" t="s">
        <v>5552</v>
      </c>
      <c r="F188" s="1530"/>
      <c r="G188" s="1911" t="s">
        <v>5560</v>
      </c>
      <c r="I188" s="1400" t="s">
        <v>5566</v>
      </c>
    </row>
    <row r="189" spans="1:9" s="1400" customFormat="1" ht="36" customHeight="1">
      <c r="A189" s="1900"/>
      <c r="B189" s="1903"/>
      <c r="C189" s="1914"/>
      <c r="D189" s="24" t="s">
        <v>5553</v>
      </c>
      <c r="E189" s="24" t="s">
        <v>5554</v>
      </c>
      <c r="F189" s="1530"/>
      <c r="G189" s="1913"/>
    </row>
    <row r="190" spans="1:9" s="1400" customFormat="1" ht="36" customHeight="1">
      <c r="A190" s="1900"/>
      <c r="B190" s="1903"/>
      <c r="C190" s="1914"/>
      <c r="D190" s="24" t="s">
        <v>614</v>
      </c>
      <c r="E190" s="24" t="s">
        <v>5555</v>
      </c>
      <c r="F190" s="1530" t="s">
        <v>4144</v>
      </c>
      <c r="G190" s="1913"/>
    </row>
    <row r="191" spans="1:9" s="1400" customFormat="1" ht="36" customHeight="1">
      <c r="A191" s="1900"/>
      <c r="B191" s="1903"/>
      <c r="C191" s="1914"/>
      <c r="D191" s="24" t="s">
        <v>5556</v>
      </c>
      <c r="E191" s="24" t="s">
        <v>5557</v>
      </c>
      <c r="F191" s="1530"/>
      <c r="G191" s="1913"/>
    </row>
    <row r="192" spans="1:9" s="1400" customFormat="1" ht="36" customHeight="1">
      <c r="A192" s="1900"/>
      <c r="B192" s="1903"/>
      <c r="C192" s="1906"/>
      <c r="D192" s="24" t="s">
        <v>5558</v>
      </c>
      <c r="E192" s="24" t="s">
        <v>5559</v>
      </c>
      <c r="F192" s="1530"/>
      <c r="G192" s="1912"/>
    </row>
    <row r="193" spans="1:8" s="1400" customFormat="1" ht="36" customHeight="1">
      <c r="A193" s="1900"/>
      <c r="B193" s="1903"/>
      <c r="C193" s="1526" t="s">
        <v>5578</v>
      </c>
      <c r="D193" s="24" t="s">
        <v>218</v>
      </c>
      <c r="E193" s="24" t="s">
        <v>5579</v>
      </c>
      <c r="F193" s="1530" t="s">
        <v>38</v>
      </c>
      <c r="G193" s="1529" t="s">
        <v>261</v>
      </c>
    </row>
    <row r="194" spans="1:8" s="1400" customFormat="1" ht="36" customHeight="1">
      <c r="A194" s="1900"/>
      <c r="B194" s="1903"/>
      <c r="C194" s="21"/>
      <c r="D194" s="20"/>
      <c r="E194" s="19"/>
      <c r="F194" s="1359"/>
      <c r="G194" s="1402"/>
    </row>
    <row r="195" spans="1:8" s="1400" customFormat="1" ht="36" customHeight="1" thickBot="1">
      <c r="A195" s="1900"/>
      <c r="B195" s="1903"/>
      <c r="C195" s="1401"/>
      <c r="D195" s="16"/>
      <c r="E195" s="15"/>
      <c r="F195" s="1179"/>
      <c r="G195" s="1402"/>
    </row>
    <row r="196" spans="1:8" s="1400" customFormat="1" ht="36" customHeight="1" thickBot="1">
      <c r="A196" s="1901"/>
      <c r="B196" s="1904"/>
      <c r="C196" s="12" t="s">
        <v>5543</v>
      </c>
      <c r="D196" s="11" t="s">
        <v>252</v>
      </c>
      <c r="E196" s="10"/>
      <c r="F196" s="10" t="s">
        <v>390</v>
      </c>
      <c r="G196" s="9"/>
    </row>
    <row r="197" spans="1:8" s="1400" customFormat="1" ht="60" customHeight="1" thickBot="1">
      <c r="A197" s="1907" t="s">
        <v>5</v>
      </c>
      <c r="B197" s="1908"/>
      <c r="C197" s="1908"/>
      <c r="D197" s="1908"/>
      <c r="E197" s="1908"/>
      <c r="F197" s="1908"/>
      <c r="G197" s="1909"/>
    </row>
    <row r="198" spans="1:8" s="1400" customFormat="1" ht="36" customHeight="1">
      <c r="A198" s="1899">
        <v>45257</v>
      </c>
      <c r="B198" s="1902" t="s">
        <v>4</v>
      </c>
      <c r="C198" s="1905" t="s">
        <v>206</v>
      </c>
      <c r="D198" s="24" t="s">
        <v>207</v>
      </c>
      <c r="E198" s="24" t="s">
        <v>4483</v>
      </c>
      <c r="F198" s="1538"/>
      <c r="G198" s="1535"/>
    </row>
    <row r="199" spans="1:8" s="1400" customFormat="1" ht="36" customHeight="1">
      <c r="A199" s="1900"/>
      <c r="B199" s="1903"/>
      <c r="C199" s="1906"/>
      <c r="D199" s="24" t="s">
        <v>5587</v>
      </c>
      <c r="E199" s="24" t="s">
        <v>5588</v>
      </c>
      <c r="F199" s="1538"/>
      <c r="G199" s="1535"/>
    </row>
    <row r="200" spans="1:8" s="1400" customFormat="1" ht="36" customHeight="1">
      <c r="A200" s="1900"/>
      <c r="B200" s="1903"/>
      <c r="C200" s="1540" t="s">
        <v>5584</v>
      </c>
      <c r="D200" s="24" t="s">
        <v>5585</v>
      </c>
      <c r="E200" s="24" t="s">
        <v>5586</v>
      </c>
      <c r="F200" s="1538"/>
      <c r="G200" s="1535"/>
      <c r="H200" s="1400" t="s">
        <v>5596</v>
      </c>
    </row>
    <row r="201" spans="1:8" s="1400" customFormat="1" ht="36" customHeight="1">
      <c r="A201" s="1900"/>
      <c r="B201" s="1903"/>
      <c r="C201" s="1540" t="s">
        <v>5597</v>
      </c>
      <c r="D201" s="24" t="s">
        <v>5598</v>
      </c>
      <c r="E201" s="24" t="s">
        <v>5599</v>
      </c>
      <c r="F201" s="1538"/>
      <c r="G201" s="1539" t="s">
        <v>5600</v>
      </c>
      <c r="H201" s="1400" t="s">
        <v>5601</v>
      </c>
    </row>
    <row r="202" spans="1:8" ht="36" customHeight="1">
      <c r="A202" s="1900"/>
      <c r="B202" s="1903"/>
      <c r="C202" s="1540" t="s">
        <v>367</v>
      </c>
      <c r="D202" s="32" t="s">
        <v>20</v>
      </c>
      <c r="E202" s="31" t="s">
        <v>407</v>
      </c>
      <c r="F202" s="1538" t="s">
        <v>172</v>
      </c>
      <c r="G202" s="1535" t="s">
        <v>18</v>
      </c>
      <c r="H202" s="1400" t="s">
        <v>3259</v>
      </c>
    </row>
    <row r="203" spans="1:8" s="1400" customFormat="1" ht="37.5" customHeight="1">
      <c r="A203" s="1900"/>
      <c r="B203" s="1903"/>
      <c r="C203" s="1540" t="s">
        <v>2472</v>
      </c>
      <c r="D203" s="24" t="s">
        <v>2475</v>
      </c>
      <c r="E203" s="24" t="s">
        <v>5608</v>
      </c>
      <c r="F203" s="32"/>
      <c r="G203" s="1539" t="s">
        <v>2474</v>
      </c>
    </row>
    <row r="204" spans="1:8" s="1400" customFormat="1" ht="36" customHeight="1" thickBot="1">
      <c r="A204" s="1900"/>
      <c r="B204" s="1903"/>
      <c r="C204" s="48"/>
      <c r="D204" s="46"/>
      <c r="E204" s="46"/>
      <c r="F204" s="42"/>
      <c r="G204" s="45"/>
    </row>
    <row r="205" spans="1:8" s="1400" customFormat="1" ht="36" hidden="1" customHeight="1">
      <c r="A205" s="1900"/>
      <c r="B205" s="1903"/>
      <c r="C205" s="44"/>
      <c r="D205" s="46"/>
      <c r="E205" s="19"/>
      <c r="F205" s="42"/>
      <c r="G205" s="41"/>
    </row>
    <row r="206" spans="1:8" s="1400" customFormat="1" ht="36" hidden="1" customHeight="1" thickBot="1">
      <c r="A206" s="1900"/>
      <c r="B206" s="1903"/>
      <c r="C206" s="1401"/>
      <c r="D206" s="16"/>
      <c r="E206" s="15"/>
      <c r="F206" s="1179"/>
      <c r="G206" s="1402"/>
    </row>
    <row r="207" spans="1:8" s="1400" customFormat="1" ht="36" customHeight="1" thickBot="1">
      <c r="A207" s="1901"/>
      <c r="B207" s="1904"/>
      <c r="C207" s="12"/>
      <c r="D207" s="11"/>
      <c r="E207" s="10"/>
      <c r="F207" s="10"/>
      <c r="G207" s="9"/>
    </row>
    <row r="208" spans="1:8" s="1400" customFormat="1" ht="36" customHeight="1">
      <c r="A208" s="1899">
        <v>45258</v>
      </c>
      <c r="B208" s="1902" t="s">
        <v>3</v>
      </c>
      <c r="C208" s="1546" t="s">
        <v>5570</v>
      </c>
      <c r="D208" s="24" t="s">
        <v>5571</v>
      </c>
      <c r="E208" s="24" t="s">
        <v>5572</v>
      </c>
      <c r="F208" s="1544"/>
      <c r="G208" s="1541" t="s">
        <v>5573</v>
      </c>
    </row>
    <row r="209" spans="1:8" s="1400" customFormat="1" ht="36" customHeight="1">
      <c r="A209" s="1900"/>
      <c r="B209" s="1903"/>
      <c r="C209" s="1910" t="s">
        <v>5580</v>
      </c>
      <c r="D209" s="32" t="s">
        <v>5606</v>
      </c>
      <c r="E209" s="31" t="s">
        <v>5607</v>
      </c>
      <c r="F209" s="1544"/>
      <c r="G209" s="1945" t="s">
        <v>5623</v>
      </c>
    </row>
    <row r="210" spans="1:8" s="1400" customFormat="1" ht="36" customHeight="1">
      <c r="A210" s="1900"/>
      <c r="B210" s="1903"/>
      <c r="C210" s="1914"/>
      <c r="D210" s="32" t="s">
        <v>5598</v>
      </c>
      <c r="E210" s="31" t="s">
        <v>5621</v>
      </c>
      <c r="F210" s="1544"/>
      <c r="G210" s="1913"/>
    </row>
    <row r="211" spans="1:8" s="1400" customFormat="1" ht="36" customHeight="1">
      <c r="A211" s="1900"/>
      <c r="B211" s="1903"/>
      <c r="C211" s="1914"/>
      <c r="D211" s="32" t="s">
        <v>5624</v>
      </c>
      <c r="E211" s="31" t="s">
        <v>5622</v>
      </c>
      <c r="F211" s="1544"/>
      <c r="G211" s="1913"/>
    </row>
    <row r="212" spans="1:8" s="1400" customFormat="1" ht="36" customHeight="1">
      <c r="A212" s="1900"/>
      <c r="B212" s="1903"/>
      <c r="C212" s="1914"/>
      <c r="D212" s="32" t="s">
        <v>5625</v>
      </c>
      <c r="E212" s="31" t="s">
        <v>5627</v>
      </c>
      <c r="F212" s="1544" t="s">
        <v>5626</v>
      </c>
      <c r="G212" s="1912"/>
    </row>
    <row r="213" spans="1:8" s="1400" customFormat="1" ht="36" customHeight="1">
      <c r="A213" s="1900"/>
      <c r="B213" s="1903"/>
      <c r="C213" s="1914"/>
      <c r="D213" s="32" t="s">
        <v>5581</v>
      </c>
      <c r="E213" s="31" t="s">
        <v>5582</v>
      </c>
      <c r="F213" s="1544" t="s">
        <v>5427</v>
      </c>
      <c r="G213" s="1541" t="s">
        <v>5583</v>
      </c>
    </row>
    <row r="214" spans="1:8" s="1400" customFormat="1" ht="36" customHeight="1">
      <c r="A214" s="1900"/>
      <c r="B214" s="1903"/>
      <c r="C214" s="1910" t="s">
        <v>477</v>
      </c>
      <c r="D214" s="24" t="s">
        <v>5589</v>
      </c>
      <c r="E214" s="24" t="s">
        <v>5590</v>
      </c>
      <c r="F214" s="1544"/>
      <c r="G214" s="1911" t="s">
        <v>5593</v>
      </c>
    </row>
    <row r="215" spans="1:8" s="1400" customFormat="1" ht="36" customHeight="1">
      <c r="A215" s="1900"/>
      <c r="B215" s="1903"/>
      <c r="C215" s="1914"/>
      <c r="D215" s="24" t="s">
        <v>5591</v>
      </c>
      <c r="E215" s="24" t="s">
        <v>5592</v>
      </c>
      <c r="F215" s="1544"/>
      <c r="G215" s="1913"/>
    </row>
    <row r="216" spans="1:8" s="1400" customFormat="1" ht="36" customHeight="1">
      <c r="A216" s="1900"/>
      <c r="B216" s="1903"/>
      <c r="C216" s="1914"/>
      <c r="D216" s="24" t="s">
        <v>218</v>
      </c>
      <c r="E216" s="31" t="s">
        <v>5594</v>
      </c>
      <c r="F216" s="1544" t="s">
        <v>5595</v>
      </c>
      <c r="G216" s="1912"/>
    </row>
    <row r="217" spans="1:8" s="1400" customFormat="1" ht="36" customHeight="1">
      <c r="A217" s="1900"/>
      <c r="B217" s="1903"/>
      <c r="C217" s="1914"/>
      <c r="D217" s="24" t="s">
        <v>5628</v>
      </c>
      <c r="E217" s="31" t="s">
        <v>5629</v>
      </c>
      <c r="F217" s="24"/>
      <c r="G217" s="1911" t="s">
        <v>5633</v>
      </c>
    </row>
    <row r="218" spans="1:8" s="1400" customFormat="1" ht="36" customHeight="1">
      <c r="A218" s="1900"/>
      <c r="B218" s="1903"/>
      <c r="C218" s="1906"/>
      <c r="D218" s="24" t="s">
        <v>5630</v>
      </c>
      <c r="E218" s="31" t="s">
        <v>5631</v>
      </c>
      <c r="F218" s="1544" t="s">
        <v>5632</v>
      </c>
      <c r="G218" s="1912"/>
    </row>
    <row r="219" spans="1:8" s="1400" customFormat="1" ht="36" customHeight="1">
      <c r="A219" s="1900"/>
      <c r="B219" s="1903"/>
      <c r="C219" s="1546" t="s">
        <v>5609</v>
      </c>
      <c r="D219" s="32" t="s">
        <v>5610</v>
      </c>
      <c r="E219" s="31"/>
      <c r="F219" s="24"/>
      <c r="G219" s="1545" t="s">
        <v>5611</v>
      </c>
    </row>
    <row r="220" spans="1:8" s="1400" customFormat="1" ht="36" customHeight="1">
      <c r="A220" s="1900"/>
      <c r="B220" s="1903"/>
      <c r="C220" s="1546" t="s">
        <v>198</v>
      </c>
      <c r="D220" s="24" t="s">
        <v>176</v>
      </c>
      <c r="E220" s="24" t="s">
        <v>5634</v>
      </c>
      <c r="F220" s="24" t="s">
        <v>5635</v>
      </c>
      <c r="G220" s="1545" t="s">
        <v>5636</v>
      </c>
      <c r="H220" s="1400" t="s">
        <v>5637</v>
      </c>
    </row>
    <row r="221" spans="1:8" s="1400" customFormat="1" ht="36" customHeight="1">
      <c r="A221" s="1900"/>
      <c r="B221" s="1903"/>
      <c r="C221" s="1546" t="s">
        <v>5645</v>
      </c>
      <c r="D221" s="32" t="s">
        <v>5641</v>
      </c>
      <c r="E221" s="31" t="s">
        <v>5642</v>
      </c>
      <c r="F221" s="24" t="s">
        <v>5643</v>
      </c>
      <c r="G221" s="1545" t="s">
        <v>5644</v>
      </c>
    </row>
    <row r="222" spans="1:8" s="1400" customFormat="1" ht="36" customHeight="1">
      <c r="A222" s="1900"/>
      <c r="B222" s="1903"/>
      <c r="C222" s="1533"/>
      <c r="D222" s="28"/>
      <c r="E222" s="27"/>
      <c r="F222" s="1359"/>
      <c r="G222" s="1532"/>
    </row>
    <row r="223" spans="1:8" s="1400" customFormat="1" ht="36" customHeight="1" thickBot="1">
      <c r="A223" s="1900"/>
      <c r="B223" s="1903"/>
      <c r="C223" s="1534"/>
      <c r="D223" s="16"/>
      <c r="E223" s="15"/>
      <c r="F223" s="1179"/>
      <c r="G223" s="1531"/>
    </row>
    <row r="224" spans="1:8" s="1400" customFormat="1" ht="36" customHeight="1" thickBot="1">
      <c r="A224" s="1901"/>
      <c r="B224" s="1904"/>
      <c r="C224" s="12"/>
      <c r="D224" s="11"/>
      <c r="E224" s="10"/>
      <c r="F224" s="10"/>
      <c r="G224" s="9"/>
    </row>
    <row r="225" spans="1:8" s="1400" customFormat="1" ht="36" customHeight="1">
      <c r="A225" s="1900">
        <v>45259</v>
      </c>
      <c r="B225" s="1903" t="s">
        <v>5664</v>
      </c>
      <c r="C225" s="1546" t="s">
        <v>198</v>
      </c>
      <c r="D225" s="24" t="s">
        <v>176</v>
      </c>
      <c r="E225" s="24" t="s">
        <v>438</v>
      </c>
      <c r="F225" s="1544"/>
      <c r="G225" s="1541"/>
    </row>
    <row r="226" spans="1:8" s="1400" customFormat="1" ht="36" customHeight="1">
      <c r="A226" s="1900"/>
      <c r="B226" s="1903"/>
      <c r="C226" s="1546" t="s">
        <v>5652</v>
      </c>
      <c r="D226" s="32" t="s">
        <v>5653</v>
      </c>
      <c r="E226" s="31" t="s">
        <v>57</v>
      </c>
      <c r="F226" s="1544"/>
      <c r="G226" s="1541" t="s">
        <v>5654</v>
      </c>
    </row>
    <row r="227" spans="1:8" s="1400" customFormat="1" ht="36" customHeight="1">
      <c r="A227" s="1900"/>
      <c r="B227" s="1903"/>
      <c r="C227" s="1910" t="s">
        <v>5655</v>
      </c>
      <c r="D227" s="32" t="s">
        <v>5656</v>
      </c>
      <c r="E227" s="31" t="s">
        <v>5657</v>
      </c>
      <c r="F227" s="24"/>
      <c r="G227" s="1911" t="s">
        <v>5662</v>
      </c>
    </row>
    <row r="228" spans="1:8" s="1400" customFormat="1" ht="36" customHeight="1">
      <c r="A228" s="1900"/>
      <c r="B228" s="1903"/>
      <c r="C228" s="1914"/>
      <c r="D228" s="30" t="s">
        <v>5658</v>
      </c>
      <c r="E228" s="29" t="s">
        <v>5659</v>
      </c>
      <c r="F228" s="1544"/>
      <c r="G228" s="1913"/>
    </row>
    <row r="229" spans="1:8" s="1400" customFormat="1" ht="36" customHeight="1">
      <c r="A229" s="1900"/>
      <c r="B229" s="1903"/>
      <c r="C229" s="1906"/>
      <c r="D229" s="30" t="s">
        <v>5660</v>
      </c>
      <c r="E229" s="29" t="s">
        <v>5661</v>
      </c>
      <c r="F229" s="1544"/>
      <c r="G229" s="1912"/>
    </row>
    <row r="230" spans="1:8" s="1400" customFormat="1" ht="36" customHeight="1">
      <c r="A230" s="1900"/>
      <c r="B230" s="1903"/>
      <c r="C230" s="1910" t="s">
        <v>1274</v>
      </c>
      <c r="D230" s="24" t="s">
        <v>186</v>
      </c>
      <c r="E230" s="24" t="s">
        <v>189</v>
      </c>
      <c r="F230" s="24"/>
      <c r="G230" s="1548"/>
      <c r="H230" s="1400" t="s">
        <v>5531</v>
      </c>
    </row>
    <row r="231" spans="1:8" s="1400" customFormat="1" ht="36" customHeight="1">
      <c r="A231" s="1900"/>
      <c r="B231" s="1903"/>
      <c r="C231" s="1906"/>
      <c r="D231" s="24" t="s">
        <v>218</v>
      </c>
      <c r="E231" s="24" t="s">
        <v>5529</v>
      </c>
      <c r="F231" s="1551" t="s">
        <v>19</v>
      </c>
      <c r="G231" s="1552"/>
      <c r="H231" s="1400" t="s">
        <v>5530</v>
      </c>
    </row>
    <row r="232" spans="1:8" s="1400" customFormat="1" ht="36" customHeight="1">
      <c r="A232" s="1900"/>
      <c r="B232" s="1903"/>
      <c r="C232" s="1910" t="s">
        <v>5685</v>
      </c>
      <c r="D232" s="24" t="s">
        <v>233</v>
      </c>
      <c r="E232" s="31" t="s">
        <v>407</v>
      </c>
      <c r="F232" s="24"/>
      <c r="G232" s="1552" t="s">
        <v>5686</v>
      </c>
    </row>
    <row r="233" spans="1:8" s="1400" customFormat="1" ht="36" customHeight="1">
      <c r="A233" s="1900"/>
      <c r="B233" s="1903"/>
      <c r="C233" s="1906"/>
      <c r="D233" s="32" t="s">
        <v>20</v>
      </c>
      <c r="E233" s="31" t="s">
        <v>5668</v>
      </c>
      <c r="F233" s="1551" t="s">
        <v>172</v>
      </c>
      <c r="G233" s="1552" t="s">
        <v>5670</v>
      </c>
      <c r="H233" s="1400" t="s">
        <v>5684</v>
      </c>
    </row>
    <row r="234" spans="1:8" s="1400" customFormat="1" ht="36" customHeight="1" thickBot="1">
      <c r="A234" s="1900"/>
      <c r="B234" s="1903"/>
      <c r="C234" s="1536"/>
      <c r="D234" s="26"/>
      <c r="E234" s="25"/>
      <c r="F234" s="1179"/>
      <c r="G234" s="1537"/>
    </row>
    <row r="235" spans="1:8" s="1400" customFormat="1" ht="36" customHeight="1" thickBot="1">
      <c r="A235" s="1901"/>
      <c r="B235" s="1904"/>
      <c r="C235" s="12" t="s">
        <v>5612</v>
      </c>
      <c r="D235" s="11" t="s">
        <v>5613</v>
      </c>
      <c r="E235" s="10" t="s">
        <v>5614</v>
      </c>
      <c r="F235" s="10" t="s">
        <v>5615</v>
      </c>
      <c r="G235" s="9"/>
    </row>
    <row r="236" spans="1:8" s="1400" customFormat="1" ht="36" customHeight="1">
      <c r="A236" s="1900">
        <v>45260</v>
      </c>
      <c r="B236" s="1903" t="s">
        <v>5663</v>
      </c>
      <c r="C236" s="1562" t="s">
        <v>5602</v>
      </c>
      <c r="D236" s="24" t="s">
        <v>5603</v>
      </c>
      <c r="E236" s="24" t="s">
        <v>5604</v>
      </c>
      <c r="F236" s="1560"/>
      <c r="G236" s="1553" t="s">
        <v>5605</v>
      </c>
    </row>
    <row r="237" spans="1:8" s="1400" customFormat="1" ht="36" customHeight="1">
      <c r="A237" s="1900"/>
      <c r="B237" s="1903"/>
      <c r="C237" s="1910" t="s">
        <v>5646</v>
      </c>
      <c r="D237" s="1936" t="s">
        <v>5647</v>
      </c>
      <c r="E237" s="24" t="s">
        <v>5648</v>
      </c>
      <c r="F237" s="24" t="s">
        <v>5649</v>
      </c>
      <c r="G237" s="1911" t="s">
        <v>5651</v>
      </c>
      <c r="H237" s="1400" t="s">
        <v>5531</v>
      </c>
    </row>
    <row r="238" spans="1:8" s="1400" customFormat="1" ht="36" customHeight="1">
      <c r="A238" s="1900"/>
      <c r="B238" s="1903"/>
      <c r="C238" s="1914"/>
      <c r="D238" s="1938"/>
      <c r="E238" s="24" t="s">
        <v>5691</v>
      </c>
      <c r="F238" s="1560" t="s">
        <v>5650</v>
      </c>
      <c r="G238" s="1913"/>
    </row>
    <row r="239" spans="1:8" s="1400" customFormat="1" ht="36" customHeight="1">
      <c r="A239" s="1900"/>
      <c r="B239" s="1903"/>
      <c r="C239" s="1906"/>
      <c r="D239" s="1560" t="s">
        <v>218</v>
      </c>
      <c r="E239" s="1560" t="s">
        <v>5687</v>
      </c>
      <c r="F239" s="1560"/>
      <c r="G239" s="1912"/>
    </row>
    <row r="240" spans="1:8" s="1400" customFormat="1" ht="36" customHeight="1">
      <c r="A240" s="1900"/>
      <c r="B240" s="1903"/>
      <c r="C240" s="1555" t="s">
        <v>5666</v>
      </c>
      <c r="D240" s="24" t="s">
        <v>20</v>
      </c>
      <c r="E240" s="24" t="s">
        <v>5667</v>
      </c>
      <c r="F240" s="1560" t="s">
        <v>172</v>
      </c>
      <c r="G240" s="1553" t="s">
        <v>5669</v>
      </c>
      <c r="H240" s="1400" t="s">
        <v>5531</v>
      </c>
    </row>
    <row r="241" spans="1:7" s="1400" customFormat="1" ht="36" customHeight="1">
      <c r="A241" s="1900"/>
      <c r="B241" s="1903"/>
      <c r="C241" s="1562" t="s">
        <v>5682</v>
      </c>
      <c r="D241" s="32" t="s">
        <v>5683</v>
      </c>
      <c r="E241" s="31" t="s">
        <v>217</v>
      </c>
      <c r="F241" s="24"/>
      <c r="G241" s="1561" t="s">
        <v>261</v>
      </c>
    </row>
    <row r="242" spans="1:7" s="1400" customFormat="1" ht="36" customHeight="1">
      <c r="A242" s="1900"/>
      <c r="B242" s="1903"/>
      <c r="C242" s="1562"/>
      <c r="D242" s="32" t="s">
        <v>5692</v>
      </c>
      <c r="E242" s="31"/>
      <c r="F242" s="24"/>
      <c r="G242" s="1561"/>
    </row>
    <row r="243" spans="1:7" s="1400" customFormat="1" ht="36" customHeight="1" thickBot="1">
      <c r="A243" s="1900"/>
      <c r="B243" s="1903"/>
      <c r="C243" s="1549"/>
      <c r="D243" s="26"/>
      <c r="E243" s="25"/>
      <c r="F243" s="1179"/>
      <c r="G243" s="1550"/>
    </row>
    <row r="244" spans="1:7" s="1400" customFormat="1" ht="36" customHeight="1" thickBot="1">
      <c r="A244" s="1901"/>
      <c r="B244" s="1904"/>
      <c r="C244" s="12" t="s">
        <v>5616</v>
      </c>
      <c r="D244" s="11" t="s">
        <v>5617</v>
      </c>
      <c r="E244" s="10"/>
      <c r="F244" s="10" t="s">
        <v>5665</v>
      </c>
      <c r="G244" s="9"/>
    </row>
    <row r="245" spans="1:7" s="1400" customFormat="1" ht="36" customHeight="1">
      <c r="A245" s="1899">
        <v>45261</v>
      </c>
      <c r="B245" s="1902" t="s">
        <v>0</v>
      </c>
      <c r="C245" s="1923" t="s">
        <v>5365</v>
      </c>
      <c r="D245" s="22" t="s">
        <v>5366</v>
      </c>
      <c r="E245" s="22" t="s">
        <v>5367</v>
      </c>
      <c r="F245" s="1359"/>
      <c r="G245" s="1461"/>
    </row>
    <row r="246" spans="1:7" s="1400" customFormat="1" ht="36" customHeight="1">
      <c r="A246" s="1900"/>
      <c r="B246" s="1903"/>
      <c r="C246" s="1925"/>
      <c r="D246" s="22" t="s">
        <v>5368</v>
      </c>
      <c r="E246" s="22" t="s">
        <v>5369</v>
      </c>
      <c r="F246" s="1359"/>
      <c r="G246" s="1461"/>
    </row>
    <row r="247" spans="1:7" s="1400" customFormat="1" ht="36" customHeight="1">
      <c r="A247" s="1900"/>
      <c r="B247" s="1903"/>
      <c r="C247" s="21" t="s">
        <v>5688</v>
      </c>
      <c r="D247" s="20" t="s">
        <v>5689</v>
      </c>
      <c r="E247" s="19" t="s">
        <v>5690</v>
      </c>
      <c r="F247" s="1359"/>
      <c r="G247" s="1402"/>
    </row>
    <row r="248" spans="1:7" s="1400" customFormat="1" ht="36" customHeight="1" thickBot="1">
      <c r="A248" s="1900"/>
      <c r="B248" s="1903"/>
      <c r="C248" s="1401"/>
      <c r="D248" s="16"/>
      <c r="E248" s="15"/>
      <c r="F248" s="1179"/>
      <c r="G248" s="1402"/>
    </row>
    <row r="249" spans="1:7" s="1400" customFormat="1" ht="36" customHeight="1" thickBot="1">
      <c r="A249" s="1901"/>
      <c r="B249" s="1904"/>
      <c r="C249" s="12" t="s">
        <v>5618</v>
      </c>
      <c r="D249" s="11" t="s">
        <v>5619</v>
      </c>
      <c r="E249" s="10"/>
      <c r="F249" s="10" t="s">
        <v>5620</v>
      </c>
      <c r="G249" s="9"/>
    </row>
  </sheetData>
  <mergeCells count="116">
    <mergeCell ref="A142:G142"/>
    <mergeCell ref="A143:A155"/>
    <mergeCell ref="B143:B155"/>
    <mergeCell ref="A156:A163"/>
    <mergeCell ref="B156:B163"/>
    <mergeCell ref="A164:A172"/>
    <mergeCell ref="B164:B172"/>
    <mergeCell ref="A173:A181"/>
    <mergeCell ref="B173:B181"/>
    <mergeCell ref="C62:C65"/>
    <mergeCell ref="A245:A249"/>
    <mergeCell ref="B245:B249"/>
    <mergeCell ref="A208:A224"/>
    <mergeCell ref="C182:C187"/>
    <mergeCell ref="G102:G103"/>
    <mergeCell ref="C102:C104"/>
    <mergeCell ref="A108:A114"/>
    <mergeCell ref="B108:B114"/>
    <mergeCell ref="C124:C125"/>
    <mergeCell ref="G124:G125"/>
    <mergeCell ref="A124:A133"/>
    <mergeCell ref="B124:B133"/>
    <mergeCell ref="A115:A123"/>
    <mergeCell ref="B115:B123"/>
    <mergeCell ref="C119:C120"/>
    <mergeCell ref="G119:G120"/>
    <mergeCell ref="G129:G130"/>
    <mergeCell ref="C110:C112"/>
    <mergeCell ref="C116:C118"/>
    <mergeCell ref="C147:C148"/>
    <mergeCell ref="G147:G148"/>
    <mergeCell ref="C150:C153"/>
    <mergeCell ref="G150:G152"/>
    <mergeCell ref="A1:G1"/>
    <mergeCell ref="A16:A24"/>
    <mergeCell ref="B16:B24"/>
    <mergeCell ref="A25:A34"/>
    <mergeCell ref="B25:B34"/>
    <mergeCell ref="A2:A15"/>
    <mergeCell ref="B2:B15"/>
    <mergeCell ref="G4:G9"/>
    <mergeCell ref="C16:C19"/>
    <mergeCell ref="C26:C27"/>
    <mergeCell ref="C4:C10"/>
    <mergeCell ref="C78:C81"/>
    <mergeCell ref="G62:G65"/>
    <mergeCell ref="G78:G81"/>
    <mergeCell ref="A35:A39"/>
    <mergeCell ref="B35:B39"/>
    <mergeCell ref="C35:C36"/>
    <mergeCell ref="C28:C30"/>
    <mergeCell ref="G28:G30"/>
    <mergeCell ref="G35:G36"/>
    <mergeCell ref="A40:G40"/>
    <mergeCell ref="A41:A46"/>
    <mergeCell ref="B41:B46"/>
    <mergeCell ref="C43:C44"/>
    <mergeCell ref="C50:C52"/>
    <mergeCell ref="G50:G52"/>
    <mergeCell ref="A47:A58"/>
    <mergeCell ref="B47:B58"/>
    <mergeCell ref="G75:G77"/>
    <mergeCell ref="C75:C77"/>
    <mergeCell ref="A59:A69"/>
    <mergeCell ref="B59:B69"/>
    <mergeCell ref="A70:A84"/>
    <mergeCell ref="B70:B84"/>
    <mergeCell ref="C70:C71"/>
    <mergeCell ref="A85:A99"/>
    <mergeCell ref="B85:B99"/>
    <mergeCell ref="A100:G100"/>
    <mergeCell ref="A101:A107"/>
    <mergeCell ref="B101:B107"/>
    <mergeCell ref="G91:G92"/>
    <mergeCell ref="C91:C92"/>
    <mergeCell ref="C86:C89"/>
    <mergeCell ref="A225:A235"/>
    <mergeCell ref="B225:B235"/>
    <mergeCell ref="G85:G89"/>
    <mergeCell ref="C175:C176"/>
    <mergeCell ref="G173:G174"/>
    <mergeCell ref="C135:C136"/>
    <mergeCell ref="G135:G136"/>
    <mergeCell ref="C138:C139"/>
    <mergeCell ref="F138:F139"/>
    <mergeCell ref="G138:G139"/>
    <mergeCell ref="A182:A196"/>
    <mergeCell ref="B182:B196"/>
    <mergeCell ref="A197:G197"/>
    <mergeCell ref="C173:C174"/>
    <mergeCell ref="A134:A141"/>
    <mergeCell ref="B134:B141"/>
    <mergeCell ref="C245:C246"/>
    <mergeCell ref="C165:C167"/>
    <mergeCell ref="G165:G167"/>
    <mergeCell ref="C188:C192"/>
    <mergeCell ref="G188:G192"/>
    <mergeCell ref="B208:B224"/>
    <mergeCell ref="C237:C239"/>
    <mergeCell ref="G237:G239"/>
    <mergeCell ref="A236:A244"/>
    <mergeCell ref="B236:B244"/>
    <mergeCell ref="A198:A207"/>
    <mergeCell ref="B198:B207"/>
    <mergeCell ref="C198:C199"/>
    <mergeCell ref="G214:G216"/>
    <mergeCell ref="G209:G212"/>
    <mergeCell ref="C214:C218"/>
    <mergeCell ref="G217:G218"/>
    <mergeCell ref="C209:C213"/>
    <mergeCell ref="D237:D238"/>
    <mergeCell ref="C230:C231"/>
    <mergeCell ref="C232:C233"/>
    <mergeCell ref="C227:C229"/>
    <mergeCell ref="G227:G229"/>
    <mergeCell ref="G175:G176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topLeftCell="A205" zoomScale="70" zoomScaleNormal="70" zoomScaleSheetLayoutView="70" workbookViewId="0">
      <selection activeCell="C218" sqref="C218:C219"/>
    </sheetView>
  </sheetViews>
  <sheetFormatPr defaultColWidth="9" defaultRowHeight="35.1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400" customWidth="1"/>
    <col min="9" max="16384" width="9" style="1"/>
  </cols>
  <sheetData>
    <row r="1" spans="1:7" s="1400" customFormat="1" ht="35.1" customHeight="1">
      <c r="A1" s="1899">
        <v>45261</v>
      </c>
      <c r="B1" s="1902" t="s">
        <v>0</v>
      </c>
      <c r="C1" s="1905" t="s">
        <v>344</v>
      </c>
      <c r="D1" s="24" t="s">
        <v>229</v>
      </c>
      <c r="E1" s="24" t="s">
        <v>2958</v>
      </c>
      <c r="F1" s="1671"/>
      <c r="G1" s="1662"/>
    </row>
    <row r="2" spans="1:7" s="1400" customFormat="1" ht="35.1" customHeight="1">
      <c r="A2" s="1900"/>
      <c r="B2" s="1903"/>
      <c r="C2" s="1906"/>
      <c r="D2" s="24" t="s">
        <v>1938</v>
      </c>
      <c r="E2" s="24" t="s">
        <v>803</v>
      </c>
      <c r="F2" s="1671"/>
      <c r="G2" s="1662"/>
    </row>
    <row r="3" spans="1:7" s="1400" customFormat="1" ht="35.1" customHeight="1">
      <c r="A3" s="1900"/>
      <c r="B3" s="1903"/>
      <c r="C3" s="1673" t="s">
        <v>274</v>
      </c>
      <c r="D3" s="24" t="s">
        <v>515</v>
      </c>
      <c r="E3" s="24" t="s">
        <v>182</v>
      </c>
      <c r="F3" s="1671" t="s">
        <v>452</v>
      </c>
      <c r="G3" s="1662" t="s">
        <v>5701</v>
      </c>
    </row>
    <row r="4" spans="1:7" s="1400" customFormat="1" ht="35.1" customHeight="1">
      <c r="A4" s="1900"/>
      <c r="B4" s="1903"/>
      <c r="C4" s="1664" t="s">
        <v>5697</v>
      </c>
      <c r="D4" s="24" t="s">
        <v>5698</v>
      </c>
      <c r="E4" s="24" t="s">
        <v>5699</v>
      </c>
      <c r="F4" s="1671"/>
      <c r="G4" s="1662" t="s">
        <v>5700</v>
      </c>
    </row>
    <row r="5" spans="1:7" s="1400" customFormat="1" ht="35.1" customHeight="1">
      <c r="A5" s="1900"/>
      <c r="B5" s="1903"/>
      <c r="C5" s="1673" t="s">
        <v>5688</v>
      </c>
      <c r="D5" s="32" t="s">
        <v>5689</v>
      </c>
      <c r="E5" s="31" t="s">
        <v>5690</v>
      </c>
      <c r="F5" s="1671"/>
      <c r="G5" s="1662"/>
    </row>
    <row r="6" spans="1:7" s="1400" customFormat="1" ht="35.1" customHeight="1" thickBot="1">
      <c r="A6" s="1900"/>
      <c r="B6" s="1903"/>
      <c r="C6" s="1543"/>
      <c r="D6" s="16"/>
      <c r="E6" s="15"/>
      <c r="F6" s="1179"/>
      <c r="G6" s="1542"/>
    </row>
    <row r="7" spans="1:7" s="1400" customFormat="1" ht="35.1" customHeight="1" thickBot="1">
      <c r="A7" s="1901"/>
      <c r="B7" s="1904"/>
      <c r="C7" s="12" t="s">
        <v>1846</v>
      </c>
      <c r="D7" s="11" t="s">
        <v>252</v>
      </c>
      <c r="E7" s="10"/>
      <c r="F7" s="10" t="s">
        <v>390</v>
      </c>
      <c r="G7" s="9"/>
    </row>
    <row r="8" spans="1:7" s="1400" customFormat="1" ht="35.1" customHeight="1" thickBot="1">
      <c r="A8" s="1907" t="s">
        <v>5</v>
      </c>
      <c r="B8" s="1908"/>
      <c r="C8" s="1908"/>
      <c r="D8" s="1908"/>
      <c r="E8" s="1908"/>
      <c r="F8" s="1908"/>
      <c r="G8" s="1909"/>
    </row>
    <row r="9" spans="1:7" s="1400" customFormat="1" ht="35.1" customHeight="1">
      <c r="A9" s="1899">
        <v>45264</v>
      </c>
      <c r="B9" s="1902" t="s">
        <v>4</v>
      </c>
      <c r="C9" s="1562" t="s">
        <v>5671</v>
      </c>
      <c r="D9" s="24" t="s">
        <v>5672</v>
      </c>
      <c r="E9" s="24" t="s">
        <v>5673</v>
      </c>
      <c r="F9" s="1560"/>
      <c r="G9" s="1553"/>
    </row>
    <row r="10" spans="1:7" s="1400" customFormat="1" ht="35.1" customHeight="1">
      <c r="A10" s="1900"/>
      <c r="B10" s="1903"/>
      <c r="C10" s="1910" t="s">
        <v>223</v>
      </c>
      <c r="D10" s="24" t="s">
        <v>224</v>
      </c>
      <c r="E10" s="24" t="s">
        <v>5674</v>
      </c>
      <c r="F10" s="1560"/>
      <c r="G10" s="1911" t="s">
        <v>5714</v>
      </c>
    </row>
    <row r="11" spans="1:7" s="1400" customFormat="1" ht="35.1" customHeight="1">
      <c r="A11" s="1900"/>
      <c r="B11" s="1903"/>
      <c r="C11" s="1914"/>
      <c r="D11" s="24" t="s">
        <v>5675</v>
      </c>
      <c r="E11" s="24" t="s">
        <v>246</v>
      </c>
      <c r="F11" s="1560"/>
      <c r="G11" s="1913"/>
    </row>
    <row r="12" spans="1:7" s="1400" customFormat="1" ht="35.1" customHeight="1">
      <c r="A12" s="1900"/>
      <c r="B12" s="1903"/>
      <c r="C12" s="1914"/>
      <c r="D12" s="24" t="s">
        <v>5676</v>
      </c>
      <c r="E12" s="24" t="s">
        <v>5677</v>
      </c>
      <c r="F12" s="1560"/>
      <c r="G12" s="1913"/>
    </row>
    <row r="13" spans="1:7" s="1400" customFormat="1" ht="35.1" customHeight="1">
      <c r="A13" s="1900"/>
      <c r="B13" s="1903"/>
      <c r="C13" s="1914"/>
      <c r="D13" s="24" t="s">
        <v>5678</v>
      </c>
      <c r="E13" s="24" t="s">
        <v>5679</v>
      </c>
      <c r="F13" s="1560"/>
      <c r="G13" s="1913"/>
    </row>
    <row r="14" spans="1:7" s="1400" customFormat="1" ht="35.1" customHeight="1">
      <c r="A14" s="1900"/>
      <c r="B14" s="1903"/>
      <c r="C14" s="1906"/>
      <c r="D14" s="24" t="s">
        <v>5680</v>
      </c>
      <c r="E14" s="24" t="s">
        <v>5681</v>
      </c>
      <c r="F14" s="1560" t="s">
        <v>38</v>
      </c>
      <c r="G14" s="1912"/>
    </row>
    <row r="15" spans="1:7" s="1400" customFormat="1" ht="35.1" customHeight="1">
      <c r="A15" s="1900"/>
      <c r="B15" s="1903"/>
      <c r="C15" s="1910" t="s">
        <v>5706</v>
      </c>
      <c r="D15" s="24" t="s">
        <v>5707</v>
      </c>
      <c r="E15" s="24" t="s">
        <v>5708</v>
      </c>
      <c r="F15" s="1560" t="s">
        <v>5728</v>
      </c>
      <c r="G15" s="1553" t="s">
        <v>5709</v>
      </c>
    </row>
    <row r="16" spans="1:7" s="1400" customFormat="1" ht="35.1" customHeight="1">
      <c r="A16" s="1900"/>
      <c r="B16" s="1903"/>
      <c r="C16" s="1906"/>
      <c r="D16" s="24" t="s">
        <v>5719</v>
      </c>
      <c r="E16" s="24" t="s">
        <v>5720</v>
      </c>
      <c r="F16" s="1560"/>
      <c r="G16" s="1553" t="s">
        <v>261</v>
      </c>
    </row>
    <row r="17" spans="1:8" s="1400" customFormat="1" ht="35.1" customHeight="1">
      <c r="A17" s="1900"/>
      <c r="B17" s="1903"/>
      <c r="C17" s="1562" t="s">
        <v>5702</v>
      </c>
      <c r="D17" s="24" t="s">
        <v>218</v>
      </c>
      <c r="E17" s="31" t="s">
        <v>5703</v>
      </c>
      <c r="F17" s="1560" t="s">
        <v>240</v>
      </c>
      <c r="G17" s="1553" t="s">
        <v>5704</v>
      </c>
      <c r="H17" s="1400" t="s">
        <v>5705</v>
      </c>
    </row>
    <row r="18" spans="1:8" s="1400" customFormat="1" ht="35.1" customHeight="1">
      <c r="A18" s="1900"/>
      <c r="B18" s="1903"/>
      <c r="C18" s="1562" t="s">
        <v>272</v>
      </c>
      <c r="D18" s="24" t="s">
        <v>5725</v>
      </c>
      <c r="E18" s="31" t="s">
        <v>5726</v>
      </c>
      <c r="F18" s="24" t="s">
        <v>5727</v>
      </c>
      <c r="G18" s="1561" t="s">
        <v>261</v>
      </c>
    </row>
    <row r="19" spans="1:8" s="1400" customFormat="1" ht="35.1" customHeight="1">
      <c r="A19" s="1900"/>
      <c r="B19" s="1903"/>
      <c r="C19" s="1556" t="s">
        <v>5735</v>
      </c>
      <c r="D19" s="24" t="s">
        <v>218</v>
      </c>
      <c r="E19" s="29" t="s">
        <v>5733</v>
      </c>
      <c r="F19" s="1560" t="s">
        <v>5734</v>
      </c>
      <c r="G19" s="1554" t="s">
        <v>5731</v>
      </c>
      <c r="H19" s="1400" t="s">
        <v>5732</v>
      </c>
    </row>
    <row r="20" spans="1:8" s="1400" customFormat="1" ht="35.1" customHeight="1" thickBot="1">
      <c r="A20" s="1900"/>
      <c r="B20" s="1903"/>
      <c r="C20" s="1558" t="s">
        <v>185</v>
      </c>
      <c r="D20" s="35" t="s">
        <v>5738</v>
      </c>
      <c r="E20" s="34" t="s">
        <v>5739</v>
      </c>
      <c r="F20" s="1559"/>
      <c r="G20" s="1557" t="s">
        <v>5740</v>
      </c>
    </row>
    <row r="21" spans="1:8" s="1400" customFormat="1" ht="35.1" customHeight="1" thickBot="1">
      <c r="A21" s="1901"/>
      <c r="B21" s="1904"/>
      <c r="C21" s="12"/>
      <c r="D21" s="11"/>
      <c r="E21" s="10"/>
      <c r="F21" s="10"/>
      <c r="G21" s="9"/>
    </row>
    <row r="22" spans="1:8" s="1400" customFormat="1" ht="36" customHeight="1">
      <c r="A22" s="1899">
        <v>45265</v>
      </c>
      <c r="B22" s="1902" t="s">
        <v>3</v>
      </c>
      <c r="C22" s="36" t="s">
        <v>5710</v>
      </c>
      <c r="D22" s="1560" t="s">
        <v>5711</v>
      </c>
      <c r="E22" s="29" t="s">
        <v>5712</v>
      </c>
      <c r="F22" s="1560" t="s">
        <v>5713</v>
      </c>
      <c r="G22" s="1572" t="s">
        <v>5762</v>
      </c>
    </row>
    <row r="23" spans="1:8" s="1400" customFormat="1" ht="35.1" customHeight="1">
      <c r="A23" s="1900"/>
      <c r="B23" s="1903"/>
      <c r="C23" s="1562" t="s">
        <v>5741</v>
      </c>
      <c r="D23" s="32" t="s">
        <v>5742</v>
      </c>
      <c r="E23" s="31" t="s">
        <v>5743</v>
      </c>
      <c r="F23" s="24" t="s">
        <v>5744</v>
      </c>
      <c r="G23" s="1561" t="s">
        <v>5749</v>
      </c>
    </row>
    <row r="24" spans="1:8" s="1400" customFormat="1" ht="35.1" customHeight="1">
      <c r="A24" s="1900"/>
      <c r="B24" s="1903"/>
      <c r="C24" s="1556" t="s">
        <v>5745</v>
      </c>
      <c r="D24" s="30" t="s">
        <v>5747</v>
      </c>
      <c r="E24" s="29" t="s">
        <v>5746</v>
      </c>
      <c r="F24" s="1560" t="s">
        <v>240</v>
      </c>
      <c r="G24" s="1554" t="s">
        <v>261</v>
      </c>
    </row>
    <row r="25" spans="1:8" s="1400" customFormat="1" ht="35.1" customHeight="1">
      <c r="A25" s="1900"/>
      <c r="B25" s="1903"/>
      <c r="C25" s="1910" t="s">
        <v>5748</v>
      </c>
      <c r="D25" s="32" t="s">
        <v>5750</v>
      </c>
      <c r="E25" s="31" t="s">
        <v>5751</v>
      </c>
      <c r="F25" s="24"/>
      <c r="G25" s="1911" t="s">
        <v>5761</v>
      </c>
    </row>
    <row r="26" spans="1:8" s="1400" customFormat="1" ht="35.1" customHeight="1">
      <c r="A26" s="1900"/>
      <c r="B26" s="1903"/>
      <c r="C26" s="1914"/>
      <c r="D26" s="30" t="s">
        <v>5752</v>
      </c>
      <c r="E26" s="29" t="s">
        <v>5753</v>
      </c>
      <c r="F26" s="1560"/>
      <c r="G26" s="1913"/>
    </row>
    <row r="27" spans="1:8" s="1400" customFormat="1" ht="35.1" customHeight="1">
      <c r="A27" s="1900"/>
      <c r="B27" s="1903"/>
      <c r="C27" s="1906"/>
      <c r="D27" s="30" t="s">
        <v>5754</v>
      </c>
      <c r="E27" s="29" t="s">
        <v>5755</v>
      </c>
      <c r="F27" s="1560"/>
      <c r="G27" s="1912"/>
    </row>
    <row r="28" spans="1:8" s="1400" customFormat="1" ht="35.1" customHeight="1">
      <c r="A28" s="1900"/>
      <c r="B28" s="1903"/>
      <c r="C28" s="1562" t="s">
        <v>5757</v>
      </c>
      <c r="D28" s="32" t="s">
        <v>5758</v>
      </c>
      <c r="E28" s="31" t="s">
        <v>5759</v>
      </c>
      <c r="F28" s="24"/>
      <c r="G28" s="1561" t="s">
        <v>5760</v>
      </c>
    </row>
    <row r="29" spans="1:8" ht="36" customHeight="1">
      <c r="A29" s="1900"/>
      <c r="B29" s="1903"/>
      <c r="C29" s="1562" t="s">
        <v>191</v>
      </c>
      <c r="D29" s="32" t="s">
        <v>20</v>
      </c>
      <c r="E29" s="31" t="s">
        <v>5778</v>
      </c>
      <c r="F29" s="24" t="s">
        <v>172</v>
      </c>
      <c r="G29" s="1561" t="s">
        <v>18</v>
      </c>
      <c r="H29" s="1400" t="s">
        <v>5779</v>
      </c>
    </row>
    <row r="30" spans="1:8" ht="36" customHeight="1" thickBot="1">
      <c r="A30" s="1900"/>
      <c r="B30" s="1903"/>
      <c r="C30" s="1558" t="s">
        <v>5780</v>
      </c>
      <c r="D30" s="35" t="s">
        <v>5781</v>
      </c>
      <c r="E30" s="34" t="s">
        <v>5782</v>
      </c>
      <c r="F30" s="1559"/>
      <c r="G30" s="1557" t="s">
        <v>5783</v>
      </c>
      <c r="H30" s="1400" t="s">
        <v>5784</v>
      </c>
    </row>
    <row r="31" spans="1:8" s="1400" customFormat="1" ht="35.1" customHeight="1" thickBot="1">
      <c r="A31" s="1901"/>
      <c r="B31" s="1904"/>
      <c r="C31" s="12" t="s">
        <v>5717</v>
      </c>
      <c r="D31" s="11" t="s">
        <v>5716</v>
      </c>
      <c r="E31" s="10" t="s">
        <v>5715</v>
      </c>
      <c r="F31" s="10" t="s">
        <v>5718</v>
      </c>
      <c r="G31" s="9"/>
    </row>
    <row r="32" spans="1:8" s="1400" customFormat="1" ht="35.1" customHeight="1">
      <c r="A32" s="1899">
        <v>45266</v>
      </c>
      <c r="B32" s="1902" t="s">
        <v>2</v>
      </c>
      <c r="C32" s="1571" t="s">
        <v>5721</v>
      </c>
      <c r="D32" s="32" t="s">
        <v>5724</v>
      </c>
      <c r="E32" s="24"/>
      <c r="F32" s="1569"/>
      <c r="G32" s="1565"/>
    </row>
    <row r="33" spans="1:8" s="1400" customFormat="1" ht="35.1" customHeight="1">
      <c r="A33" s="1900"/>
      <c r="B33" s="1903"/>
      <c r="C33" s="1571" t="s">
        <v>5721</v>
      </c>
      <c r="D33" s="24" t="s">
        <v>5722</v>
      </c>
      <c r="E33" s="24" t="s">
        <v>5723</v>
      </c>
      <c r="F33" s="1569"/>
      <c r="G33" s="1565"/>
    </row>
    <row r="34" spans="1:8" s="1400" customFormat="1" ht="35.1" customHeight="1">
      <c r="A34" s="1900"/>
      <c r="B34" s="1903"/>
      <c r="C34" s="1571" t="s">
        <v>5736</v>
      </c>
      <c r="D34" s="1569" t="s">
        <v>218</v>
      </c>
      <c r="E34" s="31" t="s">
        <v>5737</v>
      </c>
      <c r="F34" s="1569" t="s">
        <v>240</v>
      </c>
      <c r="G34" s="1565" t="s">
        <v>5756</v>
      </c>
    </row>
    <row r="35" spans="1:8" s="1400" customFormat="1" ht="36" customHeight="1">
      <c r="A35" s="1900"/>
      <c r="B35" s="1903"/>
      <c r="C35" s="1571" t="s">
        <v>274</v>
      </c>
      <c r="D35" s="1569" t="s">
        <v>218</v>
      </c>
      <c r="E35" s="29" t="s">
        <v>219</v>
      </c>
      <c r="F35" s="1569" t="s">
        <v>240</v>
      </c>
      <c r="G35" s="1570"/>
    </row>
    <row r="36" spans="1:8" s="1400" customFormat="1" ht="35.1" customHeight="1">
      <c r="A36" s="1900"/>
      <c r="B36" s="1903"/>
      <c r="C36" s="1564" t="s">
        <v>5763</v>
      </c>
      <c r="D36" s="30" t="s">
        <v>5764</v>
      </c>
      <c r="E36" s="29" t="s">
        <v>5765</v>
      </c>
      <c r="F36" s="1569"/>
      <c r="G36" s="1566" t="s">
        <v>5766</v>
      </c>
      <c r="H36" s="1400" t="s">
        <v>5767</v>
      </c>
    </row>
    <row r="37" spans="1:8" s="1400" customFormat="1" ht="35.1" customHeight="1">
      <c r="A37" s="1900"/>
      <c r="B37" s="1903"/>
      <c r="C37" s="1581" t="s">
        <v>5785</v>
      </c>
      <c r="D37" s="32" t="s">
        <v>497</v>
      </c>
      <c r="E37" s="31" t="s">
        <v>5786</v>
      </c>
      <c r="F37" s="24"/>
      <c r="G37" s="1580" t="s">
        <v>5787</v>
      </c>
      <c r="H37" s="1400" t="s">
        <v>5788</v>
      </c>
    </row>
    <row r="38" spans="1:8" s="1400" customFormat="1" ht="35.1" customHeight="1">
      <c r="A38" s="1900"/>
      <c r="B38" s="1903"/>
      <c r="C38" s="1910" t="s">
        <v>185</v>
      </c>
      <c r="D38" s="32" t="s">
        <v>5799</v>
      </c>
      <c r="E38" s="31" t="s">
        <v>5800</v>
      </c>
      <c r="F38" s="24"/>
      <c r="G38" s="1580"/>
    </row>
    <row r="39" spans="1:8" s="1400" customFormat="1" ht="35.1" customHeight="1">
      <c r="A39" s="1900"/>
      <c r="B39" s="1903"/>
      <c r="C39" s="1906"/>
      <c r="D39" s="30" t="s">
        <v>5801</v>
      </c>
      <c r="E39" s="29" t="s">
        <v>5802</v>
      </c>
      <c r="F39" s="1579"/>
      <c r="G39" s="1574"/>
    </row>
    <row r="40" spans="1:8" s="1400" customFormat="1" ht="35.1" customHeight="1">
      <c r="A40" s="1900"/>
      <c r="B40" s="1903"/>
      <c r="C40" s="1910" t="s">
        <v>5803</v>
      </c>
      <c r="D40" s="32" t="s">
        <v>5804</v>
      </c>
      <c r="E40" s="31" t="s">
        <v>5802</v>
      </c>
      <c r="F40" s="24"/>
      <c r="G40" s="1911" t="s">
        <v>5805</v>
      </c>
    </row>
    <row r="41" spans="1:8" s="1400" customFormat="1" ht="35.1" customHeight="1">
      <c r="A41" s="1900"/>
      <c r="B41" s="1903"/>
      <c r="C41" s="1914"/>
      <c r="D41" s="30" t="s">
        <v>5804</v>
      </c>
      <c r="E41" s="29" t="s">
        <v>5806</v>
      </c>
      <c r="F41" s="1579" t="s">
        <v>5807</v>
      </c>
      <c r="G41" s="1913"/>
      <c r="H41" s="1400" t="s">
        <v>5808</v>
      </c>
    </row>
    <row r="42" spans="1:8" s="1400" customFormat="1" ht="35.1" customHeight="1">
      <c r="A42" s="1900"/>
      <c r="B42" s="1903"/>
      <c r="C42" s="1906"/>
      <c r="D42" s="30" t="s">
        <v>5814</v>
      </c>
      <c r="E42" s="29" t="s">
        <v>5815</v>
      </c>
      <c r="F42" s="1579" t="s">
        <v>5813</v>
      </c>
      <c r="G42" s="1912"/>
      <c r="H42" s="1400" t="s">
        <v>5816</v>
      </c>
    </row>
    <row r="43" spans="1:8" s="1400" customFormat="1" ht="35.1" customHeight="1">
      <c r="A43" s="1900"/>
      <c r="B43" s="1903"/>
      <c r="C43" s="1575" t="s">
        <v>5817</v>
      </c>
      <c r="D43" s="1579" t="s">
        <v>5818</v>
      </c>
      <c r="E43" s="29" t="s">
        <v>5819</v>
      </c>
      <c r="F43" s="1579" t="s">
        <v>5820</v>
      </c>
      <c r="G43" s="1574" t="s">
        <v>5821</v>
      </c>
      <c r="H43" s="1400" t="s">
        <v>5827</v>
      </c>
    </row>
    <row r="44" spans="1:8" s="1400" customFormat="1" ht="35.1" customHeight="1">
      <c r="A44" s="1900"/>
      <c r="B44" s="1903"/>
      <c r="C44" s="1910" t="s">
        <v>5822</v>
      </c>
      <c r="D44" s="32" t="s">
        <v>5823</v>
      </c>
      <c r="E44" s="31" t="s">
        <v>5824</v>
      </c>
      <c r="F44" s="24"/>
      <c r="G44" s="1911" t="s">
        <v>261</v>
      </c>
    </row>
    <row r="45" spans="1:8" s="1400" customFormat="1" ht="35.1" customHeight="1">
      <c r="A45" s="1900"/>
      <c r="B45" s="1903"/>
      <c r="C45" s="1906"/>
      <c r="D45" s="30" t="s">
        <v>5826</v>
      </c>
      <c r="E45" s="29" t="s">
        <v>5825</v>
      </c>
      <c r="F45" s="1579"/>
      <c r="G45" s="1912"/>
    </row>
    <row r="46" spans="1:8" s="1400" customFormat="1" ht="35.1" customHeight="1" thickBot="1">
      <c r="A46" s="1900"/>
      <c r="B46" s="1903"/>
      <c r="C46" s="201"/>
      <c r="D46" s="26"/>
      <c r="E46" s="25"/>
      <c r="F46" s="1179"/>
      <c r="G46" s="1568"/>
    </row>
    <row r="47" spans="1:8" s="1400" customFormat="1" ht="35.1" customHeight="1" thickBot="1">
      <c r="A47" s="1901"/>
      <c r="B47" s="1904"/>
      <c r="C47" s="12"/>
      <c r="D47" s="11"/>
      <c r="E47" s="10"/>
      <c r="F47" s="10"/>
      <c r="G47" s="9"/>
    </row>
    <row r="48" spans="1:8" s="1400" customFormat="1" ht="35.1" customHeight="1">
      <c r="A48" s="1899">
        <v>45267</v>
      </c>
      <c r="B48" s="1902" t="s">
        <v>1</v>
      </c>
      <c r="C48" s="1581" t="s">
        <v>5693</v>
      </c>
      <c r="D48" s="24" t="s">
        <v>5694</v>
      </c>
      <c r="E48" s="24" t="s">
        <v>4528</v>
      </c>
      <c r="F48" s="1579"/>
      <c r="G48" s="1573"/>
    </row>
    <row r="49" spans="1:8" s="1400" customFormat="1" ht="35.1" customHeight="1">
      <c r="A49" s="1900"/>
      <c r="B49" s="1903"/>
      <c r="C49" s="1910" t="s">
        <v>5768</v>
      </c>
      <c r="D49" s="24" t="s">
        <v>5769</v>
      </c>
      <c r="E49" s="24" t="s">
        <v>5773</v>
      </c>
      <c r="F49" s="1579"/>
      <c r="G49" s="1573"/>
    </row>
    <row r="50" spans="1:8" s="1400" customFormat="1" ht="35.1" customHeight="1">
      <c r="A50" s="1900"/>
      <c r="B50" s="1903"/>
      <c r="C50" s="1914"/>
      <c r="D50" s="24" t="s">
        <v>5770</v>
      </c>
      <c r="E50" s="24" t="s">
        <v>5773</v>
      </c>
      <c r="F50" s="1579"/>
      <c r="G50" s="1573"/>
    </row>
    <row r="51" spans="1:8" s="1400" customFormat="1" ht="35.1" customHeight="1">
      <c r="A51" s="1900"/>
      <c r="B51" s="1903"/>
      <c r="C51" s="1914"/>
      <c r="D51" s="24" t="s">
        <v>5771</v>
      </c>
      <c r="E51" s="24" t="s">
        <v>5774</v>
      </c>
      <c r="F51" s="1579" t="s">
        <v>5776</v>
      </c>
      <c r="G51" s="1573"/>
    </row>
    <row r="52" spans="1:8" s="1400" customFormat="1" ht="35.1" customHeight="1">
      <c r="A52" s="1900"/>
      <c r="B52" s="1903"/>
      <c r="C52" s="1906"/>
      <c r="D52" s="32" t="s">
        <v>5772</v>
      </c>
      <c r="E52" s="31" t="s">
        <v>5775</v>
      </c>
      <c r="F52" s="1579"/>
      <c r="G52" s="1573"/>
    </row>
    <row r="53" spans="1:8" s="1400" customFormat="1" ht="35.1" customHeight="1">
      <c r="A53" s="1900"/>
      <c r="B53" s="1903"/>
      <c r="C53" s="1581" t="s">
        <v>5837</v>
      </c>
      <c r="D53" s="32" t="s">
        <v>5838</v>
      </c>
      <c r="E53" s="31" t="s">
        <v>5824</v>
      </c>
      <c r="F53" s="24" t="s">
        <v>5839</v>
      </c>
      <c r="G53" s="1580" t="s">
        <v>5840</v>
      </c>
    </row>
    <row r="54" spans="1:8" s="1400" customFormat="1" ht="35.1" customHeight="1">
      <c r="A54" s="1900"/>
      <c r="B54" s="1903"/>
      <c r="C54" s="1575" t="s">
        <v>5841</v>
      </c>
      <c r="D54" s="24" t="s">
        <v>218</v>
      </c>
      <c r="E54" s="29" t="s">
        <v>5842</v>
      </c>
      <c r="F54" s="1579" t="s">
        <v>38</v>
      </c>
      <c r="G54" s="1574" t="s">
        <v>18</v>
      </c>
      <c r="H54" s="1400" t="s">
        <v>5843</v>
      </c>
    </row>
    <row r="55" spans="1:8" s="1400" customFormat="1" ht="35.1" customHeight="1">
      <c r="A55" s="1900"/>
      <c r="B55" s="1903"/>
      <c r="C55" s="1581" t="s">
        <v>5845</v>
      </c>
      <c r="D55" s="24" t="s">
        <v>229</v>
      </c>
      <c r="E55" s="31" t="s">
        <v>5846</v>
      </c>
      <c r="F55" s="24"/>
      <c r="G55" s="1580" t="s">
        <v>5847</v>
      </c>
    </row>
    <row r="56" spans="1:8" s="1400" customFormat="1" ht="35.1" customHeight="1">
      <c r="A56" s="1900"/>
      <c r="B56" s="1903"/>
      <c r="C56" s="1581" t="s">
        <v>5848</v>
      </c>
      <c r="D56" s="24" t="s">
        <v>218</v>
      </c>
      <c r="E56" s="31" t="s">
        <v>5846</v>
      </c>
      <c r="F56" s="24" t="s">
        <v>240</v>
      </c>
      <c r="G56" s="1580" t="s">
        <v>5849</v>
      </c>
      <c r="H56" s="1400" t="s">
        <v>5854</v>
      </c>
    </row>
    <row r="57" spans="1:8" s="1400" customFormat="1" ht="35.1" customHeight="1">
      <c r="A57" s="1900"/>
      <c r="B57" s="1903"/>
      <c r="C57" s="1581" t="s">
        <v>5850</v>
      </c>
      <c r="D57" s="24" t="s">
        <v>5851</v>
      </c>
      <c r="E57" s="31" t="s">
        <v>5852</v>
      </c>
      <c r="F57" s="24"/>
      <c r="G57" s="1580" t="s">
        <v>5853</v>
      </c>
    </row>
    <row r="58" spans="1:8" s="1400" customFormat="1" ht="35.1" customHeight="1">
      <c r="A58" s="1900"/>
      <c r="B58" s="1903"/>
      <c r="C58" s="1581" t="s">
        <v>5863</v>
      </c>
      <c r="D58" s="24" t="s">
        <v>5861</v>
      </c>
      <c r="E58" s="31" t="s">
        <v>5862</v>
      </c>
      <c r="F58" s="24"/>
      <c r="G58" s="1580"/>
    </row>
    <row r="59" spans="1:8" s="1400" customFormat="1" ht="35.1" customHeight="1" thickBot="1">
      <c r="A59" s="1900"/>
      <c r="B59" s="1903"/>
      <c r="C59" s="1577" t="s">
        <v>5860</v>
      </c>
      <c r="D59" s="1579" t="s">
        <v>5858</v>
      </c>
      <c r="E59" s="34" t="s">
        <v>5859</v>
      </c>
      <c r="F59" s="1578"/>
      <c r="G59" s="1576" t="s">
        <v>235</v>
      </c>
    </row>
    <row r="60" spans="1:8" s="1400" customFormat="1" ht="35.1" customHeight="1" thickBot="1">
      <c r="A60" s="1901"/>
      <c r="B60" s="1904"/>
      <c r="C60" s="12"/>
      <c r="D60" s="11"/>
      <c r="E60" s="10"/>
      <c r="F60" s="10"/>
      <c r="G60" s="9"/>
    </row>
    <row r="61" spans="1:8" s="1400" customFormat="1" ht="35.1" customHeight="1">
      <c r="A61" s="1899">
        <v>45268</v>
      </c>
      <c r="B61" s="1902" t="s">
        <v>31</v>
      </c>
      <c r="C61" s="1585" t="s">
        <v>738</v>
      </c>
      <c r="D61" s="24" t="s">
        <v>218</v>
      </c>
      <c r="E61" s="24" t="s">
        <v>226</v>
      </c>
      <c r="F61" s="1583" t="s">
        <v>201</v>
      </c>
      <c r="G61" s="1582" t="s">
        <v>5777</v>
      </c>
    </row>
    <row r="62" spans="1:8" s="1400" customFormat="1" ht="35.1" customHeight="1">
      <c r="A62" s="1900"/>
      <c r="B62" s="1903"/>
      <c r="C62" s="1910" t="s">
        <v>288</v>
      </c>
      <c r="D62" s="24" t="s">
        <v>5794</v>
      </c>
      <c r="E62" s="24" t="s">
        <v>5795</v>
      </c>
      <c r="F62" s="24"/>
      <c r="G62" s="1911" t="s">
        <v>5798</v>
      </c>
    </row>
    <row r="63" spans="1:8" s="1400" customFormat="1" ht="35.1" customHeight="1">
      <c r="A63" s="1900"/>
      <c r="B63" s="1903"/>
      <c r="C63" s="1906"/>
      <c r="D63" s="32" t="s">
        <v>5796</v>
      </c>
      <c r="E63" s="31" t="s">
        <v>5797</v>
      </c>
      <c r="F63" s="1583"/>
      <c r="G63" s="1912"/>
    </row>
    <row r="64" spans="1:8" s="1400" customFormat="1" ht="35.1" customHeight="1">
      <c r="A64" s="1900"/>
      <c r="B64" s="1903"/>
      <c r="C64" s="1910" t="s">
        <v>288</v>
      </c>
      <c r="D64" s="30" t="s">
        <v>5835</v>
      </c>
      <c r="E64" s="29" t="s">
        <v>182</v>
      </c>
      <c r="F64" s="1583"/>
      <c r="G64" s="1911" t="s">
        <v>261</v>
      </c>
    </row>
    <row r="65" spans="1:8" s="1400" customFormat="1" ht="35.1" customHeight="1">
      <c r="A65" s="1900"/>
      <c r="B65" s="1903"/>
      <c r="C65" s="1906"/>
      <c r="D65" s="32" t="s">
        <v>186</v>
      </c>
      <c r="E65" s="31" t="s">
        <v>1933</v>
      </c>
      <c r="F65" s="24"/>
      <c r="G65" s="1912"/>
    </row>
    <row r="66" spans="1:8" s="1400" customFormat="1" ht="35.1" customHeight="1">
      <c r="A66" s="1900"/>
      <c r="B66" s="1903"/>
      <c r="C66" s="1585" t="s">
        <v>5864</v>
      </c>
      <c r="D66" s="24" t="s">
        <v>218</v>
      </c>
      <c r="E66" s="31" t="s">
        <v>5865</v>
      </c>
      <c r="F66" s="24" t="s">
        <v>201</v>
      </c>
      <c r="G66" s="1584" t="s">
        <v>5866</v>
      </c>
    </row>
    <row r="67" spans="1:8" s="1400" customFormat="1" ht="35.1" customHeight="1">
      <c r="A67" s="1900"/>
      <c r="B67" s="1903"/>
      <c r="C67" s="1593" t="s">
        <v>5867</v>
      </c>
      <c r="D67" s="24" t="s">
        <v>5868</v>
      </c>
      <c r="E67" s="31" t="s">
        <v>5869</v>
      </c>
      <c r="F67" s="24"/>
      <c r="G67" s="1592" t="s">
        <v>5871</v>
      </c>
      <c r="H67" s="1400" t="s">
        <v>5870</v>
      </c>
    </row>
    <row r="68" spans="1:8" s="1400" customFormat="1" ht="35.1" customHeight="1">
      <c r="A68" s="1900"/>
      <c r="B68" s="1903"/>
      <c r="C68" s="1593" t="s">
        <v>5873</v>
      </c>
      <c r="D68" s="24" t="s">
        <v>20</v>
      </c>
      <c r="E68" s="31" t="s">
        <v>5874</v>
      </c>
      <c r="F68" s="24" t="s">
        <v>5877</v>
      </c>
      <c r="G68" s="1592" t="s">
        <v>5875</v>
      </c>
      <c r="H68" s="1400" t="s">
        <v>5876</v>
      </c>
    </row>
    <row r="69" spans="1:8" s="1400" customFormat="1" ht="35.1" customHeight="1">
      <c r="A69" s="1900"/>
      <c r="B69" s="1903"/>
      <c r="C69" s="1593" t="s">
        <v>5881</v>
      </c>
      <c r="D69" s="24" t="s">
        <v>20</v>
      </c>
      <c r="E69" s="31" t="s">
        <v>5882</v>
      </c>
      <c r="F69" s="24" t="s">
        <v>5877</v>
      </c>
      <c r="G69" s="1592" t="s">
        <v>5883</v>
      </c>
      <c r="H69" s="1400" t="s">
        <v>5884</v>
      </c>
    </row>
    <row r="70" spans="1:8" s="1400" customFormat="1" ht="35.1" customHeight="1" thickBot="1">
      <c r="A70" s="1900"/>
      <c r="B70" s="1903"/>
      <c r="C70" s="1567"/>
      <c r="D70" s="26"/>
      <c r="E70" s="25"/>
      <c r="F70" s="1179"/>
      <c r="G70" s="1568"/>
    </row>
    <row r="71" spans="1:8" s="1400" customFormat="1" ht="35.1" customHeight="1" thickBot="1">
      <c r="A71" s="1901"/>
      <c r="B71" s="1904"/>
      <c r="C71" s="12" t="s">
        <v>5855</v>
      </c>
      <c r="D71" s="11" t="s">
        <v>5856</v>
      </c>
      <c r="E71" s="10" t="s">
        <v>5857</v>
      </c>
      <c r="F71" s="10" t="s">
        <v>390</v>
      </c>
      <c r="G71" s="9"/>
    </row>
    <row r="72" spans="1:8" s="1400" customFormat="1" ht="35.1" customHeight="1" thickBot="1">
      <c r="A72" s="1907" t="s">
        <v>5</v>
      </c>
      <c r="B72" s="1908"/>
      <c r="C72" s="1908"/>
      <c r="D72" s="1908"/>
      <c r="E72" s="1908"/>
      <c r="F72" s="1908"/>
      <c r="G72" s="1909"/>
    </row>
    <row r="73" spans="1:8" s="1400" customFormat="1" ht="35.1" customHeight="1">
      <c r="A73" s="1899">
        <v>45271</v>
      </c>
      <c r="B73" s="1919" t="s">
        <v>4</v>
      </c>
      <c r="C73" s="1905" t="s">
        <v>5809</v>
      </c>
      <c r="D73" s="32" t="s">
        <v>5810</v>
      </c>
      <c r="E73" s="31" t="s">
        <v>5811</v>
      </c>
      <c r="F73" s="24"/>
      <c r="G73" s="1592"/>
    </row>
    <row r="74" spans="1:8" s="1400" customFormat="1" ht="35.1" customHeight="1">
      <c r="A74" s="1900"/>
      <c r="B74" s="1920"/>
      <c r="C74" s="1906"/>
      <c r="D74" s="32" t="s">
        <v>5812</v>
      </c>
      <c r="E74" s="31" t="s">
        <v>2625</v>
      </c>
      <c r="F74" s="1591"/>
      <c r="G74" s="1586"/>
    </row>
    <row r="75" spans="1:8" s="1400" customFormat="1" ht="35.1" customHeight="1">
      <c r="A75" s="1900"/>
      <c r="B75" s="1920"/>
      <c r="C75" s="1593" t="s">
        <v>5885</v>
      </c>
      <c r="D75" s="24" t="s">
        <v>5886</v>
      </c>
      <c r="E75" s="24" t="s">
        <v>5887</v>
      </c>
      <c r="F75" s="1591"/>
      <c r="G75" s="1586"/>
    </row>
    <row r="76" spans="1:8" s="1400" customFormat="1" ht="35.1" customHeight="1">
      <c r="A76" s="1900"/>
      <c r="B76" s="1920"/>
      <c r="C76" s="1910" t="s">
        <v>5790</v>
      </c>
      <c r="D76" s="24" t="s">
        <v>218</v>
      </c>
      <c r="E76" s="24" t="s">
        <v>5791</v>
      </c>
      <c r="F76" s="1591" t="s">
        <v>5872</v>
      </c>
      <c r="G76" s="1911" t="s">
        <v>5844</v>
      </c>
    </row>
    <row r="77" spans="1:8" s="1400" customFormat="1" ht="35.1" customHeight="1">
      <c r="A77" s="1900"/>
      <c r="B77" s="1920"/>
      <c r="C77" s="1906"/>
      <c r="D77" s="32" t="s">
        <v>5793</v>
      </c>
      <c r="E77" s="31" t="s">
        <v>5792</v>
      </c>
      <c r="F77" s="1591"/>
      <c r="G77" s="1912"/>
    </row>
    <row r="78" spans="1:8" s="1400" customFormat="1" ht="35.1" customHeight="1">
      <c r="A78" s="1900"/>
      <c r="B78" s="1920"/>
      <c r="C78" s="1910" t="s">
        <v>5828</v>
      </c>
      <c r="D78" s="30" t="s">
        <v>5829</v>
      </c>
      <c r="E78" s="29" t="s">
        <v>5830</v>
      </c>
      <c r="F78" s="1591"/>
      <c r="G78" s="1911" t="s">
        <v>5833</v>
      </c>
    </row>
    <row r="79" spans="1:8" s="1400" customFormat="1" ht="35.1" customHeight="1">
      <c r="A79" s="1900"/>
      <c r="B79" s="1920"/>
      <c r="C79" s="1906"/>
      <c r="D79" s="30" t="s">
        <v>5831</v>
      </c>
      <c r="E79" s="29" t="s">
        <v>5832</v>
      </c>
      <c r="F79" s="1591"/>
      <c r="G79" s="1912"/>
      <c r="H79" s="1400" t="s">
        <v>5834</v>
      </c>
    </row>
    <row r="80" spans="1:8" s="1400" customFormat="1" ht="35.1" customHeight="1">
      <c r="A80" s="1900"/>
      <c r="B80" s="1920"/>
      <c r="C80" s="1910" t="s">
        <v>5902</v>
      </c>
      <c r="D80" s="32" t="s">
        <v>5897</v>
      </c>
      <c r="E80" s="31" t="s">
        <v>5898</v>
      </c>
      <c r="F80" s="24"/>
      <c r="G80" s="1945" t="s">
        <v>5903</v>
      </c>
    </row>
    <row r="81" spans="1:8" s="1400" customFormat="1" ht="35.1" customHeight="1">
      <c r="A81" s="1900"/>
      <c r="B81" s="1920"/>
      <c r="C81" s="1914"/>
      <c r="D81" s="30" t="s">
        <v>5908</v>
      </c>
      <c r="E81" s="29" t="s">
        <v>5899</v>
      </c>
      <c r="F81" s="1591"/>
      <c r="G81" s="1913"/>
    </row>
    <row r="82" spans="1:8" s="1400" customFormat="1" ht="35.1" customHeight="1">
      <c r="A82" s="1900"/>
      <c r="B82" s="1920"/>
      <c r="C82" s="1906"/>
      <c r="D82" s="30" t="s">
        <v>5900</v>
      </c>
      <c r="E82" s="29" t="s">
        <v>5901</v>
      </c>
      <c r="F82" s="1591"/>
      <c r="G82" s="1912"/>
    </row>
    <row r="83" spans="1:8" s="1400" customFormat="1" ht="35.1" customHeight="1">
      <c r="A83" s="1900"/>
      <c r="B83" s="1920"/>
      <c r="C83" s="1593" t="s">
        <v>5913</v>
      </c>
      <c r="D83" s="32" t="s">
        <v>20</v>
      </c>
      <c r="E83" s="31" t="s">
        <v>5914</v>
      </c>
      <c r="F83" s="24" t="s">
        <v>240</v>
      </c>
      <c r="G83" s="1592" t="s">
        <v>5918</v>
      </c>
      <c r="H83" s="1400" t="s">
        <v>5919</v>
      </c>
    </row>
    <row r="84" spans="1:8" s="1400" customFormat="1" ht="35.1" customHeight="1">
      <c r="A84" s="1900"/>
      <c r="B84" s="1920"/>
      <c r="C84" s="1589"/>
      <c r="D84" s="28"/>
      <c r="E84" s="27"/>
      <c r="F84" s="1563"/>
      <c r="G84" s="1588"/>
    </row>
    <row r="85" spans="1:8" s="1400" customFormat="1" ht="35.1" customHeight="1" thickBot="1">
      <c r="A85" s="1900"/>
      <c r="B85" s="1920"/>
      <c r="C85" s="1590"/>
      <c r="D85" s="26"/>
      <c r="E85" s="25"/>
      <c r="F85" s="1179"/>
      <c r="G85" s="1587"/>
    </row>
    <row r="86" spans="1:8" s="1400" customFormat="1" ht="35.1" customHeight="1" thickBot="1">
      <c r="A86" s="1901"/>
      <c r="B86" s="1921"/>
      <c r="C86" s="12"/>
      <c r="D86" s="11"/>
      <c r="E86" s="10"/>
      <c r="F86" s="10"/>
      <c r="G86" s="9"/>
    </row>
    <row r="87" spans="1:8" s="1400" customFormat="1" ht="35.1" customHeight="1">
      <c r="A87" s="1899">
        <v>45272</v>
      </c>
      <c r="B87" s="1902" t="s">
        <v>3</v>
      </c>
      <c r="C87" s="1905" t="s">
        <v>288</v>
      </c>
      <c r="D87" s="24" t="s">
        <v>270</v>
      </c>
      <c r="E87" s="24" t="s">
        <v>2518</v>
      </c>
      <c r="F87" s="1598"/>
      <c r="G87" s="1594" t="s">
        <v>5789</v>
      </c>
    </row>
    <row r="88" spans="1:8" s="1400" customFormat="1" ht="35.1" customHeight="1">
      <c r="A88" s="1900"/>
      <c r="B88" s="1903"/>
      <c r="C88" s="1906"/>
      <c r="D88" s="24" t="s">
        <v>5926</v>
      </c>
      <c r="E88" s="24" t="s">
        <v>5927</v>
      </c>
      <c r="F88" s="1598"/>
      <c r="G88" s="1594" t="s">
        <v>261</v>
      </c>
    </row>
    <row r="89" spans="1:8" s="1400" customFormat="1" ht="35.1" customHeight="1">
      <c r="A89" s="1900"/>
      <c r="B89" s="1903"/>
      <c r="C89" s="1910" t="s">
        <v>346</v>
      </c>
      <c r="D89" s="24" t="s">
        <v>5925</v>
      </c>
      <c r="E89" s="24" t="s">
        <v>217</v>
      </c>
      <c r="F89" s="1598"/>
      <c r="G89" s="1911" t="s">
        <v>261</v>
      </c>
    </row>
    <row r="90" spans="1:8" s="1400" customFormat="1" ht="35.1" customHeight="1">
      <c r="A90" s="1900"/>
      <c r="B90" s="1903"/>
      <c r="C90" s="1906"/>
      <c r="D90" s="32" t="s">
        <v>5911</v>
      </c>
      <c r="E90" s="31" t="s">
        <v>5912</v>
      </c>
      <c r="F90" s="1598"/>
      <c r="G90" s="1912"/>
    </row>
    <row r="91" spans="1:8" s="1400" customFormat="1" ht="35.1" customHeight="1">
      <c r="A91" s="1900"/>
      <c r="B91" s="1903"/>
      <c r="C91" s="1600" t="s">
        <v>267</v>
      </c>
      <c r="D91" s="1601" t="s">
        <v>5915</v>
      </c>
      <c r="E91" s="37" t="s">
        <v>5916</v>
      </c>
      <c r="F91" s="24"/>
      <c r="G91" s="1599" t="s">
        <v>5917</v>
      </c>
    </row>
    <row r="92" spans="1:8" s="1400" customFormat="1" ht="35.1" customHeight="1">
      <c r="A92" s="1900"/>
      <c r="B92" s="1903"/>
      <c r="C92" s="1600" t="s">
        <v>195</v>
      </c>
      <c r="D92" s="32" t="s">
        <v>196</v>
      </c>
      <c r="E92" s="31" t="s">
        <v>1158</v>
      </c>
      <c r="F92" s="24"/>
      <c r="G92" s="1599" t="s">
        <v>5928</v>
      </c>
    </row>
    <row r="93" spans="1:8" s="1400" customFormat="1" ht="35.1" customHeight="1">
      <c r="A93" s="1900"/>
      <c r="B93" s="1903"/>
      <c r="C93" s="1597" t="s">
        <v>5930</v>
      </c>
      <c r="D93" s="1598" t="s">
        <v>218</v>
      </c>
      <c r="E93" s="31" t="s">
        <v>5931</v>
      </c>
      <c r="F93" s="1598" t="s">
        <v>172</v>
      </c>
      <c r="G93" s="1599" t="s">
        <v>5932</v>
      </c>
      <c r="H93" s="1400" t="s">
        <v>5933</v>
      </c>
    </row>
    <row r="94" spans="1:8" s="1400" customFormat="1" ht="35.1" customHeight="1" thickBot="1">
      <c r="A94" s="1900"/>
      <c r="B94" s="1903"/>
      <c r="C94" s="1543"/>
      <c r="D94" s="16"/>
      <c r="E94" s="15"/>
      <c r="F94" s="1179"/>
      <c r="G94" s="1542"/>
    </row>
    <row r="95" spans="1:8" s="1400" customFormat="1" ht="35.1" customHeight="1" thickBot="1">
      <c r="A95" s="1901"/>
      <c r="B95" s="1904"/>
      <c r="C95" s="12"/>
      <c r="D95" s="11"/>
      <c r="E95" s="10"/>
      <c r="F95" s="10"/>
      <c r="G95" s="9"/>
    </row>
    <row r="96" spans="1:8" s="1400" customFormat="1" ht="35.1" customHeight="1">
      <c r="A96" s="1899">
        <v>45273</v>
      </c>
      <c r="B96" s="1902" t="s">
        <v>2</v>
      </c>
      <c r="C96" s="1600" t="s">
        <v>453</v>
      </c>
      <c r="D96" s="24" t="s">
        <v>224</v>
      </c>
      <c r="E96" s="24" t="s">
        <v>335</v>
      </c>
      <c r="F96" s="1598"/>
      <c r="G96" s="1594"/>
    </row>
    <row r="97" spans="1:8" s="1400" customFormat="1" ht="35.1" customHeight="1">
      <c r="A97" s="1900"/>
      <c r="B97" s="1903"/>
      <c r="C97" s="1610" t="s">
        <v>5909</v>
      </c>
      <c r="D97" s="32" t="s">
        <v>5910</v>
      </c>
      <c r="E97" s="31" t="s">
        <v>5136</v>
      </c>
      <c r="F97" s="24"/>
      <c r="G97" s="1609" t="s">
        <v>261</v>
      </c>
    </row>
    <row r="98" spans="1:8" s="1400" customFormat="1" ht="35.1" customHeight="1">
      <c r="A98" s="1900"/>
      <c r="B98" s="1903"/>
      <c r="C98" s="1600" t="s">
        <v>267</v>
      </c>
      <c r="D98" s="32" t="s">
        <v>5929</v>
      </c>
      <c r="E98" s="31" t="s">
        <v>217</v>
      </c>
      <c r="F98" s="24"/>
      <c r="G98" s="1599" t="s">
        <v>5917</v>
      </c>
    </row>
    <row r="99" spans="1:8" s="1400" customFormat="1" ht="35.1" customHeight="1">
      <c r="A99" s="1900"/>
      <c r="B99" s="1903"/>
      <c r="C99" s="1914" t="s">
        <v>377</v>
      </c>
      <c r="D99" s="1598" t="s">
        <v>218</v>
      </c>
      <c r="E99" s="1598" t="s">
        <v>538</v>
      </c>
      <c r="F99" s="1598" t="s">
        <v>240</v>
      </c>
      <c r="G99" s="1913" t="s">
        <v>440</v>
      </c>
    </row>
    <row r="100" spans="1:8" s="1400" customFormat="1" ht="35.1" customHeight="1">
      <c r="A100" s="1900"/>
      <c r="B100" s="1903"/>
      <c r="C100" s="1906"/>
      <c r="D100" s="24" t="s">
        <v>2696</v>
      </c>
      <c r="E100" s="24" t="s">
        <v>376</v>
      </c>
      <c r="F100" s="1598"/>
      <c r="G100" s="1912"/>
    </row>
    <row r="101" spans="1:8" s="1400" customFormat="1" ht="35.1" customHeight="1">
      <c r="A101" s="1900"/>
      <c r="B101" s="1903"/>
      <c r="C101" s="1596" t="s">
        <v>5920</v>
      </c>
      <c r="D101" s="30" t="s">
        <v>5921</v>
      </c>
      <c r="E101" s="29" t="s">
        <v>5922</v>
      </c>
      <c r="F101" s="1598"/>
      <c r="G101" s="1595" t="s">
        <v>5923</v>
      </c>
    </row>
    <row r="102" spans="1:8" s="1400" customFormat="1" ht="36" customHeight="1">
      <c r="A102" s="1900"/>
      <c r="B102" s="1903"/>
      <c r="C102" s="1610" t="s">
        <v>587</v>
      </c>
      <c r="D102" s="24" t="s">
        <v>20</v>
      </c>
      <c r="E102" s="24" t="s">
        <v>230</v>
      </c>
      <c r="F102" s="24" t="s">
        <v>201</v>
      </c>
      <c r="G102" s="1609" t="s">
        <v>235</v>
      </c>
    </row>
    <row r="103" spans="1:8" s="1400" customFormat="1" ht="35.1" customHeight="1" thickBot="1">
      <c r="A103" s="1900"/>
      <c r="B103" s="1903"/>
      <c r="C103" s="21"/>
      <c r="D103" s="20"/>
      <c r="E103" s="19"/>
      <c r="F103" s="22"/>
      <c r="G103" s="64"/>
    </row>
    <row r="104" spans="1:8" s="1400" customFormat="1" ht="35.1" hidden="1" customHeight="1">
      <c r="A104" s="1900"/>
      <c r="B104" s="1903"/>
      <c r="C104" s="1589"/>
      <c r="D104" s="28"/>
      <c r="E104" s="27"/>
      <c r="F104" s="1563"/>
      <c r="G104" s="1588"/>
    </row>
    <row r="105" spans="1:8" s="1400" customFormat="1" ht="35.1" hidden="1" customHeight="1" thickBot="1">
      <c r="A105" s="1900"/>
      <c r="B105" s="1903"/>
      <c r="C105" s="1590"/>
      <c r="D105" s="26"/>
      <c r="E105" s="25"/>
      <c r="F105" s="1179"/>
      <c r="G105" s="1587"/>
    </row>
    <row r="106" spans="1:8" s="1400" customFormat="1" ht="35.1" customHeight="1" thickBot="1">
      <c r="A106" s="1901"/>
      <c r="B106" s="1904"/>
      <c r="C106" s="12" t="s">
        <v>5904</v>
      </c>
      <c r="D106" s="11" t="s">
        <v>252</v>
      </c>
      <c r="E106" s="10" t="s">
        <v>5145</v>
      </c>
      <c r="F106" s="10" t="s">
        <v>2317</v>
      </c>
      <c r="G106" s="9"/>
    </row>
    <row r="107" spans="1:8" s="1400" customFormat="1" ht="35.1" customHeight="1">
      <c r="A107" s="1899">
        <v>45274</v>
      </c>
      <c r="B107" s="1902" t="s">
        <v>1</v>
      </c>
      <c r="C107" s="1610" t="s">
        <v>518</v>
      </c>
      <c r="D107" s="32" t="s">
        <v>320</v>
      </c>
      <c r="E107" s="31" t="s">
        <v>225</v>
      </c>
      <c r="F107" s="1608"/>
      <c r="G107" s="1609"/>
    </row>
    <row r="108" spans="1:8" s="1400" customFormat="1" ht="35.1" customHeight="1">
      <c r="A108" s="1900"/>
      <c r="B108" s="1903"/>
      <c r="C108" s="1910" t="s">
        <v>5934</v>
      </c>
      <c r="D108" s="30" t="s">
        <v>20</v>
      </c>
      <c r="E108" s="29" t="s">
        <v>5946</v>
      </c>
      <c r="F108" s="1608"/>
      <c r="G108" s="1911" t="s">
        <v>5938</v>
      </c>
    </row>
    <row r="109" spans="1:8" s="1400" customFormat="1" ht="35.1" customHeight="1">
      <c r="A109" s="1900"/>
      <c r="B109" s="1903"/>
      <c r="C109" s="1914"/>
      <c r="D109" s="30" t="s">
        <v>5935</v>
      </c>
      <c r="E109" s="29" t="s">
        <v>5937</v>
      </c>
      <c r="F109" s="1608"/>
      <c r="G109" s="1913"/>
    </row>
    <row r="110" spans="1:8" s="1400" customFormat="1" ht="35.1" customHeight="1">
      <c r="A110" s="1900"/>
      <c r="B110" s="1903"/>
      <c r="C110" s="1906"/>
      <c r="D110" s="30" t="s">
        <v>5936</v>
      </c>
      <c r="E110" s="29" t="s">
        <v>5959</v>
      </c>
      <c r="F110" s="1608"/>
      <c r="G110" s="1912"/>
    </row>
    <row r="111" spans="1:8" s="1400" customFormat="1" ht="35.1" customHeight="1">
      <c r="A111" s="1900"/>
      <c r="B111" s="1903"/>
      <c r="C111" s="1602" t="s">
        <v>5954</v>
      </c>
      <c r="D111" s="30" t="s">
        <v>5955</v>
      </c>
      <c r="E111" s="29" t="s">
        <v>5956</v>
      </c>
      <c r="F111" s="1608"/>
      <c r="G111" s="1603" t="s">
        <v>5957</v>
      </c>
      <c r="H111" s="1400" t="s">
        <v>5958</v>
      </c>
    </row>
    <row r="112" spans="1:8" s="1400" customFormat="1" ht="35.1" customHeight="1">
      <c r="A112" s="1900"/>
      <c r="B112" s="1903"/>
      <c r="C112" s="1602" t="s">
        <v>5939</v>
      </c>
      <c r="D112" s="30" t="s">
        <v>5940</v>
      </c>
      <c r="E112" s="29" t="s">
        <v>5941</v>
      </c>
      <c r="F112" s="1608"/>
      <c r="G112" s="1603"/>
    </row>
    <row r="113" spans="1:8" s="1400" customFormat="1" ht="35.1" customHeight="1">
      <c r="A113" s="1900"/>
      <c r="B113" s="1903"/>
      <c r="C113" s="1910" t="s">
        <v>5942</v>
      </c>
      <c r="D113" s="30" t="s">
        <v>5943</v>
      </c>
      <c r="E113" s="31" t="s">
        <v>5952</v>
      </c>
      <c r="F113" s="24"/>
      <c r="G113" s="1911" t="s">
        <v>5945</v>
      </c>
    </row>
    <row r="114" spans="1:8" s="1400" customFormat="1" ht="35.1" customHeight="1">
      <c r="A114" s="1900"/>
      <c r="B114" s="1903"/>
      <c r="C114" s="1906"/>
      <c r="D114" s="30" t="s">
        <v>5944</v>
      </c>
      <c r="E114" s="29" t="s">
        <v>3808</v>
      </c>
      <c r="F114" s="1608" t="s">
        <v>172</v>
      </c>
      <c r="G114" s="1912"/>
    </row>
    <row r="115" spans="1:8" s="1400" customFormat="1" ht="35.1" customHeight="1">
      <c r="A115" s="1900"/>
      <c r="B115" s="1903"/>
      <c r="C115" s="1910" t="s">
        <v>5965</v>
      </c>
      <c r="D115" s="30" t="s">
        <v>20</v>
      </c>
      <c r="E115" s="31" t="s">
        <v>5966</v>
      </c>
      <c r="F115" s="24" t="s">
        <v>240</v>
      </c>
      <c r="G115" s="1609" t="s">
        <v>37</v>
      </c>
    </row>
    <row r="116" spans="1:8" s="1400" customFormat="1" ht="35.1" customHeight="1">
      <c r="A116" s="1900"/>
      <c r="B116" s="1903"/>
      <c r="C116" s="1906"/>
      <c r="D116" s="30" t="s">
        <v>43</v>
      </c>
      <c r="E116" s="31" t="s">
        <v>5967</v>
      </c>
      <c r="F116" s="24"/>
      <c r="G116" s="1609" t="s">
        <v>37</v>
      </c>
      <c r="H116" s="1400" t="s">
        <v>5968</v>
      </c>
    </row>
    <row r="117" spans="1:8" s="1400" customFormat="1" ht="35.1" customHeight="1">
      <c r="A117" s="1900"/>
      <c r="B117" s="1903"/>
      <c r="C117" s="1610" t="s">
        <v>5953</v>
      </c>
      <c r="D117" s="30" t="s">
        <v>20</v>
      </c>
      <c r="E117" s="31" t="s">
        <v>631</v>
      </c>
      <c r="F117" s="24" t="s">
        <v>632</v>
      </c>
      <c r="G117" s="1609" t="s">
        <v>37</v>
      </c>
    </row>
    <row r="118" spans="1:8" s="1400" customFormat="1" ht="35.1" customHeight="1">
      <c r="A118" s="1900"/>
      <c r="B118" s="1903"/>
      <c r="C118" s="1605"/>
      <c r="D118" s="28"/>
      <c r="E118" s="27"/>
      <c r="F118" s="1563"/>
      <c r="G118" s="1607"/>
    </row>
    <row r="119" spans="1:8" s="1400" customFormat="1" ht="35.1" customHeight="1" thickBot="1">
      <c r="A119" s="1900"/>
      <c r="B119" s="1903"/>
      <c r="C119" s="1604"/>
      <c r="D119" s="26"/>
      <c r="E119" s="25"/>
      <c r="F119" s="1179"/>
      <c r="G119" s="1606"/>
    </row>
    <row r="120" spans="1:8" s="1400" customFormat="1" ht="35.1" customHeight="1" thickBot="1">
      <c r="A120" s="1901"/>
      <c r="B120" s="1904"/>
      <c r="C120" s="12"/>
      <c r="D120" s="11"/>
      <c r="E120" s="10"/>
      <c r="F120" s="10"/>
      <c r="G120" s="9"/>
    </row>
    <row r="121" spans="1:8" s="1400" customFormat="1" ht="35.1" customHeight="1">
      <c r="A121" s="1899">
        <v>45275</v>
      </c>
      <c r="B121" s="1902" t="s">
        <v>0</v>
      </c>
      <c r="C121" s="1905" t="s">
        <v>5888</v>
      </c>
      <c r="D121" s="24" t="s">
        <v>5889</v>
      </c>
      <c r="E121" s="24" t="s">
        <v>5887</v>
      </c>
      <c r="F121" s="1612"/>
      <c r="G121" s="1611"/>
    </row>
    <row r="122" spans="1:8" s="1400" customFormat="1" ht="35.1" customHeight="1">
      <c r="A122" s="1900"/>
      <c r="B122" s="1903"/>
      <c r="C122" s="1914"/>
      <c r="D122" s="24" t="s">
        <v>5890</v>
      </c>
      <c r="E122" s="24" t="s">
        <v>5891</v>
      </c>
      <c r="F122" s="1612"/>
      <c r="G122" s="1611"/>
    </row>
    <row r="123" spans="1:8" s="1400" customFormat="1" ht="35.1" customHeight="1">
      <c r="A123" s="1900"/>
      <c r="B123" s="1903"/>
      <c r="C123" s="1914"/>
      <c r="D123" s="24" t="s">
        <v>215</v>
      </c>
      <c r="E123" s="24" t="s">
        <v>5892</v>
      </c>
      <c r="F123" s="1612"/>
      <c r="G123" s="1611"/>
    </row>
    <row r="124" spans="1:8" s="1400" customFormat="1" ht="35.1" customHeight="1">
      <c r="A124" s="1900"/>
      <c r="B124" s="1903"/>
      <c r="C124" s="1914"/>
      <c r="D124" s="24" t="s">
        <v>5896</v>
      </c>
      <c r="E124" s="24" t="s">
        <v>5893</v>
      </c>
      <c r="F124" s="1612"/>
      <c r="G124" s="1611"/>
    </row>
    <row r="125" spans="1:8" s="1400" customFormat="1" ht="35.1" customHeight="1">
      <c r="A125" s="1900"/>
      <c r="B125" s="1903"/>
      <c r="C125" s="1906"/>
      <c r="D125" s="24" t="s">
        <v>5894</v>
      </c>
      <c r="E125" s="24" t="s">
        <v>5895</v>
      </c>
      <c r="F125" s="1612"/>
      <c r="G125" s="1611"/>
    </row>
    <row r="126" spans="1:8" s="1400" customFormat="1" ht="35.1" customHeight="1">
      <c r="A126" s="1900"/>
      <c r="B126" s="1903"/>
      <c r="C126" s="1910" t="s">
        <v>377</v>
      </c>
      <c r="D126" s="24" t="s">
        <v>20</v>
      </c>
      <c r="E126" s="24" t="s">
        <v>5970</v>
      </c>
      <c r="F126" s="1612" t="s">
        <v>5972</v>
      </c>
      <c r="G126" s="1911" t="s">
        <v>5973</v>
      </c>
      <c r="H126" s="1400" t="s">
        <v>5974</v>
      </c>
    </row>
    <row r="127" spans="1:8" s="1400" customFormat="1" ht="35.1" customHeight="1">
      <c r="A127" s="1900"/>
      <c r="B127" s="1903"/>
      <c r="C127" s="1906"/>
      <c r="D127" s="32" t="s">
        <v>5969</v>
      </c>
      <c r="E127" s="31" t="s">
        <v>5971</v>
      </c>
      <c r="F127" s="1612"/>
      <c r="G127" s="1912"/>
    </row>
    <row r="128" spans="1:8" s="1400" customFormat="1" ht="35.1" customHeight="1" thickBot="1">
      <c r="A128" s="1900"/>
      <c r="B128" s="1903"/>
      <c r="C128" s="1543"/>
      <c r="D128" s="16"/>
      <c r="E128" s="15"/>
      <c r="F128" s="1179"/>
      <c r="G128" s="1542"/>
    </row>
    <row r="129" spans="1:8" s="1400" customFormat="1" ht="35.1" customHeight="1" thickBot="1">
      <c r="A129" s="1901"/>
      <c r="B129" s="1904"/>
      <c r="C129" s="12"/>
      <c r="D129" s="11"/>
      <c r="E129" s="10"/>
      <c r="F129" s="10"/>
      <c r="G129" s="9"/>
    </row>
    <row r="130" spans="1:8" s="1400" customFormat="1" ht="35.1" customHeight="1" thickBot="1">
      <c r="A130" s="1907" t="s">
        <v>5</v>
      </c>
      <c r="B130" s="1908"/>
      <c r="C130" s="1908"/>
      <c r="D130" s="1908"/>
      <c r="E130" s="1908"/>
      <c r="F130" s="1908"/>
      <c r="G130" s="1909"/>
    </row>
    <row r="131" spans="1:8" s="1400" customFormat="1" ht="35.1" customHeight="1">
      <c r="A131" s="1899">
        <v>45278</v>
      </c>
      <c r="B131" s="1902" t="s">
        <v>4</v>
      </c>
      <c r="C131" s="1905" t="s">
        <v>5695</v>
      </c>
      <c r="D131" s="24" t="s">
        <v>5696</v>
      </c>
      <c r="E131" s="24" t="s">
        <v>5977</v>
      </c>
      <c r="F131" s="1617"/>
      <c r="G131" s="1618"/>
    </row>
    <row r="132" spans="1:8" s="1400" customFormat="1" ht="35.1" customHeight="1">
      <c r="A132" s="1900"/>
      <c r="B132" s="1903"/>
      <c r="C132" s="1906"/>
      <c r="D132" s="1617" t="s">
        <v>5975</v>
      </c>
      <c r="E132" s="1617" t="s">
        <v>5976</v>
      </c>
      <c r="F132" s="1617"/>
      <c r="G132" s="1619"/>
    </row>
    <row r="133" spans="1:8" s="1400" customFormat="1" ht="35.1" customHeight="1">
      <c r="A133" s="1900"/>
      <c r="B133" s="1903"/>
      <c r="C133" s="1613" t="s">
        <v>288</v>
      </c>
      <c r="D133" s="30" t="s">
        <v>176</v>
      </c>
      <c r="E133" s="29" t="s">
        <v>2145</v>
      </c>
      <c r="F133" s="1617" t="s">
        <v>5924</v>
      </c>
      <c r="G133" s="1614" t="s">
        <v>183</v>
      </c>
    </row>
    <row r="134" spans="1:8" s="1400" customFormat="1" ht="35.1" customHeight="1">
      <c r="A134" s="1900"/>
      <c r="B134" s="1903"/>
      <c r="C134" s="1910" t="s">
        <v>212</v>
      </c>
      <c r="D134" s="24" t="s">
        <v>5947</v>
      </c>
      <c r="E134" s="24" t="s">
        <v>5948</v>
      </c>
      <c r="F134" s="1617"/>
      <c r="G134" s="1911" t="s">
        <v>5951</v>
      </c>
    </row>
    <row r="135" spans="1:8" s="1400" customFormat="1" ht="35.1" customHeight="1">
      <c r="A135" s="1900"/>
      <c r="B135" s="1903"/>
      <c r="C135" s="1906"/>
      <c r="D135" s="32" t="s">
        <v>5950</v>
      </c>
      <c r="E135" s="31" t="s">
        <v>5949</v>
      </c>
      <c r="F135" s="1617"/>
      <c r="G135" s="1912"/>
    </row>
    <row r="136" spans="1:8" s="58" customFormat="1" ht="36" customHeight="1">
      <c r="A136" s="1900"/>
      <c r="B136" s="1903"/>
      <c r="C136" s="1910" t="s">
        <v>5979</v>
      </c>
      <c r="D136" s="1617" t="s">
        <v>176</v>
      </c>
      <c r="E136" s="1617" t="s">
        <v>177</v>
      </c>
      <c r="F136" s="1936" t="s">
        <v>3955</v>
      </c>
      <c r="G136" s="1911" t="s">
        <v>204</v>
      </c>
      <c r="H136" s="58" t="s">
        <v>3953</v>
      </c>
    </row>
    <row r="137" spans="1:8" s="1400" customFormat="1" ht="35.1" customHeight="1">
      <c r="A137" s="1900"/>
      <c r="B137" s="1903"/>
      <c r="C137" s="1914"/>
      <c r="D137" s="32" t="s">
        <v>5978</v>
      </c>
      <c r="E137" s="31" t="s">
        <v>2181</v>
      </c>
      <c r="F137" s="1938"/>
      <c r="G137" s="1912"/>
      <c r="H137" s="1400" t="s">
        <v>5988</v>
      </c>
    </row>
    <row r="138" spans="1:8" s="1400" customFormat="1" ht="35.1" customHeight="1">
      <c r="A138" s="1900"/>
      <c r="B138" s="1903"/>
      <c r="C138" s="1906"/>
      <c r="D138" s="30" t="s">
        <v>20</v>
      </c>
      <c r="E138" s="29" t="s">
        <v>5980</v>
      </c>
      <c r="F138" s="1617" t="s">
        <v>5987</v>
      </c>
      <c r="G138" s="1614" t="s">
        <v>5981</v>
      </c>
    </row>
    <row r="139" spans="1:8" s="1400" customFormat="1" ht="35.1" customHeight="1">
      <c r="A139" s="1900"/>
      <c r="B139" s="1903"/>
      <c r="C139" s="1613" t="s">
        <v>5982</v>
      </c>
      <c r="D139" s="30" t="s">
        <v>5983</v>
      </c>
      <c r="E139" s="29" t="s">
        <v>5984</v>
      </c>
      <c r="F139" s="1617" t="s">
        <v>5985</v>
      </c>
      <c r="G139" s="1614" t="s">
        <v>5986</v>
      </c>
    </row>
    <row r="140" spans="1:8" s="1400" customFormat="1" ht="35.1" customHeight="1">
      <c r="A140" s="1900"/>
      <c r="B140" s="1903"/>
      <c r="C140" s="1910" t="s">
        <v>288</v>
      </c>
      <c r="D140" s="32" t="s">
        <v>5989</v>
      </c>
      <c r="E140" s="31" t="s">
        <v>5990</v>
      </c>
      <c r="F140" s="24"/>
      <c r="G140" s="1911" t="s">
        <v>5996</v>
      </c>
    </row>
    <row r="141" spans="1:8" s="1400" customFormat="1" ht="35.1" customHeight="1">
      <c r="A141" s="1900"/>
      <c r="B141" s="1903"/>
      <c r="C141" s="1906"/>
      <c r="D141" s="30" t="s">
        <v>497</v>
      </c>
      <c r="E141" s="29" t="s">
        <v>5991</v>
      </c>
      <c r="F141" s="1617"/>
      <c r="G141" s="1912"/>
    </row>
    <row r="142" spans="1:8" s="1400" customFormat="1" ht="35.1" customHeight="1">
      <c r="A142" s="1900"/>
      <c r="B142" s="1903"/>
      <c r="C142" s="1910" t="s">
        <v>191</v>
      </c>
      <c r="D142" s="30" t="s">
        <v>5997</v>
      </c>
      <c r="E142" s="29" t="s">
        <v>5998</v>
      </c>
      <c r="F142" s="1617"/>
      <c r="G142" s="1614" t="s">
        <v>5999</v>
      </c>
    </row>
    <row r="143" spans="1:8" ht="36" customHeight="1">
      <c r="A143" s="1900"/>
      <c r="B143" s="1903"/>
      <c r="C143" s="1906"/>
      <c r="D143" s="32" t="s">
        <v>20</v>
      </c>
      <c r="E143" s="31" t="s">
        <v>407</v>
      </c>
      <c r="F143" s="24" t="s">
        <v>172</v>
      </c>
      <c r="G143" s="1619" t="s">
        <v>18</v>
      </c>
      <c r="H143" s="1400" t="s">
        <v>6014</v>
      </c>
    </row>
    <row r="144" spans="1:8" s="1400" customFormat="1" ht="35.1" customHeight="1">
      <c r="A144" s="1900"/>
      <c r="B144" s="1903"/>
      <c r="C144" s="1613" t="s">
        <v>223</v>
      </c>
      <c r="D144" s="32" t="s">
        <v>20</v>
      </c>
      <c r="E144" s="29" t="s">
        <v>6015</v>
      </c>
      <c r="F144" s="1617" t="s">
        <v>201</v>
      </c>
      <c r="G144" s="1614" t="s">
        <v>6016</v>
      </c>
    </row>
    <row r="145" spans="1:8" s="1400" customFormat="1" ht="35.1" customHeight="1">
      <c r="A145" s="1900"/>
      <c r="B145" s="1903"/>
      <c r="C145" s="1620" t="s">
        <v>6017</v>
      </c>
      <c r="D145" s="32" t="s">
        <v>20</v>
      </c>
      <c r="E145" s="31" t="s">
        <v>6018</v>
      </c>
      <c r="F145" s="1617" t="s">
        <v>201</v>
      </c>
      <c r="G145" s="1619" t="s">
        <v>6019</v>
      </c>
    </row>
    <row r="146" spans="1:8" s="1400" customFormat="1" ht="35.1" customHeight="1" thickBot="1">
      <c r="A146" s="1900"/>
      <c r="B146" s="1903"/>
      <c r="C146" s="1615"/>
      <c r="D146" s="26"/>
      <c r="E146" s="25"/>
      <c r="F146" s="1179"/>
      <c r="G146" s="1616"/>
    </row>
    <row r="147" spans="1:8" s="1400" customFormat="1" ht="35.1" customHeight="1" thickBot="1">
      <c r="A147" s="1901"/>
      <c r="B147" s="1904"/>
      <c r="C147" s="12" t="s">
        <v>5906</v>
      </c>
      <c r="D147" s="11" t="s">
        <v>5905</v>
      </c>
      <c r="E147" s="10" t="s">
        <v>5960</v>
      </c>
      <c r="F147" s="10" t="s">
        <v>5907</v>
      </c>
      <c r="G147" s="9"/>
    </row>
    <row r="148" spans="1:8" s="1400" customFormat="1" ht="35.1" customHeight="1">
      <c r="A148" s="1899">
        <v>45279</v>
      </c>
      <c r="B148" s="1902" t="s">
        <v>15</v>
      </c>
      <c r="C148" s="1905" t="s">
        <v>6000</v>
      </c>
      <c r="D148" s="1629" t="s">
        <v>6001</v>
      </c>
      <c r="E148" s="37" t="s">
        <v>6005</v>
      </c>
      <c r="F148" s="24"/>
      <c r="G148" s="1915" t="s">
        <v>6025</v>
      </c>
    </row>
    <row r="149" spans="1:8" s="1400" customFormat="1" ht="35.1" customHeight="1">
      <c r="A149" s="1900"/>
      <c r="B149" s="1903"/>
      <c r="C149" s="1914"/>
      <c r="D149" s="1629" t="s">
        <v>6002</v>
      </c>
      <c r="E149" s="37" t="s">
        <v>6006</v>
      </c>
      <c r="F149" s="1628"/>
      <c r="G149" s="1913"/>
    </row>
    <row r="150" spans="1:8" s="1400" customFormat="1" ht="35.1" customHeight="1">
      <c r="A150" s="1900"/>
      <c r="B150" s="1903"/>
      <c r="C150" s="1914"/>
      <c r="D150" s="1629" t="s">
        <v>6003</v>
      </c>
      <c r="E150" s="37" t="s">
        <v>6007</v>
      </c>
      <c r="F150" s="1628"/>
      <c r="G150" s="1913"/>
    </row>
    <row r="151" spans="1:8" s="1400" customFormat="1" ht="35.1" customHeight="1">
      <c r="A151" s="1900"/>
      <c r="B151" s="1903"/>
      <c r="C151" s="1906"/>
      <c r="D151" s="24" t="s">
        <v>6004</v>
      </c>
      <c r="E151" s="24" t="s">
        <v>6008</v>
      </c>
      <c r="F151" s="1628"/>
      <c r="G151" s="1912"/>
    </row>
    <row r="152" spans="1:8" s="1400" customFormat="1" ht="35.1" customHeight="1">
      <c r="A152" s="1900"/>
      <c r="B152" s="1903"/>
      <c r="C152" s="1631" t="s">
        <v>6009</v>
      </c>
      <c r="D152" s="24" t="s">
        <v>6010</v>
      </c>
      <c r="E152" s="24" t="s">
        <v>6011</v>
      </c>
      <c r="F152" s="1628"/>
      <c r="G152" s="1624" t="s">
        <v>6012</v>
      </c>
    </row>
    <row r="153" spans="1:8" s="1400" customFormat="1" ht="35.1" customHeight="1">
      <c r="A153" s="1900"/>
      <c r="B153" s="1903"/>
      <c r="C153" s="1910" t="s">
        <v>6020</v>
      </c>
      <c r="D153" s="32" t="s">
        <v>6021</v>
      </c>
      <c r="E153" s="31" t="s">
        <v>6022</v>
      </c>
      <c r="F153" s="1628"/>
      <c r="G153" s="1911" t="s">
        <v>6029</v>
      </c>
    </row>
    <row r="154" spans="1:8" s="1400" customFormat="1" ht="35.1" customHeight="1">
      <c r="A154" s="1900"/>
      <c r="B154" s="1903"/>
      <c r="C154" s="1914"/>
      <c r="D154" s="32" t="s">
        <v>242</v>
      </c>
      <c r="E154" s="31" t="s">
        <v>6023</v>
      </c>
      <c r="F154" s="1628"/>
      <c r="G154" s="1913"/>
    </row>
    <row r="155" spans="1:8" s="1400" customFormat="1" ht="35.1" customHeight="1">
      <c r="A155" s="1900"/>
      <c r="B155" s="1903"/>
      <c r="C155" s="1914"/>
      <c r="D155" s="32" t="s">
        <v>20</v>
      </c>
      <c r="E155" s="31" t="s">
        <v>6024</v>
      </c>
      <c r="F155" s="1628" t="s">
        <v>6026</v>
      </c>
      <c r="G155" s="1913"/>
    </row>
    <row r="156" spans="1:8" s="1400" customFormat="1" ht="35.1" customHeight="1">
      <c r="A156" s="1900"/>
      <c r="B156" s="1903"/>
      <c r="C156" s="1906"/>
      <c r="D156" s="32" t="s">
        <v>6027</v>
      </c>
      <c r="E156" s="31" t="s">
        <v>6028</v>
      </c>
      <c r="F156" s="1628" t="s">
        <v>6026</v>
      </c>
      <c r="G156" s="1912"/>
    </row>
    <row r="157" spans="1:8" s="1400" customFormat="1" ht="35.1" customHeight="1">
      <c r="A157" s="1900"/>
      <c r="B157" s="1903"/>
      <c r="C157" s="1910" t="s">
        <v>6040</v>
      </c>
      <c r="D157" s="32" t="s">
        <v>20</v>
      </c>
      <c r="E157" s="31" t="s">
        <v>6041</v>
      </c>
      <c r="F157" s="24" t="s">
        <v>172</v>
      </c>
      <c r="G157" s="1911" t="s">
        <v>261</v>
      </c>
    </row>
    <row r="158" spans="1:8" s="1400" customFormat="1" ht="35.1" customHeight="1">
      <c r="A158" s="1900"/>
      <c r="B158" s="1903"/>
      <c r="C158" s="1906"/>
      <c r="D158" s="32" t="s">
        <v>247</v>
      </c>
      <c r="E158" s="29" t="s">
        <v>6042</v>
      </c>
      <c r="F158" s="1628"/>
      <c r="G158" s="1912"/>
    </row>
    <row r="159" spans="1:8" s="1400" customFormat="1" ht="35.1" customHeight="1">
      <c r="A159" s="1900"/>
      <c r="B159" s="1903"/>
      <c r="C159" s="1623" t="s">
        <v>191</v>
      </c>
      <c r="D159" s="30" t="s">
        <v>20</v>
      </c>
      <c r="E159" s="29" t="s">
        <v>22</v>
      </c>
      <c r="F159" s="1628" t="s">
        <v>172</v>
      </c>
      <c r="G159" s="1625" t="s">
        <v>18</v>
      </c>
      <c r="H159" s="1400" t="s">
        <v>6043</v>
      </c>
    </row>
    <row r="160" spans="1:8" s="1400" customFormat="1" ht="35.1" customHeight="1">
      <c r="A160" s="1900"/>
      <c r="B160" s="1903"/>
      <c r="C160" s="1631" t="s">
        <v>6044</v>
      </c>
      <c r="D160" s="32" t="s">
        <v>6046</v>
      </c>
      <c r="E160" s="31" t="s">
        <v>6045</v>
      </c>
      <c r="F160" s="24"/>
      <c r="G160" s="1630"/>
    </row>
    <row r="161" spans="1:8" s="1400" customFormat="1" ht="35.1" customHeight="1" thickBot="1">
      <c r="A161" s="1900"/>
      <c r="B161" s="1903"/>
      <c r="C161" s="1622"/>
      <c r="D161" s="26"/>
      <c r="E161" s="25"/>
      <c r="F161" s="1179"/>
      <c r="G161" s="1621"/>
    </row>
    <row r="162" spans="1:8" s="1400" customFormat="1" ht="35.1" customHeight="1" thickBot="1">
      <c r="A162" s="1901"/>
      <c r="B162" s="1904"/>
      <c r="C162" s="12" t="s">
        <v>5961</v>
      </c>
      <c r="D162" s="11" t="s">
        <v>5962</v>
      </c>
      <c r="E162" s="10" t="s">
        <v>5963</v>
      </c>
      <c r="F162" s="10" t="s">
        <v>5964</v>
      </c>
      <c r="G162" s="9"/>
    </row>
    <row r="163" spans="1:8" s="1400" customFormat="1" ht="35.1" customHeight="1">
      <c r="A163" s="1900">
        <v>45280</v>
      </c>
      <c r="B163" s="1903" t="s">
        <v>6013</v>
      </c>
      <c r="C163" s="1637" t="s">
        <v>6030</v>
      </c>
      <c r="D163" s="24" t="s">
        <v>6031</v>
      </c>
      <c r="E163" s="24" t="s">
        <v>6032</v>
      </c>
      <c r="F163" s="1635"/>
      <c r="G163" s="1632" t="s">
        <v>4890</v>
      </c>
    </row>
    <row r="164" spans="1:8" s="1400" customFormat="1" ht="35.1" customHeight="1">
      <c r="A164" s="1900"/>
      <c r="B164" s="1903"/>
      <c r="C164" s="1637" t="s">
        <v>5992</v>
      </c>
      <c r="D164" s="32" t="s">
        <v>5993</v>
      </c>
      <c r="E164" s="31" t="s">
        <v>5994</v>
      </c>
      <c r="F164" s="24"/>
      <c r="G164" s="1636" t="s">
        <v>261</v>
      </c>
      <c r="H164" s="1400" t="s">
        <v>5995</v>
      </c>
    </row>
    <row r="165" spans="1:8" s="1400" customFormat="1" ht="35.1" customHeight="1">
      <c r="A165" s="1900"/>
      <c r="B165" s="1903"/>
      <c r="C165" s="1637" t="s">
        <v>6033</v>
      </c>
      <c r="D165" s="32" t="s">
        <v>6034</v>
      </c>
      <c r="E165" s="31" t="s">
        <v>6035</v>
      </c>
      <c r="F165" s="24" t="s">
        <v>6036</v>
      </c>
      <c r="G165" s="1636" t="s">
        <v>6039</v>
      </c>
      <c r="H165" s="1400" t="s">
        <v>6038</v>
      </c>
    </row>
    <row r="166" spans="1:8" s="1400" customFormat="1" ht="35.1" customHeight="1">
      <c r="A166" s="1900"/>
      <c r="B166" s="1903"/>
      <c r="C166" s="1637" t="s">
        <v>6044</v>
      </c>
      <c r="D166" s="32" t="s">
        <v>6047</v>
      </c>
      <c r="E166" s="31" t="s">
        <v>6048</v>
      </c>
      <c r="F166" s="24" t="s">
        <v>6049</v>
      </c>
      <c r="G166" s="1636"/>
    </row>
    <row r="167" spans="1:8" s="1400" customFormat="1" ht="35.1" customHeight="1">
      <c r="A167" s="1900"/>
      <c r="B167" s="1903"/>
      <c r="C167" s="1637" t="s">
        <v>6050</v>
      </c>
      <c r="D167" s="32" t="s">
        <v>20</v>
      </c>
      <c r="E167" s="31" t="s">
        <v>6051</v>
      </c>
      <c r="F167" s="24" t="s">
        <v>2866</v>
      </c>
      <c r="G167" s="1636" t="s">
        <v>6052</v>
      </c>
    </row>
    <row r="168" spans="1:8" s="1400" customFormat="1" ht="35.1" customHeight="1">
      <c r="A168" s="1900"/>
      <c r="B168" s="1903"/>
      <c r="C168" s="1634" t="s">
        <v>415</v>
      </c>
      <c r="D168" s="30" t="s">
        <v>6058</v>
      </c>
      <c r="E168" s="29" t="s">
        <v>6059</v>
      </c>
      <c r="F168" s="1635"/>
      <c r="G168" s="1633" t="s">
        <v>6060</v>
      </c>
      <c r="H168" s="1400" t="s">
        <v>6061</v>
      </c>
    </row>
    <row r="169" spans="1:8" s="1400" customFormat="1" ht="35.1" customHeight="1">
      <c r="A169" s="1900"/>
      <c r="B169" s="1903"/>
      <c r="C169" s="1910" t="s">
        <v>2762</v>
      </c>
      <c r="D169" s="32" t="s">
        <v>6066</v>
      </c>
      <c r="E169" s="31" t="s">
        <v>6068</v>
      </c>
      <c r="F169" s="24"/>
      <c r="G169" s="1911" t="s">
        <v>2758</v>
      </c>
    </row>
    <row r="170" spans="1:8" s="1400" customFormat="1" ht="35.1" customHeight="1">
      <c r="A170" s="1900"/>
      <c r="B170" s="1903"/>
      <c r="C170" s="1914"/>
      <c r="D170" s="30" t="s">
        <v>2833</v>
      </c>
      <c r="E170" s="29" t="s">
        <v>6069</v>
      </c>
      <c r="F170" s="1635"/>
      <c r="G170" s="1913"/>
    </row>
    <row r="171" spans="1:8" s="1400" customFormat="1" ht="35.1" customHeight="1">
      <c r="A171" s="1900"/>
      <c r="B171" s="1903"/>
      <c r="C171" s="1906"/>
      <c r="D171" s="30" t="s">
        <v>6067</v>
      </c>
      <c r="E171" s="29" t="s">
        <v>6070</v>
      </c>
      <c r="F171" s="1635"/>
      <c r="G171" s="1912"/>
    </row>
    <row r="172" spans="1:8" s="1400" customFormat="1" ht="35.1" customHeight="1" thickBot="1">
      <c r="A172" s="1900"/>
      <c r="B172" s="1903"/>
      <c r="C172" s="1626"/>
      <c r="D172" s="26"/>
      <c r="E172" s="25"/>
      <c r="F172" s="1179"/>
      <c r="G172" s="1627"/>
    </row>
    <row r="173" spans="1:8" s="1400" customFormat="1" ht="35.1" customHeight="1" thickBot="1">
      <c r="A173" s="1901"/>
      <c r="B173" s="1904"/>
      <c r="C173" s="12"/>
      <c r="D173" s="11"/>
      <c r="E173" s="10"/>
      <c r="F173" s="10"/>
      <c r="G173" s="9"/>
    </row>
    <row r="174" spans="1:8" s="1400" customFormat="1" ht="35.1" customHeight="1">
      <c r="A174" s="1899">
        <v>45281</v>
      </c>
      <c r="B174" s="1902" t="s">
        <v>1</v>
      </c>
      <c r="C174" s="1640" t="s">
        <v>6053</v>
      </c>
      <c r="D174" s="32" t="s">
        <v>6054</v>
      </c>
      <c r="E174" s="24" t="s">
        <v>6055</v>
      </c>
      <c r="F174" s="1639" t="s">
        <v>6056</v>
      </c>
      <c r="G174" s="1638"/>
      <c r="H174" s="1400" t="s">
        <v>6057</v>
      </c>
    </row>
    <row r="175" spans="1:8" s="1400" customFormat="1" ht="35.1" customHeight="1">
      <c r="A175" s="1900"/>
      <c r="B175" s="1903"/>
      <c r="C175" s="1910" t="s">
        <v>6062</v>
      </c>
      <c r="D175" s="24" t="s">
        <v>6063</v>
      </c>
      <c r="E175" s="24" t="s">
        <v>6064</v>
      </c>
      <c r="F175" s="1639"/>
      <c r="G175" s="1911" t="s">
        <v>6065</v>
      </c>
    </row>
    <row r="176" spans="1:8" s="1400" customFormat="1" ht="35.1" customHeight="1">
      <c r="A176" s="1900"/>
      <c r="B176" s="1903"/>
      <c r="C176" s="1906"/>
      <c r="D176" s="24" t="s">
        <v>43</v>
      </c>
      <c r="E176" s="24" t="s">
        <v>6074</v>
      </c>
      <c r="F176" s="1639"/>
      <c r="G176" s="1912"/>
    </row>
    <row r="177" spans="1:10" s="1400" customFormat="1" ht="35.1" customHeight="1" thickBot="1">
      <c r="A177" s="1900"/>
      <c r="B177" s="1903"/>
      <c r="C177" s="21"/>
      <c r="D177" s="20"/>
      <c r="E177" s="19"/>
      <c r="F177" s="1547"/>
      <c r="G177" s="1542"/>
    </row>
    <row r="178" spans="1:10" s="1400" customFormat="1" ht="35.1" customHeight="1" thickBot="1">
      <c r="A178" s="1901"/>
      <c r="B178" s="1904"/>
      <c r="C178" s="12"/>
      <c r="D178" s="11"/>
      <c r="E178" s="10"/>
      <c r="F178" s="10"/>
      <c r="G178" s="9"/>
    </row>
    <row r="179" spans="1:10" s="1400" customFormat="1" ht="35.1" customHeight="1">
      <c r="A179" s="1899">
        <v>45282</v>
      </c>
      <c r="B179" s="1902" t="s">
        <v>0</v>
      </c>
      <c r="C179" s="1648" t="s">
        <v>6071</v>
      </c>
      <c r="D179" s="32" t="s">
        <v>6073</v>
      </c>
      <c r="E179" s="24" t="s">
        <v>6072</v>
      </c>
      <c r="F179" s="1646"/>
      <c r="G179" s="1641"/>
    </row>
    <row r="180" spans="1:10" s="1400" customFormat="1" ht="35.1" customHeight="1">
      <c r="A180" s="1900"/>
      <c r="B180" s="1903"/>
      <c r="C180" s="1648" t="s">
        <v>6079</v>
      </c>
      <c r="D180" s="24" t="s">
        <v>6080</v>
      </c>
      <c r="E180" s="24" t="s">
        <v>6081</v>
      </c>
      <c r="F180" s="1646"/>
      <c r="G180" s="1641"/>
    </row>
    <row r="181" spans="1:10" s="1400" customFormat="1" ht="35.1" customHeight="1">
      <c r="A181" s="1900"/>
      <c r="B181" s="1903"/>
      <c r="C181" s="1648" t="s">
        <v>288</v>
      </c>
      <c r="D181" s="32" t="s">
        <v>6085</v>
      </c>
      <c r="E181" s="31" t="s">
        <v>6086</v>
      </c>
      <c r="F181" s="24" t="s">
        <v>6087</v>
      </c>
      <c r="G181" s="1647" t="s">
        <v>6088</v>
      </c>
      <c r="J181" s="1400" t="s">
        <v>6089</v>
      </c>
    </row>
    <row r="182" spans="1:10" s="1400" customFormat="1" ht="35.1" customHeight="1">
      <c r="A182" s="1900"/>
      <c r="B182" s="1903"/>
      <c r="C182" s="1648" t="s">
        <v>6090</v>
      </c>
      <c r="D182" s="32"/>
      <c r="E182" s="31"/>
      <c r="F182" s="24"/>
      <c r="G182" s="1647" t="s">
        <v>6092</v>
      </c>
      <c r="H182" s="1400" t="s">
        <v>6091</v>
      </c>
    </row>
    <row r="183" spans="1:10" s="1400" customFormat="1" ht="35.1" customHeight="1" thickBot="1">
      <c r="A183" s="1900"/>
      <c r="B183" s="1903"/>
      <c r="C183" s="1643" t="s">
        <v>237</v>
      </c>
      <c r="D183" s="35" t="s">
        <v>215</v>
      </c>
      <c r="E183" s="34" t="s">
        <v>391</v>
      </c>
      <c r="F183" s="1645" t="s">
        <v>422</v>
      </c>
      <c r="G183" s="1642" t="s">
        <v>204</v>
      </c>
      <c r="H183" s="1400" t="s">
        <v>2869</v>
      </c>
    </row>
    <row r="184" spans="1:10" s="1400" customFormat="1" ht="35.1" customHeight="1" thickBot="1">
      <c r="A184" s="1901"/>
      <c r="B184" s="1904"/>
      <c r="C184" s="12" t="s">
        <v>1483</v>
      </c>
      <c r="D184" s="11" t="s">
        <v>252</v>
      </c>
      <c r="E184" s="10"/>
      <c r="F184" s="10" t="s">
        <v>390</v>
      </c>
      <c r="G184" s="9"/>
    </row>
    <row r="185" spans="1:10" s="1400" customFormat="1" ht="35.1" customHeight="1" thickBot="1">
      <c r="A185" s="1907" t="s">
        <v>5</v>
      </c>
      <c r="B185" s="1908"/>
      <c r="C185" s="1908"/>
      <c r="D185" s="1908"/>
      <c r="E185" s="1908"/>
      <c r="F185" s="1908"/>
      <c r="G185" s="1909"/>
    </row>
    <row r="186" spans="1:10" s="1400" customFormat="1" ht="35.1" customHeight="1">
      <c r="A186" s="1899">
        <v>45286</v>
      </c>
      <c r="B186" s="1902" t="s">
        <v>3</v>
      </c>
      <c r="C186" s="1657" t="s">
        <v>5729</v>
      </c>
      <c r="D186" s="24" t="s">
        <v>5730</v>
      </c>
      <c r="E186" s="24" t="s">
        <v>6082</v>
      </c>
      <c r="F186" s="1656"/>
      <c r="G186" s="1651"/>
    </row>
    <row r="187" spans="1:10" s="1400" customFormat="1" ht="35.1" customHeight="1">
      <c r="A187" s="1900"/>
      <c r="B187" s="1903"/>
      <c r="C187" s="1657" t="s">
        <v>6097</v>
      </c>
      <c r="D187" s="24" t="s">
        <v>6098</v>
      </c>
      <c r="E187" s="24" t="s">
        <v>6099</v>
      </c>
      <c r="F187" s="1656"/>
      <c r="G187" s="1651"/>
    </row>
    <row r="188" spans="1:10" s="1400" customFormat="1" ht="35.1" customHeight="1">
      <c r="A188" s="1900"/>
      <c r="B188" s="1903"/>
      <c r="C188" s="1657" t="s">
        <v>232</v>
      </c>
      <c r="D188" s="32" t="s">
        <v>1036</v>
      </c>
      <c r="E188" s="31" t="s">
        <v>226</v>
      </c>
      <c r="F188" s="1656" t="s">
        <v>489</v>
      </c>
      <c r="G188" s="1651" t="s">
        <v>3921</v>
      </c>
    </row>
    <row r="189" spans="1:10" s="1400" customFormat="1" ht="35.1" customHeight="1">
      <c r="A189" s="1900"/>
      <c r="B189" s="1903"/>
      <c r="C189" s="1910" t="s">
        <v>477</v>
      </c>
      <c r="D189" s="24" t="s">
        <v>6102</v>
      </c>
      <c r="E189" s="24" t="s">
        <v>6103</v>
      </c>
      <c r="F189" s="1656" t="s">
        <v>6104</v>
      </c>
      <c r="G189" s="1651" t="s">
        <v>6105</v>
      </c>
      <c r="H189" s="1400" t="s">
        <v>6106</v>
      </c>
    </row>
    <row r="190" spans="1:10" s="1400" customFormat="1" ht="35.1" customHeight="1">
      <c r="A190" s="1900"/>
      <c r="B190" s="1903"/>
      <c r="C190" s="1914"/>
      <c r="D190" s="32" t="s">
        <v>6107</v>
      </c>
      <c r="E190" s="31" t="s">
        <v>6109</v>
      </c>
      <c r="F190" s="1936" t="s">
        <v>6113</v>
      </c>
      <c r="G190" s="1911" t="s">
        <v>6114</v>
      </c>
    </row>
    <row r="191" spans="1:10" s="1400" customFormat="1" ht="35.1" customHeight="1">
      <c r="A191" s="1900"/>
      <c r="B191" s="1903"/>
      <c r="C191" s="1914"/>
      <c r="D191" s="24" t="s">
        <v>6110</v>
      </c>
      <c r="E191" s="24" t="s">
        <v>6111</v>
      </c>
      <c r="F191" s="1937"/>
      <c r="G191" s="1913"/>
    </row>
    <row r="192" spans="1:10" s="1400" customFormat="1" ht="35.1" customHeight="1">
      <c r="A192" s="1900"/>
      <c r="B192" s="1903"/>
      <c r="C192" s="1906"/>
      <c r="D192" s="24" t="s">
        <v>6102</v>
      </c>
      <c r="E192" s="31" t="s">
        <v>6112</v>
      </c>
      <c r="F192" s="1938"/>
      <c r="G192" s="1912"/>
    </row>
    <row r="193" spans="1:8" s="1400" customFormat="1" ht="35.1" customHeight="1">
      <c r="A193" s="1900"/>
      <c r="B193" s="1903"/>
      <c r="C193" s="1657" t="s">
        <v>288</v>
      </c>
      <c r="D193" s="24" t="s">
        <v>6122</v>
      </c>
      <c r="E193" s="24" t="s">
        <v>6123</v>
      </c>
      <c r="F193" s="1656"/>
      <c r="G193" s="1651" t="s">
        <v>261</v>
      </c>
    </row>
    <row r="194" spans="1:8" s="1400" customFormat="1" ht="35.1" customHeight="1">
      <c r="A194" s="1900"/>
      <c r="B194" s="1903"/>
      <c r="C194" s="1910" t="s">
        <v>6131</v>
      </c>
      <c r="D194" s="32" t="s">
        <v>6132</v>
      </c>
      <c r="E194" s="31" t="s">
        <v>6133</v>
      </c>
      <c r="F194" s="1936" t="s">
        <v>6136</v>
      </c>
      <c r="G194" s="1911" t="s">
        <v>6137</v>
      </c>
    </row>
    <row r="195" spans="1:8" s="1400" customFormat="1" ht="35.1" customHeight="1">
      <c r="A195" s="1900"/>
      <c r="B195" s="1903"/>
      <c r="C195" s="1906"/>
      <c r="D195" s="32" t="s">
        <v>6135</v>
      </c>
      <c r="E195" s="31" t="s">
        <v>6134</v>
      </c>
      <c r="F195" s="1938"/>
      <c r="G195" s="1912"/>
    </row>
    <row r="196" spans="1:8" s="1400" customFormat="1" ht="35.1" customHeight="1">
      <c r="A196" s="1900"/>
      <c r="B196" s="1903"/>
      <c r="C196" s="1657" t="s">
        <v>6124</v>
      </c>
      <c r="D196" s="32" t="s">
        <v>6125</v>
      </c>
      <c r="E196" s="31" t="s">
        <v>6126</v>
      </c>
      <c r="F196" s="1656" t="s">
        <v>6127</v>
      </c>
      <c r="G196" s="1651" t="s">
        <v>6128</v>
      </c>
      <c r="H196" s="1400" t="s">
        <v>6129</v>
      </c>
    </row>
    <row r="197" spans="1:8" s="1400" customFormat="1" ht="35.1" customHeight="1">
      <c r="A197" s="1900"/>
      <c r="B197" s="1903"/>
      <c r="C197" s="1657" t="s">
        <v>428</v>
      </c>
      <c r="D197" s="32" t="s">
        <v>610</v>
      </c>
      <c r="E197" s="31" t="s">
        <v>226</v>
      </c>
      <c r="F197" s="1656"/>
      <c r="G197" s="1651" t="s">
        <v>6130</v>
      </c>
    </row>
    <row r="198" spans="1:8" s="1400" customFormat="1" ht="35.1" customHeight="1" thickBot="1">
      <c r="A198" s="1900"/>
      <c r="B198" s="1903"/>
      <c r="C198" s="1543"/>
      <c r="D198" s="16"/>
      <c r="E198" s="15"/>
      <c r="F198" s="1179"/>
      <c r="G198" s="1542"/>
    </row>
    <row r="199" spans="1:8" s="1400" customFormat="1" ht="35.1" customHeight="1" thickBot="1">
      <c r="A199" s="1901"/>
      <c r="B199" s="1904"/>
      <c r="C199" s="12" t="s">
        <v>6075</v>
      </c>
      <c r="D199" s="11" t="s">
        <v>6076</v>
      </c>
      <c r="E199" s="10" t="s">
        <v>6077</v>
      </c>
      <c r="F199" s="10" t="s">
        <v>6078</v>
      </c>
      <c r="G199" s="9"/>
    </row>
    <row r="200" spans="1:8" s="1400" customFormat="1" ht="35.1" customHeight="1">
      <c r="A200" s="1899">
        <v>45287</v>
      </c>
      <c r="B200" s="1902" t="s">
        <v>2</v>
      </c>
      <c r="C200" s="1657" t="s">
        <v>232</v>
      </c>
      <c r="D200" s="24" t="s">
        <v>6138</v>
      </c>
      <c r="E200" s="24" t="s">
        <v>6141</v>
      </c>
      <c r="F200" s="1656" t="s">
        <v>6139</v>
      </c>
      <c r="G200" s="1651"/>
      <c r="H200" s="1400" t="s">
        <v>6140</v>
      </c>
    </row>
    <row r="201" spans="1:8" s="1400" customFormat="1" ht="35.1" customHeight="1">
      <c r="A201" s="1900"/>
      <c r="B201" s="1903"/>
      <c r="C201" s="1910" t="s">
        <v>6142</v>
      </c>
      <c r="D201" s="24" t="s">
        <v>6143</v>
      </c>
      <c r="E201" s="24" t="s">
        <v>6108</v>
      </c>
      <c r="F201" s="1656"/>
      <c r="G201" s="1651" t="s">
        <v>6144</v>
      </c>
      <c r="H201" s="1400" t="s">
        <v>6145</v>
      </c>
    </row>
    <row r="202" spans="1:8" s="1400" customFormat="1" ht="35.1" customHeight="1">
      <c r="A202" s="1900"/>
      <c r="B202" s="1903"/>
      <c r="C202" s="1906"/>
      <c r="D202" s="32" t="s">
        <v>6151</v>
      </c>
      <c r="E202" s="31" t="s">
        <v>6152</v>
      </c>
      <c r="F202" s="1656"/>
      <c r="G202" s="1651" t="s">
        <v>6153</v>
      </c>
    </row>
    <row r="203" spans="1:8" s="1400" customFormat="1" ht="35.1" customHeight="1">
      <c r="A203" s="1900"/>
      <c r="B203" s="1903"/>
      <c r="C203" s="1652"/>
      <c r="D203" s="1658" t="s">
        <v>6160</v>
      </c>
      <c r="E203" s="37"/>
      <c r="F203" s="24"/>
      <c r="G203" s="1651"/>
    </row>
    <row r="204" spans="1:8" s="1400" customFormat="1" ht="35.1" customHeight="1">
      <c r="A204" s="1900"/>
      <c r="B204" s="1903"/>
      <c r="C204" s="1910" t="s">
        <v>6161</v>
      </c>
      <c r="D204" s="1658" t="s">
        <v>20</v>
      </c>
      <c r="E204" s="37" t="s">
        <v>6165</v>
      </c>
      <c r="F204" s="1656"/>
      <c r="G204" s="1651"/>
    </row>
    <row r="205" spans="1:8" s="1400" customFormat="1" ht="35.1" customHeight="1">
      <c r="A205" s="1900"/>
      <c r="B205" s="1903"/>
      <c r="C205" s="1914"/>
      <c r="D205" s="1658" t="s">
        <v>6162</v>
      </c>
      <c r="E205" s="37" t="s">
        <v>6166</v>
      </c>
      <c r="F205" s="1656"/>
      <c r="G205" s="1651"/>
    </row>
    <row r="206" spans="1:8" s="1400" customFormat="1" ht="35.1" customHeight="1">
      <c r="A206" s="1900"/>
      <c r="B206" s="1903"/>
      <c r="C206" s="1906"/>
      <c r="D206" s="24" t="s">
        <v>6163</v>
      </c>
      <c r="E206" s="24" t="s">
        <v>6164</v>
      </c>
      <c r="F206" s="1656"/>
      <c r="G206" s="1651"/>
    </row>
    <row r="207" spans="1:8" s="1400" customFormat="1" ht="35.1" customHeight="1">
      <c r="A207" s="1900"/>
      <c r="B207" s="1903"/>
      <c r="C207" s="1653" t="s">
        <v>6167</v>
      </c>
      <c r="D207" s="24" t="s">
        <v>6168</v>
      </c>
      <c r="E207" s="24" t="s">
        <v>6169</v>
      </c>
      <c r="F207" s="1656"/>
      <c r="G207" s="1651"/>
    </row>
    <row r="208" spans="1:8" s="1400" customFormat="1" ht="35.1" customHeight="1" thickBot="1">
      <c r="A208" s="1900"/>
      <c r="B208" s="1903"/>
      <c r="C208" s="1655"/>
      <c r="D208" s="22"/>
      <c r="E208" s="22"/>
      <c r="F208" s="1563"/>
      <c r="G208" s="1654"/>
    </row>
    <row r="209" spans="1:14" s="1400" customFormat="1" ht="35.1" hidden="1" customHeight="1">
      <c r="A209" s="1900"/>
      <c r="B209" s="1903"/>
      <c r="C209" s="1655"/>
      <c r="D209" s="22"/>
      <c r="E209" s="22"/>
      <c r="F209" s="1563"/>
      <c r="G209" s="1654"/>
    </row>
    <row r="210" spans="1:14" s="1400" customFormat="1" ht="35.1" hidden="1" customHeight="1" thickBot="1">
      <c r="A210" s="1900"/>
      <c r="B210" s="1903"/>
      <c r="C210" s="21"/>
      <c r="D210" s="20"/>
      <c r="E210" s="19"/>
      <c r="F210" s="1563"/>
      <c r="G210" s="1650"/>
    </row>
    <row r="211" spans="1:14" s="1400" customFormat="1" ht="35.1" customHeight="1" thickBot="1">
      <c r="A211" s="1900"/>
      <c r="B211" s="1903"/>
      <c r="C211" s="12" t="s">
        <v>2315</v>
      </c>
      <c r="D211" s="11" t="s">
        <v>252</v>
      </c>
      <c r="E211" s="10" t="s">
        <v>5006</v>
      </c>
      <c r="F211" s="10" t="s">
        <v>2317</v>
      </c>
      <c r="G211" s="9"/>
    </row>
    <row r="212" spans="1:14" s="1400" customFormat="1" ht="35.1" customHeight="1" thickBot="1">
      <c r="A212" s="1901"/>
      <c r="B212" s="1904"/>
      <c r="C212" s="12" t="s">
        <v>6100</v>
      </c>
      <c r="D212" s="11" t="s">
        <v>6101</v>
      </c>
      <c r="E212" s="10" t="s">
        <v>6116</v>
      </c>
      <c r="F212" s="10" t="s">
        <v>6115</v>
      </c>
      <c r="G212" s="9"/>
    </row>
    <row r="213" spans="1:14" s="1400" customFormat="1" ht="35.1" customHeight="1">
      <c r="A213" s="1899">
        <v>45288</v>
      </c>
      <c r="B213" s="1902" t="s">
        <v>1</v>
      </c>
      <c r="C213" s="1661" t="s">
        <v>6083</v>
      </c>
      <c r="D213" s="24" t="s">
        <v>497</v>
      </c>
      <c r="E213" s="24" t="s">
        <v>6084</v>
      </c>
      <c r="F213" s="1660"/>
      <c r="G213" s="1659"/>
    </row>
    <row r="214" spans="1:14" s="1400" customFormat="1" ht="35.1" customHeight="1">
      <c r="A214" s="1900"/>
      <c r="B214" s="1903"/>
      <c r="C214" s="1661" t="s">
        <v>274</v>
      </c>
      <c r="D214" s="24" t="s">
        <v>6173</v>
      </c>
      <c r="E214" s="24" t="s">
        <v>6174</v>
      </c>
      <c r="F214" s="1660" t="s">
        <v>6175</v>
      </c>
      <c r="G214" s="1659"/>
    </row>
    <row r="215" spans="1:14" s="1400" customFormat="1" ht="35.1" customHeight="1">
      <c r="A215" s="1900"/>
      <c r="B215" s="1903"/>
      <c r="C215" s="1661" t="s">
        <v>6180</v>
      </c>
      <c r="D215" s="32" t="s">
        <v>266</v>
      </c>
      <c r="E215" s="31" t="s">
        <v>6181</v>
      </c>
      <c r="F215" s="1660"/>
      <c r="G215" s="1659" t="s">
        <v>6182</v>
      </c>
      <c r="H215" s="1400" t="s">
        <v>6183</v>
      </c>
    </row>
    <row r="216" spans="1:14" s="1400" customFormat="1" ht="35.1" customHeight="1" thickBot="1">
      <c r="A216" s="1900"/>
      <c r="B216" s="1903"/>
      <c r="C216" s="1543"/>
      <c r="D216" s="16"/>
      <c r="E216" s="15"/>
      <c r="F216" s="1179"/>
      <c r="G216" s="1542"/>
    </row>
    <row r="217" spans="1:14" s="1400" customFormat="1" ht="35.1" customHeight="1" thickBot="1">
      <c r="A217" s="1901"/>
      <c r="B217" s="1904"/>
      <c r="C217" s="12" t="s">
        <v>6117</v>
      </c>
      <c r="D217" s="11" t="s">
        <v>252</v>
      </c>
      <c r="E217" s="10"/>
      <c r="F217" s="10" t="s">
        <v>6118</v>
      </c>
      <c r="G217" s="9"/>
    </row>
    <row r="218" spans="1:14" s="1400" customFormat="1" ht="35.1" customHeight="1">
      <c r="A218" s="1899">
        <v>45289</v>
      </c>
      <c r="B218" s="1902" t="s">
        <v>0</v>
      </c>
      <c r="C218" s="1905" t="s">
        <v>272</v>
      </c>
      <c r="D218" s="24" t="s">
        <v>6176</v>
      </c>
      <c r="E218" s="24" t="s">
        <v>6170</v>
      </c>
      <c r="F218" s="1671" t="s">
        <v>6177</v>
      </c>
      <c r="G218" s="1662"/>
      <c r="H218" s="1400" t="s">
        <v>6171</v>
      </c>
    </row>
    <row r="219" spans="1:14" s="1400" customFormat="1" ht="35.1" customHeight="1">
      <c r="A219" s="1900"/>
      <c r="B219" s="1903"/>
      <c r="C219" s="1906"/>
      <c r="D219" s="24" t="s">
        <v>6192</v>
      </c>
      <c r="E219" s="24" t="s">
        <v>6193</v>
      </c>
      <c r="F219" s="1671"/>
      <c r="G219" s="1662"/>
    </row>
    <row r="220" spans="1:14" s="1400" customFormat="1" ht="35.1" customHeight="1">
      <c r="A220" s="1900"/>
      <c r="B220" s="1903"/>
      <c r="C220" s="1663"/>
      <c r="D220" s="1674" t="s">
        <v>352</v>
      </c>
      <c r="E220" s="37"/>
      <c r="F220" s="24"/>
      <c r="G220" s="1662"/>
    </row>
    <row r="221" spans="1:14" s="1400" customFormat="1" ht="35.1" customHeight="1">
      <c r="A221" s="1900"/>
      <c r="B221" s="1903"/>
      <c r="C221" s="1673" t="s">
        <v>6194</v>
      </c>
      <c r="D221" s="32" t="s">
        <v>6195</v>
      </c>
      <c r="E221" s="31"/>
      <c r="F221" s="24"/>
      <c r="G221" s="1672"/>
      <c r="N221" s="1400" t="s">
        <v>6191</v>
      </c>
    </row>
    <row r="222" spans="1:14" s="1400" customFormat="1" ht="35.1" customHeight="1">
      <c r="A222" s="1900"/>
      <c r="B222" s="1903"/>
      <c r="C222" s="1673" t="s">
        <v>6196</v>
      </c>
      <c r="D222" s="32" t="s">
        <v>6197</v>
      </c>
      <c r="E222" s="31" t="s">
        <v>6198</v>
      </c>
      <c r="F222" s="24" t="s">
        <v>6199</v>
      </c>
      <c r="G222" s="1672" t="s">
        <v>6200</v>
      </c>
    </row>
    <row r="223" spans="1:14" s="1400" customFormat="1" ht="35.1" customHeight="1">
      <c r="A223" s="1900"/>
      <c r="B223" s="1903"/>
      <c r="C223" s="1910" t="s">
        <v>192</v>
      </c>
      <c r="D223" s="24" t="s">
        <v>6211</v>
      </c>
      <c r="E223" s="24" t="s">
        <v>6212</v>
      </c>
      <c r="F223" s="24"/>
      <c r="G223" s="1911" t="s">
        <v>6216</v>
      </c>
    </row>
    <row r="224" spans="1:14" s="1400" customFormat="1" ht="35.1" customHeight="1">
      <c r="A224" s="1900"/>
      <c r="B224" s="1903"/>
      <c r="C224" s="1914"/>
      <c r="D224" s="24" t="s">
        <v>6217</v>
      </c>
      <c r="E224" s="24" t="s">
        <v>6213</v>
      </c>
      <c r="F224" s="1671"/>
      <c r="G224" s="1913"/>
    </row>
    <row r="225" spans="1:7" s="1400" customFormat="1" ht="35.1" customHeight="1">
      <c r="A225" s="1900"/>
      <c r="B225" s="1903"/>
      <c r="C225" s="1914"/>
      <c r="D225" s="32" t="s">
        <v>6214</v>
      </c>
      <c r="E225" s="31" t="s">
        <v>202</v>
      </c>
      <c r="F225" s="1671"/>
      <c r="G225" s="1913"/>
    </row>
    <row r="226" spans="1:7" s="1400" customFormat="1" ht="35.1" customHeight="1">
      <c r="A226" s="1900"/>
      <c r="B226" s="1903"/>
      <c r="C226" s="1906"/>
      <c r="D226" s="32" t="s">
        <v>233</v>
      </c>
      <c r="E226" s="31" t="s">
        <v>6215</v>
      </c>
      <c r="F226" s="1671"/>
      <c r="G226" s="1912"/>
    </row>
    <row r="227" spans="1:7" s="1400" customFormat="1" ht="35.1" customHeight="1">
      <c r="A227" s="1900"/>
      <c r="B227" s="1903"/>
      <c r="C227" s="1673" t="s">
        <v>6218</v>
      </c>
      <c r="D227" s="32" t="s">
        <v>6219</v>
      </c>
      <c r="E227" s="31" t="s">
        <v>6220</v>
      </c>
      <c r="F227" s="24" t="s">
        <v>6221</v>
      </c>
      <c r="G227" s="1672" t="s">
        <v>6222</v>
      </c>
    </row>
    <row r="228" spans="1:7" s="1400" customFormat="1" ht="35.1" customHeight="1">
      <c r="A228" s="1900"/>
      <c r="B228" s="1903"/>
      <c r="C228" s="1668"/>
      <c r="D228" s="28"/>
      <c r="E228" s="27"/>
      <c r="F228" s="1676"/>
      <c r="G228" s="1667"/>
    </row>
    <row r="229" spans="1:7" s="1400" customFormat="1" ht="35.1" customHeight="1" thickBot="1">
      <c r="A229" s="1900"/>
      <c r="B229" s="1903"/>
      <c r="C229" s="1669"/>
      <c r="D229" s="26"/>
      <c r="E229" s="25"/>
      <c r="F229" s="1675"/>
      <c r="G229" s="1666"/>
    </row>
    <row r="230" spans="1:7" s="1400" customFormat="1" ht="35.1" customHeight="1" thickBot="1">
      <c r="A230" s="1900"/>
      <c r="B230" s="1903"/>
      <c r="C230" s="12" t="s">
        <v>6178</v>
      </c>
      <c r="D230" s="11" t="s">
        <v>252</v>
      </c>
      <c r="E230" s="10"/>
      <c r="F230" s="10" t="s">
        <v>6179</v>
      </c>
      <c r="G230" s="9"/>
    </row>
    <row r="231" spans="1:7" s="1400" customFormat="1" ht="35.1" customHeight="1" thickBot="1">
      <c r="A231" s="1901"/>
      <c r="B231" s="1904"/>
      <c r="C231" s="12" t="s">
        <v>6119</v>
      </c>
      <c r="D231" s="11" t="s">
        <v>6120</v>
      </c>
      <c r="E231" s="10" t="s">
        <v>6121</v>
      </c>
      <c r="F231" s="10" t="s">
        <v>2487</v>
      </c>
      <c r="G231" s="9"/>
    </row>
    <row r="232" spans="1:7" s="1400" customFormat="1" ht="35.1" customHeight="1">
      <c r="A232" s="1899">
        <v>45290</v>
      </c>
      <c r="B232" s="1902" t="s">
        <v>6238</v>
      </c>
      <c r="C232" s="21" t="s">
        <v>6239</v>
      </c>
      <c r="D232" s="22" t="s">
        <v>6240</v>
      </c>
      <c r="E232" s="22" t="s">
        <v>6246</v>
      </c>
      <c r="F232" s="1676"/>
      <c r="G232" s="1665" t="s">
        <v>6241</v>
      </c>
    </row>
    <row r="233" spans="1:7" s="1400" customFormat="1" ht="35.1" customHeight="1" thickBot="1">
      <c r="A233" s="1900"/>
      <c r="B233" s="1903"/>
      <c r="C233" s="21"/>
      <c r="D233" s="22" t="s">
        <v>6265</v>
      </c>
      <c r="E233" s="22"/>
      <c r="F233" s="1676"/>
      <c r="G233" s="1665"/>
    </row>
    <row r="234" spans="1:7" s="1400" customFormat="1" ht="35.1" hidden="1" customHeight="1">
      <c r="A234" s="1900"/>
      <c r="B234" s="1903"/>
      <c r="C234" s="21"/>
      <c r="D234" s="20"/>
      <c r="E234" s="19"/>
      <c r="F234" s="1676"/>
      <c r="G234" s="1665"/>
    </row>
    <row r="235" spans="1:7" s="1400" customFormat="1" ht="35.1" hidden="1" customHeight="1" thickBot="1">
      <c r="A235" s="1900"/>
      <c r="B235" s="1903"/>
      <c r="C235" s="1670"/>
      <c r="D235" s="16"/>
      <c r="E235" s="15"/>
      <c r="F235" s="1675"/>
      <c r="G235" s="1665"/>
    </row>
    <row r="236" spans="1:7" s="1400" customFormat="1" ht="35.1" customHeight="1" thickBot="1">
      <c r="A236" s="1901"/>
      <c r="B236" s="1904"/>
      <c r="C236" s="12"/>
      <c r="D236" s="11"/>
      <c r="E236" s="10"/>
      <c r="F236" s="10"/>
      <c r="G236" s="9"/>
    </row>
  </sheetData>
  <mergeCells count="112">
    <mergeCell ref="A232:A236"/>
    <mergeCell ref="B232:B236"/>
    <mergeCell ref="C189:C192"/>
    <mergeCell ref="F190:F192"/>
    <mergeCell ref="G190:G192"/>
    <mergeCell ref="C194:C195"/>
    <mergeCell ref="F194:F195"/>
    <mergeCell ref="G194:G195"/>
    <mergeCell ref="C201:C202"/>
    <mergeCell ref="C204:C206"/>
    <mergeCell ref="G223:G226"/>
    <mergeCell ref="G64:G65"/>
    <mergeCell ref="A1:A7"/>
    <mergeCell ref="B1:B7"/>
    <mergeCell ref="C1:C2"/>
    <mergeCell ref="C10:C14"/>
    <mergeCell ref="A213:A217"/>
    <mergeCell ref="B213:B217"/>
    <mergeCell ref="A218:A231"/>
    <mergeCell ref="C89:C90"/>
    <mergeCell ref="C131:C132"/>
    <mergeCell ref="C136:C138"/>
    <mergeCell ref="C157:C158"/>
    <mergeCell ref="A179:A184"/>
    <mergeCell ref="B179:B184"/>
    <mergeCell ref="B218:B231"/>
    <mergeCell ref="A185:G185"/>
    <mergeCell ref="A186:A199"/>
    <mergeCell ref="B186:B199"/>
    <mergeCell ref="A174:A178"/>
    <mergeCell ref="B174:B178"/>
    <mergeCell ref="A200:A212"/>
    <mergeCell ref="B200:B212"/>
    <mergeCell ref="C218:C219"/>
    <mergeCell ref="C223:C226"/>
    <mergeCell ref="A96:A106"/>
    <mergeCell ref="B96:B106"/>
    <mergeCell ref="A107:A120"/>
    <mergeCell ref="B107:B120"/>
    <mergeCell ref="A121:A129"/>
    <mergeCell ref="B121:B129"/>
    <mergeCell ref="A130:G130"/>
    <mergeCell ref="G89:G90"/>
    <mergeCell ref="C99:C100"/>
    <mergeCell ref="G99:G100"/>
    <mergeCell ref="A163:A173"/>
    <mergeCell ref="B163:B173"/>
    <mergeCell ref="A131:A147"/>
    <mergeCell ref="B131:B147"/>
    <mergeCell ref="C121:C125"/>
    <mergeCell ref="A72:G72"/>
    <mergeCell ref="A73:A86"/>
    <mergeCell ref="B73:B86"/>
    <mergeCell ref="C73:C74"/>
    <mergeCell ref="G76:G77"/>
    <mergeCell ref="C78:C79"/>
    <mergeCell ref="G78:G79"/>
    <mergeCell ref="C140:C141"/>
    <mergeCell ref="G140:G141"/>
    <mergeCell ref="C148:C151"/>
    <mergeCell ref="C142:C143"/>
    <mergeCell ref="G148:G151"/>
    <mergeCell ref="C76:C77"/>
    <mergeCell ref="C169:C171"/>
    <mergeCell ref="G169:G171"/>
    <mergeCell ref="A148:A162"/>
    <mergeCell ref="B148:B162"/>
    <mergeCell ref="A87:A95"/>
    <mergeCell ref="B87:B95"/>
    <mergeCell ref="A8:G8"/>
    <mergeCell ref="A9:A21"/>
    <mergeCell ref="B9:B21"/>
    <mergeCell ref="A22:A31"/>
    <mergeCell ref="B22:B31"/>
    <mergeCell ref="C15:C16"/>
    <mergeCell ref="G62:G63"/>
    <mergeCell ref="G44:G45"/>
    <mergeCell ref="G40:G42"/>
    <mergeCell ref="G10:G14"/>
    <mergeCell ref="C38:C39"/>
    <mergeCell ref="A61:A71"/>
    <mergeCell ref="C62:C63"/>
    <mergeCell ref="C44:C45"/>
    <mergeCell ref="C49:C52"/>
    <mergeCell ref="A32:A47"/>
    <mergeCell ref="B32:B47"/>
    <mergeCell ref="A48:A60"/>
    <mergeCell ref="B48:B60"/>
    <mergeCell ref="C25:C27"/>
    <mergeCell ref="C40:C42"/>
    <mergeCell ref="G25:G27"/>
    <mergeCell ref="B61:B71"/>
    <mergeCell ref="C64:C65"/>
    <mergeCell ref="C175:C176"/>
    <mergeCell ref="G175:G176"/>
    <mergeCell ref="G153:G156"/>
    <mergeCell ref="C153:C156"/>
    <mergeCell ref="C87:C88"/>
    <mergeCell ref="C80:C82"/>
    <mergeCell ref="G80:G82"/>
    <mergeCell ref="C108:C110"/>
    <mergeCell ref="G108:G110"/>
    <mergeCell ref="C113:C114"/>
    <mergeCell ref="G113:G114"/>
    <mergeCell ref="C134:C135"/>
    <mergeCell ref="G134:G135"/>
    <mergeCell ref="C115:C116"/>
    <mergeCell ref="C126:C127"/>
    <mergeCell ref="G126:G127"/>
    <mergeCell ref="F136:F137"/>
    <mergeCell ref="G136:G137"/>
    <mergeCell ref="G157:G158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"/>
  <sheetViews>
    <sheetView topLeftCell="A18" zoomScale="70" zoomScaleNormal="70" zoomScaleSheetLayoutView="70" workbookViewId="0">
      <selection activeCell="C30" sqref="A30:XFD30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400" customWidth="1"/>
    <col min="9" max="16384" width="9" style="1"/>
  </cols>
  <sheetData>
    <row r="1" spans="1:8" s="1400" customFormat="1" ht="35.1" customHeight="1" thickBot="1">
      <c r="A1" s="1907" t="s">
        <v>5</v>
      </c>
      <c r="B1" s="1908"/>
      <c r="C1" s="1908"/>
      <c r="D1" s="1908"/>
      <c r="E1" s="1908"/>
      <c r="F1" s="1908"/>
      <c r="G1" s="1909"/>
    </row>
    <row r="2" spans="1:8" s="1400" customFormat="1" ht="35.1" customHeight="1">
      <c r="A2" s="1899">
        <v>44928</v>
      </c>
      <c r="B2" s="1902" t="s">
        <v>3</v>
      </c>
      <c r="C2" s="1905" t="s">
        <v>6154</v>
      </c>
      <c r="D2" s="49" t="s">
        <v>6155</v>
      </c>
      <c r="E2" s="49" t="s">
        <v>6134</v>
      </c>
      <c r="F2" s="49"/>
      <c r="G2" s="1679"/>
    </row>
    <row r="3" spans="1:8" s="1400" customFormat="1" ht="35.1" customHeight="1">
      <c r="A3" s="1900"/>
      <c r="B3" s="1903"/>
      <c r="C3" s="1914"/>
      <c r="D3" s="24" t="s">
        <v>6156</v>
      </c>
      <c r="E3" s="24" t="s">
        <v>6134</v>
      </c>
      <c r="F3" s="1682"/>
      <c r="G3" s="1677"/>
    </row>
    <row r="4" spans="1:8" s="1400" customFormat="1" ht="35.1" customHeight="1">
      <c r="A4" s="1900"/>
      <c r="B4" s="1903"/>
      <c r="C4" s="1914"/>
      <c r="D4" s="32" t="s">
        <v>6157</v>
      </c>
      <c r="E4" s="31" t="s">
        <v>6123</v>
      </c>
      <c r="F4" s="1682"/>
      <c r="G4" s="1677"/>
    </row>
    <row r="5" spans="1:8" s="1400" customFormat="1" ht="35.1" customHeight="1">
      <c r="A5" s="1900"/>
      <c r="B5" s="1903"/>
      <c r="C5" s="1906"/>
      <c r="D5" s="32" t="s">
        <v>6158</v>
      </c>
      <c r="E5" s="31" t="s">
        <v>180</v>
      </c>
      <c r="F5" s="1682" t="s">
        <v>6159</v>
      </c>
      <c r="G5" s="1683"/>
    </row>
    <row r="6" spans="1:8" s="1400" customFormat="1" ht="35.1" customHeight="1">
      <c r="A6" s="1900"/>
      <c r="B6" s="1903"/>
      <c r="C6" s="1910" t="s">
        <v>223</v>
      </c>
      <c r="D6" s="32" t="s">
        <v>6186</v>
      </c>
      <c r="E6" s="31" t="s">
        <v>6253</v>
      </c>
      <c r="F6" s="1682"/>
      <c r="G6" s="1677"/>
    </row>
    <row r="7" spans="1:8" s="1400" customFormat="1" ht="35.1" customHeight="1">
      <c r="A7" s="1900"/>
      <c r="B7" s="1903"/>
      <c r="C7" s="1914"/>
      <c r="D7" s="32" t="s">
        <v>6187</v>
      </c>
      <c r="E7" s="31" t="s">
        <v>817</v>
      </c>
      <c r="F7" s="24"/>
      <c r="G7" s="1683"/>
    </row>
    <row r="8" spans="1:8" s="1400" customFormat="1" ht="35.1" customHeight="1">
      <c r="A8" s="1900"/>
      <c r="B8" s="1903"/>
      <c r="C8" s="1914"/>
      <c r="D8" s="30" t="s">
        <v>6188</v>
      </c>
      <c r="E8" s="29" t="s">
        <v>6190</v>
      </c>
      <c r="F8" s="1682"/>
      <c r="G8" s="1678"/>
    </row>
    <row r="9" spans="1:8" s="1400" customFormat="1" ht="35.1" customHeight="1">
      <c r="A9" s="1900"/>
      <c r="B9" s="1903"/>
      <c r="C9" s="1914"/>
      <c r="D9" s="30" t="s">
        <v>6189</v>
      </c>
      <c r="E9" s="29" t="s">
        <v>6254</v>
      </c>
      <c r="F9" s="1682"/>
      <c r="G9" s="1678"/>
    </row>
    <row r="10" spans="1:8" s="1400" customFormat="1" ht="35.1" customHeight="1">
      <c r="A10" s="1900"/>
      <c r="B10" s="1903"/>
      <c r="C10" s="1906"/>
      <c r="D10" s="30" t="s">
        <v>20</v>
      </c>
      <c r="E10" s="29" t="s">
        <v>6201</v>
      </c>
      <c r="F10" s="1682" t="s">
        <v>201</v>
      </c>
      <c r="G10" s="1678"/>
    </row>
    <row r="11" spans="1:8" s="1400" customFormat="1" ht="35.1" customHeight="1">
      <c r="A11" s="1900"/>
      <c r="B11" s="1903"/>
      <c r="C11" s="1910" t="s">
        <v>6233</v>
      </c>
      <c r="D11" s="30" t="s">
        <v>6234</v>
      </c>
      <c r="E11" s="29" t="s">
        <v>6235</v>
      </c>
      <c r="F11" s="1682"/>
      <c r="G11" s="1911" t="s">
        <v>261</v>
      </c>
    </row>
    <row r="12" spans="1:8" s="1400" customFormat="1" ht="35.1" customHeight="1">
      <c r="A12" s="1900"/>
      <c r="B12" s="1903"/>
      <c r="C12" s="1906"/>
      <c r="D12" s="32" t="s">
        <v>6236</v>
      </c>
      <c r="E12" s="31" t="s">
        <v>6237</v>
      </c>
      <c r="F12" s="24"/>
      <c r="G12" s="1912"/>
    </row>
    <row r="13" spans="1:8" s="1400" customFormat="1" ht="35.1" customHeight="1">
      <c r="A13" s="1900"/>
      <c r="B13" s="1903"/>
      <c r="C13" s="1910" t="s">
        <v>6229</v>
      </c>
      <c r="D13" s="30" t="s">
        <v>43</v>
      </c>
      <c r="E13" s="29" t="s">
        <v>6231</v>
      </c>
      <c r="F13" s="1693" t="s">
        <v>6251</v>
      </c>
      <c r="G13" s="1694" t="s">
        <v>6230</v>
      </c>
      <c r="H13" s="1400" t="s">
        <v>6232</v>
      </c>
    </row>
    <row r="14" spans="1:8" s="1400" customFormat="1" ht="35.1" customHeight="1">
      <c r="A14" s="1900"/>
      <c r="B14" s="1903"/>
      <c r="C14" s="1914"/>
      <c r="D14" s="30" t="s">
        <v>218</v>
      </c>
      <c r="E14" s="29" t="s">
        <v>202</v>
      </c>
      <c r="F14" s="1693" t="s">
        <v>6250</v>
      </c>
      <c r="G14" s="1694" t="s">
        <v>178</v>
      </c>
      <c r="H14" s="1400" t="s">
        <v>6249</v>
      </c>
    </row>
    <row r="15" spans="1:8" s="1400" customFormat="1" ht="35.1" customHeight="1">
      <c r="A15" s="1900"/>
      <c r="B15" s="1903"/>
      <c r="C15" s="1906"/>
      <c r="D15" s="30" t="s">
        <v>6255</v>
      </c>
      <c r="E15" s="29" t="s">
        <v>6256</v>
      </c>
      <c r="F15" s="1693"/>
      <c r="G15" s="1694" t="s">
        <v>6259</v>
      </c>
      <c r="H15" s="1400" t="s">
        <v>6257</v>
      </c>
    </row>
    <row r="16" spans="1:8" s="1400" customFormat="1" ht="35.1" customHeight="1">
      <c r="A16" s="1900"/>
      <c r="B16" s="1903"/>
      <c r="C16" s="1691" t="s">
        <v>6242</v>
      </c>
      <c r="D16" s="30" t="s">
        <v>6243</v>
      </c>
      <c r="E16" s="29" t="s">
        <v>6244</v>
      </c>
      <c r="F16" s="1693"/>
      <c r="G16" s="1694" t="s">
        <v>235</v>
      </c>
    </row>
    <row r="17" spans="1:8" s="1400" customFormat="1" ht="35.1" customHeight="1">
      <c r="A17" s="1900"/>
      <c r="B17" s="1903"/>
      <c r="C17" s="1914" t="s">
        <v>267</v>
      </c>
      <c r="D17" s="1693" t="s">
        <v>268</v>
      </c>
      <c r="E17" s="1693" t="s">
        <v>269</v>
      </c>
      <c r="F17" s="1959" t="s">
        <v>6172</v>
      </c>
      <c r="G17" s="1913" t="s">
        <v>178</v>
      </c>
    </row>
    <row r="18" spans="1:8" s="1400" customFormat="1" ht="35.1" customHeight="1">
      <c r="A18" s="1900"/>
      <c r="B18" s="1903"/>
      <c r="C18" s="1914"/>
      <c r="D18" s="24" t="s">
        <v>194</v>
      </c>
      <c r="E18" s="24" t="s">
        <v>217</v>
      </c>
      <c r="F18" s="1937"/>
      <c r="G18" s="1913"/>
    </row>
    <row r="19" spans="1:8" s="1400" customFormat="1" ht="35.1" customHeight="1">
      <c r="A19" s="1900"/>
      <c r="B19" s="1903"/>
      <c r="C19" s="1906"/>
      <c r="D19" s="32" t="s">
        <v>215</v>
      </c>
      <c r="E19" s="31" t="s">
        <v>182</v>
      </c>
      <c r="F19" s="1938"/>
      <c r="G19" s="1912"/>
    </row>
    <row r="20" spans="1:8" s="1400" customFormat="1" ht="35.1" customHeight="1" thickBot="1">
      <c r="A20" s="1900"/>
      <c r="B20" s="1903"/>
      <c r="C20" s="21"/>
      <c r="D20" s="20"/>
      <c r="E20" s="19"/>
      <c r="F20" s="1563"/>
      <c r="G20" s="1644"/>
    </row>
    <row r="21" spans="1:8" s="1400" customFormat="1" ht="35.1" customHeight="1" thickBot="1">
      <c r="A21" s="1901"/>
      <c r="B21" s="1904"/>
      <c r="C21" s="12"/>
      <c r="D21" s="11"/>
      <c r="E21" s="10"/>
      <c r="F21" s="10"/>
      <c r="G21" s="9"/>
    </row>
    <row r="22" spans="1:8" s="1400" customFormat="1" ht="35.1" customHeight="1">
      <c r="A22" s="1899">
        <v>44929</v>
      </c>
      <c r="B22" s="1916" t="s">
        <v>2</v>
      </c>
      <c r="C22" s="36" t="s">
        <v>6184</v>
      </c>
      <c r="D22" s="62" t="s">
        <v>6185</v>
      </c>
      <c r="E22" s="61" t="s">
        <v>6252</v>
      </c>
      <c r="F22" s="49"/>
      <c r="G22" s="1915" t="s">
        <v>6210</v>
      </c>
    </row>
    <row r="23" spans="1:8" s="1400" customFormat="1" ht="35.1" customHeight="1">
      <c r="A23" s="1900"/>
      <c r="B23" s="1917"/>
      <c r="C23" s="1910" t="s">
        <v>344</v>
      </c>
      <c r="D23" s="30" t="s">
        <v>6202</v>
      </c>
      <c r="E23" s="31" t="s">
        <v>6203</v>
      </c>
      <c r="F23" s="24"/>
      <c r="G23" s="1913"/>
    </row>
    <row r="24" spans="1:8" s="1400" customFormat="1" ht="35.1" customHeight="1">
      <c r="A24" s="1900"/>
      <c r="B24" s="1917"/>
      <c r="C24" s="1906"/>
      <c r="D24" s="30" t="s">
        <v>6205</v>
      </c>
      <c r="E24" s="29" t="s">
        <v>6204</v>
      </c>
      <c r="F24" s="1693"/>
      <c r="G24" s="1912"/>
    </row>
    <row r="25" spans="1:8" s="1400" customFormat="1" ht="35.1" customHeight="1">
      <c r="A25" s="1900"/>
      <c r="B25" s="1917"/>
      <c r="C25" s="1910" t="s">
        <v>6206</v>
      </c>
      <c r="D25" s="32" t="s">
        <v>6195</v>
      </c>
      <c r="E25" s="31" t="s">
        <v>6207</v>
      </c>
      <c r="F25" s="24" t="s">
        <v>6208</v>
      </c>
      <c r="G25" s="1694"/>
    </row>
    <row r="26" spans="1:8" s="1400" customFormat="1" ht="35.1" customHeight="1">
      <c r="A26" s="1900"/>
      <c r="B26" s="1917"/>
      <c r="C26" s="1906"/>
      <c r="D26" s="30" t="s">
        <v>6209</v>
      </c>
      <c r="E26" s="29"/>
      <c r="F26" s="1693"/>
      <c r="G26" s="1690"/>
    </row>
    <row r="27" spans="1:8" s="1400" customFormat="1" ht="35.1" customHeight="1">
      <c r="A27" s="1900"/>
      <c r="B27" s="1917"/>
      <c r="C27" s="1910" t="s">
        <v>6146</v>
      </c>
      <c r="D27" s="24" t="s">
        <v>6148</v>
      </c>
      <c r="E27" s="24" t="s">
        <v>6149</v>
      </c>
      <c r="F27" s="24" t="s">
        <v>6261</v>
      </c>
      <c r="G27" s="1911" t="s">
        <v>183</v>
      </c>
    </row>
    <row r="28" spans="1:8" s="1400" customFormat="1" ht="35.1" customHeight="1">
      <c r="A28" s="1900"/>
      <c r="B28" s="1917"/>
      <c r="C28" s="1906"/>
      <c r="D28" s="24" t="s">
        <v>6147</v>
      </c>
      <c r="E28" s="24" t="s">
        <v>6150</v>
      </c>
      <c r="F28" s="1693"/>
      <c r="G28" s="1912"/>
    </row>
    <row r="29" spans="1:8" s="1400" customFormat="1" ht="35.1" customHeight="1">
      <c r="A29" s="1900"/>
      <c r="B29" s="1917"/>
      <c r="C29" s="1691" t="s">
        <v>6266</v>
      </c>
      <c r="D29" s="24" t="s">
        <v>6271</v>
      </c>
      <c r="E29" s="29" t="s">
        <v>6267</v>
      </c>
      <c r="F29" s="1693" t="s">
        <v>6268</v>
      </c>
      <c r="G29" s="1690" t="s">
        <v>6269</v>
      </c>
      <c r="H29" s="1400" t="s">
        <v>6270</v>
      </c>
    </row>
    <row r="30" spans="1:8" s="1400" customFormat="1" ht="35.1" customHeight="1">
      <c r="A30" s="1900"/>
      <c r="B30" s="1917"/>
      <c r="C30" s="1691" t="s">
        <v>740</v>
      </c>
      <c r="D30" s="24" t="s">
        <v>218</v>
      </c>
      <c r="E30" s="29" t="s">
        <v>407</v>
      </c>
      <c r="F30" s="1692" t="s">
        <v>6280</v>
      </c>
      <c r="G30" s="1690" t="s">
        <v>18</v>
      </c>
      <c r="H30" s="1400" t="s">
        <v>5843</v>
      </c>
    </row>
    <row r="31" spans="1:8" s="1400" customFormat="1" ht="35.1" customHeight="1">
      <c r="A31" s="1900"/>
      <c r="B31" s="1917"/>
      <c r="C31" s="1695" t="s">
        <v>243</v>
      </c>
      <c r="D31" s="24" t="s">
        <v>218</v>
      </c>
      <c r="E31" s="31" t="s">
        <v>6284</v>
      </c>
      <c r="F31" s="24" t="s">
        <v>240</v>
      </c>
      <c r="G31" s="1690" t="s">
        <v>18</v>
      </c>
      <c r="H31" s="1400" t="s">
        <v>6285</v>
      </c>
    </row>
    <row r="32" spans="1:8" s="1400" customFormat="1" ht="35.1" customHeight="1" thickBot="1">
      <c r="A32" s="1900"/>
      <c r="B32" s="1917"/>
      <c r="C32" s="201"/>
      <c r="D32" s="26"/>
      <c r="E32" s="25"/>
      <c r="F32" s="1684"/>
      <c r="G32" s="1686"/>
    </row>
    <row r="33" spans="1:8" s="1400" customFormat="1" ht="35.1" customHeight="1" thickBot="1">
      <c r="A33" s="1901"/>
      <c r="B33" s="1918"/>
      <c r="C33" s="12"/>
      <c r="D33" s="11"/>
      <c r="E33" s="10"/>
      <c r="F33" s="10"/>
      <c r="G33" s="9"/>
    </row>
    <row r="34" spans="1:8" s="1400" customFormat="1" ht="35.1" customHeight="1">
      <c r="A34" s="1899">
        <v>44930</v>
      </c>
      <c r="B34" s="1902" t="s">
        <v>1</v>
      </c>
      <c r="C34" s="1695" t="s">
        <v>6247</v>
      </c>
      <c r="D34" s="24" t="s">
        <v>229</v>
      </c>
      <c r="E34" s="24" t="s">
        <v>6248</v>
      </c>
      <c r="F34" s="24"/>
      <c r="G34" s="1694"/>
    </row>
    <row r="35" spans="1:8" s="1400" customFormat="1" ht="35.1" customHeight="1">
      <c r="A35" s="1900"/>
      <c r="B35" s="1903"/>
      <c r="C35" s="1910" t="s">
        <v>6262</v>
      </c>
      <c r="D35" s="32" t="s">
        <v>218</v>
      </c>
      <c r="E35" s="31" t="s">
        <v>300</v>
      </c>
      <c r="F35" s="24" t="s">
        <v>6263</v>
      </c>
      <c r="G35" s="1694"/>
    </row>
    <row r="36" spans="1:8" s="1400" customFormat="1" ht="35.1" customHeight="1">
      <c r="A36" s="1900"/>
      <c r="B36" s="1903"/>
      <c r="C36" s="1906"/>
      <c r="D36" s="32" t="s">
        <v>218</v>
      </c>
      <c r="E36" s="31" t="s">
        <v>300</v>
      </c>
      <c r="F36" s="1693" t="s">
        <v>6264</v>
      </c>
      <c r="G36" s="1694"/>
    </row>
    <row r="37" spans="1:8" s="1400" customFormat="1" ht="35.1" customHeight="1">
      <c r="A37" s="1900"/>
      <c r="B37" s="1903"/>
      <c r="C37" s="1914" t="s">
        <v>468</v>
      </c>
      <c r="D37" s="1693" t="s">
        <v>229</v>
      </c>
      <c r="E37" s="1693" t="s">
        <v>226</v>
      </c>
      <c r="F37" s="30"/>
      <c r="G37" s="1913" t="s">
        <v>178</v>
      </c>
    </row>
    <row r="38" spans="1:8" s="1400" customFormat="1" ht="35.1" customHeight="1">
      <c r="A38" s="1900"/>
      <c r="B38" s="1903"/>
      <c r="C38" s="1914"/>
      <c r="D38" s="24" t="s">
        <v>218</v>
      </c>
      <c r="E38" s="24" t="s">
        <v>202</v>
      </c>
      <c r="F38" s="24"/>
      <c r="G38" s="1913"/>
      <c r="H38" s="1400" t="s">
        <v>6317</v>
      </c>
    </row>
    <row r="39" spans="1:8" s="1400" customFormat="1" ht="35.1" customHeight="1">
      <c r="A39" s="1900"/>
      <c r="B39" s="1903"/>
      <c r="C39" s="1906"/>
      <c r="D39" s="24" t="s">
        <v>6245</v>
      </c>
      <c r="E39" s="24" t="s">
        <v>6260</v>
      </c>
      <c r="F39" s="1693"/>
      <c r="G39" s="1912"/>
    </row>
    <row r="40" spans="1:8" s="1400" customFormat="1" ht="35.1" customHeight="1">
      <c r="A40" s="1900"/>
      <c r="B40" s="1903"/>
      <c r="C40" s="1910" t="s">
        <v>6272</v>
      </c>
      <c r="D40" s="24" t="s">
        <v>6287</v>
      </c>
      <c r="E40" s="24" t="s">
        <v>182</v>
      </c>
      <c r="F40" s="24"/>
      <c r="G40" s="1911" t="s">
        <v>6276</v>
      </c>
    </row>
    <row r="41" spans="1:8" s="1400" customFormat="1" ht="35.1" customHeight="1">
      <c r="A41" s="1900"/>
      <c r="B41" s="1903"/>
      <c r="C41" s="1914"/>
      <c r="D41" s="24" t="s">
        <v>6286</v>
      </c>
      <c r="E41" s="24" t="s">
        <v>6273</v>
      </c>
      <c r="F41" s="1693"/>
      <c r="G41" s="1913"/>
    </row>
    <row r="42" spans="1:8" s="1400" customFormat="1" ht="35.1" customHeight="1">
      <c r="A42" s="1900"/>
      <c r="B42" s="1903"/>
      <c r="C42" s="1906"/>
      <c r="D42" s="24" t="s">
        <v>6275</v>
      </c>
      <c r="E42" s="24" t="s">
        <v>6274</v>
      </c>
      <c r="F42" s="1693"/>
      <c r="G42" s="1912"/>
    </row>
    <row r="43" spans="1:8" s="1400" customFormat="1" ht="35.1" customHeight="1">
      <c r="A43" s="1900"/>
      <c r="B43" s="1903"/>
      <c r="C43" s="1910" t="s">
        <v>6277</v>
      </c>
      <c r="D43" s="24" t="s">
        <v>378</v>
      </c>
      <c r="E43" s="24" t="s">
        <v>189</v>
      </c>
      <c r="F43" s="24" t="s">
        <v>6278</v>
      </c>
      <c r="G43" s="1911" t="s">
        <v>6296</v>
      </c>
    </row>
    <row r="44" spans="1:8" s="1400" customFormat="1" ht="35.1" customHeight="1">
      <c r="A44" s="1900"/>
      <c r="B44" s="1903"/>
      <c r="C44" s="1906"/>
      <c r="D44" s="24" t="s">
        <v>295</v>
      </c>
      <c r="E44" s="24" t="s">
        <v>6279</v>
      </c>
      <c r="F44" s="1693"/>
      <c r="G44" s="1912"/>
    </row>
    <row r="45" spans="1:8" s="1400" customFormat="1" ht="36" customHeight="1">
      <c r="A45" s="1900"/>
      <c r="B45" s="1903"/>
      <c r="C45" s="1695" t="s">
        <v>423</v>
      </c>
      <c r="D45" s="32" t="s">
        <v>411</v>
      </c>
      <c r="E45" s="31" t="s">
        <v>299</v>
      </c>
      <c r="F45" s="1693"/>
      <c r="G45" s="1689" t="s">
        <v>204</v>
      </c>
    </row>
    <row r="46" spans="1:8" s="1400" customFormat="1" ht="35.1" customHeight="1">
      <c r="A46" s="1900"/>
      <c r="B46" s="1903"/>
      <c r="C46" s="1695" t="s">
        <v>6288</v>
      </c>
      <c r="D46" s="32" t="s">
        <v>6291</v>
      </c>
      <c r="E46" s="31" t="s">
        <v>6289</v>
      </c>
      <c r="F46" s="24" t="s">
        <v>6290</v>
      </c>
      <c r="G46" s="1694" t="s">
        <v>204</v>
      </c>
    </row>
    <row r="47" spans="1:8" s="1400" customFormat="1" ht="35.1" customHeight="1">
      <c r="A47" s="1900"/>
      <c r="B47" s="1903"/>
      <c r="C47" s="1695" t="s">
        <v>6315</v>
      </c>
      <c r="D47" s="32" t="s">
        <v>6292</v>
      </c>
      <c r="E47" s="31" t="s">
        <v>6293</v>
      </c>
      <c r="F47" s="24" t="s">
        <v>6295</v>
      </c>
      <c r="G47" s="1694" t="s">
        <v>204</v>
      </c>
      <c r="H47" s="1688" t="s">
        <v>6294</v>
      </c>
    </row>
    <row r="48" spans="1:8" s="1400" customFormat="1" ht="35.1" customHeight="1">
      <c r="A48" s="1900"/>
      <c r="B48" s="1903"/>
      <c r="C48" s="1695" t="s">
        <v>6308</v>
      </c>
      <c r="D48" s="32" t="s">
        <v>6309</v>
      </c>
      <c r="E48" s="31" t="s">
        <v>6310</v>
      </c>
      <c r="F48" s="24" t="s">
        <v>240</v>
      </c>
      <c r="G48" s="1694" t="s">
        <v>204</v>
      </c>
      <c r="H48" s="1688"/>
    </row>
    <row r="49" spans="1:8" s="1400" customFormat="1" ht="35.1" customHeight="1">
      <c r="A49" s="1900"/>
      <c r="B49" s="1903"/>
      <c r="C49" s="1695" t="s">
        <v>475</v>
      </c>
      <c r="D49" s="32" t="s">
        <v>20</v>
      </c>
      <c r="E49" s="31" t="s">
        <v>476</v>
      </c>
      <c r="F49" s="24" t="s">
        <v>38</v>
      </c>
      <c r="G49" s="1694" t="s">
        <v>37</v>
      </c>
      <c r="H49" s="1688"/>
    </row>
    <row r="50" spans="1:8" s="1400" customFormat="1" ht="35.1" customHeight="1">
      <c r="A50" s="1900"/>
      <c r="B50" s="1903"/>
      <c r="C50" s="1695" t="s">
        <v>6314</v>
      </c>
      <c r="D50" s="32" t="s">
        <v>20</v>
      </c>
      <c r="E50" s="31" t="s">
        <v>6316</v>
      </c>
      <c r="F50" s="24" t="s">
        <v>38</v>
      </c>
      <c r="G50" s="1694" t="s">
        <v>18</v>
      </c>
      <c r="H50" s="1688"/>
    </row>
    <row r="51" spans="1:8" s="1400" customFormat="1" ht="35.1" customHeight="1" thickBot="1">
      <c r="A51" s="1900"/>
      <c r="B51" s="1903"/>
      <c r="C51" s="419"/>
      <c r="D51" s="39"/>
      <c r="E51" s="25"/>
      <c r="F51" s="38"/>
      <c r="G51" s="1687"/>
      <c r="H51" s="1688"/>
    </row>
    <row r="52" spans="1:8" s="1400" customFormat="1" ht="35.1" customHeight="1" thickBot="1">
      <c r="A52" s="1901"/>
      <c r="B52" s="1904"/>
      <c r="C52" s="12" t="s">
        <v>6281</v>
      </c>
      <c r="D52" s="11" t="s">
        <v>6282</v>
      </c>
      <c r="E52" s="10"/>
      <c r="F52" s="10" t="s">
        <v>6283</v>
      </c>
      <c r="G52" s="9"/>
    </row>
    <row r="53" spans="1:8" s="1400" customFormat="1" ht="35.1" customHeight="1">
      <c r="A53" s="1899">
        <v>44931</v>
      </c>
      <c r="B53" s="1902" t="s">
        <v>0</v>
      </c>
      <c r="C53" s="1695" t="s">
        <v>6305</v>
      </c>
      <c r="D53" s="24" t="s">
        <v>207</v>
      </c>
      <c r="E53" s="24" t="s">
        <v>6306</v>
      </c>
      <c r="F53" s="1693"/>
      <c r="G53" s="1689"/>
    </row>
    <row r="54" spans="1:8" s="1400" customFormat="1" ht="35.1" customHeight="1">
      <c r="A54" s="1900"/>
      <c r="B54" s="1903"/>
      <c r="C54" s="1695" t="s">
        <v>5065</v>
      </c>
      <c r="D54" s="24" t="s">
        <v>1894</v>
      </c>
      <c r="E54" s="24" t="s">
        <v>226</v>
      </c>
      <c r="F54" s="24"/>
      <c r="G54" s="1694"/>
    </row>
    <row r="55" spans="1:8" s="1400" customFormat="1" ht="35.1" customHeight="1">
      <c r="A55" s="1900"/>
      <c r="B55" s="1903"/>
      <c r="C55" s="1691" t="s">
        <v>6307</v>
      </c>
      <c r="D55" s="30" t="s">
        <v>6311</v>
      </c>
      <c r="E55" s="29" t="s">
        <v>6312</v>
      </c>
      <c r="F55" s="1693" t="s">
        <v>6313</v>
      </c>
      <c r="G55" s="1690" t="s">
        <v>45</v>
      </c>
      <c r="H55" s="1688"/>
    </row>
    <row r="56" spans="1:8" s="1400" customFormat="1" ht="35.1" customHeight="1">
      <c r="A56" s="1900"/>
      <c r="B56" s="1903"/>
      <c r="C56" s="1910" t="s">
        <v>6318</v>
      </c>
      <c r="D56" s="32" t="s">
        <v>6319</v>
      </c>
      <c r="E56" s="31" t="s">
        <v>6347</v>
      </c>
      <c r="F56" s="24"/>
      <c r="G56" s="1911" t="s">
        <v>6324</v>
      </c>
    </row>
    <row r="57" spans="1:8" s="1400" customFormat="1" ht="35.1" customHeight="1">
      <c r="A57" s="1900"/>
      <c r="B57" s="1903"/>
      <c r="C57" s="1914"/>
      <c r="D57" s="32" t="s">
        <v>20</v>
      </c>
      <c r="E57" s="29" t="s">
        <v>464</v>
      </c>
      <c r="F57" s="1693"/>
      <c r="G57" s="1913"/>
    </row>
    <row r="58" spans="1:8" s="1400" customFormat="1" ht="35.1" customHeight="1">
      <c r="A58" s="1900"/>
      <c r="B58" s="1903"/>
      <c r="C58" s="1914"/>
      <c r="D58" s="32" t="s">
        <v>6320</v>
      </c>
      <c r="E58" s="29" t="s">
        <v>6322</v>
      </c>
      <c r="F58" s="1693"/>
      <c r="G58" s="1913"/>
    </row>
    <row r="59" spans="1:8" s="1400" customFormat="1" ht="35.1" customHeight="1">
      <c r="A59" s="1900"/>
      <c r="B59" s="1903"/>
      <c r="C59" s="1906"/>
      <c r="D59" s="30" t="s">
        <v>6321</v>
      </c>
      <c r="E59" s="29" t="s">
        <v>6323</v>
      </c>
      <c r="F59" s="1693"/>
      <c r="G59" s="1912"/>
    </row>
    <row r="60" spans="1:8" s="1400" customFormat="1" ht="35.1" customHeight="1">
      <c r="A60" s="1900"/>
      <c r="B60" s="1903"/>
      <c r="C60" s="1691" t="s">
        <v>272</v>
      </c>
      <c r="D60" s="30" t="s">
        <v>6329</v>
      </c>
      <c r="E60" s="29" t="s">
        <v>6330</v>
      </c>
      <c r="F60" s="1693"/>
      <c r="G60" s="1690" t="s">
        <v>6331</v>
      </c>
    </row>
    <row r="61" spans="1:8" ht="36" customHeight="1">
      <c r="A61" s="1900"/>
      <c r="B61" s="1903"/>
      <c r="C61" s="1697" t="s">
        <v>2418</v>
      </c>
      <c r="D61" s="1702" t="s">
        <v>20</v>
      </c>
      <c r="E61" s="29" t="s">
        <v>6337</v>
      </c>
      <c r="F61" s="1702" t="s">
        <v>172</v>
      </c>
      <c r="G61" s="1698" t="s">
        <v>261</v>
      </c>
      <c r="H61" s="1400" t="s">
        <v>6338</v>
      </c>
    </row>
    <row r="62" spans="1:8" s="1400" customFormat="1" ht="35.1" customHeight="1" thickBot="1">
      <c r="A62" s="1900"/>
      <c r="B62" s="1903"/>
      <c r="C62" s="1700" t="s">
        <v>6339</v>
      </c>
      <c r="D62" s="1703" t="s">
        <v>6340</v>
      </c>
      <c r="E62" s="34" t="s">
        <v>6341</v>
      </c>
      <c r="F62" s="1701"/>
      <c r="G62" s="1699" t="s">
        <v>261</v>
      </c>
    </row>
    <row r="63" spans="1:8" s="1400" customFormat="1" ht="35.1" customHeight="1" thickBot="1">
      <c r="A63" s="1901"/>
      <c r="B63" s="1904"/>
      <c r="C63" s="12"/>
      <c r="D63" s="11"/>
      <c r="E63" s="10"/>
      <c r="F63" s="10"/>
      <c r="G63" s="9"/>
    </row>
    <row r="64" spans="1:8" s="1400" customFormat="1" ht="60" customHeight="1" thickBot="1">
      <c r="A64" s="1907" t="s">
        <v>5</v>
      </c>
      <c r="B64" s="1908"/>
      <c r="C64" s="1908"/>
      <c r="D64" s="1908"/>
      <c r="E64" s="1908"/>
      <c r="F64" s="1908"/>
      <c r="G64" s="1909"/>
    </row>
    <row r="65" spans="1:8" s="1400" customFormat="1" ht="30" customHeight="1">
      <c r="A65" s="1899">
        <v>45299</v>
      </c>
      <c r="B65" s="1902" t="s">
        <v>4</v>
      </c>
      <c r="C65" s="1905" t="s">
        <v>6303</v>
      </c>
      <c r="D65" s="24" t="s">
        <v>6297</v>
      </c>
      <c r="E65" s="24" t="s">
        <v>6304</v>
      </c>
      <c r="F65" s="1705"/>
      <c r="G65" s="1704"/>
    </row>
    <row r="66" spans="1:8" s="1400" customFormat="1" ht="30" customHeight="1">
      <c r="A66" s="1900"/>
      <c r="B66" s="1903"/>
      <c r="C66" s="1914"/>
      <c r="D66" s="24" t="s">
        <v>6298</v>
      </c>
      <c r="E66" s="24" t="s">
        <v>205</v>
      </c>
      <c r="F66" s="1705" t="s">
        <v>6302</v>
      </c>
      <c r="G66" s="1704"/>
    </row>
    <row r="67" spans="1:8" s="1400" customFormat="1" ht="30" customHeight="1">
      <c r="A67" s="1900"/>
      <c r="B67" s="1903"/>
      <c r="C67" s="1906"/>
      <c r="D67" s="32" t="s">
        <v>6348</v>
      </c>
      <c r="E67" s="31" t="s">
        <v>6299</v>
      </c>
      <c r="F67" s="1705" t="s">
        <v>6301</v>
      </c>
      <c r="G67" s="1704"/>
    </row>
    <row r="68" spans="1:8" s="1400" customFormat="1" ht="30" customHeight="1" thickBot="1">
      <c r="A68" s="1900"/>
      <c r="B68" s="1903"/>
      <c r="C68" s="1680"/>
      <c r="D68" s="16"/>
      <c r="E68" s="15"/>
      <c r="F68" s="1684"/>
      <c r="G68" s="1681"/>
    </row>
    <row r="69" spans="1:8" s="1400" customFormat="1" ht="30" customHeight="1" thickBot="1">
      <c r="A69" s="1901"/>
      <c r="B69" s="1904"/>
      <c r="C69" s="12"/>
      <c r="D69" s="11"/>
      <c r="E69" s="10"/>
      <c r="F69" s="10"/>
      <c r="G69" s="9"/>
    </row>
    <row r="70" spans="1:8" s="1400" customFormat="1" ht="30" customHeight="1">
      <c r="A70" s="1899">
        <v>45300</v>
      </c>
      <c r="B70" s="1902" t="s">
        <v>3</v>
      </c>
      <c r="C70" s="1712" t="s">
        <v>6349</v>
      </c>
      <c r="D70" s="24" t="s">
        <v>6350</v>
      </c>
      <c r="E70" s="24" t="s">
        <v>6351</v>
      </c>
      <c r="F70" s="1710" t="s">
        <v>6352</v>
      </c>
      <c r="G70" s="1706"/>
    </row>
    <row r="71" spans="1:8" s="1400" customFormat="1" ht="35.1" customHeight="1">
      <c r="A71" s="1900"/>
      <c r="B71" s="1903"/>
      <c r="C71" s="1712" t="s">
        <v>206</v>
      </c>
      <c r="D71" s="24" t="s">
        <v>6332</v>
      </c>
      <c r="E71" s="24" t="s">
        <v>211</v>
      </c>
      <c r="F71" s="1710" t="s">
        <v>5632</v>
      </c>
      <c r="G71" s="1706" t="s">
        <v>235</v>
      </c>
      <c r="H71" s="1400" t="s">
        <v>6333</v>
      </c>
    </row>
    <row r="72" spans="1:8" s="1400" customFormat="1" ht="30" customHeight="1">
      <c r="A72" s="1900"/>
      <c r="B72" s="1903"/>
      <c r="C72" s="1712" t="s">
        <v>288</v>
      </c>
      <c r="D72" s="24" t="s">
        <v>6353</v>
      </c>
      <c r="E72" s="24" t="s">
        <v>6354</v>
      </c>
      <c r="F72" s="1710"/>
      <c r="G72" s="1706" t="s">
        <v>261</v>
      </c>
    </row>
    <row r="73" spans="1:8" s="1400" customFormat="1" ht="30" customHeight="1">
      <c r="A73" s="1900"/>
      <c r="B73" s="1903"/>
      <c r="C73" s="1712" t="s">
        <v>6358</v>
      </c>
      <c r="D73" s="32" t="s">
        <v>43</v>
      </c>
      <c r="E73" s="31" t="s">
        <v>6359</v>
      </c>
      <c r="F73" s="1710" t="s">
        <v>6360</v>
      </c>
      <c r="G73" s="1706" t="s">
        <v>6361</v>
      </c>
      <c r="H73" s="1400" t="s">
        <v>6362</v>
      </c>
    </row>
    <row r="74" spans="1:8" s="1400" customFormat="1" ht="30" customHeight="1">
      <c r="A74" s="1900"/>
      <c r="B74" s="1903"/>
      <c r="C74" s="1910" t="s">
        <v>6364</v>
      </c>
      <c r="D74" s="32" t="s">
        <v>6365</v>
      </c>
      <c r="E74" s="31" t="s">
        <v>6363</v>
      </c>
      <c r="F74" s="24"/>
      <c r="G74" s="1911" t="s">
        <v>261</v>
      </c>
    </row>
    <row r="75" spans="1:8" s="1400" customFormat="1" ht="30" customHeight="1" thickBot="1">
      <c r="A75" s="1900"/>
      <c r="B75" s="1903"/>
      <c r="C75" s="1932"/>
      <c r="D75" s="1713" t="s">
        <v>320</v>
      </c>
      <c r="E75" s="34" t="s">
        <v>6366</v>
      </c>
      <c r="F75" s="1709"/>
      <c r="G75" s="1933"/>
    </row>
    <row r="76" spans="1:8" s="1400" customFormat="1" ht="30" customHeight="1" thickBot="1">
      <c r="A76" s="1901"/>
      <c r="B76" s="1904"/>
      <c r="C76" s="12" t="s">
        <v>6334</v>
      </c>
      <c r="D76" s="11" t="s">
        <v>6335</v>
      </c>
      <c r="E76" s="10"/>
      <c r="F76" s="10" t="s">
        <v>6336</v>
      </c>
      <c r="G76" s="9"/>
    </row>
    <row r="77" spans="1:8" s="1400" customFormat="1" ht="30" customHeight="1">
      <c r="A77" s="1899">
        <v>45301</v>
      </c>
      <c r="B77" s="1902" t="s">
        <v>2</v>
      </c>
      <c r="C77" s="1905" t="s">
        <v>6325</v>
      </c>
      <c r="D77" s="24" t="s">
        <v>6326</v>
      </c>
      <c r="E77" s="24" t="s">
        <v>6327</v>
      </c>
      <c r="F77" s="1710"/>
      <c r="G77" s="1706"/>
    </row>
    <row r="78" spans="1:8" s="1400" customFormat="1" ht="30" customHeight="1">
      <c r="A78" s="1900"/>
      <c r="B78" s="1903"/>
      <c r="C78" s="1914"/>
      <c r="D78" s="24" t="s">
        <v>194</v>
      </c>
      <c r="E78" s="24" t="s">
        <v>6327</v>
      </c>
      <c r="F78" s="1710"/>
      <c r="G78" s="1706"/>
    </row>
    <row r="79" spans="1:8" s="1400" customFormat="1" ht="30" customHeight="1">
      <c r="A79" s="1900"/>
      <c r="B79" s="1903"/>
      <c r="C79" s="1906"/>
      <c r="D79" s="32" t="s">
        <v>6328</v>
      </c>
      <c r="E79" s="31" t="s">
        <v>6327</v>
      </c>
      <c r="F79" s="1710"/>
      <c r="G79" s="1706"/>
    </row>
    <row r="80" spans="1:8" s="1400" customFormat="1" ht="30" customHeight="1">
      <c r="A80" s="1900"/>
      <c r="B80" s="1903"/>
      <c r="C80" s="1712" t="s">
        <v>6357</v>
      </c>
      <c r="D80" s="32" t="s">
        <v>6355</v>
      </c>
      <c r="E80" s="31" t="s">
        <v>6356</v>
      </c>
      <c r="F80" s="24"/>
      <c r="G80" s="1711"/>
    </row>
    <row r="81" spans="1:8" s="1400" customFormat="1" ht="30" customHeight="1">
      <c r="A81" s="1900"/>
      <c r="B81" s="1903"/>
      <c r="C81" s="1910" t="s">
        <v>6367</v>
      </c>
      <c r="D81" s="32" t="s">
        <v>43</v>
      </c>
      <c r="E81" s="31" t="s">
        <v>6372</v>
      </c>
      <c r="F81" s="24"/>
      <c r="G81" s="1911" t="s">
        <v>6373</v>
      </c>
    </row>
    <row r="82" spans="1:8" s="1400" customFormat="1" ht="30" customHeight="1">
      <c r="A82" s="1900"/>
      <c r="B82" s="1903"/>
      <c r="C82" s="1914"/>
      <c r="D82" s="30" t="s">
        <v>20</v>
      </c>
      <c r="E82" s="29" t="s">
        <v>6371</v>
      </c>
      <c r="F82" s="1710" t="s">
        <v>240</v>
      </c>
      <c r="G82" s="1913"/>
    </row>
    <row r="83" spans="1:8" s="1400" customFormat="1" ht="30" customHeight="1">
      <c r="A83" s="1900"/>
      <c r="B83" s="1903"/>
      <c r="C83" s="1914"/>
      <c r="D83" s="30" t="s">
        <v>6374</v>
      </c>
      <c r="E83" s="29" t="s">
        <v>6370</v>
      </c>
      <c r="F83" s="1710"/>
      <c r="G83" s="1913"/>
    </row>
    <row r="84" spans="1:8" s="1400" customFormat="1" ht="30" customHeight="1">
      <c r="A84" s="1900"/>
      <c r="B84" s="1903"/>
      <c r="C84" s="1906"/>
      <c r="D84" s="30" t="s">
        <v>6368</v>
      </c>
      <c r="E84" s="29" t="s">
        <v>6369</v>
      </c>
      <c r="F84" s="1710"/>
      <c r="G84" s="1912"/>
    </row>
    <row r="85" spans="1:8" s="1400" customFormat="1" ht="30" customHeight="1">
      <c r="A85" s="1900"/>
      <c r="B85" s="1903"/>
      <c r="C85" s="1712" t="s">
        <v>6378</v>
      </c>
      <c r="D85" s="32" t="s">
        <v>194</v>
      </c>
      <c r="E85" s="31" t="s">
        <v>6379</v>
      </c>
      <c r="F85" s="1714" t="s">
        <v>6380</v>
      </c>
      <c r="G85" s="1711"/>
    </row>
    <row r="86" spans="1:8" s="1400" customFormat="1" ht="30" customHeight="1">
      <c r="A86" s="1900"/>
      <c r="B86" s="1903"/>
      <c r="C86" s="21"/>
      <c r="D86" s="20"/>
      <c r="E86" s="19"/>
      <c r="F86" s="22"/>
      <c r="G86" s="64"/>
    </row>
    <row r="87" spans="1:8" s="1400" customFormat="1" ht="30" customHeight="1" thickBot="1">
      <c r="A87" s="1900"/>
      <c r="B87" s="1903"/>
      <c r="C87" s="1707"/>
      <c r="D87" s="26"/>
      <c r="E87" s="25"/>
      <c r="F87" s="1684"/>
      <c r="G87" s="1708"/>
    </row>
    <row r="88" spans="1:8" s="1400" customFormat="1" ht="30" customHeight="1" thickBot="1">
      <c r="A88" s="1901"/>
      <c r="B88" s="1904"/>
      <c r="C88" s="12"/>
      <c r="D88" s="11"/>
      <c r="E88" s="10"/>
      <c r="F88" s="10"/>
      <c r="G88" s="9"/>
    </row>
    <row r="89" spans="1:8" s="1400" customFormat="1" ht="30" customHeight="1">
      <c r="A89" s="1899">
        <v>45302</v>
      </c>
      <c r="B89" s="1902" t="s">
        <v>1</v>
      </c>
      <c r="C89" s="36" t="s">
        <v>206</v>
      </c>
      <c r="D89" s="49" t="s">
        <v>207</v>
      </c>
      <c r="E89" s="49" t="s">
        <v>6081</v>
      </c>
      <c r="F89" s="1785"/>
      <c r="G89" s="1782"/>
    </row>
    <row r="90" spans="1:8" s="1400" customFormat="1" ht="30" customHeight="1">
      <c r="A90" s="1900"/>
      <c r="B90" s="1903"/>
      <c r="C90" s="1914" t="s">
        <v>622</v>
      </c>
      <c r="D90" s="1785" t="s">
        <v>4874</v>
      </c>
      <c r="E90" s="1785" t="s">
        <v>182</v>
      </c>
      <c r="F90" s="1785" t="s">
        <v>6300</v>
      </c>
      <c r="G90" s="1782"/>
    </row>
    <row r="91" spans="1:8" s="1400" customFormat="1" ht="30" customHeight="1">
      <c r="A91" s="1900"/>
      <c r="B91" s="1903"/>
      <c r="C91" s="1906"/>
      <c r="D91" s="24" t="s">
        <v>6408</v>
      </c>
      <c r="E91" s="24" t="s">
        <v>6409</v>
      </c>
      <c r="F91" s="1785"/>
      <c r="G91" s="1782"/>
    </row>
    <row r="92" spans="1:8" s="1400" customFormat="1" ht="30" customHeight="1">
      <c r="A92" s="1900"/>
      <c r="B92" s="1903"/>
      <c r="C92" s="1784" t="s">
        <v>6396</v>
      </c>
      <c r="D92" s="24" t="s">
        <v>20</v>
      </c>
      <c r="E92" s="24" t="s">
        <v>6397</v>
      </c>
      <c r="F92" s="1785"/>
      <c r="G92" s="1782" t="s">
        <v>6398</v>
      </c>
      <c r="H92" s="1400" t="s">
        <v>6406</v>
      </c>
    </row>
    <row r="93" spans="1:8" s="1400" customFormat="1" ht="30" customHeight="1" thickBot="1">
      <c r="A93" s="1900"/>
      <c r="B93" s="1903"/>
      <c r="C93" s="1787" t="s">
        <v>6413</v>
      </c>
      <c r="D93" s="24" t="s">
        <v>6410</v>
      </c>
      <c r="E93" s="24" t="s">
        <v>6411</v>
      </c>
      <c r="F93" s="1785" t="s">
        <v>6412</v>
      </c>
      <c r="G93" s="1782" t="s">
        <v>204</v>
      </c>
      <c r="H93" s="1400" t="s">
        <v>6415</v>
      </c>
    </row>
    <row r="94" spans="1:8" s="1400" customFormat="1" ht="30" hidden="1" customHeight="1">
      <c r="A94" s="1900"/>
      <c r="B94" s="1903"/>
      <c r="C94" s="21"/>
      <c r="D94" s="22"/>
      <c r="E94" s="22"/>
      <c r="F94" s="1685"/>
      <c r="G94" s="1681"/>
    </row>
    <row r="95" spans="1:8" s="1400" customFormat="1" ht="30" hidden="1" customHeight="1">
      <c r="A95" s="1900"/>
      <c r="B95" s="1903"/>
      <c r="C95" s="21"/>
      <c r="D95" s="20"/>
      <c r="E95" s="19"/>
      <c r="F95" s="1685"/>
      <c r="G95" s="1681"/>
    </row>
    <row r="96" spans="1:8" s="1400" customFormat="1" ht="30" hidden="1" customHeight="1" thickBot="1">
      <c r="A96" s="1900"/>
      <c r="B96" s="1903"/>
      <c r="C96" s="1680"/>
      <c r="D96" s="16"/>
      <c r="E96" s="15"/>
      <c r="F96" s="1684"/>
      <c r="G96" s="1681"/>
    </row>
    <row r="97" spans="1:8" s="1400" customFormat="1" ht="30" customHeight="1" thickBot="1">
      <c r="A97" s="1901"/>
      <c r="B97" s="1904"/>
      <c r="C97" s="12" t="s">
        <v>6375</v>
      </c>
      <c r="D97" s="11" t="s">
        <v>6376</v>
      </c>
      <c r="E97" s="10" t="s">
        <v>6377</v>
      </c>
      <c r="F97" s="10" t="s">
        <v>2317</v>
      </c>
      <c r="G97" s="9"/>
    </row>
    <row r="98" spans="1:8" s="1400" customFormat="1" ht="30" customHeight="1">
      <c r="A98" s="1899">
        <v>45303</v>
      </c>
      <c r="B98" s="1902" t="s">
        <v>31</v>
      </c>
      <c r="C98" s="21"/>
      <c r="D98" s="22" t="s">
        <v>6258</v>
      </c>
      <c r="E98" s="22"/>
      <c r="F98" s="1685"/>
      <c r="G98" s="1681"/>
    </row>
    <row r="99" spans="1:8" s="1400" customFormat="1" ht="30" customHeight="1">
      <c r="A99" s="1900"/>
      <c r="B99" s="1903"/>
      <c r="C99" s="1787" t="s">
        <v>6416</v>
      </c>
      <c r="D99" s="24" t="s">
        <v>20</v>
      </c>
      <c r="E99" s="24" t="s">
        <v>6417</v>
      </c>
      <c r="F99" s="1785" t="s">
        <v>6420</v>
      </c>
      <c r="G99" s="1782" t="s">
        <v>6418</v>
      </c>
      <c r="H99" s="1400" t="s">
        <v>6419</v>
      </c>
    </row>
    <row r="100" spans="1:8" s="1400" customFormat="1" ht="30" customHeight="1">
      <c r="A100" s="1900"/>
      <c r="B100" s="1903"/>
      <c r="C100" s="21"/>
      <c r="D100" s="20"/>
      <c r="E100" s="19"/>
      <c r="F100" s="1685"/>
      <c r="G100" s="1681"/>
    </row>
    <row r="101" spans="1:8" s="1400" customFormat="1" ht="30" customHeight="1" thickBot="1">
      <c r="A101" s="1900"/>
      <c r="B101" s="1903"/>
      <c r="C101" s="1680"/>
      <c r="D101" s="16"/>
      <c r="E101" s="15"/>
      <c r="F101" s="1684"/>
      <c r="G101" s="1681"/>
    </row>
    <row r="102" spans="1:8" s="1400" customFormat="1" ht="30" customHeight="1" thickBot="1">
      <c r="A102" s="1901"/>
      <c r="B102" s="1904"/>
      <c r="C102" s="12"/>
      <c r="D102" s="11"/>
      <c r="E102" s="10"/>
      <c r="F102" s="10"/>
      <c r="G102" s="9"/>
    </row>
    <row r="103" spans="1:8" s="1400" customFormat="1" ht="60" customHeight="1" thickBot="1">
      <c r="A103" s="1907" t="s">
        <v>5</v>
      </c>
      <c r="B103" s="1908"/>
      <c r="C103" s="1908"/>
      <c r="D103" s="1908"/>
      <c r="E103" s="1908"/>
      <c r="F103" s="1908"/>
      <c r="G103" s="1909"/>
    </row>
    <row r="104" spans="1:8" s="1400" customFormat="1" ht="36" customHeight="1">
      <c r="A104" s="1899">
        <v>45306</v>
      </c>
      <c r="B104" s="1902" t="s">
        <v>6389</v>
      </c>
      <c r="C104" s="1905" t="s">
        <v>6390</v>
      </c>
      <c r="D104" s="24" t="s">
        <v>6391</v>
      </c>
      <c r="E104" s="24" t="s">
        <v>6392</v>
      </c>
      <c r="F104" s="1721"/>
      <c r="G104" s="1716"/>
    </row>
    <row r="105" spans="1:8" s="1400" customFormat="1" ht="36" customHeight="1">
      <c r="A105" s="1900"/>
      <c r="B105" s="1903"/>
      <c r="C105" s="1906"/>
      <c r="D105" s="24" t="s">
        <v>6393</v>
      </c>
      <c r="E105" s="24" t="s">
        <v>6394</v>
      </c>
      <c r="F105" s="1721"/>
      <c r="G105" s="1716"/>
      <c r="H105" s="1400" t="s">
        <v>6395</v>
      </c>
    </row>
    <row r="106" spans="1:8" s="1400" customFormat="1" ht="36" customHeight="1">
      <c r="A106" s="1900"/>
      <c r="B106" s="1903"/>
      <c r="C106" s="1910" t="s">
        <v>6399</v>
      </c>
      <c r="D106" s="24" t="s">
        <v>6400</v>
      </c>
      <c r="E106" s="24" t="s">
        <v>6401</v>
      </c>
      <c r="F106" s="1730" t="s">
        <v>6402</v>
      </c>
      <c r="G106" s="1911" t="s">
        <v>3112</v>
      </c>
    </row>
    <row r="107" spans="1:8" s="1400" customFormat="1" ht="36" customHeight="1">
      <c r="A107" s="1900"/>
      <c r="B107" s="1903"/>
      <c r="C107" s="1914"/>
      <c r="D107" s="24" t="s">
        <v>20</v>
      </c>
      <c r="E107" s="24" t="s">
        <v>6403</v>
      </c>
      <c r="F107" s="1730" t="s">
        <v>6404</v>
      </c>
      <c r="G107" s="1913"/>
    </row>
    <row r="108" spans="1:8" s="1400" customFormat="1" ht="36" customHeight="1">
      <c r="A108" s="1900"/>
      <c r="B108" s="1903"/>
      <c r="C108" s="1906"/>
      <c r="D108" s="24" t="s">
        <v>295</v>
      </c>
      <c r="E108" s="31" t="s">
        <v>6405</v>
      </c>
      <c r="F108" s="1730"/>
      <c r="G108" s="1912"/>
    </row>
    <row r="109" spans="1:8" s="1400" customFormat="1" ht="36" customHeight="1">
      <c r="A109" s="1900"/>
      <c r="B109" s="1903"/>
      <c r="C109" s="1910" t="s">
        <v>6426</v>
      </c>
      <c r="D109" s="1724" t="s">
        <v>61</v>
      </c>
      <c r="E109" s="37" t="s">
        <v>6427</v>
      </c>
      <c r="F109" s="24"/>
      <c r="G109" s="1716"/>
    </row>
    <row r="110" spans="1:8" s="1400" customFormat="1" ht="36" customHeight="1">
      <c r="A110" s="1900"/>
      <c r="B110" s="1903"/>
      <c r="C110" s="1914"/>
      <c r="D110" s="24" t="s">
        <v>43</v>
      </c>
      <c r="E110" s="24" t="s">
        <v>6428</v>
      </c>
      <c r="F110" s="1721"/>
      <c r="G110" s="1716"/>
    </row>
    <row r="111" spans="1:8" s="1400" customFormat="1" ht="36" customHeight="1">
      <c r="A111" s="1900"/>
      <c r="B111" s="1903"/>
      <c r="C111" s="1914"/>
      <c r="D111" s="24" t="s">
        <v>20</v>
      </c>
      <c r="E111" s="24" t="s">
        <v>6429</v>
      </c>
      <c r="F111" s="1721"/>
      <c r="G111" s="1716"/>
    </row>
    <row r="112" spans="1:8" s="1400" customFormat="1" ht="36" customHeight="1">
      <c r="A112" s="1900"/>
      <c r="B112" s="1903"/>
      <c r="C112" s="1914"/>
      <c r="D112" s="24" t="s">
        <v>6451</v>
      </c>
      <c r="E112" s="24" t="s">
        <v>6441</v>
      </c>
      <c r="F112" s="1721"/>
      <c r="G112" s="1716"/>
    </row>
    <row r="113" spans="1:8" s="1400" customFormat="1" ht="36" customHeight="1">
      <c r="A113" s="1900"/>
      <c r="B113" s="1903"/>
      <c r="C113" s="1914"/>
      <c r="D113" s="24" t="s">
        <v>6458</v>
      </c>
      <c r="E113" s="24" t="s">
        <v>6460</v>
      </c>
      <c r="F113" s="1721"/>
      <c r="G113" s="1716"/>
    </row>
    <row r="114" spans="1:8" s="1400" customFormat="1" ht="36" customHeight="1">
      <c r="A114" s="1900"/>
      <c r="B114" s="1903"/>
      <c r="C114" s="1906"/>
      <c r="D114" s="24" t="s">
        <v>6459</v>
      </c>
      <c r="E114" s="24" t="s">
        <v>6461</v>
      </c>
      <c r="F114" s="1721"/>
      <c r="G114" s="1716"/>
    </row>
    <row r="115" spans="1:8" s="1400" customFormat="1" ht="36" customHeight="1">
      <c r="A115" s="1900"/>
      <c r="B115" s="1903"/>
      <c r="C115" s="1910" t="s">
        <v>6436</v>
      </c>
      <c r="D115" s="24" t="s">
        <v>6437</v>
      </c>
      <c r="E115" s="24" t="s">
        <v>6438</v>
      </c>
      <c r="F115" s="1730" t="s">
        <v>6443</v>
      </c>
      <c r="G115" s="1725" t="s">
        <v>6439</v>
      </c>
      <c r="H115" s="1400" t="s">
        <v>6440</v>
      </c>
    </row>
    <row r="116" spans="1:8" s="1400" customFormat="1" ht="36" customHeight="1">
      <c r="A116" s="1900"/>
      <c r="B116" s="1903"/>
      <c r="C116" s="1914"/>
      <c r="D116" s="24" t="s">
        <v>20</v>
      </c>
      <c r="E116" s="24" t="s">
        <v>6441</v>
      </c>
      <c r="F116" s="1730" t="s">
        <v>6444</v>
      </c>
      <c r="G116" s="1725" t="s">
        <v>6442</v>
      </c>
      <c r="H116" s="1400" t="s">
        <v>6445</v>
      </c>
    </row>
    <row r="117" spans="1:8" s="1400" customFormat="1" ht="36" customHeight="1">
      <c r="A117" s="1900"/>
      <c r="B117" s="1903"/>
      <c r="C117" s="1906"/>
      <c r="D117" s="24" t="s">
        <v>20</v>
      </c>
      <c r="E117" s="24" t="s">
        <v>6462</v>
      </c>
      <c r="F117" s="1730" t="s">
        <v>6463</v>
      </c>
      <c r="G117" s="1725" t="s">
        <v>6442</v>
      </c>
      <c r="H117" s="1400" t="s">
        <v>6464</v>
      </c>
    </row>
    <row r="118" spans="1:8" s="1400" customFormat="1" ht="36" customHeight="1">
      <c r="A118" s="1900"/>
      <c r="B118" s="1903"/>
      <c r="C118" s="1910" t="s">
        <v>6452</v>
      </c>
      <c r="D118" s="24" t="s">
        <v>20</v>
      </c>
      <c r="E118" s="24" t="s">
        <v>6454</v>
      </c>
      <c r="F118" s="1721"/>
      <c r="G118" s="1911" t="s">
        <v>2758</v>
      </c>
    </row>
    <row r="119" spans="1:8" s="1400" customFormat="1" ht="36" customHeight="1">
      <c r="A119" s="1900"/>
      <c r="B119" s="1903"/>
      <c r="C119" s="1906"/>
      <c r="D119" s="24" t="s">
        <v>6453</v>
      </c>
      <c r="E119" s="24" t="s">
        <v>6455</v>
      </c>
      <c r="F119" s="1721"/>
      <c r="G119" s="1912"/>
    </row>
    <row r="120" spans="1:8" s="1400" customFormat="1" ht="36" customHeight="1">
      <c r="A120" s="1900"/>
      <c r="B120" s="1903"/>
      <c r="C120" s="1723" t="s">
        <v>2803</v>
      </c>
      <c r="D120" s="32" t="s">
        <v>6456</v>
      </c>
      <c r="E120" s="31" t="s">
        <v>6457</v>
      </c>
      <c r="F120" s="24"/>
      <c r="G120" s="1722" t="s">
        <v>2758</v>
      </c>
    </row>
    <row r="121" spans="1:8" s="1400" customFormat="1" ht="36" customHeight="1">
      <c r="A121" s="1900"/>
      <c r="B121" s="1903"/>
      <c r="C121" s="1719"/>
      <c r="D121" s="28"/>
      <c r="E121" s="27"/>
      <c r="F121" s="1685"/>
      <c r="G121" s="1718"/>
    </row>
    <row r="122" spans="1:8" s="1400" customFormat="1" ht="36" customHeight="1" thickBot="1">
      <c r="A122" s="1900"/>
      <c r="B122" s="1903"/>
      <c r="C122" s="1720"/>
      <c r="D122" s="26"/>
      <c r="E122" s="25"/>
      <c r="F122" s="1684"/>
      <c r="G122" s="1717"/>
    </row>
    <row r="123" spans="1:8" s="1400" customFormat="1" ht="36" customHeight="1" thickBot="1">
      <c r="A123" s="1901"/>
      <c r="B123" s="1904"/>
      <c r="C123" s="12" t="s">
        <v>6421</v>
      </c>
      <c r="D123" s="11" t="s">
        <v>6422</v>
      </c>
      <c r="E123" s="10" t="s">
        <v>6423</v>
      </c>
      <c r="F123" s="10" t="s">
        <v>2317</v>
      </c>
      <c r="G123" s="9"/>
    </row>
    <row r="124" spans="1:8" s="1400" customFormat="1" ht="36" customHeight="1">
      <c r="A124" s="1899">
        <v>45307</v>
      </c>
      <c r="B124" s="1902" t="s">
        <v>6387</v>
      </c>
      <c r="C124" s="1905" t="s">
        <v>6342</v>
      </c>
      <c r="D124" s="32" t="s">
        <v>20</v>
      </c>
      <c r="E124" s="24" t="s">
        <v>6345</v>
      </c>
      <c r="F124" s="1747"/>
      <c r="G124" s="1741"/>
    </row>
    <row r="125" spans="1:8" s="1400" customFormat="1" ht="36" customHeight="1">
      <c r="A125" s="1900"/>
      <c r="B125" s="1903"/>
      <c r="C125" s="1914"/>
      <c r="D125" s="32" t="s">
        <v>6343</v>
      </c>
      <c r="E125" s="24" t="s">
        <v>6346</v>
      </c>
      <c r="F125" s="1747"/>
      <c r="G125" s="1741"/>
    </row>
    <row r="126" spans="1:8" s="1400" customFormat="1" ht="36" customHeight="1">
      <c r="A126" s="1900"/>
      <c r="B126" s="1903"/>
      <c r="C126" s="1906"/>
      <c r="D126" s="32" t="s">
        <v>6344</v>
      </c>
      <c r="E126" s="31" t="s">
        <v>6446</v>
      </c>
      <c r="F126" s="1747"/>
      <c r="G126" s="1741"/>
    </row>
    <row r="127" spans="1:8" s="1400" customFormat="1" ht="36" customHeight="1">
      <c r="A127" s="1900"/>
      <c r="B127" s="1903"/>
      <c r="C127" s="1749" t="s">
        <v>622</v>
      </c>
      <c r="D127" s="32" t="s">
        <v>6471</v>
      </c>
      <c r="E127" s="31" t="s">
        <v>6472</v>
      </c>
      <c r="F127" s="24"/>
      <c r="G127" s="1748" t="s">
        <v>6473</v>
      </c>
    </row>
    <row r="128" spans="1:8" s="1400" customFormat="1" ht="36" customHeight="1">
      <c r="A128" s="1900"/>
      <c r="B128" s="1903"/>
      <c r="C128" s="1743" t="s">
        <v>6484</v>
      </c>
      <c r="D128" s="32" t="s">
        <v>6485</v>
      </c>
      <c r="E128" s="29" t="s">
        <v>6486</v>
      </c>
      <c r="F128" s="1747"/>
      <c r="G128" s="1742" t="s">
        <v>6487</v>
      </c>
    </row>
    <row r="129" spans="1:8" s="1400" customFormat="1" ht="36" customHeight="1">
      <c r="A129" s="1900"/>
      <c r="B129" s="1903"/>
      <c r="C129" s="1749" t="s">
        <v>6488</v>
      </c>
      <c r="D129" s="32" t="s">
        <v>6489</v>
      </c>
      <c r="E129" s="31" t="s">
        <v>6490</v>
      </c>
      <c r="F129" s="24" t="s">
        <v>6492</v>
      </c>
      <c r="G129" s="1748" t="s">
        <v>6491</v>
      </c>
      <c r="H129" s="1400" t="s">
        <v>6493</v>
      </c>
    </row>
    <row r="130" spans="1:8" s="1400" customFormat="1" ht="36" customHeight="1" thickBot="1">
      <c r="A130" s="1900"/>
      <c r="B130" s="1903"/>
      <c r="C130" s="1726"/>
      <c r="D130" s="26"/>
      <c r="E130" s="25"/>
      <c r="F130" s="1684"/>
      <c r="G130" s="1728"/>
    </row>
    <row r="131" spans="1:8" s="1400" customFormat="1" ht="36" customHeight="1" thickBot="1">
      <c r="A131" s="1901"/>
      <c r="B131" s="1904"/>
      <c r="C131" s="12"/>
      <c r="D131" s="11"/>
      <c r="E131" s="10"/>
      <c r="F131" s="10"/>
      <c r="G131" s="9"/>
    </row>
    <row r="132" spans="1:8" s="1400" customFormat="1" ht="36" customHeight="1">
      <c r="A132" s="1899">
        <v>45308</v>
      </c>
      <c r="B132" s="1902" t="s">
        <v>6388</v>
      </c>
      <c r="C132" s="1905" t="s">
        <v>6381</v>
      </c>
      <c r="D132" s="24" t="s">
        <v>6382</v>
      </c>
      <c r="E132" s="24" t="s">
        <v>6383</v>
      </c>
      <c r="F132" s="1738"/>
      <c r="G132" s="1734"/>
    </row>
    <row r="133" spans="1:8" s="1400" customFormat="1" ht="36" customHeight="1">
      <c r="A133" s="1900"/>
      <c r="B133" s="1903"/>
      <c r="C133" s="1914"/>
      <c r="D133" s="24" t="s">
        <v>6435</v>
      </c>
      <c r="E133" s="24" t="s">
        <v>6384</v>
      </c>
      <c r="F133" s="1738"/>
      <c r="G133" s="1734"/>
    </row>
    <row r="134" spans="1:8" s="1400" customFormat="1" ht="36" customHeight="1">
      <c r="A134" s="1900"/>
      <c r="B134" s="1903"/>
      <c r="C134" s="1906"/>
      <c r="D134" s="32" t="s">
        <v>6385</v>
      </c>
      <c r="E134" s="31" t="s">
        <v>6386</v>
      </c>
      <c r="F134" s="1738"/>
      <c r="G134" s="1734"/>
    </row>
    <row r="135" spans="1:8" s="1400" customFormat="1" ht="36" customHeight="1">
      <c r="A135" s="1900"/>
      <c r="B135" s="1903"/>
      <c r="C135" s="1910" t="s">
        <v>6466</v>
      </c>
      <c r="D135" s="32" t="s">
        <v>6467</v>
      </c>
      <c r="E135" s="31" t="s">
        <v>3012</v>
      </c>
      <c r="F135" s="24"/>
      <c r="G135" s="1739"/>
    </row>
    <row r="136" spans="1:8" s="1400" customFormat="1" ht="36" customHeight="1">
      <c r="A136" s="1900"/>
      <c r="B136" s="1903"/>
      <c r="C136" s="1914"/>
      <c r="D136" s="30" t="s">
        <v>3919</v>
      </c>
      <c r="E136" s="29" t="s">
        <v>6468</v>
      </c>
      <c r="F136" s="1738"/>
      <c r="G136" s="1735"/>
    </row>
    <row r="137" spans="1:8" s="1400" customFormat="1" ht="36" customHeight="1">
      <c r="A137" s="1900"/>
      <c r="B137" s="1903"/>
      <c r="C137" s="1906"/>
      <c r="D137" s="32" t="s">
        <v>6469</v>
      </c>
      <c r="E137" s="31" t="s">
        <v>6470</v>
      </c>
      <c r="F137" s="24"/>
      <c r="G137" s="1739"/>
    </row>
    <row r="138" spans="1:8" s="1400" customFormat="1" ht="36" customHeight="1">
      <c r="A138" s="1900"/>
      <c r="B138" s="1903"/>
      <c r="C138" s="1733" t="s">
        <v>6475</v>
      </c>
      <c r="D138" s="30" t="s">
        <v>6478</v>
      </c>
      <c r="E138" s="29" t="s">
        <v>6476</v>
      </c>
      <c r="F138" s="1738" t="s">
        <v>6477</v>
      </c>
      <c r="G138" s="1735"/>
    </row>
    <row r="139" spans="1:8" s="1400" customFormat="1" ht="36" customHeight="1">
      <c r="A139" s="1900"/>
      <c r="B139" s="1903"/>
      <c r="C139" s="1733" t="s">
        <v>6479</v>
      </c>
      <c r="D139" s="30" t="s">
        <v>6480</v>
      </c>
      <c r="E139" s="29" t="s">
        <v>6481</v>
      </c>
      <c r="F139" s="1738" t="s">
        <v>6482</v>
      </c>
      <c r="G139" s="1735" t="s">
        <v>6483</v>
      </c>
    </row>
    <row r="140" spans="1:8" s="1400" customFormat="1" ht="36" customHeight="1">
      <c r="A140" s="1900"/>
      <c r="B140" s="1903"/>
      <c r="C140" s="1733" t="s">
        <v>6502</v>
      </c>
      <c r="D140" s="30" t="s">
        <v>6503</v>
      </c>
      <c r="E140" s="29" t="s">
        <v>6504</v>
      </c>
      <c r="F140" s="1738"/>
      <c r="G140" s="1735" t="s">
        <v>6505</v>
      </c>
    </row>
    <row r="141" spans="1:8" s="1400" customFormat="1" ht="36" customHeight="1">
      <c r="A141" s="1900"/>
      <c r="B141" s="1903"/>
      <c r="C141" s="1740" t="s">
        <v>6511</v>
      </c>
      <c r="D141" s="32" t="s">
        <v>6509</v>
      </c>
      <c r="E141" s="31" t="s">
        <v>6510</v>
      </c>
      <c r="F141" s="24"/>
      <c r="G141" s="1735" t="s">
        <v>6505</v>
      </c>
      <c r="H141" s="1400" t="s">
        <v>6512</v>
      </c>
    </row>
    <row r="142" spans="1:8" s="1400" customFormat="1" ht="36" customHeight="1" thickBot="1">
      <c r="A142" s="1900"/>
      <c r="B142" s="1903"/>
      <c r="C142" s="1732"/>
      <c r="D142" s="26"/>
      <c r="E142" s="25"/>
      <c r="F142" s="1684"/>
      <c r="G142" s="1731"/>
    </row>
    <row r="143" spans="1:8" s="1400" customFormat="1" ht="36" customHeight="1" thickBot="1">
      <c r="A143" s="1901"/>
      <c r="B143" s="1904"/>
      <c r="C143" s="12" t="s">
        <v>6432</v>
      </c>
      <c r="D143" s="11" t="s">
        <v>6433</v>
      </c>
      <c r="E143" s="10" t="s">
        <v>6434</v>
      </c>
      <c r="F143" s="10" t="s">
        <v>1485</v>
      </c>
      <c r="G143" s="9"/>
    </row>
    <row r="144" spans="1:8" s="1400" customFormat="1" ht="36" customHeight="1">
      <c r="A144" s="1899">
        <v>45309</v>
      </c>
      <c r="B144" s="1916" t="s">
        <v>6425</v>
      </c>
      <c r="C144" s="882"/>
      <c r="D144" s="883" t="s">
        <v>6474</v>
      </c>
      <c r="E144" s="883"/>
      <c r="F144" s="883"/>
      <c r="G144" s="884"/>
    </row>
    <row r="145" spans="1:8" s="58" customFormat="1" ht="36" customHeight="1">
      <c r="A145" s="1900"/>
      <c r="B145" s="1917"/>
      <c r="C145" s="1733" t="s">
        <v>6518</v>
      </c>
      <c r="D145" s="1738" t="s">
        <v>20</v>
      </c>
      <c r="E145" s="29" t="s">
        <v>73</v>
      </c>
      <c r="F145" s="1738" t="s">
        <v>6537</v>
      </c>
      <c r="G145" s="1735" t="s">
        <v>18</v>
      </c>
      <c r="H145" s="58" t="s">
        <v>2251</v>
      </c>
    </row>
    <row r="146" spans="1:8" s="1400" customFormat="1" ht="36" customHeight="1">
      <c r="A146" s="1900"/>
      <c r="B146" s="1917"/>
      <c r="C146" s="1733" t="s">
        <v>2762</v>
      </c>
      <c r="D146" s="30" t="s">
        <v>2833</v>
      </c>
      <c r="E146" s="29" t="s">
        <v>3342</v>
      </c>
      <c r="F146" s="1738" t="s">
        <v>5356</v>
      </c>
      <c r="G146" s="1735" t="s">
        <v>204</v>
      </c>
      <c r="H146" s="1400" t="s">
        <v>2402</v>
      </c>
    </row>
    <row r="147" spans="1:8" s="1400" customFormat="1" ht="36" customHeight="1">
      <c r="A147" s="1900"/>
      <c r="B147" s="1917"/>
      <c r="C147" s="1740" t="s">
        <v>6527</v>
      </c>
      <c r="D147" s="32" t="s">
        <v>6528</v>
      </c>
      <c r="E147" s="31" t="s">
        <v>6529</v>
      </c>
      <c r="F147" s="24"/>
      <c r="G147" s="1739" t="s">
        <v>6530</v>
      </c>
    </row>
    <row r="148" spans="1:8" s="1400" customFormat="1" ht="36" customHeight="1">
      <c r="A148" s="1900"/>
      <c r="B148" s="1917"/>
      <c r="C148" s="1733" t="s">
        <v>5131</v>
      </c>
      <c r="D148" s="32" t="s">
        <v>2884</v>
      </c>
      <c r="E148" s="31" t="s">
        <v>2837</v>
      </c>
      <c r="F148" s="1738" t="s">
        <v>6526</v>
      </c>
      <c r="G148" s="1734" t="s">
        <v>6525</v>
      </c>
    </row>
    <row r="149" spans="1:8" s="1400" customFormat="1" ht="36" customHeight="1">
      <c r="A149" s="1900"/>
      <c r="B149" s="1917"/>
      <c r="C149" s="1910" t="s">
        <v>6519</v>
      </c>
      <c r="D149" s="32" t="s">
        <v>2756</v>
      </c>
      <c r="E149" s="31" t="s">
        <v>6520</v>
      </c>
      <c r="F149" s="24"/>
      <c r="G149" s="1911" t="s">
        <v>2758</v>
      </c>
    </row>
    <row r="150" spans="1:8" s="1400" customFormat="1" ht="36" customHeight="1">
      <c r="A150" s="1900"/>
      <c r="B150" s="1917"/>
      <c r="C150" s="1914"/>
      <c r="D150" s="30" t="s">
        <v>6521</v>
      </c>
      <c r="E150" s="29" t="s">
        <v>6522</v>
      </c>
      <c r="F150" s="1738"/>
      <c r="G150" s="1912"/>
    </row>
    <row r="151" spans="1:8" s="1400" customFormat="1" ht="36" customHeight="1">
      <c r="A151" s="1900"/>
      <c r="B151" s="1917"/>
      <c r="C151" s="1906"/>
      <c r="D151" s="32" t="s">
        <v>20</v>
      </c>
      <c r="E151" s="31" t="s">
        <v>6523</v>
      </c>
      <c r="F151" s="24" t="s">
        <v>6538</v>
      </c>
      <c r="G151" s="1739" t="s">
        <v>6524</v>
      </c>
    </row>
    <row r="152" spans="1:8" s="1400" customFormat="1" ht="36" customHeight="1">
      <c r="A152" s="1900"/>
      <c r="B152" s="1917"/>
      <c r="C152" s="1740" t="s">
        <v>6531</v>
      </c>
      <c r="D152" s="32" t="s">
        <v>6532</v>
      </c>
      <c r="E152" s="31" t="s">
        <v>6533</v>
      </c>
      <c r="F152" s="24"/>
      <c r="G152" s="1739" t="s">
        <v>6535</v>
      </c>
      <c r="H152" s="1400" t="s">
        <v>6534</v>
      </c>
    </row>
    <row r="153" spans="1:8" s="1400" customFormat="1" ht="36" customHeight="1" thickBot="1">
      <c r="A153" s="1900"/>
      <c r="B153" s="1917"/>
      <c r="C153" s="1736"/>
      <c r="D153" s="26"/>
      <c r="E153" s="25"/>
      <c r="F153" s="1684"/>
      <c r="G153" s="1737"/>
    </row>
    <row r="154" spans="1:8" s="1400" customFormat="1" ht="36" customHeight="1" thickBot="1">
      <c r="A154" s="1900"/>
      <c r="B154" s="1917"/>
      <c r="C154" s="12" t="s">
        <v>6430</v>
      </c>
      <c r="D154" s="11" t="s">
        <v>6431</v>
      </c>
      <c r="E154" s="10"/>
      <c r="F154" s="10" t="s">
        <v>6465</v>
      </c>
      <c r="G154" s="9"/>
    </row>
    <row r="155" spans="1:8" s="1400" customFormat="1" ht="36" customHeight="1" thickBot="1">
      <c r="A155" s="1901"/>
      <c r="B155" s="1918"/>
      <c r="C155" s="12" t="s">
        <v>6432</v>
      </c>
      <c r="D155" s="11" t="s">
        <v>6433</v>
      </c>
      <c r="E155" s="10" t="s">
        <v>6434</v>
      </c>
      <c r="F155" s="10" t="s">
        <v>6513</v>
      </c>
      <c r="G155" s="9"/>
    </row>
    <row r="156" spans="1:8" s="1400" customFormat="1" ht="36" customHeight="1">
      <c r="A156" s="1900">
        <v>45310</v>
      </c>
      <c r="B156" s="1917" t="s">
        <v>0</v>
      </c>
      <c r="C156" s="882" t="s">
        <v>6501</v>
      </c>
      <c r="D156" s="22" t="s">
        <v>207</v>
      </c>
      <c r="E156" s="22" t="s">
        <v>6407</v>
      </c>
      <c r="F156" s="883"/>
      <c r="G156" s="884"/>
    </row>
    <row r="157" spans="1:8" s="1400" customFormat="1" ht="36" customHeight="1">
      <c r="A157" s="1900"/>
      <c r="B157" s="1917"/>
      <c r="C157" s="1910" t="s">
        <v>6494</v>
      </c>
      <c r="D157" s="1747" t="s">
        <v>6495</v>
      </c>
      <c r="E157" s="1747" t="s">
        <v>6496</v>
      </c>
      <c r="F157" s="1747" t="s">
        <v>6497</v>
      </c>
      <c r="G157" s="1744"/>
    </row>
    <row r="158" spans="1:8" s="1400" customFormat="1" ht="36" customHeight="1">
      <c r="A158" s="1900"/>
      <c r="B158" s="1917"/>
      <c r="C158" s="1914"/>
      <c r="D158" s="24" t="s">
        <v>6498</v>
      </c>
      <c r="E158" s="24" t="s">
        <v>6499</v>
      </c>
      <c r="F158" s="1747"/>
      <c r="G158" s="1741"/>
    </row>
    <row r="159" spans="1:8" s="1400" customFormat="1" ht="36" customHeight="1">
      <c r="A159" s="1900"/>
      <c r="B159" s="1917"/>
      <c r="C159" s="1914"/>
      <c r="D159" s="24" t="s">
        <v>6500</v>
      </c>
      <c r="E159" s="31" t="s">
        <v>6499</v>
      </c>
      <c r="F159" s="1747" t="s">
        <v>240</v>
      </c>
      <c r="G159" s="1741"/>
    </row>
    <row r="160" spans="1:8" s="1400" customFormat="1" ht="36" customHeight="1">
      <c r="A160" s="1900"/>
      <c r="B160" s="1917"/>
      <c r="C160" s="1906"/>
      <c r="D160" s="24" t="s">
        <v>696</v>
      </c>
      <c r="E160" s="31" t="s">
        <v>6517</v>
      </c>
      <c r="F160" s="1747"/>
      <c r="G160" s="1741"/>
    </row>
    <row r="161" spans="1:8" s="1400" customFormat="1" ht="36" customHeight="1">
      <c r="A161" s="1900"/>
      <c r="B161" s="1917"/>
      <c r="C161" s="1749" t="s">
        <v>6506</v>
      </c>
      <c r="D161" s="32" t="s">
        <v>6507</v>
      </c>
      <c r="E161" s="31" t="s">
        <v>6508</v>
      </c>
      <c r="F161" s="24"/>
      <c r="G161" s="1748" t="s">
        <v>6547</v>
      </c>
    </row>
    <row r="162" spans="1:8" s="1400" customFormat="1" ht="36" customHeight="1">
      <c r="A162" s="1900"/>
      <c r="B162" s="1917"/>
      <c r="C162" s="1743" t="s">
        <v>6563</v>
      </c>
      <c r="D162" s="32" t="s">
        <v>176</v>
      </c>
      <c r="E162" s="31" t="s">
        <v>177</v>
      </c>
      <c r="F162" s="24"/>
      <c r="G162" s="1748" t="s">
        <v>178</v>
      </c>
      <c r="H162" s="1400" t="s">
        <v>6564</v>
      </c>
    </row>
    <row r="163" spans="1:8" s="1400" customFormat="1" ht="36" customHeight="1">
      <c r="A163" s="1900"/>
      <c r="B163" s="1917"/>
      <c r="C163" s="1727"/>
      <c r="D163" s="28"/>
      <c r="E163" s="27"/>
      <c r="F163" s="1685"/>
      <c r="G163" s="1729"/>
    </row>
    <row r="164" spans="1:8" s="1400" customFormat="1" ht="36" customHeight="1" thickBot="1">
      <c r="A164" s="1900"/>
      <c r="B164" s="1917"/>
      <c r="C164" s="1726"/>
      <c r="D164" s="26"/>
      <c r="E164" s="25"/>
      <c r="F164" s="1684"/>
      <c r="G164" s="1728"/>
    </row>
    <row r="165" spans="1:8" s="1400" customFormat="1" ht="36" customHeight="1" thickBot="1">
      <c r="A165" s="1901"/>
      <c r="B165" s="1918"/>
      <c r="C165" s="12" t="s">
        <v>5335</v>
      </c>
      <c r="D165" s="11" t="s">
        <v>2980</v>
      </c>
      <c r="E165" s="10" t="s">
        <v>6424</v>
      </c>
      <c r="F165" s="10" t="s">
        <v>3134</v>
      </c>
      <c r="G165" s="9"/>
    </row>
    <row r="166" spans="1:8" s="1400" customFormat="1" ht="36" customHeight="1">
      <c r="A166" s="1899">
        <v>45311</v>
      </c>
      <c r="B166" s="1902" t="s">
        <v>6238</v>
      </c>
      <c r="C166" s="1905" t="s">
        <v>6570</v>
      </c>
      <c r="D166" s="24" t="s">
        <v>6571</v>
      </c>
      <c r="E166" s="24" t="s">
        <v>6572</v>
      </c>
      <c r="F166" s="1750"/>
      <c r="G166" s="1915" t="s">
        <v>261</v>
      </c>
    </row>
    <row r="167" spans="1:8" s="1400" customFormat="1" ht="36" customHeight="1">
      <c r="A167" s="1900"/>
      <c r="B167" s="1903"/>
      <c r="C167" s="1914"/>
      <c r="D167" s="24" t="s">
        <v>6573</v>
      </c>
      <c r="E167" s="24" t="s">
        <v>6574</v>
      </c>
      <c r="F167" s="1750"/>
      <c r="G167" s="1913"/>
    </row>
    <row r="168" spans="1:8" s="1400" customFormat="1" ht="36" customHeight="1">
      <c r="A168" s="1900"/>
      <c r="B168" s="1903"/>
      <c r="C168" s="1906"/>
      <c r="D168" s="24" t="s">
        <v>218</v>
      </c>
      <c r="E168" s="31" t="s">
        <v>6575</v>
      </c>
      <c r="F168" s="1750" t="s">
        <v>6576</v>
      </c>
      <c r="G168" s="1912"/>
    </row>
    <row r="169" spans="1:8" s="1400" customFormat="1" ht="36" customHeight="1" thickBot="1">
      <c r="A169" s="1900"/>
      <c r="B169" s="1903"/>
      <c r="C169" s="1746"/>
      <c r="D169" s="16"/>
      <c r="E169" s="15"/>
      <c r="F169" s="1684"/>
      <c r="G169" s="1745"/>
    </row>
    <row r="170" spans="1:8" s="1400" customFormat="1" ht="36" customHeight="1" thickBot="1">
      <c r="A170" s="1901"/>
      <c r="B170" s="1904"/>
      <c r="C170" s="12"/>
      <c r="D170" s="11"/>
      <c r="E170" s="10"/>
      <c r="F170" s="10"/>
      <c r="G170" s="9"/>
    </row>
    <row r="171" spans="1:8" s="1400" customFormat="1" ht="60" customHeight="1" thickBot="1">
      <c r="A171" s="1907" t="s">
        <v>5</v>
      </c>
      <c r="B171" s="1908"/>
      <c r="C171" s="1908"/>
      <c r="D171" s="1908"/>
      <c r="E171" s="1908"/>
      <c r="F171" s="1908"/>
      <c r="G171" s="1909"/>
    </row>
    <row r="172" spans="1:8" s="1400" customFormat="1" ht="36" customHeight="1">
      <c r="A172" s="1899">
        <v>45313</v>
      </c>
      <c r="B172" s="1902" t="s">
        <v>4</v>
      </c>
      <c r="C172" s="1756" t="s">
        <v>6514</v>
      </c>
      <c r="D172" s="24" t="s">
        <v>43</v>
      </c>
      <c r="E172" s="24" t="s">
        <v>6515</v>
      </c>
      <c r="F172" s="1754" t="s">
        <v>6516</v>
      </c>
      <c r="G172" s="1752" t="s">
        <v>6553</v>
      </c>
    </row>
    <row r="173" spans="1:8" s="1400" customFormat="1" ht="36" customHeight="1">
      <c r="A173" s="1900"/>
      <c r="B173" s="1903"/>
      <c r="C173" s="1910" t="s">
        <v>288</v>
      </c>
      <c r="D173" s="24" t="s">
        <v>6596</v>
      </c>
      <c r="E173" s="24" t="s">
        <v>6599</v>
      </c>
      <c r="F173" s="1754"/>
      <c r="G173" s="1752" t="s">
        <v>261</v>
      </c>
    </row>
    <row r="174" spans="1:8" s="1400" customFormat="1" ht="36" customHeight="1">
      <c r="A174" s="1900"/>
      <c r="B174" s="1903"/>
      <c r="C174" s="1906"/>
      <c r="D174" s="32" t="s">
        <v>6546</v>
      </c>
      <c r="E174" s="31" t="s">
        <v>6539</v>
      </c>
      <c r="F174" s="1754" t="s">
        <v>6600</v>
      </c>
      <c r="G174" s="1755" t="s">
        <v>6595</v>
      </c>
    </row>
    <row r="175" spans="1:8" s="1400" customFormat="1" ht="36" customHeight="1">
      <c r="A175" s="1900"/>
      <c r="B175" s="1903"/>
      <c r="C175" s="1914" t="s">
        <v>238</v>
      </c>
      <c r="D175" s="1754" t="s">
        <v>313</v>
      </c>
      <c r="E175" s="1754" t="s">
        <v>180</v>
      </c>
      <c r="F175" s="1754"/>
      <c r="G175" s="1913" t="s">
        <v>183</v>
      </c>
      <c r="H175" s="1400" t="s">
        <v>3889</v>
      </c>
    </row>
    <row r="176" spans="1:8" s="1400" customFormat="1" ht="36" customHeight="1">
      <c r="A176" s="1900"/>
      <c r="B176" s="1903"/>
      <c r="C176" s="1906"/>
      <c r="D176" s="32" t="s">
        <v>20</v>
      </c>
      <c r="E176" s="31" t="s">
        <v>3910</v>
      </c>
      <c r="F176" s="1754" t="s">
        <v>381</v>
      </c>
      <c r="G176" s="1912"/>
    </row>
    <row r="177" spans="1:8" s="1400" customFormat="1" ht="36" customHeight="1">
      <c r="A177" s="1900"/>
      <c r="B177" s="1903"/>
      <c r="C177" s="1756" t="s">
        <v>6542</v>
      </c>
      <c r="D177" s="24" t="s">
        <v>6543</v>
      </c>
      <c r="E177" s="24" t="s">
        <v>6544</v>
      </c>
      <c r="F177" s="1754" t="s">
        <v>6545</v>
      </c>
      <c r="G177" s="1752" t="s">
        <v>6551</v>
      </c>
    </row>
    <row r="178" spans="1:8" s="1400" customFormat="1" ht="36" customHeight="1">
      <c r="A178" s="1900"/>
      <c r="B178" s="1903"/>
      <c r="C178" s="1756" t="s">
        <v>6548</v>
      </c>
      <c r="D178" s="32" t="s">
        <v>6549</v>
      </c>
      <c r="E178" s="31" t="s">
        <v>6550</v>
      </c>
      <c r="F178" s="1754"/>
      <c r="G178" s="1752" t="s">
        <v>6552</v>
      </c>
    </row>
    <row r="179" spans="1:8" s="1400" customFormat="1" ht="36" customHeight="1">
      <c r="A179" s="1900"/>
      <c r="B179" s="1903"/>
      <c r="C179" s="1910" t="s">
        <v>6554</v>
      </c>
      <c r="D179" s="32" t="s">
        <v>6562</v>
      </c>
      <c r="E179" s="31" t="s">
        <v>6555</v>
      </c>
      <c r="F179" s="24"/>
      <c r="G179" s="1755"/>
    </row>
    <row r="180" spans="1:8" s="1400" customFormat="1" ht="36" customHeight="1">
      <c r="A180" s="1900"/>
      <c r="B180" s="1903"/>
      <c r="C180" s="1914"/>
      <c r="D180" s="32" t="s">
        <v>6559</v>
      </c>
      <c r="E180" s="31" t="s">
        <v>6556</v>
      </c>
      <c r="F180" s="24"/>
      <c r="G180" s="1755"/>
    </row>
    <row r="181" spans="1:8" s="1400" customFormat="1" ht="36" customHeight="1">
      <c r="A181" s="1900"/>
      <c r="B181" s="1903"/>
      <c r="C181" s="1914"/>
      <c r="D181" s="32" t="s">
        <v>6557</v>
      </c>
      <c r="E181" s="31" t="s">
        <v>6558</v>
      </c>
      <c r="F181" s="24"/>
      <c r="G181" s="1755"/>
    </row>
    <row r="182" spans="1:8" s="1400" customFormat="1" ht="36" customHeight="1">
      <c r="A182" s="1900"/>
      <c r="B182" s="1903"/>
      <c r="C182" s="1906"/>
      <c r="D182" s="30" t="s">
        <v>6560</v>
      </c>
      <c r="E182" s="29" t="s">
        <v>6561</v>
      </c>
      <c r="F182" s="1754"/>
      <c r="G182" s="1753"/>
    </row>
    <row r="183" spans="1:8" s="1400" customFormat="1" ht="36" customHeight="1">
      <c r="A183" s="1900"/>
      <c r="B183" s="1903"/>
      <c r="C183" s="1910" t="s">
        <v>6577</v>
      </c>
      <c r="D183" s="30" t="s">
        <v>6578</v>
      </c>
      <c r="E183" s="29" t="s">
        <v>6579</v>
      </c>
      <c r="F183" s="1754"/>
      <c r="G183" s="1911" t="s">
        <v>6584</v>
      </c>
    </row>
    <row r="184" spans="1:8" s="1400" customFormat="1" ht="36" customHeight="1">
      <c r="A184" s="1900"/>
      <c r="B184" s="1903"/>
      <c r="C184" s="1914"/>
      <c r="D184" s="32" t="s">
        <v>6580</v>
      </c>
      <c r="E184" s="31" t="s">
        <v>6581</v>
      </c>
      <c r="F184" s="1754"/>
      <c r="G184" s="1913"/>
    </row>
    <row r="185" spans="1:8" s="1400" customFormat="1" ht="36" customHeight="1">
      <c r="A185" s="1900"/>
      <c r="B185" s="1903"/>
      <c r="C185" s="1914"/>
      <c r="D185" s="32" t="s">
        <v>6582</v>
      </c>
      <c r="E185" s="31" t="s">
        <v>6583</v>
      </c>
      <c r="F185" s="1754"/>
      <c r="G185" s="1912"/>
    </row>
    <row r="186" spans="1:8" s="1400" customFormat="1" ht="30" customHeight="1">
      <c r="A186" s="1900"/>
      <c r="B186" s="1903"/>
      <c r="C186" s="1906"/>
      <c r="D186" s="24" t="s">
        <v>320</v>
      </c>
      <c r="E186" s="24" t="s">
        <v>299</v>
      </c>
      <c r="F186" s="24" t="s">
        <v>6594</v>
      </c>
      <c r="G186" s="1755" t="s">
        <v>204</v>
      </c>
      <c r="H186" s="1400" t="s">
        <v>4726</v>
      </c>
    </row>
    <row r="187" spans="1:8" s="1400" customFormat="1" ht="36" customHeight="1" thickBot="1">
      <c r="A187" s="1900"/>
      <c r="B187" s="1903"/>
      <c r="C187" s="21"/>
      <c r="D187" s="20"/>
      <c r="E187" s="19"/>
      <c r="F187" s="1685"/>
      <c r="G187" s="1745"/>
    </row>
    <row r="188" spans="1:8" s="1400" customFormat="1" ht="36" customHeight="1" thickBot="1">
      <c r="A188" s="1901"/>
      <c r="B188" s="1904"/>
      <c r="C188" s="12"/>
      <c r="D188" s="11"/>
      <c r="E188" s="10"/>
      <c r="F188" s="10"/>
      <c r="G188" s="9"/>
    </row>
    <row r="189" spans="1:8" s="1400" customFormat="1" ht="36" customHeight="1">
      <c r="A189" s="1899">
        <v>45314</v>
      </c>
      <c r="B189" s="1902" t="s">
        <v>15</v>
      </c>
      <c r="C189" s="1905" t="s">
        <v>6587</v>
      </c>
      <c r="D189" s="24" t="s">
        <v>6588</v>
      </c>
      <c r="E189" s="24" t="s">
        <v>6589</v>
      </c>
      <c r="F189" s="1754"/>
      <c r="G189" s="1752"/>
    </row>
    <row r="190" spans="1:8" s="1400" customFormat="1" ht="36" customHeight="1">
      <c r="A190" s="1900"/>
      <c r="B190" s="1903"/>
      <c r="C190" s="1914"/>
      <c r="D190" s="24" t="s">
        <v>6590</v>
      </c>
      <c r="E190" s="24" t="s">
        <v>6591</v>
      </c>
      <c r="F190" s="1754"/>
      <c r="G190" s="1752"/>
    </row>
    <row r="191" spans="1:8" s="1400" customFormat="1" ht="36" customHeight="1">
      <c r="A191" s="1900"/>
      <c r="B191" s="1903"/>
      <c r="C191" s="1914"/>
      <c r="D191" s="32" t="s">
        <v>6592</v>
      </c>
      <c r="E191" s="31" t="s">
        <v>6593</v>
      </c>
      <c r="F191" s="1754"/>
      <c r="G191" s="1752"/>
    </row>
    <row r="192" spans="1:8" s="1400" customFormat="1" ht="36" customHeight="1">
      <c r="A192" s="1900"/>
      <c r="B192" s="1903"/>
      <c r="C192" s="1906"/>
      <c r="D192" s="32" t="s">
        <v>6604</v>
      </c>
      <c r="E192" s="31" t="s">
        <v>6605</v>
      </c>
      <c r="F192" s="1754" t="s">
        <v>6613</v>
      </c>
      <c r="G192" s="1752"/>
    </row>
    <row r="193" spans="1:8" s="1400" customFormat="1" ht="36" customHeight="1">
      <c r="A193" s="1900"/>
      <c r="B193" s="1903"/>
      <c r="C193" s="1751" t="s">
        <v>6597</v>
      </c>
      <c r="D193" s="24" t="s">
        <v>6625</v>
      </c>
      <c r="E193" s="24" t="s">
        <v>6626</v>
      </c>
      <c r="F193" s="24"/>
      <c r="G193" s="1752" t="s">
        <v>6598</v>
      </c>
    </row>
    <row r="194" spans="1:8" s="1400" customFormat="1" ht="36" customHeight="1">
      <c r="A194" s="1900"/>
      <c r="B194" s="1903"/>
      <c r="C194" s="1756"/>
      <c r="D194" s="24" t="s">
        <v>6585</v>
      </c>
      <c r="E194" s="24"/>
      <c r="F194" s="1754"/>
      <c r="G194" s="1752"/>
    </row>
    <row r="195" spans="1:8" s="1400" customFormat="1" ht="36" customHeight="1">
      <c r="A195" s="1900"/>
      <c r="B195" s="1903"/>
      <c r="C195" s="1756" t="s">
        <v>6619</v>
      </c>
      <c r="D195" s="32" t="s">
        <v>6620</v>
      </c>
      <c r="E195" s="31" t="s">
        <v>6621</v>
      </c>
      <c r="F195" s="1754" t="s">
        <v>38</v>
      </c>
      <c r="G195" s="1752" t="s">
        <v>6622</v>
      </c>
      <c r="H195" s="1400" t="s">
        <v>6624</v>
      </c>
    </row>
    <row r="196" spans="1:8" s="1400" customFormat="1" ht="36" customHeight="1" thickBot="1">
      <c r="A196" s="1900"/>
      <c r="B196" s="1903"/>
      <c r="C196" s="1680"/>
      <c r="D196" s="16"/>
      <c r="E196" s="15"/>
      <c r="F196" s="1684"/>
      <c r="G196" s="1681"/>
    </row>
    <row r="197" spans="1:8" s="1400" customFormat="1" ht="36" customHeight="1" thickBot="1">
      <c r="A197" s="1901"/>
      <c r="B197" s="1904"/>
      <c r="C197" s="12" t="s">
        <v>6614</v>
      </c>
      <c r="D197" s="11" t="s">
        <v>6615</v>
      </c>
      <c r="E197" s="10"/>
      <c r="F197" s="10" t="s">
        <v>6616</v>
      </c>
      <c r="G197" s="9"/>
    </row>
    <row r="198" spans="1:8" s="1400" customFormat="1" ht="36" customHeight="1">
      <c r="A198" s="1899">
        <v>45315</v>
      </c>
      <c r="B198" s="1902" t="s">
        <v>2</v>
      </c>
      <c r="C198" s="1760" t="s">
        <v>6608</v>
      </c>
      <c r="D198" s="24" t="s">
        <v>6592</v>
      </c>
      <c r="E198" s="24" t="s">
        <v>6609</v>
      </c>
      <c r="F198" s="1759"/>
      <c r="G198" s="1757"/>
    </row>
    <row r="199" spans="1:8" s="1400" customFormat="1" ht="36" customHeight="1">
      <c r="A199" s="1900"/>
      <c r="B199" s="1903"/>
      <c r="C199" s="1758" t="s">
        <v>267</v>
      </c>
      <c r="D199" s="24" t="s">
        <v>268</v>
      </c>
      <c r="E199" s="24" t="s">
        <v>269</v>
      </c>
      <c r="F199" s="1759"/>
      <c r="G199" s="1757" t="s">
        <v>6623</v>
      </c>
    </row>
    <row r="200" spans="1:8" s="1400" customFormat="1" ht="36" customHeight="1">
      <c r="A200" s="1900"/>
      <c r="B200" s="1903"/>
      <c r="C200" s="1760" t="s">
        <v>6629</v>
      </c>
      <c r="D200" s="24" t="s">
        <v>20</v>
      </c>
      <c r="E200" s="24" t="s">
        <v>41</v>
      </c>
      <c r="F200" s="1759" t="s">
        <v>6630</v>
      </c>
      <c r="G200" s="1757" t="s">
        <v>45</v>
      </c>
    </row>
    <row r="201" spans="1:8" s="1400" customFormat="1" ht="36" customHeight="1">
      <c r="A201" s="1900"/>
      <c r="B201" s="1903"/>
      <c r="C201" s="1760" t="s">
        <v>6647</v>
      </c>
      <c r="D201" s="24" t="s">
        <v>6648</v>
      </c>
      <c r="E201" s="31" t="s">
        <v>6649</v>
      </c>
      <c r="F201" s="1759"/>
      <c r="G201" s="1757" t="s">
        <v>6650</v>
      </c>
    </row>
    <row r="202" spans="1:8" s="1400" customFormat="1" ht="36" customHeight="1" thickBot="1">
      <c r="A202" s="1900"/>
      <c r="B202" s="1903"/>
      <c r="C202" s="1680"/>
      <c r="D202" s="16"/>
      <c r="E202" s="15"/>
      <c r="F202" s="1684"/>
      <c r="G202" s="1681"/>
    </row>
    <row r="203" spans="1:8" s="1400" customFormat="1" ht="36" customHeight="1" thickBot="1">
      <c r="A203" s="1901"/>
      <c r="B203" s="1904"/>
      <c r="C203" s="12" t="s">
        <v>6617</v>
      </c>
      <c r="D203" s="11" t="s">
        <v>6618</v>
      </c>
      <c r="E203" s="10" t="s">
        <v>6627</v>
      </c>
      <c r="F203" s="10" t="s">
        <v>6628</v>
      </c>
      <c r="G203" s="9"/>
    </row>
    <row r="204" spans="1:8" s="1400" customFormat="1" ht="36" customHeight="1">
      <c r="A204" s="1899">
        <v>45316</v>
      </c>
      <c r="B204" s="1902" t="s">
        <v>1</v>
      </c>
      <c r="C204" s="1769" t="s">
        <v>2759</v>
      </c>
      <c r="D204" s="24" t="s">
        <v>207</v>
      </c>
      <c r="E204" s="24" t="s">
        <v>6586</v>
      </c>
      <c r="F204" s="1767"/>
      <c r="G204" s="1762"/>
    </row>
    <row r="205" spans="1:8" s="1400" customFormat="1" ht="36" customHeight="1">
      <c r="A205" s="1900"/>
      <c r="B205" s="1903"/>
      <c r="C205" s="1769" t="s">
        <v>6637</v>
      </c>
      <c r="D205" s="24" t="s">
        <v>218</v>
      </c>
      <c r="E205" s="24" t="s">
        <v>6638</v>
      </c>
      <c r="F205" s="1767" t="s">
        <v>6639</v>
      </c>
      <c r="G205" s="1762" t="s">
        <v>6640</v>
      </c>
      <c r="H205" s="1400" t="s">
        <v>6641</v>
      </c>
    </row>
    <row r="206" spans="1:8" s="1400" customFormat="1" ht="36" customHeight="1">
      <c r="A206" s="1900"/>
      <c r="B206" s="1903"/>
      <c r="C206" s="1761" t="s">
        <v>6642</v>
      </c>
      <c r="D206" s="32" t="s">
        <v>6643</v>
      </c>
      <c r="E206" s="31" t="s">
        <v>6644</v>
      </c>
      <c r="F206" s="1767"/>
      <c r="G206" s="1768" t="s">
        <v>6645</v>
      </c>
      <c r="H206" s="1400" t="s">
        <v>6646</v>
      </c>
    </row>
    <row r="207" spans="1:8" s="1400" customFormat="1" ht="36" customHeight="1">
      <c r="A207" s="1900"/>
      <c r="B207" s="1903"/>
      <c r="C207" s="1910" t="s">
        <v>393</v>
      </c>
      <c r="D207" s="32" t="s">
        <v>378</v>
      </c>
      <c r="E207" s="31" t="s">
        <v>376</v>
      </c>
      <c r="F207" s="24" t="s">
        <v>6606</v>
      </c>
      <c r="G207" s="1911" t="s">
        <v>183</v>
      </c>
      <c r="H207" s="1400" t="s">
        <v>6607</v>
      </c>
    </row>
    <row r="208" spans="1:8" s="1400" customFormat="1" ht="36" customHeight="1">
      <c r="A208" s="1900"/>
      <c r="B208" s="1903"/>
      <c r="C208" s="1906"/>
      <c r="D208" s="30" t="s">
        <v>218</v>
      </c>
      <c r="E208" s="29" t="s">
        <v>300</v>
      </c>
      <c r="F208" s="1767" t="s">
        <v>5872</v>
      </c>
      <c r="G208" s="1912"/>
    </row>
    <row r="209" spans="1:8" s="1400" customFormat="1" ht="36" customHeight="1">
      <c r="A209" s="1900"/>
      <c r="B209" s="1903"/>
      <c r="C209" s="1761" t="s">
        <v>6651</v>
      </c>
      <c r="D209" s="30" t="s">
        <v>6652</v>
      </c>
      <c r="E209" s="29" t="s">
        <v>6653</v>
      </c>
      <c r="F209" s="1767"/>
      <c r="G209" s="1763" t="s">
        <v>261</v>
      </c>
    </row>
    <row r="210" spans="1:8" s="1400" customFormat="1" ht="36" customHeight="1" thickBot="1">
      <c r="A210" s="1900"/>
      <c r="B210" s="1903"/>
      <c r="C210" s="1765" t="s">
        <v>6668</v>
      </c>
      <c r="D210" s="1770" t="s">
        <v>6667</v>
      </c>
      <c r="E210" s="34" t="s">
        <v>6666</v>
      </c>
      <c r="F210" s="1766" t="s">
        <v>6670</v>
      </c>
      <c r="G210" s="1764"/>
      <c r="H210" s="1400" t="s">
        <v>6669</v>
      </c>
    </row>
    <row r="211" spans="1:8" s="1400" customFormat="1" ht="36" customHeight="1" thickBot="1">
      <c r="A211" s="1901"/>
      <c r="B211" s="1904"/>
      <c r="C211" s="12"/>
      <c r="D211" s="11"/>
      <c r="E211" s="10"/>
      <c r="F211" s="10"/>
      <c r="G211" s="9"/>
    </row>
    <row r="212" spans="1:8" s="1400" customFormat="1" ht="36" customHeight="1">
      <c r="A212" s="1900">
        <v>45317</v>
      </c>
      <c r="B212" s="1903" t="s">
        <v>6541</v>
      </c>
      <c r="C212" s="1769" t="s">
        <v>6601</v>
      </c>
      <c r="D212" s="24" t="s">
        <v>6602</v>
      </c>
      <c r="E212" s="24" t="s">
        <v>6603</v>
      </c>
      <c r="F212" s="1767"/>
      <c r="G212" s="1915" t="s">
        <v>6635</v>
      </c>
    </row>
    <row r="213" spans="1:8" s="1400" customFormat="1" ht="36" customHeight="1">
      <c r="A213" s="1900"/>
      <c r="B213" s="1903"/>
      <c r="C213" s="1910" t="s">
        <v>6631</v>
      </c>
      <c r="D213" s="24" t="s">
        <v>6632</v>
      </c>
      <c r="E213" s="24" t="s">
        <v>6633</v>
      </c>
      <c r="F213" s="1767"/>
      <c r="G213" s="1913"/>
      <c r="H213" s="1400" t="s">
        <v>6636</v>
      </c>
    </row>
    <row r="214" spans="1:8" s="1400" customFormat="1" ht="36" customHeight="1">
      <c r="A214" s="1900"/>
      <c r="B214" s="1903"/>
      <c r="C214" s="1906"/>
      <c r="D214" s="24" t="s">
        <v>218</v>
      </c>
      <c r="E214" s="24" t="s">
        <v>6634</v>
      </c>
      <c r="F214" s="1767" t="s">
        <v>6680</v>
      </c>
      <c r="G214" s="1913"/>
    </row>
    <row r="215" spans="1:8" s="1400" customFormat="1" ht="36" customHeight="1">
      <c r="A215" s="1900"/>
      <c r="B215" s="1903"/>
      <c r="C215" s="1769" t="s">
        <v>6610</v>
      </c>
      <c r="D215" s="24" t="s">
        <v>6611</v>
      </c>
      <c r="E215" s="24" t="s">
        <v>6612</v>
      </c>
      <c r="F215" s="1767"/>
      <c r="G215" s="1912"/>
    </row>
    <row r="216" spans="1:8" s="1400" customFormat="1" ht="36" customHeight="1">
      <c r="A216" s="1900"/>
      <c r="B216" s="1903"/>
      <c r="C216" s="1769" t="s">
        <v>443</v>
      </c>
      <c r="D216" s="24" t="s">
        <v>218</v>
      </c>
      <c r="E216" s="24" t="s">
        <v>239</v>
      </c>
      <c r="F216" s="1767"/>
      <c r="G216" s="1762" t="s">
        <v>6694</v>
      </c>
    </row>
    <row r="217" spans="1:8" s="1400" customFormat="1" ht="36" customHeight="1">
      <c r="A217" s="1900"/>
      <c r="B217" s="1903"/>
      <c r="C217" s="1910" t="s">
        <v>6660</v>
      </c>
      <c r="D217" s="32" t="s">
        <v>6661</v>
      </c>
      <c r="E217" s="31" t="s">
        <v>6662</v>
      </c>
      <c r="F217" s="1767"/>
      <c r="G217" s="1911" t="s">
        <v>6665</v>
      </c>
    </row>
    <row r="218" spans="1:8" s="1400" customFormat="1" ht="36" customHeight="1">
      <c r="A218" s="1900"/>
      <c r="B218" s="1903"/>
      <c r="C218" s="1906"/>
      <c r="D218" s="32" t="s">
        <v>6663</v>
      </c>
      <c r="E218" s="31" t="s">
        <v>6664</v>
      </c>
      <c r="F218" s="1767"/>
      <c r="G218" s="1912"/>
    </row>
    <row r="219" spans="1:8" s="1400" customFormat="1" ht="36" customHeight="1">
      <c r="A219" s="1900"/>
      <c r="B219" s="1903"/>
      <c r="C219" s="1769" t="s">
        <v>6288</v>
      </c>
      <c r="D219" s="32" t="s">
        <v>6676</v>
      </c>
      <c r="E219" s="31" t="s">
        <v>6677</v>
      </c>
      <c r="F219" s="1767"/>
      <c r="G219" s="1762" t="s">
        <v>6678</v>
      </c>
      <c r="H219" s="1400" t="s">
        <v>6679</v>
      </c>
    </row>
    <row r="220" spans="1:8" s="1400" customFormat="1" ht="36" customHeight="1" thickBot="1">
      <c r="A220" s="1900"/>
      <c r="B220" s="1903"/>
      <c r="C220" s="1850" t="s">
        <v>7027</v>
      </c>
      <c r="D220" s="1858" t="s">
        <v>7028</v>
      </c>
      <c r="E220" s="37" t="s">
        <v>7029</v>
      </c>
      <c r="F220" s="1856"/>
      <c r="G220" s="1851" t="s">
        <v>7022</v>
      </c>
    </row>
    <row r="221" spans="1:8" s="1400" customFormat="1" ht="36" customHeight="1" thickBot="1">
      <c r="A221" s="1901"/>
      <c r="B221" s="1904"/>
      <c r="C221" s="12"/>
      <c r="D221" s="11"/>
      <c r="E221" s="10"/>
      <c r="F221" s="10"/>
      <c r="G221" s="9"/>
    </row>
    <row r="222" spans="1:8" s="1400" customFormat="1" ht="60" customHeight="1" thickBot="1">
      <c r="A222" s="1907" t="s">
        <v>5</v>
      </c>
      <c r="B222" s="1908"/>
      <c r="C222" s="1908"/>
      <c r="D222" s="1908"/>
      <c r="E222" s="1908"/>
      <c r="F222" s="1908"/>
      <c r="G222" s="1909"/>
    </row>
    <row r="223" spans="1:8" s="1400" customFormat="1" ht="36" customHeight="1">
      <c r="A223" s="1899">
        <v>45320</v>
      </c>
      <c r="B223" s="1902" t="s">
        <v>4</v>
      </c>
      <c r="C223" s="1787" t="s">
        <v>206</v>
      </c>
      <c r="D223" s="24" t="s">
        <v>207</v>
      </c>
      <c r="E223" s="24" t="s">
        <v>6671</v>
      </c>
      <c r="F223" s="1785"/>
      <c r="G223" s="1782"/>
    </row>
    <row r="224" spans="1:8" s="1400" customFormat="1" ht="36" customHeight="1">
      <c r="A224" s="1900"/>
      <c r="B224" s="1903"/>
      <c r="C224" s="1910" t="s">
        <v>6672</v>
      </c>
      <c r="D224" s="24" t="s">
        <v>1156</v>
      </c>
      <c r="E224" s="24" t="s">
        <v>6673</v>
      </c>
      <c r="F224" s="1785"/>
      <c r="G224" s="1782"/>
    </row>
    <row r="225" spans="1:8" s="1400" customFormat="1" ht="36" customHeight="1">
      <c r="A225" s="1900"/>
      <c r="B225" s="1903"/>
      <c r="C225" s="1906"/>
      <c r="D225" s="24" t="s">
        <v>6685</v>
      </c>
      <c r="E225" s="24" t="s">
        <v>6674</v>
      </c>
      <c r="F225" s="1785" t="s">
        <v>6684</v>
      </c>
      <c r="G225" s="1782"/>
    </row>
    <row r="226" spans="1:8" s="1400" customFormat="1" ht="36" customHeight="1">
      <c r="A226" s="1900"/>
      <c r="B226" s="1903"/>
      <c r="C226" s="1787" t="s">
        <v>6699</v>
      </c>
      <c r="D226" s="24" t="s">
        <v>218</v>
      </c>
      <c r="E226" s="24" t="s">
        <v>6700</v>
      </c>
      <c r="F226" s="24" t="s">
        <v>6701</v>
      </c>
      <c r="G226" s="1786" t="s">
        <v>6702</v>
      </c>
    </row>
    <row r="227" spans="1:8" s="1400" customFormat="1" ht="36" customHeight="1">
      <c r="A227" s="1900"/>
      <c r="B227" s="1903"/>
      <c r="C227" s="1910" t="s">
        <v>6705</v>
      </c>
      <c r="D227" s="32" t="s">
        <v>6707</v>
      </c>
      <c r="E227" s="31" t="s">
        <v>6703</v>
      </c>
      <c r="F227" s="24"/>
      <c r="G227" s="1911" t="s">
        <v>2670</v>
      </c>
    </row>
    <row r="228" spans="1:8" s="1400" customFormat="1" ht="36" customHeight="1">
      <c r="A228" s="1900"/>
      <c r="B228" s="1903"/>
      <c r="C228" s="1914"/>
      <c r="D228" s="30" t="s">
        <v>43</v>
      </c>
      <c r="E228" s="29" t="s">
        <v>6704</v>
      </c>
      <c r="F228" s="1785"/>
      <c r="G228" s="1913"/>
    </row>
    <row r="229" spans="1:8" s="1400" customFormat="1" ht="36" customHeight="1">
      <c r="A229" s="1900"/>
      <c r="B229" s="1903"/>
      <c r="C229" s="1906"/>
      <c r="D229" s="30" t="s">
        <v>20</v>
      </c>
      <c r="E229" s="29" t="s">
        <v>6704</v>
      </c>
      <c r="F229" s="1785" t="s">
        <v>6708</v>
      </c>
      <c r="G229" s="1912"/>
    </row>
    <row r="230" spans="1:8" s="1400" customFormat="1" ht="36" customHeight="1">
      <c r="A230" s="1900"/>
      <c r="B230" s="1903"/>
      <c r="C230" s="1787" t="s">
        <v>2710</v>
      </c>
      <c r="D230" s="32" t="s">
        <v>5810</v>
      </c>
      <c r="E230" s="31" t="s">
        <v>3182</v>
      </c>
      <c r="F230" s="24"/>
      <c r="G230" s="1783" t="s">
        <v>2721</v>
      </c>
      <c r="H230" s="1400" t="s">
        <v>6512</v>
      </c>
    </row>
    <row r="231" spans="1:8" s="1400" customFormat="1" ht="35.1" customHeight="1">
      <c r="A231" s="1900"/>
      <c r="B231" s="1903"/>
      <c r="C231" s="1787" t="s">
        <v>4145</v>
      </c>
      <c r="D231" s="24" t="s">
        <v>218</v>
      </c>
      <c r="E231" s="31" t="s">
        <v>2669</v>
      </c>
      <c r="F231" s="24" t="s">
        <v>240</v>
      </c>
      <c r="G231" s="1786" t="s">
        <v>4147</v>
      </c>
      <c r="H231" s="1400" t="s">
        <v>4149</v>
      </c>
    </row>
    <row r="232" spans="1:8" s="1400" customFormat="1" ht="36" customHeight="1">
      <c r="A232" s="1900"/>
      <c r="B232" s="1903"/>
      <c r="C232" s="1787" t="s">
        <v>2803</v>
      </c>
      <c r="D232" s="32" t="s">
        <v>6709</v>
      </c>
      <c r="E232" s="31" t="s">
        <v>6710</v>
      </c>
      <c r="F232" s="24"/>
      <c r="G232" s="1786" t="s">
        <v>6714</v>
      </c>
    </row>
    <row r="233" spans="1:8" s="1400" customFormat="1" ht="36" customHeight="1" thickBot="1">
      <c r="A233" s="1900"/>
      <c r="B233" s="1903"/>
      <c r="C233" s="1787" t="s">
        <v>6716</v>
      </c>
      <c r="D233" s="32" t="s">
        <v>6718</v>
      </c>
      <c r="E233" s="31" t="s">
        <v>6719</v>
      </c>
      <c r="F233" s="24"/>
      <c r="G233" s="1786" t="s">
        <v>6720</v>
      </c>
    </row>
    <row r="234" spans="1:8" s="1400" customFormat="1" ht="36" hidden="1" customHeight="1">
      <c r="A234" s="1900"/>
      <c r="B234" s="1903"/>
      <c r="C234" s="21"/>
      <c r="D234" s="20"/>
      <c r="E234" s="19"/>
      <c r="F234" s="22"/>
      <c r="G234" s="64"/>
    </row>
    <row r="235" spans="1:8" s="1400" customFormat="1" ht="36" hidden="1" customHeight="1" thickBot="1">
      <c r="A235" s="1900"/>
      <c r="B235" s="1903"/>
      <c r="C235" s="1773"/>
      <c r="D235" s="26"/>
      <c r="E235" s="25"/>
      <c r="F235" s="1684"/>
      <c r="G235" s="1772"/>
    </row>
    <row r="236" spans="1:8" s="1400" customFormat="1" ht="36" customHeight="1" thickBot="1">
      <c r="A236" s="1901"/>
      <c r="B236" s="1904"/>
      <c r="C236" s="12" t="s">
        <v>6654</v>
      </c>
      <c r="D236" s="11" t="s">
        <v>6655</v>
      </c>
      <c r="E236" s="10" t="s">
        <v>6656</v>
      </c>
      <c r="F236" s="10" t="s">
        <v>6657</v>
      </c>
      <c r="G236" s="9"/>
    </row>
    <row r="237" spans="1:8" s="1400" customFormat="1" ht="36" customHeight="1">
      <c r="A237" s="1899">
        <v>45321</v>
      </c>
      <c r="B237" s="1902" t="s">
        <v>3</v>
      </c>
      <c r="C237" s="1775" t="s">
        <v>206</v>
      </c>
      <c r="D237" s="24" t="s">
        <v>207</v>
      </c>
      <c r="E237" s="24" t="s">
        <v>6675</v>
      </c>
      <c r="F237" s="1779"/>
      <c r="G237" s="1777"/>
    </row>
    <row r="238" spans="1:8" s="1400" customFormat="1" ht="36" customHeight="1">
      <c r="A238" s="1900"/>
      <c r="B238" s="1903"/>
      <c r="C238" s="1781" t="s">
        <v>6682</v>
      </c>
      <c r="D238" s="32" t="s">
        <v>6683</v>
      </c>
      <c r="E238" s="31" t="s">
        <v>6733</v>
      </c>
      <c r="F238" s="1779"/>
      <c r="G238" s="1777" t="s">
        <v>6717</v>
      </c>
    </row>
    <row r="239" spans="1:8" s="1400" customFormat="1" ht="36" customHeight="1">
      <c r="A239" s="1900"/>
      <c r="B239" s="1903"/>
      <c r="C239" s="1781" t="s">
        <v>6713</v>
      </c>
      <c r="D239" s="32" t="s">
        <v>6711</v>
      </c>
      <c r="E239" s="31" t="s">
        <v>6712</v>
      </c>
      <c r="F239" s="24"/>
      <c r="G239" s="1780" t="s">
        <v>6715</v>
      </c>
    </row>
    <row r="240" spans="1:8" s="1400" customFormat="1" ht="36" customHeight="1">
      <c r="A240" s="1900"/>
      <c r="B240" s="1903"/>
      <c r="C240" s="1914" t="s">
        <v>377</v>
      </c>
      <c r="D240" s="1779" t="s">
        <v>378</v>
      </c>
      <c r="E240" s="1779" t="s">
        <v>189</v>
      </c>
      <c r="F240" s="1779" t="s">
        <v>6278</v>
      </c>
      <c r="G240" s="1913" t="s">
        <v>2055</v>
      </c>
      <c r="H240" s="1400" t="s">
        <v>6693</v>
      </c>
    </row>
    <row r="241" spans="1:8" s="1400" customFormat="1" ht="36" customHeight="1">
      <c r="A241" s="1900"/>
      <c r="B241" s="1903"/>
      <c r="C241" s="1906"/>
      <c r="D241" s="24" t="s">
        <v>295</v>
      </c>
      <c r="E241" s="31" t="s">
        <v>539</v>
      </c>
      <c r="F241" s="1779"/>
      <c r="G241" s="1912"/>
    </row>
    <row r="242" spans="1:8" s="1400" customFormat="1" ht="36" customHeight="1">
      <c r="A242" s="1900"/>
      <c r="B242" s="1903"/>
      <c r="C242" s="1776" t="s">
        <v>6725</v>
      </c>
      <c r="D242" s="30" t="s">
        <v>6726</v>
      </c>
      <c r="E242" s="29" t="s">
        <v>226</v>
      </c>
      <c r="F242" s="1779" t="s">
        <v>6727</v>
      </c>
      <c r="G242" s="1778" t="s">
        <v>6728</v>
      </c>
    </row>
    <row r="243" spans="1:8" s="1400" customFormat="1" ht="36" customHeight="1" thickBot="1">
      <c r="A243" s="1900"/>
      <c r="B243" s="1903"/>
      <c r="C243" s="1773"/>
      <c r="D243" s="26"/>
      <c r="E243" s="25"/>
      <c r="F243" s="1684"/>
      <c r="G243" s="1772"/>
    </row>
    <row r="244" spans="1:8" s="1400" customFormat="1" ht="36" customHeight="1" thickBot="1">
      <c r="A244" s="1901"/>
      <c r="B244" s="1904"/>
      <c r="C244" s="12" t="s">
        <v>6654</v>
      </c>
      <c r="D244" s="11" t="s">
        <v>6655</v>
      </c>
      <c r="E244" s="10" t="s">
        <v>6658</v>
      </c>
      <c r="F244" s="10" t="s">
        <v>6659</v>
      </c>
      <c r="G244" s="9"/>
    </row>
    <row r="245" spans="1:8" s="1400" customFormat="1" ht="36" customHeight="1">
      <c r="A245" s="1899">
        <v>45322</v>
      </c>
      <c r="B245" s="1902" t="s">
        <v>32</v>
      </c>
      <c r="C245" s="1905" t="s">
        <v>6681</v>
      </c>
      <c r="D245" s="24" t="s">
        <v>218</v>
      </c>
      <c r="E245" s="31" t="s">
        <v>371</v>
      </c>
      <c r="F245" s="1790"/>
      <c r="G245" s="1788"/>
    </row>
    <row r="246" spans="1:8" s="1400" customFormat="1" ht="36" customHeight="1">
      <c r="A246" s="1900"/>
      <c r="B246" s="1903"/>
      <c r="C246" s="1914"/>
      <c r="D246" s="24" t="s">
        <v>221</v>
      </c>
      <c r="E246" s="31" t="s">
        <v>291</v>
      </c>
      <c r="F246" s="1790" t="s">
        <v>591</v>
      </c>
      <c r="G246" s="1788"/>
    </row>
    <row r="247" spans="1:8" s="1400" customFormat="1" ht="36" customHeight="1">
      <c r="A247" s="1900"/>
      <c r="B247" s="1903"/>
      <c r="C247" s="1914"/>
      <c r="D247" s="24" t="s">
        <v>474</v>
      </c>
      <c r="E247" s="31" t="s">
        <v>180</v>
      </c>
      <c r="F247" s="1790"/>
      <c r="G247" s="1788"/>
    </row>
    <row r="248" spans="1:8" s="1400" customFormat="1" ht="36" customHeight="1">
      <c r="A248" s="1900"/>
      <c r="B248" s="1903"/>
      <c r="C248" s="1914"/>
      <c r="D248" s="24" t="s">
        <v>6745</v>
      </c>
      <c r="E248" s="31" t="s">
        <v>6746</v>
      </c>
      <c r="F248" s="1790"/>
      <c r="G248" s="1788"/>
    </row>
    <row r="249" spans="1:8" s="1400" customFormat="1" ht="36" customHeight="1">
      <c r="A249" s="1900"/>
      <c r="B249" s="1903"/>
      <c r="C249" s="1914"/>
      <c r="D249" s="24" t="s">
        <v>6743</v>
      </c>
      <c r="E249" s="31" t="s">
        <v>6744</v>
      </c>
      <c r="F249" s="1790"/>
      <c r="G249" s="1788"/>
    </row>
    <row r="250" spans="1:8" s="1400" customFormat="1" ht="36" customHeight="1">
      <c r="A250" s="1900"/>
      <c r="B250" s="1903"/>
      <c r="C250" s="1910" t="s">
        <v>6686</v>
      </c>
      <c r="D250" s="24" t="s">
        <v>6687</v>
      </c>
      <c r="E250" s="31" t="s">
        <v>6688</v>
      </c>
      <c r="F250" s="24"/>
      <c r="G250" s="1911" t="s">
        <v>6706</v>
      </c>
      <c r="H250" s="1400" t="s">
        <v>6693</v>
      </c>
    </row>
    <row r="251" spans="1:8" s="1400" customFormat="1" ht="36" customHeight="1">
      <c r="A251" s="1900"/>
      <c r="B251" s="1903"/>
      <c r="C251" s="1914"/>
      <c r="D251" s="24" t="s">
        <v>6689</v>
      </c>
      <c r="E251" s="31" t="s">
        <v>6690</v>
      </c>
      <c r="F251" s="1790"/>
      <c r="G251" s="1913"/>
    </row>
    <row r="252" spans="1:8" s="1400" customFormat="1" ht="36" customHeight="1">
      <c r="A252" s="1900"/>
      <c r="B252" s="1903"/>
      <c r="C252" s="1906"/>
      <c r="D252" s="24" t="s">
        <v>6691</v>
      </c>
      <c r="E252" s="31" t="s">
        <v>6692</v>
      </c>
      <c r="F252" s="1790" t="s">
        <v>19</v>
      </c>
      <c r="G252" s="1913"/>
    </row>
    <row r="253" spans="1:8" s="1400" customFormat="1" ht="36" customHeight="1">
      <c r="A253" s="1900"/>
      <c r="B253" s="1903"/>
      <c r="C253" s="1910" t="s">
        <v>267</v>
      </c>
      <c r="D253" s="32" t="s">
        <v>215</v>
      </c>
      <c r="E253" s="31" t="s">
        <v>6695</v>
      </c>
      <c r="F253" s="24"/>
      <c r="G253" s="1913"/>
    </row>
    <row r="254" spans="1:8" s="1400" customFormat="1" ht="36" customHeight="1">
      <c r="A254" s="1900"/>
      <c r="B254" s="1903"/>
      <c r="C254" s="1906"/>
      <c r="D254" s="32" t="s">
        <v>6696</v>
      </c>
      <c r="E254" s="31" t="s">
        <v>6697</v>
      </c>
      <c r="F254" s="1790" t="s">
        <v>6698</v>
      </c>
      <c r="G254" s="1913"/>
    </row>
    <row r="255" spans="1:8" s="1400" customFormat="1" ht="36" customHeight="1">
      <c r="A255" s="1900"/>
      <c r="B255" s="1903"/>
      <c r="C255" s="1910" t="s">
        <v>5609</v>
      </c>
      <c r="D255" s="24" t="s">
        <v>653</v>
      </c>
      <c r="E255" s="24" t="s">
        <v>225</v>
      </c>
      <c r="F255" s="1790"/>
      <c r="G255" s="1913"/>
    </row>
    <row r="256" spans="1:8" s="1400" customFormat="1" ht="36" customHeight="1">
      <c r="A256" s="1900"/>
      <c r="B256" s="1903"/>
      <c r="C256" s="1906"/>
      <c r="D256" s="1790" t="s">
        <v>6721</v>
      </c>
      <c r="E256" s="1790" t="s">
        <v>6722</v>
      </c>
      <c r="F256" s="1790"/>
      <c r="G256" s="1912"/>
    </row>
    <row r="257" spans="1:8" s="1400" customFormat="1" ht="36" customHeight="1">
      <c r="A257" s="1900"/>
      <c r="B257" s="1903"/>
      <c r="C257" s="1910" t="s">
        <v>6734</v>
      </c>
      <c r="D257" s="1790" t="s">
        <v>6735</v>
      </c>
      <c r="E257" s="1790" t="s">
        <v>6736</v>
      </c>
      <c r="F257" s="1790" t="s">
        <v>6737</v>
      </c>
      <c r="G257" s="1789" t="s">
        <v>6739</v>
      </c>
      <c r="H257" s="1400" t="s">
        <v>6741</v>
      </c>
    </row>
    <row r="258" spans="1:8" s="1400" customFormat="1" ht="36" customHeight="1" thickBot="1">
      <c r="A258" s="1900"/>
      <c r="B258" s="1903"/>
      <c r="C258" s="1906"/>
      <c r="D258" s="1790" t="s">
        <v>6735</v>
      </c>
      <c r="E258" s="1790" t="s">
        <v>6736</v>
      </c>
      <c r="F258" s="1790" t="s">
        <v>6738</v>
      </c>
      <c r="G258" s="1789" t="s">
        <v>6740</v>
      </c>
      <c r="H258" s="1400" t="s">
        <v>6742</v>
      </c>
    </row>
    <row r="259" spans="1:8" s="1400" customFormat="1" ht="36" hidden="1" customHeight="1">
      <c r="A259" s="1900"/>
      <c r="B259" s="1903"/>
      <c r="C259" s="48"/>
      <c r="D259" s="46"/>
      <c r="E259" s="46"/>
      <c r="F259" s="46"/>
      <c r="G259" s="45"/>
    </row>
    <row r="260" spans="1:8" s="1400" customFormat="1" ht="36" hidden="1" customHeight="1" thickBot="1">
      <c r="A260" s="1900"/>
      <c r="B260" s="1903"/>
      <c r="C260" s="44"/>
      <c r="D260" s="42"/>
      <c r="E260" s="27"/>
      <c r="F260" s="42"/>
      <c r="G260" s="41"/>
    </row>
    <row r="261" spans="1:8" s="1400" customFormat="1" ht="36" customHeight="1" thickBot="1">
      <c r="A261" s="1901"/>
      <c r="B261" s="1904"/>
      <c r="C261" s="12"/>
      <c r="D261" s="11"/>
      <c r="E261" s="10"/>
      <c r="F261" s="10"/>
      <c r="G261" s="9"/>
    </row>
  </sheetData>
  <mergeCells count="119">
    <mergeCell ref="C149:C151"/>
    <mergeCell ref="C135:C137"/>
    <mergeCell ref="A65:A69"/>
    <mergeCell ref="B65:B69"/>
    <mergeCell ref="A70:A76"/>
    <mergeCell ref="B70:B76"/>
    <mergeCell ref="A132:A143"/>
    <mergeCell ref="B132:B143"/>
    <mergeCell ref="C65:C67"/>
    <mergeCell ref="A89:A97"/>
    <mergeCell ref="B89:B97"/>
    <mergeCell ref="A98:A102"/>
    <mergeCell ref="B98:B102"/>
    <mergeCell ref="A103:G103"/>
    <mergeCell ref="A124:A131"/>
    <mergeCell ref="B124:B131"/>
    <mergeCell ref="B104:B123"/>
    <mergeCell ref="C104:C105"/>
    <mergeCell ref="C106:C108"/>
    <mergeCell ref="G106:G108"/>
    <mergeCell ref="C132:C134"/>
    <mergeCell ref="C118:C119"/>
    <mergeCell ref="G118:G119"/>
    <mergeCell ref="C2:C5"/>
    <mergeCell ref="C11:C12"/>
    <mergeCell ref="G11:G12"/>
    <mergeCell ref="A212:A221"/>
    <mergeCell ref="B212:B221"/>
    <mergeCell ref="C207:C208"/>
    <mergeCell ref="G207:G208"/>
    <mergeCell ref="C183:C186"/>
    <mergeCell ref="C173:C174"/>
    <mergeCell ref="G183:G185"/>
    <mergeCell ref="C189:C192"/>
    <mergeCell ref="C213:C214"/>
    <mergeCell ref="C217:C218"/>
    <mergeCell ref="G217:G218"/>
    <mergeCell ref="A189:A197"/>
    <mergeCell ref="B189:B197"/>
    <mergeCell ref="A198:A203"/>
    <mergeCell ref="B198:B203"/>
    <mergeCell ref="A204:A211"/>
    <mergeCell ref="A171:G171"/>
    <mergeCell ref="G149:G150"/>
    <mergeCell ref="C43:C44"/>
    <mergeCell ref="B2:B21"/>
    <mergeCell ref="G43:G44"/>
    <mergeCell ref="A34:A52"/>
    <mergeCell ref="B34:B52"/>
    <mergeCell ref="A22:A33"/>
    <mergeCell ref="B22:B33"/>
    <mergeCell ref="A53:A63"/>
    <mergeCell ref="B53:B63"/>
    <mergeCell ref="B172:B188"/>
    <mergeCell ref="A64:G64"/>
    <mergeCell ref="C17:C19"/>
    <mergeCell ref="A156:A165"/>
    <mergeCell ref="B156:B165"/>
    <mergeCell ref="C179:C182"/>
    <mergeCell ref="A166:A170"/>
    <mergeCell ref="B166:B170"/>
    <mergeCell ref="C166:C168"/>
    <mergeCell ref="G166:G168"/>
    <mergeCell ref="C175:C176"/>
    <mergeCell ref="G175:G176"/>
    <mergeCell ref="C37:C39"/>
    <mergeCell ref="G37:G39"/>
    <mergeCell ref="C157:C160"/>
    <mergeCell ref="C124:C126"/>
    <mergeCell ref="A104:A123"/>
    <mergeCell ref="C115:C117"/>
    <mergeCell ref="C6:C10"/>
    <mergeCell ref="A1:G1"/>
    <mergeCell ref="C77:C79"/>
    <mergeCell ref="C56:C59"/>
    <mergeCell ref="G56:G59"/>
    <mergeCell ref="C90:C91"/>
    <mergeCell ref="C13:C15"/>
    <mergeCell ref="C35:C36"/>
    <mergeCell ref="G27:G28"/>
    <mergeCell ref="C23:C24"/>
    <mergeCell ref="G22:G24"/>
    <mergeCell ref="C25:C26"/>
    <mergeCell ref="C74:C75"/>
    <mergeCell ref="G74:G75"/>
    <mergeCell ref="C81:C84"/>
    <mergeCell ref="G81:G84"/>
    <mergeCell ref="F17:F19"/>
    <mergeCell ref="G17:G19"/>
    <mergeCell ref="C27:C28"/>
    <mergeCell ref="A77:A88"/>
    <mergeCell ref="B77:B88"/>
    <mergeCell ref="C40:C42"/>
    <mergeCell ref="G40:G42"/>
    <mergeCell ref="A2:A21"/>
    <mergeCell ref="C109:C114"/>
    <mergeCell ref="C257:C258"/>
    <mergeCell ref="C245:C249"/>
    <mergeCell ref="C255:C256"/>
    <mergeCell ref="G250:G256"/>
    <mergeCell ref="C240:C241"/>
    <mergeCell ref="G240:G241"/>
    <mergeCell ref="A222:G222"/>
    <mergeCell ref="A223:A236"/>
    <mergeCell ref="B223:B236"/>
    <mergeCell ref="A237:A244"/>
    <mergeCell ref="B237:B244"/>
    <mergeCell ref="B245:B261"/>
    <mergeCell ref="C250:C252"/>
    <mergeCell ref="C253:C254"/>
    <mergeCell ref="A245:A261"/>
    <mergeCell ref="C224:C225"/>
    <mergeCell ref="C227:C229"/>
    <mergeCell ref="G227:G229"/>
    <mergeCell ref="G212:G215"/>
    <mergeCell ref="A172:A188"/>
    <mergeCell ref="B204:B211"/>
    <mergeCell ref="A144:A155"/>
    <mergeCell ref="B144:B155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0"/>
  <sheetViews>
    <sheetView tabSelected="1" topLeftCell="A184" zoomScale="70" zoomScaleNormal="70" zoomScaleSheetLayoutView="70" workbookViewId="0">
      <selection activeCell="C236" sqref="C23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400" customWidth="1"/>
    <col min="9" max="16384" width="9" style="1"/>
  </cols>
  <sheetData>
    <row r="1" spans="1:8" s="1400" customFormat="1" ht="60" customHeight="1" thickBot="1">
      <c r="A1" s="1907" t="s">
        <v>5</v>
      </c>
      <c r="B1" s="1908"/>
      <c r="C1" s="1908"/>
      <c r="D1" s="1908"/>
      <c r="E1" s="1908"/>
      <c r="F1" s="1908"/>
      <c r="G1" s="1909"/>
    </row>
    <row r="2" spans="1:8" s="1400" customFormat="1" ht="36" customHeight="1">
      <c r="A2" s="1899">
        <v>45323</v>
      </c>
      <c r="B2" s="1902" t="s">
        <v>1</v>
      </c>
      <c r="C2" s="21"/>
      <c r="D2" s="22" t="s">
        <v>6540</v>
      </c>
      <c r="E2" s="22"/>
      <c r="F2" s="1685"/>
      <c r="G2" s="1681"/>
    </row>
    <row r="3" spans="1:8" s="1400" customFormat="1" ht="36" customHeight="1">
      <c r="A3" s="1900"/>
      <c r="B3" s="1903"/>
      <c r="C3" s="1910" t="s">
        <v>6729</v>
      </c>
      <c r="D3" s="24" t="s">
        <v>6730</v>
      </c>
      <c r="E3" s="24" t="s">
        <v>6753</v>
      </c>
      <c r="F3" s="24"/>
      <c r="G3" s="1911" t="s">
        <v>6732</v>
      </c>
    </row>
    <row r="4" spans="1:8" s="1400" customFormat="1" ht="36" customHeight="1">
      <c r="A4" s="1900"/>
      <c r="B4" s="1903"/>
      <c r="C4" s="1914"/>
      <c r="D4" s="24" t="s">
        <v>6731</v>
      </c>
      <c r="E4" s="24" t="s">
        <v>6754</v>
      </c>
      <c r="F4" s="1799"/>
      <c r="G4" s="1913"/>
    </row>
    <row r="5" spans="1:8" s="1400" customFormat="1" ht="36" customHeight="1">
      <c r="A5" s="1900"/>
      <c r="B5" s="1903"/>
      <c r="C5" s="1914"/>
      <c r="D5" s="24" t="s">
        <v>221</v>
      </c>
      <c r="E5" s="24" t="s">
        <v>6755</v>
      </c>
      <c r="F5" s="24"/>
      <c r="G5" s="1912"/>
    </row>
    <row r="6" spans="1:8" s="1400" customFormat="1" ht="36" customHeight="1">
      <c r="A6" s="1900"/>
      <c r="B6" s="1903"/>
      <c r="C6" s="1914"/>
      <c r="D6" s="24" t="s">
        <v>6730</v>
      </c>
      <c r="E6" s="29" t="s">
        <v>6736</v>
      </c>
      <c r="F6" s="1799"/>
      <c r="G6" s="1792" t="s">
        <v>6756</v>
      </c>
    </row>
    <row r="7" spans="1:8" s="1400" customFormat="1" ht="36" customHeight="1">
      <c r="A7" s="1900"/>
      <c r="B7" s="1903"/>
      <c r="C7" s="1906"/>
      <c r="D7" s="32" t="s">
        <v>6767</v>
      </c>
      <c r="E7" s="31" t="s">
        <v>6766</v>
      </c>
      <c r="F7" s="1799"/>
      <c r="G7" s="1800"/>
    </row>
    <row r="8" spans="1:8" s="1400" customFormat="1" ht="30" customHeight="1">
      <c r="A8" s="1900"/>
      <c r="B8" s="1903"/>
      <c r="C8" s="1910" t="s">
        <v>237</v>
      </c>
      <c r="D8" s="32" t="s">
        <v>6769</v>
      </c>
      <c r="E8" s="24" t="s">
        <v>6770</v>
      </c>
      <c r="F8" s="24"/>
      <c r="G8" s="1911" t="s">
        <v>261</v>
      </c>
    </row>
    <row r="9" spans="1:8" s="1400" customFormat="1" ht="30" customHeight="1">
      <c r="A9" s="1900"/>
      <c r="B9" s="1903"/>
      <c r="C9" s="1906"/>
      <c r="D9" s="30" t="s">
        <v>6771</v>
      </c>
      <c r="E9" s="1799" t="s">
        <v>6772</v>
      </c>
      <c r="F9" s="1799"/>
      <c r="G9" s="1912"/>
    </row>
    <row r="10" spans="1:8" s="1400" customFormat="1" ht="35.1" customHeight="1">
      <c r="A10" s="1900"/>
      <c r="B10" s="1903"/>
      <c r="C10" s="1793" t="s">
        <v>2389</v>
      </c>
      <c r="D10" s="30" t="s">
        <v>20</v>
      </c>
      <c r="E10" s="29" t="s">
        <v>6768</v>
      </c>
      <c r="F10" s="1799" t="s">
        <v>201</v>
      </c>
      <c r="G10" s="1792" t="s">
        <v>236</v>
      </c>
    </row>
    <row r="11" spans="1:8" s="1400" customFormat="1" ht="35.1" customHeight="1">
      <c r="A11" s="1900"/>
      <c r="B11" s="1903"/>
      <c r="C11" s="1801" t="s">
        <v>6773</v>
      </c>
      <c r="D11" s="30" t="s">
        <v>6774</v>
      </c>
      <c r="E11" s="31" t="s">
        <v>6775</v>
      </c>
      <c r="F11" s="24" t="s">
        <v>6776</v>
      </c>
      <c r="G11" s="1800" t="s">
        <v>6777</v>
      </c>
    </row>
    <row r="12" spans="1:8" s="1400" customFormat="1" ht="35.1" customHeight="1">
      <c r="A12" s="1900"/>
      <c r="B12" s="1903"/>
      <c r="C12" s="1910" t="s">
        <v>6778</v>
      </c>
      <c r="D12" s="30" t="s">
        <v>20</v>
      </c>
      <c r="E12" s="29" t="s">
        <v>6775</v>
      </c>
      <c r="F12" s="1799"/>
      <c r="G12" s="1792" t="s">
        <v>236</v>
      </c>
      <c r="H12" s="1400" t="s">
        <v>6779</v>
      </c>
    </row>
    <row r="13" spans="1:8" s="1400" customFormat="1" ht="35.1" customHeight="1" thickBot="1">
      <c r="A13" s="1900"/>
      <c r="B13" s="1903"/>
      <c r="C13" s="1932"/>
      <c r="D13" s="1802" t="s">
        <v>6780</v>
      </c>
      <c r="E13" s="34" t="s">
        <v>6781</v>
      </c>
      <c r="F13" s="1798"/>
      <c r="G13" s="1794" t="s">
        <v>6782</v>
      </c>
      <c r="H13" s="1400" t="s">
        <v>6783</v>
      </c>
    </row>
    <row r="14" spans="1:8" s="1400" customFormat="1" ht="36" customHeight="1" thickBot="1">
      <c r="A14" s="1901"/>
      <c r="B14" s="1904"/>
      <c r="C14" s="12"/>
      <c r="D14" s="11"/>
      <c r="E14" s="10"/>
      <c r="F14" s="10"/>
      <c r="G14" s="9"/>
    </row>
    <row r="15" spans="1:8" s="1400" customFormat="1" ht="36" customHeight="1">
      <c r="A15" s="1899">
        <v>45324</v>
      </c>
      <c r="B15" s="1916" t="s">
        <v>6723</v>
      </c>
      <c r="C15" s="1905" t="s">
        <v>175</v>
      </c>
      <c r="D15" s="24" t="s">
        <v>6757</v>
      </c>
      <c r="E15" s="24" t="s">
        <v>6758</v>
      </c>
      <c r="F15" s="1799"/>
      <c r="G15" s="1915" t="s">
        <v>6761</v>
      </c>
    </row>
    <row r="16" spans="1:8" s="1400" customFormat="1" ht="36" customHeight="1">
      <c r="A16" s="1900"/>
      <c r="B16" s="1917"/>
      <c r="C16" s="1906"/>
      <c r="D16" s="32" t="s">
        <v>6759</v>
      </c>
      <c r="E16" s="31" t="s">
        <v>6760</v>
      </c>
      <c r="F16" s="1799" t="s">
        <v>6762</v>
      </c>
      <c r="G16" s="1912"/>
    </row>
    <row r="17" spans="1:8" s="1400" customFormat="1" ht="36" customHeight="1">
      <c r="A17" s="1900"/>
      <c r="B17" s="1917"/>
      <c r="C17" s="1910" t="s">
        <v>622</v>
      </c>
      <c r="D17" s="24" t="s">
        <v>203</v>
      </c>
      <c r="E17" s="24" t="s">
        <v>6784</v>
      </c>
      <c r="F17" s="1799"/>
      <c r="G17" s="1791"/>
    </row>
    <row r="18" spans="1:8" s="1400" customFormat="1" ht="36" customHeight="1">
      <c r="A18" s="1900"/>
      <c r="B18" s="1917"/>
      <c r="C18" s="1914"/>
      <c r="D18" s="32" t="s">
        <v>224</v>
      </c>
      <c r="E18" s="31" t="s">
        <v>299</v>
      </c>
      <c r="F18" s="24"/>
      <c r="G18" s="1800"/>
    </row>
    <row r="19" spans="1:8" s="1400" customFormat="1" ht="36" customHeight="1">
      <c r="A19" s="1900"/>
      <c r="B19" s="1917"/>
      <c r="C19" s="1914"/>
      <c r="D19" s="32" t="s">
        <v>278</v>
      </c>
      <c r="E19" s="31" t="s">
        <v>181</v>
      </c>
      <c r="F19" s="24"/>
      <c r="G19" s="1800"/>
      <c r="H19" s="1804" t="s">
        <v>6763</v>
      </c>
    </row>
    <row r="20" spans="1:8" s="1400" customFormat="1" ht="36" customHeight="1">
      <c r="A20" s="1900"/>
      <c r="B20" s="1917"/>
      <c r="C20" s="1914"/>
      <c r="D20" s="32" t="s">
        <v>378</v>
      </c>
      <c r="E20" s="31" t="s">
        <v>6764</v>
      </c>
      <c r="F20" s="24" t="s">
        <v>591</v>
      </c>
      <c r="G20" s="1800"/>
    </row>
    <row r="21" spans="1:8" s="1400" customFormat="1" ht="36" customHeight="1">
      <c r="A21" s="1900"/>
      <c r="B21" s="1917"/>
      <c r="C21" s="1906"/>
      <c r="D21" s="32" t="s">
        <v>6785</v>
      </c>
      <c r="E21" s="31" t="s">
        <v>6786</v>
      </c>
      <c r="F21" s="24"/>
      <c r="G21" s="1800"/>
    </row>
    <row r="22" spans="1:8" s="1400" customFormat="1" ht="36" customHeight="1">
      <c r="A22" s="1900"/>
      <c r="B22" s="1917"/>
      <c r="C22" s="1910" t="s">
        <v>6751</v>
      </c>
      <c r="D22" s="32" t="s">
        <v>6752</v>
      </c>
      <c r="E22" s="31" t="s">
        <v>6747</v>
      </c>
      <c r="F22" s="24"/>
      <c r="G22" s="1800"/>
    </row>
    <row r="23" spans="1:8" s="1400" customFormat="1" ht="36" customHeight="1">
      <c r="A23" s="1900"/>
      <c r="B23" s="1917"/>
      <c r="C23" s="1914"/>
      <c r="D23" s="32" t="s">
        <v>262</v>
      </c>
      <c r="E23" s="31" t="s">
        <v>6748</v>
      </c>
      <c r="F23" s="24"/>
      <c r="G23" s="1800"/>
    </row>
    <row r="24" spans="1:8" s="1400" customFormat="1" ht="36" customHeight="1">
      <c r="A24" s="1900"/>
      <c r="B24" s="1917"/>
      <c r="C24" s="1906"/>
      <c r="D24" s="30" t="s">
        <v>6749</v>
      </c>
      <c r="E24" s="29" t="s">
        <v>6747</v>
      </c>
      <c r="F24" s="1799" t="s">
        <v>6750</v>
      </c>
      <c r="G24" s="1792"/>
    </row>
    <row r="25" spans="1:8" s="1400" customFormat="1" ht="36" customHeight="1">
      <c r="A25" s="1900"/>
      <c r="B25" s="1917"/>
      <c r="C25" s="1793" t="s">
        <v>6791</v>
      </c>
      <c r="D25" s="30" t="s">
        <v>6792</v>
      </c>
      <c r="E25" s="29" t="s">
        <v>6793</v>
      </c>
      <c r="F25" s="1799"/>
      <c r="G25" s="1792" t="s">
        <v>6794</v>
      </c>
    </row>
    <row r="26" spans="1:8" s="1400" customFormat="1" ht="36" customHeight="1">
      <c r="A26" s="1900"/>
      <c r="B26" s="1917"/>
      <c r="C26" s="1793" t="s">
        <v>6795</v>
      </c>
      <c r="D26" s="30" t="s">
        <v>6796</v>
      </c>
      <c r="E26" s="29" t="s">
        <v>6797</v>
      </c>
      <c r="F26" s="1799" t="s">
        <v>6798</v>
      </c>
      <c r="G26" s="1792" t="s">
        <v>501</v>
      </c>
      <c r="H26" s="1400" t="s">
        <v>6679</v>
      </c>
    </row>
    <row r="27" spans="1:8" s="1400" customFormat="1" ht="36" customHeight="1" thickBot="1">
      <c r="A27" s="1900"/>
      <c r="B27" s="1917"/>
      <c r="C27" s="1810" t="s">
        <v>6804</v>
      </c>
      <c r="D27" s="32" t="s">
        <v>6805</v>
      </c>
      <c r="E27" s="31" t="s">
        <v>6806</v>
      </c>
      <c r="F27" s="24"/>
      <c r="G27" s="1809"/>
    </row>
    <row r="28" spans="1:8" s="1400" customFormat="1" ht="36" hidden="1" customHeight="1">
      <c r="A28" s="1900"/>
      <c r="B28" s="1917"/>
      <c r="C28" s="1797"/>
      <c r="D28" s="28"/>
      <c r="E28" s="27"/>
      <c r="F28" s="1685"/>
      <c r="G28" s="1796"/>
    </row>
    <row r="29" spans="1:8" s="1400" customFormat="1" ht="36" hidden="1" customHeight="1" thickBot="1">
      <c r="A29" s="1900"/>
      <c r="B29" s="1917"/>
      <c r="C29" s="1805"/>
      <c r="D29" s="26"/>
      <c r="E29" s="25"/>
      <c r="F29" s="1684"/>
      <c r="G29" s="1795"/>
    </row>
    <row r="30" spans="1:8" s="1400" customFormat="1" ht="36" customHeight="1" thickBot="1">
      <c r="A30" s="1901"/>
      <c r="B30" s="1918"/>
      <c r="C30" s="619" t="s">
        <v>6787</v>
      </c>
      <c r="D30" s="11" t="s">
        <v>6788</v>
      </c>
      <c r="E30" s="10" t="s">
        <v>6789</v>
      </c>
      <c r="F30" s="10" t="s">
        <v>6790</v>
      </c>
      <c r="G30" s="9"/>
    </row>
    <row r="31" spans="1:8" s="1400" customFormat="1" ht="60" customHeight="1" thickBot="1">
      <c r="A31" s="1907" t="s">
        <v>5</v>
      </c>
      <c r="B31" s="1908"/>
      <c r="C31" s="1908"/>
      <c r="D31" s="1908"/>
      <c r="E31" s="1908"/>
      <c r="F31" s="1908"/>
      <c r="G31" s="1909"/>
    </row>
    <row r="32" spans="1:8" s="1400" customFormat="1" ht="30" customHeight="1">
      <c r="A32" s="1899">
        <v>45327</v>
      </c>
      <c r="B32" s="1902" t="s">
        <v>4</v>
      </c>
      <c r="C32" s="1806" t="s">
        <v>206</v>
      </c>
      <c r="D32" s="24" t="s">
        <v>207</v>
      </c>
      <c r="E32" s="24" t="s">
        <v>6765</v>
      </c>
      <c r="F32" s="1808"/>
      <c r="G32" s="1807"/>
    </row>
    <row r="33" spans="1:7" s="1400" customFormat="1" ht="30" customHeight="1">
      <c r="A33" s="1900"/>
      <c r="B33" s="1903"/>
      <c r="C33" s="1810" t="s">
        <v>436</v>
      </c>
      <c r="D33" s="32" t="s">
        <v>20</v>
      </c>
      <c r="E33" s="24" t="s">
        <v>300</v>
      </c>
      <c r="F33" s="1808" t="s">
        <v>3045</v>
      </c>
      <c r="G33" s="1911" t="s">
        <v>6810</v>
      </c>
    </row>
    <row r="34" spans="1:7" s="1400" customFormat="1" ht="30" customHeight="1">
      <c r="A34" s="1900"/>
      <c r="B34" s="1903"/>
      <c r="C34" s="1810" t="s">
        <v>6807</v>
      </c>
      <c r="D34" s="32" t="s">
        <v>6808</v>
      </c>
      <c r="E34" s="24" t="s">
        <v>6809</v>
      </c>
      <c r="F34" s="1808"/>
      <c r="G34" s="1912"/>
    </row>
    <row r="35" spans="1:7" s="1400" customFormat="1" ht="30" customHeight="1">
      <c r="A35" s="1900"/>
      <c r="B35" s="1903"/>
      <c r="C35" s="1910" t="s">
        <v>6811</v>
      </c>
      <c r="D35" s="32" t="s">
        <v>6812</v>
      </c>
      <c r="E35" s="24" t="s">
        <v>189</v>
      </c>
      <c r="F35" s="1808"/>
      <c r="G35" s="1911" t="s">
        <v>261</v>
      </c>
    </row>
    <row r="36" spans="1:7" s="1400" customFormat="1" ht="30" customHeight="1">
      <c r="A36" s="1900"/>
      <c r="B36" s="1903"/>
      <c r="C36" s="1914"/>
      <c r="D36" s="32" t="s">
        <v>20</v>
      </c>
      <c r="E36" s="24" t="s">
        <v>6813</v>
      </c>
      <c r="F36" s="1808" t="s">
        <v>6817</v>
      </c>
      <c r="G36" s="1912"/>
    </row>
    <row r="37" spans="1:7" s="1400" customFormat="1" ht="30" customHeight="1">
      <c r="A37" s="1900"/>
      <c r="B37" s="1903"/>
      <c r="C37" s="1906"/>
      <c r="D37" s="32" t="s">
        <v>6829</v>
      </c>
      <c r="E37" s="31" t="s">
        <v>6828</v>
      </c>
      <c r="F37" s="1808"/>
      <c r="G37" s="1807" t="s">
        <v>6830</v>
      </c>
    </row>
    <row r="38" spans="1:7" ht="30" customHeight="1">
      <c r="A38" s="1900"/>
      <c r="B38" s="1903"/>
      <c r="C38" s="1910" t="s">
        <v>6831</v>
      </c>
      <c r="D38" s="24" t="s">
        <v>6832</v>
      </c>
      <c r="E38" s="24" t="s">
        <v>6833</v>
      </c>
      <c r="F38" s="1808"/>
      <c r="G38" s="1911" t="s">
        <v>6835</v>
      </c>
    </row>
    <row r="39" spans="1:7" ht="30" customHeight="1">
      <c r="A39" s="1900"/>
      <c r="B39" s="1903"/>
      <c r="C39" s="1906"/>
      <c r="D39" s="30" t="s">
        <v>20</v>
      </c>
      <c r="E39" s="31" t="s">
        <v>6834</v>
      </c>
      <c r="F39" s="1808" t="s">
        <v>201</v>
      </c>
      <c r="G39" s="1912"/>
    </row>
    <row r="40" spans="1:7" s="1400" customFormat="1" ht="30" customHeight="1" thickBot="1">
      <c r="A40" s="1900"/>
      <c r="B40" s="1903"/>
      <c r="C40" s="1774"/>
      <c r="D40" s="16"/>
      <c r="E40" s="15"/>
      <c r="F40" s="1684"/>
      <c r="G40" s="1771"/>
    </row>
    <row r="41" spans="1:7" s="1400" customFormat="1" ht="30" customHeight="1" thickBot="1">
      <c r="A41" s="1901"/>
      <c r="B41" s="1904"/>
      <c r="C41" s="12" t="s">
        <v>6818</v>
      </c>
      <c r="D41" s="11" t="s">
        <v>6819</v>
      </c>
      <c r="E41" s="10" t="s">
        <v>6820</v>
      </c>
      <c r="F41" s="10" t="s">
        <v>6821</v>
      </c>
      <c r="G41" s="9"/>
    </row>
    <row r="42" spans="1:7" ht="30" customHeight="1">
      <c r="A42" s="1899">
        <v>45328</v>
      </c>
      <c r="B42" s="1902" t="s">
        <v>3</v>
      </c>
      <c r="C42" s="36" t="s">
        <v>206</v>
      </c>
      <c r="D42" s="49" t="s">
        <v>207</v>
      </c>
      <c r="E42" s="49" t="s">
        <v>6822</v>
      </c>
      <c r="F42" s="49"/>
      <c r="G42" s="1814" t="s">
        <v>6800</v>
      </c>
    </row>
    <row r="43" spans="1:7" s="1400" customFormat="1" ht="36" customHeight="1">
      <c r="A43" s="1900"/>
      <c r="B43" s="1903"/>
      <c r="C43" s="1910" t="s">
        <v>223</v>
      </c>
      <c r="D43" s="24" t="s">
        <v>224</v>
      </c>
      <c r="E43" s="24" t="s">
        <v>5674</v>
      </c>
      <c r="F43" s="24"/>
      <c r="G43" s="1911" t="s">
        <v>6799</v>
      </c>
    </row>
    <row r="44" spans="1:7" s="1400" customFormat="1" ht="36" customHeight="1">
      <c r="A44" s="1900"/>
      <c r="B44" s="1903"/>
      <c r="C44" s="1914"/>
      <c r="D44" s="24" t="s">
        <v>653</v>
      </c>
      <c r="E44" s="24" t="s">
        <v>213</v>
      </c>
      <c r="F44" s="1813"/>
      <c r="G44" s="1913"/>
    </row>
    <row r="45" spans="1:7" s="1400" customFormat="1" ht="36" customHeight="1">
      <c r="A45" s="1900"/>
      <c r="B45" s="1903"/>
      <c r="C45" s="1914"/>
      <c r="D45" s="24" t="s">
        <v>176</v>
      </c>
      <c r="E45" s="24" t="s">
        <v>193</v>
      </c>
      <c r="F45" s="1813"/>
      <c r="G45" s="1913"/>
    </row>
    <row r="46" spans="1:7" s="1400" customFormat="1" ht="36" customHeight="1">
      <c r="A46" s="1900"/>
      <c r="B46" s="1903"/>
      <c r="C46" s="1914"/>
      <c r="D46" s="24" t="s">
        <v>6803</v>
      </c>
      <c r="E46" s="24" t="s">
        <v>182</v>
      </c>
      <c r="F46" s="1813"/>
      <c r="G46" s="1913"/>
    </row>
    <row r="47" spans="1:7" s="1400" customFormat="1" ht="36" customHeight="1">
      <c r="A47" s="1900"/>
      <c r="B47" s="1903"/>
      <c r="C47" s="1914"/>
      <c r="D47" s="24" t="s">
        <v>6802</v>
      </c>
      <c r="E47" s="24" t="s">
        <v>6801</v>
      </c>
      <c r="F47" s="1813"/>
      <c r="G47" s="1913"/>
    </row>
    <row r="48" spans="1:7" s="1400" customFormat="1" ht="36" customHeight="1">
      <c r="A48" s="1900"/>
      <c r="B48" s="1903"/>
      <c r="C48" s="1906"/>
      <c r="D48" s="32" t="s">
        <v>20</v>
      </c>
      <c r="E48" s="31" t="s">
        <v>219</v>
      </c>
      <c r="F48" s="1813" t="s">
        <v>201</v>
      </c>
      <c r="G48" s="1912"/>
    </row>
    <row r="49" spans="1:8" ht="30" customHeight="1">
      <c r="A49" s="1900"/>
      <c r="B49" s="1903"/>
      <c r="C49" s="1914" t="s">
        <v>6823</v>
      </c>
      <c r="D49" s="30" t="s">
        <v>20</v>
      </c>
      <c r="E49" s="1813" t="s">
        <v>6824</v>
      </c>
      <c r="F49" s="1813" t="s">
        <v>201</v>
      </c>
      <c r="G49" s="1913" t="s">
        <v>6827</v>
      </c>
    </row>
    <row r="50" spans="1:8" ht="30" customHeight="1">
      <c r="A50" s="1900"/>
      <c r="B50" s="1903"/>
      <c r="C50" s="1906"/>
      <c r="D50" s="24" t="s">
        <v>6825</v>
      </c>
      <c r="E50" s="24" t="s">
        <v>6826</v>
      </c>
      <c r="F50" s="1813"/>
      <c r="G50" s="1912"/>
    </row>
    <row r="51" spans="1:8" ht="30" customHeight="1">
      <c r="A51" s="1900"/>
      <c r="B51" s="1903"/>
      <c r="C51" s="1815" t="s">
        <v>6836</v>
      </c>
      <c r="D51" s="24" t="s">
        <v>20</v>
      </c>
      <c r="E51" s="24" t="s">
        <v>72</v>
      </c>
      <c r="F51" s="1813" t="s">
        <v>6837</v>
      </c>
      <c r="G51" s="1811" t="s">
        <v>45</v>
      </c>
      <c r="H51" s="1400" t="s">
        <v>6838</v>
      </c>
    </row>
    <row r="52" spans="1:8" ht="30" customHeight="1">
      <c r="A52" s="1900"/>
      <c r="B52" s="1903"/>
      <c r="C52" s="1812" t="s">
        <v>6859</v>
      </c>
      <c r="D52" s="30" t="s">
        <v>6860</v>
      </c>
      <c r="E52" s="31" t="s">
        <v>6861</v>
      </c>
      <c r="F52" s="1813"/>
      <c r="G52" s="1811" t="s">
        <v>261</v>
      </c>
    </row>
    <row r="53" spans="1:8" ht="30" customHeight="1" thickBot="1">
      <c r="A53" s="1900"/>
      <c r="B53" s="1903"/>
      <c r="C53" s="1774"/>
      <c r="D53" s="16"/>
      <c r="E53" s="15"/>
      <c r="F53" s="1684"/>
      <c r="G53" s="1771"/>
    </row>
    <row r="54" spans="1:8" ht="30" customHeight="1" thickBot="1">
      <c r="A54" s="1901"/>
      <c r="B54" s="1904"/>
      <c r="C54" s="12"/>
      <c r="D54" s="11"/>
      <c r="E54" s="10"/>
      <c r="F54" s="10"/>
      <c r="G54" s="9"/>
    </row>
    <row r="55" spans="1:8" ht="30" customHeight="1">
      <c r="A55" s="1899">
        <v>45329</v>
      </c>
      <c r="B55" s="1902" t="s">
        <v>2</v>
      </c>
      <c r="C55" s="36" t="s">
        <v>190</v>
      </c>
      <c r="D55" s="32" t="s">
        <v>6839</v>
      </c>
      <c r="E55" s="24" t="s">
        <v>6840</v>
      </c>
      <c r="F55" s="1819"/>
      <c r="G55" s="1819" t="s">
        <v>6841</v>
      </c>
    </row>
    <row r="56" spans="1:8" ht="30" customHeight="1">
      <c r="A56" s="1900"/>
      <c r="B56" s="1903"/>
      <c r="C56" s="1818" t="s">
        <v>6842</v>
      </c>
      <c r="D56" s="24" t="s">
        <v>6843</v>
      </c>
      <c r="E56" s="24" t="s">
        <v>6844</v>
      </c>
      <c r="F56" s="1819"/>
      <c r="G56" s="1817"/>
    </row>
    <row r="57" spans="1:8" ht="30" customHeight="1">
      <c r="A57" s="1900"/>
      <c r="B57" s="1903"/>
      <c r="C57" s="1820" t="s">
        <v>6850</v>
      </c>
      <c r="D57" s="24" t="s">
        <v>6846</v>
      </c>
      <c r="E57" s="24" t="s">
        <v>6849</v>
      </c>
      <c r="F57" s="1819"/>
      <c r="G57" s="1817" t="s">
        <v>6851</v>
      </c>
    </row>
    <row r="58" spans="1:8" ht="30" customHeight="1">
      <c r="A58" s="1900"/>
      <c r="B58" s="1903"/>
      <c r="C58" s="1910" t="s">
        <v>377</v>
      </c>
      <c r="D58" s="24" t="s">
        <v>6862</v>
      </c>
      <c r="E58" s="24" t="s">
        <v>6863</v>
      </c>
      <c r="F58" s="1936" t="s">
        <v>6866</v>
      </c>
      <c r="G58" s="1911" t="s">
        <v>6867</v>
      </c>
      <c r="H58" s="1400" t="s">
        <v>6868</v>
      </c>
    </row>
    <row r="59" spans="1:8" ht="30" customHeight="1">
      <c r="A59" s="1900"/>
      <c r="B59" s="1903"/>
      <c r="C59" s="1906"/>
      <c r="D59" s="1819" t="s">
        <v>6864</v>
      </c>
      <c r="E59" s="1819" t="s">
        <v>6865</v>
      </c>
      <c r="F59" s="1938"/>
      <c r="G59" s="1912"/>
    </row>
    <row r="60" spans="1:8" ht="30" customHeight="1">
      <c r="A60" s="1900"/>
      <c r="B60" s="1903"/>
      <c r="C60" s="21"/>
      <c r="D60" s="20"/>
      <c r="E60" s="19"/>
      <c r="F60" s="22"/>
      <c r="G60" s="64"/>
    </row>
    <row r="61" spans="1:8" ht="30" customHeight="1" thickBot="1">
      <c r="A61" s="1900"/>
      <c r="B61" s="1903"/>
      <c r="C61" s="201"/>
      <c r="D61" s="20"/>
      <c r="E61" s="25"/>
      <c r="F61" s="1684"/>
      <c r="G61" s="1816"/>
    </row>
    <row r="62" spans="1:8" ht="30" customHeight="1" thickBot="1">
      <c r="A62" s="1901"/>
      <c r="B62" s="1904"/>
      <c r="C62" s="12"/>
      <c r="D62" s="11"/>
      <c r="E62" s="10"/>
      <c r="F62" s="10"/>
      <c r="G62" s="9"/>
    </row>
    <row r="63" spans="1:8" ht="30" customHeight="1">
      <c r="A63" s="1899">
        <v>45330</v>
      </c>
      <c r="B63" s="1902" t="s">
        <v>1</v>
      </c>
      <c r="C63" s="1905" t="s">
        <v>6845</v>
      </c>
      <c r="D63" s="24" t="s">
        <v>6846</v>
      </c>
      <c r="E63" s="24" t="s">
        <v>6880</v>
      </c>
      <c r="F63" s="1819"/>
      <c r="G63" s="1915" t="s">
        <v>6852</v>
      </c>
    </row>
    <row r="64" spans="1:8" ht="30" customHeight="1">
      <c r="A64" s="1900"/>
      <c r="B64" s="1903"/>
      <c r="C64" s="1906"/>
      <c r="D64" s="24" t="s">
        <v>6847</v>
      </c>
      <c r="E64" s="24" t="s">
        <v>6848</v>
      </c>
      <c r="F64" s="1819"/>
      <c r="G64" s="1912"/>
    </row>
    <row r="65" spans="1:8" ht="30" customHeight="1">
      <c r="A65" s="1900"/>
      <c r="B65" s="1903"/>
      <c r="C65" s="1910" t="s">
        <v>6869</v>
      </c>
      <c r="D65" s="32" t="s">
        <v>20</v>
      </c>
      <c r="E65" s="31" t="s">
        <v>6870</v>
      </c>
      <c r="F65" s="24" t="s">
        <v>6871</v>
      </c>
      <c r="G65" s="1911" t="s">
        <v>6879</v>
      </c>
    </row>
    <row r="66" spans="1:8" ht="30" customHeight="1">
      <c r="A66" s="1900"/>
      <c r="B66" s="1903"/>
      <c r="C66" s="1906"/>
      <c r="D66" s="32" t="s">
        <v>6872</v>
      </c>
      <c r="E66" s="29" t="s">
        <v>6873</v>
      </c>
      <c r="F66" s="1819"/>
      <c r="G66" s="1912"/>
    </row>
    <row r="67" spans="1:8" ht="30" customHeight="1" thickBot="1">
      <c r="A67" s="1900"/>
      <c r="B67" s="1903"/>
      <c r="C67" s="1774"/>
      <c r="D67" s="16"/>
      <c r="E67" s="15"/>
      <c r="F67" s="1684"/>
      <c r="G67" s="1771"/>
    </row>
    <row r="68" spans="1:8" ht="30" customHeight="1" thickBot="1">
      <c r="A68" s="1901"/>
      <c r="B68" s="1904"/>
      <c r="C68" s="12"/>
      <c r="D68" s="11"/>
      <c r="E68" s="10"/>
      <c r="F68" s="10"/>
      <c r="G68" s="9"/>
    </row>
    <row r="69" spans="1:8" ht="60" customHeight="1" thickBot="1">
      <c r="A69" s="1907" t="s">
        <v>5</v>
      </c>
      <c r="B69" s="1908"/>
      <c r="C69" s="1908"/>
      <c r="D69" s="1908"/>
      <c r="E69" s="1908"/>
      <c r="F69" s="1908"/>
      <c r="G69" s="1909"/>
    </row>
    <row r="70" spans="1:8" ht="36" hidden="1" customHeight="1">
      <c r="A70" s="1899">
        <v>45335</v>
      </c>
      <c r="B70" s="1902" t="s">
        <v>3</v>
      </c>
      <c r="C70" s="1822"/>
      <c r="D70" s="1831" t="s">
        <v>6853</v>
      </c>
      <c r="E70" s="1831"/>
      <c r="F70" s="1831"/>
      <c r="G70" s="1832"/>
    </row>
    <row r="71" spans="1:8" ht="30" customHeight="1">
      <c r="A71" s="1900"/>
      <c r="B71" s="1903"/>
      <c r="C71" s="36" t="s">
        <v>577</v>
      </c>
      <c r="D71" s="62" t="s">
        <v>6503</v>
      </c>
      <c r="E71" s="61" t="s">
        <v>189</v>
      </c>
      <c r="F71" s="49" t="s">
        <v>2743</v>
      </c>
      <c r="G71" s="1827" t="s">
        <v>6878</v>
      </c>
    </row>
    <row r="72" spans="1:8" ht="36" customHeight="1">
      <c r="A72" s="1900"/>
      <c r="B72" s="1903"/>
      <c r="C72" s="1910" t="s">
        <v>6886</v>
      </c>
      <c r="D72" s="32" t="s">
        <v>6887</v>
      </c>
      <c r="E72" s="31" t="s">
        <v>6888</v>
      </c>
      <c r="F72" s="24"/>
      <c r="G72" s="1911" t="s">
        <v>6891</v>
      </c>
    </row>
    <row r="73" spans="1:8" ht="36" customHeight="1">
      <c r="A73" s="1900"/>
      <c r="B73" s="1903"/>
      <c r="C73" s="1914"/>
      <c r="D73" s="32" t="s">
        <v>6889</v>
      </c>
      <c r="E73" s="31" t="s">
        <v>193</v>
      </c>
      <c r="F73" s="1828"/>
      <c r="G73" s="1913"/>
    </row>
    <row r="74" spans="1:8" ht="36" customHeight="1">
      <c r="A74" s="1900"/>
      <c r="B74" s="1903"/>
      <c r="C74" s="1914"/>
      <c r="D74" s="30" t="s">
        <v>242</v>
      </c>
      <c r="E74" s="29" t="s">
        <v>6890</v>
      </c>
      <c r="F74" s="1828"/>
      <c r="G74" s="1913"/>
    </row>
    <row r="75" spans="1:8" ht="36" customHeight="1">
      <c r="A75" s="1900"/>
      <c r="B75" s="1903"/>
      <c r="C75" s="1906"/>
      <c r="D75" s="30" t="s">
        <v>20</v>
      </c>
      <c r="E75" s="29" t="s">
        <v>519</v>
      </c>
      <c r="F75" s="1828" t="s">
        <v>6893</v>
      </c>
      <c r="G75" s="1912"/>
    </row>
    <row r="76" spans="1:8" ht="36" customHeight="1">
      <c r="A76" s="1900"/>
      <c r="B76" s="1903"/>
      <c r="C76" s="1830" t="s">
        <v>288</v>
      </c>
      <c r="D76" s="32" t="s">
        <v>6904</v>
      </c>
      <c r="E76" s="31" t="s">
        <v>6905</v>
      </c>
      <c r="F76" s="24"/>
      <c r="G76" s="1829" t="s">
        <v>6906</v>
      </c>
    </row>
    <row r="77" spans="1:8" ht="36" customHeight="1" thickBot="1">
      <c r="A77" s="1900"/>
      <c r="B77" s="1903"/>
      <c r="C77" s="1826" t="s">
        <v>6896</v>
      </c>
      <c r="D77" s="24" t="s">
        <v>6897</v>
      </c>
      <c r="E77" s="24" t="s">
        <v>6898</v>
      </c>
      <c r="F77" s="1828"/>
      <c r="G77" s="1823" t="s">
        <v>6899</v>
      </c>
    </row>
    <row r="78" spans="1:8" ht="36" customHeight="1" thickBot="1">
      <c r="A78" s="1901"/>
      <c r="B78" s="1904"/>
      <c r="C78" s="12"/>
      <c r="D78" s="11"/>
      <c r="E78" s="10"/>
      <c r="F78" s="10"/>
      <c r="G78" s="9"/>
    </row>
    <row r="79" spans="1:8" ht="36" customHeight="1">
      <c r="A79" s="1899">
        <v>45336</v>
      </c>
      <c r="B79" s="1902" t="s">
        <v>2</v>
      </c>
      <c r="C79" s="1825" t="s">
        <v>206</v>
      </c>
      <c r="D79" s="24" t="s">
        <v>207</v>
      </c>
      <c r="E79" s="24" t="s">
        <v>6724</v>
      </c>
      <c r="F79" s="1828"/>
      <c r="G79" s="1823" t="s">
        <v>6894</v>
      </c>
    </row>
    <row r="80" spans="1:8" ht="36" customHeight="1">
      <c r="A80" s="1900"/>
      <c r="B80" s="1903"/>
      <c r="C80" s="1824" t="s">
        <v>6907</v>
      </c>
      <c r="D80" s="32" t="s">
        <v>20</v>
      </c>
      <c r="E80" s="24" t="s">
        <v>6908</v>
      </c>
      <c r="F80" s="1828" t="s">
        <v>240</v>
      </c>
      <c r="G80" s="1823" t="s">
        <v>6910</v>
      </c>
      <c r="H80" s="1400" t="s">
        <v>6925</v>
      </c>
    </row>
    <row r="81" spans="1:8" ht="36" customHeight="1">
      <c r="A81" s="1900"/>
      <c r="B81" s="1903"/>
      <c r="C81" s="1824" t="s">
        <v>6911</v>
      </c>
      <c r="D81" s="32" t="s">
        <v>1894</v>
      </c>
      <c r="E81" s="24" t="s">
        <v>6912</v>
      </c>
      <c r="F81" s="1828"/>
      <c r="G81" s="1823" t="s">
        <v>6913</v>
      </c>
      <c r="H81" s="1400" t="s">
        <v>6919</v>
      </c>
    </row>
    <row r="82" spans="1:8" ht="36" customHeight="1">
      <c r="A82" s="1900"/>
      <c r="B82" s="1903"/>
      <c r="C82" s="1910" t="s">
        <v>191</v>
      </c>
      <c r="D82" s="32" t="s">
        <v>20</v>
      </c>
      <c r="E82" s="24" t="s">
        <v>234</v>
      </c>
      <c r="F82" s="1828" t="s">
        <v>240</v>
      </c>
      <c r="G82" s="1823" t="s">
        <v>235</v>
      </c>
      <c r="H82" s="1400" t="s">
        <v>6926</v>
      </c>
    </row>
    <row r="83" spans="1:8" ht="36" customHeight="1">
      <c r="A83" s="1900"/>
      <c r="B83" s="1903"/>
      <c r="C83" s="1906"/>
      <c r="D83" s="32" t="s">
        <v>20</v>
      </c>
      <c r="E83" s="24" t="s">
        <v>6909</v>
      </c>
      <c r="F83" s="1828" t="s">
        <v>240</v>
      </c>
      <c r="G83" s="1823" t="s">
        <v>6910</v>
      </c>
      <c r="H83" s="1400" t="s">
        <v>6936</v>
      </c>
    </row>
    <row r="84" spans="1:8" ht="36" customHeight="1" thickBot="1">
      <c r="A84" s="1900"/>
      <c r="B84" s="1903"/>
      <c r="C84" s="1830" t="s">
        <v>6931</v>
      </c>
      <c r="D84" s="24" t="s">
        <v>6932</v>
      </c>
      <c r="E84" s="24" t="s">
        <v>6933</v>
      </c>
      <c r="F84" s="1828" t="s">
        <v>6934</v>
      </c>
      <c r="G84" s="1823" t="s">
        <v>261</v>
      </c>
    </row>
    <row r="85" spans="1:8" ht="36" hidden="1" customHeight="1">
      <c r="A85" s="1900"/>
      <c r="B85" s="1903"/>
      <c r="C85" s="21"/>
      <c r="D85" s="20"/>
      <c r="E85" s="19"/>
      <c r="F85" s="1685"/>
      <c r="G85" s="1771"/>
    </row>
    <row r="86" spans="1:8" ht="36" hidden="1" customHeight="1" thickBot="1">
      <c r="A86" s="1900"/>
      <c r="B86" s="1903"/>
      <c r="C86" s="1774"/>
      <c r="D86" s="16"/>
      <c r="E86" s="15"/>
      <c r="F86" s="1684"/>
      <c r="G86" s="1771"/>
    </row>
    <row r="87" spans="1:8" ht="36" customHeight="1" thickBot="1">
      <c r="A87" s="1901"/>
      <c r="B87" s="1904"/>
      <c r="C87" s="12"/>
      <c r="D87" s="11"/>
      <c r="E87" s="10"/>
      <c r="F87" s="10"/>
      <c r="G87" s="9"/>
    </row>
    <row r="88" spans="1:8" ht="36" customHeight="1">
      <c r="A88" s="1899">
        <v>45337</v>
      </c>
      <c r="B88" s="1902" t="s">
        <v>1</v>
      </c>
      <c r="C88" s="1905" t="s">
        <v>6895</v>
      </c>
      <c r="D88" s="24" t="s">
        <v>6900</v>
      </c>
      <c r="E88" s="24" t="s">
        <v>6903</v>
      </c>
      <c r="F88" s="1838"/>
      <c r="G88" s="1833"/>
    </row>
    <row r="89" spans="1:8" ht="36" customHeight="1">
      <c r="A89" s="1900"/>
      <c r="B89" s="1903"/>
      <c r="C89" s="1906"/>
      <c r="D89" s="24" t="s">
        <v>6901</v>
      </c>
      <c r="E89" s="24" t="s">
        <v>6902</v>
      </c>
      <c r="F89" s="1838"/>
      <c r="G89" s="1833"/>
    </row>
    <row r="90" spans="1:8" ht="36" customHeight="1">
      <c r="A90" s="1900"/>
      <c r="B90" s="1903"/>
      <c r="C90" s="1839" t="s">
        <v>6937</v>
      </c>
      <c r="D90" s="32" t="s">
        <v>6938</v>
      </c>
      <c r="E90" s="31" t="s">
        <v>6939</v>
      </c>
      <c r="F90" s="1838"/>
      <c r="G90" s="1833" t="s">
        <v>6941</v>
      </c>
      <c r="H90" s="1400" t="s">
        <v>6940</v>
      </c>
    </row>
    <row r="91" spans="1:8" ht="36" customHeight="1">
      <c r="A91" s="1900"/>
      <c r="B91" s="1903"/>
      <c r="C91" s="1910" t="s">
        <v>237</v>
      </c>
      <c r="D91" s="32" t="s">
        <v>6944</v>
      </c>
      <c r="E91" s="31" t="s">
        <v>6947</v>
      </c>
      <c r="F91" s="24"/>
      <c r="G91" s="1911" t="s">
        <v>6945</v>
      </c>
      <c r="H91" s="1400" t="s">
        <v>6946</v>
      </c>
    </row>
    <row r="92" spans="1:8" ht="36" customHeight="1">
      <c r="A92" s="1900"/>
      <c r="B92" s="1903"/>
      <c r="C92" s="1906"/>
      <c r="D92" s="1838" t="s">
        <v>6948</v>
      </c>
      <c r="E92" s="1838" t="s">
        <v>6950</v>
      </c>
      <c r="F92" s="1838" t="s">
        <v>6949</v>
      </c>
      <c r="G92" s="1912"/>
    </row>
    <row r="93" spans="1:8" ht="36" customHeight="1">
      <c r="A93" s="1900"/>
      <c r="B93" s="1903"/>
      <c r="C93" s="1910" t="s">
        <v>6955</v>
      </c>
      <c r="D93" s="32" t="s">
        <v>6956</v>
      </c>
      <c r="E93" s="31" t="s">
        <v>6957</v>
      </c>
      <c r="F93" s="24" t="s">
        <v>6958</v>
      </c>
      <c r="G93" s="1911" t="s">
        <v>261</v>
      </c>
    </row>
    <row r="94" spans="1:8" ht="36" customHeight="1">
      <c r="A94" s="1900"/>
      <c r="B94" s="1903"/>
      <c r="C94" s="1914"/>
      <c r="D94" s="32" t="s">
        <v>20</v>
      </c>
      <c r="E94" s="29" t="s">
        <v>6959</v>
      </c>
      <c r="F94" s="1838" t="s">
        <v>6967</v>
      </c>
      <c r="G94" s="1913"/>
    </row>
    <row r="95" spans="1:8" ht="36" customHeight="1">
      <c r="A95" s="1900"/>
      <c r="B95" s="1903"/>
      <c r="C95" s="1914"/>
      <c r="D95" s="32" t="s">
        <v>6960</v>
      </c>
      <c r="E95" s="29" t="s">
        <v>6961</v>
      </c>
      <c r="F95" s="1838" t="s">
        <v>6962</v>
      </c>
      <c r="G95" s="1913"/>
    </row>
    <row r="96" spans="1:8" ht="36" customHeight="1">
      <c r="A96" s="1900"/>
      <c r="B96" s="1903"/>
      <c r="C96" s="1914"/>
      <c r="D96" s="32" t="s">
        <v>6964</v>
      </c>
      <c r="E96" s="29" t="s">
        <v>6965</v>
      </c>
      <c r="F96" s="1838" t="s">
        <v>6966</v>
      </c>
      <c r="G96" s="1912"/>
    </row>
    <row r="97" spans="1:8" ht="36" customHeight="1">
      <c r="A97" s="1900"/>
      <c r="B97" s="1903"/>
      <c r="C97" s="1914"/>
      <c r="D97" s="32" t="s">
        <v>20</v>
      </c>
      <c r="E97" s="29" t="s">
        <v>6963</v>
      </c>
      <c r="F97" s="1838" t="s">
        <v>6973</v>
      </c>
      <c r="G97" s="1911" t="s">
        <v>6975</v>
      </c>
    </row>
    <row r="98" spans="1:8" ht="36" customHeight="1">
      <c r="A98" s="1900"/>
      <c r="B98" s="1903"/>
      <c r="C98" s="1906"/>
      <c r="D98" s="32" t="s">
        <v>20</v>
      </c>
      <c r="E98" s="29" t="s">
        <v>6965</v>
      </c>
      <c r="F98" s="1838" t="s">
        <v>6974</v>
      </c>
      <c r="G98" s="1912"/>
    </row>
    <row r="99" spans="1:8" ht="36" customHeight="1">
      <c r="A99" s="1900"/>
      <c r="B99" s="1903"/>
      <c r="C99" s="1835"/>
      <c r="D99" s="28"/>
      <c r="E99" s="27"/>
      <c r="F99" s="1685"/>
      <c r="G99" s="1837"/>
    </row>
    <row r="100" spans="1:8" ht="36" customHeight="1" thickBot="1">
      <c r="A100" s="1900"/>
      <c r="B100" s="1903"/>
      <c r="C100" s="1834"/>
      <c r="D100" s="26"/>
      <c r="E100" s="25"/>
      <c r="F100" s="1684"/>
      <c r="G100" s="1836"/>
    </row>
    <row r="101" spans="1:8" ht="36" customHeight="1" thickBot="1">
      <c r="A101" s="1901"/>
      <c r="B101" s="1904"/>
      <c r="C101" s="12"/>
      <c r="D101" s="11"/>
      <c r="E101" s="10"/>
      <c r="F101" s="10"/>
      <c r="G101" s="9"/>
    </row>
    <row r="102" spans="1:8" ht="36" customHeight="1">
      <c r="A102" s="1900">
        <v>45338</v>
      </c>
      <c r="B102" s="1903" t="s">
        <v>6976</v>
      </c>
      <c r="C102" s="1848" t="s">
        <v>243</v>
      </c>
      <c r="D102" s="32" t="s">
        <v>20</v>
      </c>
      <c r="E102" s="24" t="s">
        <v>226</v>
      </c>
      <c r="F102" s="1846" t="s">
        <v>240</v>
      </c>
      <c r="G102" s="1842"/>
    </row>
    <row r="103" spans="1:8" ht="36" customHeight="1">
      <c r="A103" s="1900"/>
      <c r="B103" s="1903"/>
      <c r="C103" s="1848" t="s">
        <v>6914</v>
      </c>
      <c r="D103" s="24" t="s">
        <v>6915</v>
      </c>
      <c r="E103" s="24" t="s">
        <v>6916</v>
      </c>
      <c r="F103" s="1846" t="s">
        <v>6917</v>
      </c>
      <c r="G103" s="1842"/>
    </row>
    <row r="104" spans="1:8" ht="36" customHeight="1">
      <c r="A104" s="1900"/>
      <c r="B104" s="1903"/>
      <c r="C104" s="1848" t="s">
        <v>6929</v>
      </c>
      <c r="D104" s="32" t="s">
        <v>6927</v>
      </c>
      <c r="E104" s="31" t="s">
        <v>6928</v>
      </c>
      <c r="F104" s="24"/>
      <c r="G104" s="1847" t="s">
        <v>6930</v>
      </c>
    </row>
    <row r="105" spans="1:8" ht="36" customHeight="1">
      <c r="A105" s="1900"/>
      <c r="B105" s="1903"/>
      <c r="C105" s="1910" t="s">
        <v>6968</v>
      </c>
      <c r="D105" s="32" t="s">
        <v>6969</v>
      </c>
      <c r="E105" s="31" t="s">
        <v>6971</v>
      </c>
      <c r="F105" s="24" t="s">
        <v>6970</v>
      </c>
      <c r="G105" s="1911" t="s">
        <v>58</v>
      </c>
    </row>
    <row r="106" spans="1:8" ht="36" customHeight="1">
      <c r="A106" s="1900"/>
      <c r="B106" s="1903"/>
      <c r="C106" s="1906"/>
      <c r="D106" s="32" t="s">
        <v>6960</v>
      </c>
      <c r="E106" s="31" t="s">
        <v>6972</v>
      </c>
      <c r="F106" s="1846"/>
      <c r="G106" s="1912"/>
    </row>
    <row r="107" spans="1:8" ht="36" customHeight="1">
      <c r="A107" s="1900"/>
      <c r="B107" s="1903"/>
      <c r="C107" s="1848" t="s">
        <v>6984</v>
      </c>
      <c r="D107" s="32" t="s">
        <v>6985</v>
      </c>
      <c r="E107" s="29">
        <v>100</v>
      </c>
      <c r="F107" s="1846"/>
      <c r="G107" s="1843" t="s">
        <v>261</v>
      </c>
    </row>
    <row r="108" spans="1:8" ht="36" customHeight="1">
      <c r="A108" s="1900"/>
      <c r="B108" s="1903"/>
      <c r="C108" s="1848" t="s">
        <v>6918</v>
      </c>
      <c r="D108" s="32" t="s">
        <v>20</v>
      </c>
      <c r="E108" s="24" t="s">
        <v>202</v>
      </c>
      <c r="F108" s="24" t="s">
        <v>240</v>
      </c>
      <c r="G108" s="1847"/>
    </row>
    <row r="109" spans="1:8" ht="36" customHeight="1">
      <c r="A109" s="1900"/>
      <c r="B109" s="1903"/>
      <c r="C109" s="1844" t="s">
        <v>6979</v>
      </c>
      <c r="D109" s="30" t="s">
        <v>6980</v>
      </c>
      <c r="E109" s="29" t="s">
        <v>6981</v>
      </c>
      <c r="F109" s="1846" t="s">
        <v>6991</v>
      </c>
      <c r="G109" s="1843" t="s">
        <v>6982</v>
      </c>
      <c r="H109" s="1400" t="s">
        <v>6983</v>
      </c>
    </row>
    <row r="110" spans="1:8" ht="36" customHeight="1">
      <c r="A110" s="1900"/>
      <c r="B110" s="1903"/>
      <c r="C110" s="1844" t="s">
        <v>6986</v>
      </c>
      <c r="D110" s="30" t="s">
        <v>6987</v>
      </c>
      <c r="E110" s="29" t="s">
        <v>6988</v>
      </c>
      <c r="F110" s="1846" t="s">
        <v>6992</v>
      </c>
      <c r="G110" s="1843" t="s">
        <v>6989</v>
      </c>
      <c r="H110" s="1400" t="s">
        <v>6990</v>
      </c>
    </row>
    <row r="111" spans="1:8" ht="36" customHeight="1">
      <c r="A111" s="1900"/>
      <c r="B111" s="1903"/>
      <c r="C111" s="1910" t="s">
        <v>191</v>
      </c>
      <c r="D111" s="32" t="s">
        <v>20</v>
      </c>
      <c r="E111" s="24" t="s">
        <v>407</v>
      </c>
      <c r="F111" s="24" t="s">
        <v>240</v>
      </c>
      <c r="G111" s="1851" t="s">
        <v>235</v>
      </c>
      <c r="H111" s="1400" t="s">
        <v>6996</v>
      </c>
    </row>
    <row r="112" spans="1:8" ht="36" customHeight="1" thickBot="1">
      <c r="A112" s="1900"/>
      <c r="B112" s="1903"/>
      <c r="C112" s="1906"/>
      <c r="D112" s="32" t="s">
        <v>20</v>
      </c>
      <c r="E112" s="24" t="s">
        <v>234</v>
      </c>
      <c r="F112" s="1857" t="s">
        <v>240</v>
      </c>
      <c r="G112" s="1860" t="s">
        <v>235</v>
      </c>
      <c r="H112" s="1400" t="s">
        <v>6997</v>
      </c>
    </row>
    <row r="113" spans="1:7" ht="36" hidden="1" customHeight="1">
      <c r="A113" s="1900"/>
      <c r="B113" s="1903"/>
      <c r="C113" s="1845"/>
      <c r="D113" s="28"/>
      <c r="E113" s="27"/>
      <c r="F113" s="1685"/>
      <c r="G113" s="1837"/>
    </row>
    <row r="114" spans="1:7" ht="36" hidden="1" customHeight="1">
      <c r="A114" s="1900"/>
      <c r="B114" s="1903"/>
      <c r="C114" s="1835"/>
      <c r="D114" s="28"/>
      <c r="E114" s="27"/>
      <c r="F114" s="1685"/>
      <c r="G114" s="1837"/>
    </row>
    <row r="115" spans="1:7" ht="36" hidden="1" customHeight="1" thickBot="1">
      <c r="A115" s="1900"/>
      <c r="B115" s="1903"/>
      <c r="C115" s="1835"/>
      <c r="D115" s="28"/>
      <c r="E115" s="27"/>
      <c r="F115" s="1685"/>
      <c r="G115" s="1837"/>
    </row>
    <row r="116" spans="1:7" ht="36" customHeight="1" thickBot="1">
      <c r="A116" s="1901"/>
      <c r="B116" s="1904"/>
      <c r="C116" s="12" t="s">
        <v>1846</v>
      </c>
      <c r="D116" s="11" t="s">
        <v>252</v>
      </c>
      <c r="E116" s="10" t="s">
        <v>861</v>
      </c>
      <c r="F116" s="10" t="s">
        <v>2982</v>
      </c>
      <c r="G116" s="9"/>
    </row>
    <row r="117" spans="1:7" ht="60" customHeight="1" thickBot="1">
      <c r="A117" s="1907" t="s">
        <v>5</v>
      </c>
      <c r="B117" s="1908"/>
      <c r="C117" s="1908"/>
      <c r="D117" s="1908"/>
      <c r="E117" s="1908"/>
      <c r="F117" s="1908"/>
      <c r="G117" s="1909"/>
    </row>
    <row r="118" spans="1:7" ht="36" customHeight="1">
      <c r="A118" s="1899">
        <v>45341</v>
      </c>
      <c r="B118" s="1902" t="s">
        <v>4</v>
      </c>
      <c r="C118" s="36" t="s">
        <v>6854</v>
      </c>
      <c r="D118" s="49" t="s">
        <v>207</v>
      </c>
      <c r="E118" s="49" t="s">
        <v>7003</v>
      </c>
      <c r="F118" s="49"/>
      <c r="G118" s="1859"/>
    </row>
    <row r="119" spans="1:7" ht="36" customHeight="1">
      <c r="A119" s="1900"/>
      <c r="B119" s="1903"/>
      <c r="C119" s="1914" t="s">
        <v>198</v>
      </c>
      <c r="D119" s="30" t="s">
        <v>20</v>
      </c>
      <c r="E119" s="29" t="s">
        <v>332</v>
      </c>
      <c r="F119" s="1857"/>
      <c r="G119" s="1913" t="s">
        <v>6999</v>
      </c>
    </row>
    <row r="120" spans="1:7" ht="36" customHeight="1">
      <c r="A120" s="1900"/>
      <c r="B120" s="1903"/>
      <c r="C120" s="1914"/>
      <c r="D120" s="32" t="s">
        <v>221</v>
      </c>
      <c r="E120" s="29" t="s">
        <v>291</v>
      </c>
      <c r="F120" s="1857"/>
      <c r="G120" s="1913"/>
    </row>
    <row r="121" spans="1:7" ht="36" customHeight="1">
      <c r="A121" s="1900"/>
      <c r="B121" s="1903"/>
      <c r="C121" s="1906"/>
      <c r="D121" s="30" t="s">
        <v>176</v>
      </c>
      <c r="E121" s="29" t="s">
        <v>438</v>
      </c>
      <c r="F121" s="1857"/>
      <c r="G121" s="1912"/>
    </row>
    <row r="122" spans="1:7" ht="36" customHeight="1">
      <c r="A122" s="1900"/>
      <c r="B122" s="1903"/>
      <c r="C122" s="1910" t="s">
        <v>377</v>
      </c>
      <c r="D122" s="24" t="s">
        <v>378</v>
      </c>
      <c r="E122" s="24" t="s">
        <v>189</v>
      </c>
      <c r="F122" s="1857"/>
      <c r="G122" s="1911" t="s">
        <v>7012</v>
      </c>
    </row>
    <row r="123" spans="1:7" ht="36" customHeight="1">
      <c r="A123" s="1900"/>
      <c r="B123" s="1903"/>
      <c r="C123" s="1914"/>
      <c r="D123" s="24" t="s">
        <v>3107</v>
      </c>
      <c r="E123" s="24" t="s">
        <v>7002</v>
      </c>
      <c r="F123" s="1857"/>
      <c r="G123" s="1913"/>
    </row>
    <row r="124" spans="1:7" ht="36" customHeight="1">
      <c r="A124" s="1900"/>
      <c r="B124" s="1903"/>
      <c r="C124" s="1914"/>
      <c r="D124" s="24" t="s">
        <v>295</v>
      </c>
      <c r="E124" s="24" t="s">
        <v>539</v>
      </c>
      <c r="F124" s="1857"/>
      <c r="G124" s="1913"/>
    </row>
    <row r="125" spans="1:7" ht="36" customHeight="1">
      <c r="A125" s="1900"/>
      <c r="B125" s="1903"/>
      <c r="C125" s="1914"/>
      <c r="D125" s="24" t="s">
        <v>218</v>
      </c>
      <c r="E125" s="24" t="s">
        <v>300</v>
      </c>
      <c r="F125" s="1857" t="s">
        <v>240</v>
      </c>
      <c r="G125" s="1913"/>
    </row>
    <row r="126" spans="1:7" ht="36" customHeight="1">
      <c r="A126" s="1900"/>
      <c r="B126" s="1903"/>
      <c r="C126" s="1906"/>
      <c r="D126" s="24" t="s">
        <v>233</v>
      </c>
      <c r="E126" s="24" t="s">
        <v>504</v>
      </c>
      <c r="F126" s="1857" t="s">
        <v>240</v>
      </c>
      <c r="G126" s="1912"/>
    </row>
    <row r="127" spans="1:7" ht="36" customHeight="1">
      <c r="A127" s="1900"/>
      <c r="B127" s="1903"/>
      <c r="C127" s="1861" t="s">
        <v>7004</v>
      </c>
      <c r="D127" s="32" t="s">
        <v>7005</v>
      </c>
      <c r="E127" s="31" t="s">
        <v>7006</v>
      </c>
      <c r="F127" s="24" t="s">
        <v>7007</v>
      </c>
      <c r="G127" s="1860" t="s">
        <v>261</v>
      </c>
    </row>
    <row r="128" spans="1:7" ht="36" customHeight="1">
      <c r="A128" s="1900"/>
      <c r="B128" s="1903"/>
      <c r="C128" s="1849" t="s">
        <v>7008</v>
      </c>
      <c r="D128" s="30" t="s">
        <v>7009</v>
      </c>
      <c r="E128" s="29" t="s">
        <v>7010</v>
      </c>
      <c r="F128" s="1857"/>
      <c r="G128" s="1852" t="s">
        <v>261</v>
      </c>
    </row>
    <row r="129" spans="1:8" ht="36" customHeight="1">
      <c r="A129" s="1900"/>
      <c r="B129" s="1903"/>
      <c r="C129" s="1861" t="s">
        <v>7013</v>
      </c>
      <c r="D129" s="32" t="s">
        <v>7014</v>
      </c>
      <c r="E129" s="31" t="s">
        <v>7015</v>
      </c>
      <c r="F129" s="24"/>
      <c r="G129" s="1860" t="s">
        <v>7016</v>
      </c>
      <c r="H129" s="1400" t="s">
        <v>7017</v>
      </c>
    </row>
    <row r="130" spans="1:8" ht="36" customHeight="1" thickBot="1">
      <c r="A130" s="1900"/>
      <c r="B130" s="1903"/>
      <c r="C130" s="1853"/>
      <c r="D130" s="26"/>
      <c r="E130" s="25"/>
      <c r="F130" s="1684"/>
      <c r="G130" s="1855"/>
    </row>
    <row r="131" spans="1:8" ht="36" customHeight="1" thickBot="1">
      <c r="A131" s="1901"/>
      <c r="B131" s="1904"/>
      <c r="C131" s="12" t="s">
        <v>6977</v>
      </c>
      <c r="D131" s="11" t="s">
        <v>6978</v>
      </c>
      <c r="E131" s="10"/>
      <c r="F131" s="10"/>
      <c r="G131" s="9"/>
    </row>
    <row r="132" spans="1:8" ht="36" customHeight="1">
      <c r="A132" s="1899">
        <v>45342</v>
      </c>
      <c r="B132" s="1902" t="s">
        <v>15</v>
      </c>
      <c r="C132" s="36" t="s">
        <v>206</v>
      </c>
      <c r="D132" s="49" t="s">
        <v>207</v>
      </c>
      <c r="E132" s="49" t="s">
        <v>6935</v>
      </c>
      <c r="F132" s="49"/>
      <c r="G132" s="1868" t="s">
        <v>7026</v>
      </c>
    </row>
    <row r="133" spans="1:8" ht="36" customHeight="1">
      <c r="A133" s="1900"/>
      <c r="B133" s="1903"/>
      <c r="C133" s="1864" t="s">
        <v>175</v>
      </c>
      <c r="D133" s="1867" t="s">
        <v>7000</v>
      </c>
      <c r="E133" s="1867" t="s">
        <v>7001</v>
      </c>
      <c r="F133" s="1867" t="s">
        <v>6998</v>
      </c>
      <c r="G133" s="1863" t="s">
        <v>7024</v>
      </c>
    </row>
    <row r="134" spans="1:8" ht="36" customHeight="1">
      <c r="A134" s="1900"/>
      <c r="B134" s="1903"/>
      <c r="C134" s="1910" t="s">
        <v>7018</v>
      </c>
      <c r="D134" s="1869" t="s">
        <v>7019</v>
      </c>
      <c r="E134" s="37" t="s">
        <v>7020</v>
      </c>
      <c r="F134" s="24"/>
      <c r="G134" s="1911" t="s">
        <v>7023</v>
      </c>
    </row>
    <row r="135" spans="1:8" ht="36" customHeight="1">
      <c r="A135" s="1900"/>
      <c r="B135" s="1903"/>
      <c r="C135" s="1906"/>
      <c r="D135" s="1869" t="s">
        <v>7021</v>
      </c>
      <c r="E135" s="37" t="s">
        <v>7020</v>
      </c>
      <c r="F135" s="1867"/>
      <c r="G135" s="1912"/>
    </row>
    <row r="136" spans="1:8" ht="36" customHeight="1">
      <c r="A136" s="1900"/>
      <c r="B136" s="1903"/>
      <c r="C136" s="1874" t="s">
        <v>4311</v>
      </c>
      <c r="D136" s="24" t="s">
        <v>20</v>
      </c>
      <c r="E136" s="24" t="s">
        <v>234</v>
      </c>
      <c r="F136" s="1872" t="s">
        <v>201</v>
      </c>
      <c r="G136" s="1873" t="s">
        <v>235</v>
      </c>
    </row>
    <row r="137" spans="1:8" ht="36" customHeight="1">
      <c r="A137" s="1900"/>
      <c r="B137" s="1903"/>
      <c r="C137" s="1874" t="s">
        <v>7054</v>
      </c>
      <c r="D137" s="24" t="s">
        <v>20</v>
      </c>
      <c r="E137" s="24" t="s">
        <v>7055</v>
      </c>
      <c r="F137" s="1872" t="s">
        <v>201</v>
      </c>
      <c r="G137" s="1873" t="s">
        <v>7056</v>
      </c>
    </row>
    <row r="138" spans="1:8" ht="30" customHeight="1">
      <c r="A138" s="1900"/>
      <c r="B138" s="1903"/>
      <c r="C138" s="1910" t="s">
        <v>7057</v>
      </c>
      <c r="D138" s="32" t="s">
        <v>7058</v>
      </c>
      <c r="E138" s="31" t="s">
        <v>7060</v>
      </c>
      <c r="F138" s="24"/>
      <c r="G138" s="1911" t="s">
        <v>261</v>
      </c>
    </row>
    <row r="139" spans="1:8" ht="30" customHeight="1">
      <c r="A139" s="1900"/>
      <c r="B139" s="1903"/>
      <c r="C139" s="1906"/>
      <c r="D139" s="32" t="s">
        <v>7059</v>
      </c>
      <c r="E139" s="31" t="s">
        <v>7061</v>
      </c>
      <c r="F139" s="24"/>
      <c r="G139" s="1912"/>
    </row>
    <row r="140" spans="1:8" ht="36" customHeight="1" thickBot="1">
      <c r="A140" s="1900"/>
      <c r="B140" s="1903"/>
      <c r="C140" s="1866"/>
      <c r="D140" s="26"/>
      <c r="E140" s="25"/>
      <c r="F140" s="1684"/>
      <c r="G140" s="1865"/>
    </row>
    <row r="141" spans="1:8" ht="36" customHeight="1" thickBot="1">
      <c r="A141" s="1901"/>
      <c r="B141" s="1904"/>
      <c r="C141" s="12" t="s">
        <v>6942</v>
      </c>
      <c r="D141" s="11" t="s">
        <v>6943</v>
      </c>
      <c r="E141" s="10"/>
      <c r="F141" s="10" t="s">
        <v>2982</v>
      </c>
      <c r="G141" s="9"/>
    </row>
    <row r="142" spans="1:8" ht="36" customHeight="1">
      <c r="A142" s="1899">
        <v>45343</v>
      </c>
      <c r="B142" s="1902" t="s">
        <v>2</v>
      </c>
      <c r="C142" s="1874" t="s">
        <v>6993</v>
      </c>
      <c r="D142" s="24" t="s">
        <v>6994</v>
      </c>
      <c r="E142" s="24" t="s">
        <v>6995</v>
      </c>
      <c r="F142" s="1872"/>
      <c r="G142" s="1871" t="s">
        <v>261</v>
      </c>
    </row>
    <row r="143" spans="1:8" ht="36" customHeight="1">
      <c r="A143" s="1900"/>
      <c r="B143" s="1903"/>
      <c r="C143" s="1874" t="s">
        <v>738</v>
      </c>
      <c r="D143" s="32" t="s">
        <v>20</v>
      </c>
      <c r="E143" s="31" t="s">
        <v>226</v>
      </c>
      <c r="F143" s="24" t="s">
        <v>7043</v>
      </c>
      <c r="G143" s="1873"/>
    </row>
    <row r="144" spans="1:8" ht="36" customHeight="1">
      <c r="A144" s="1900"/>
      <c r="B144" s="1903"/>
      <c r="C144" s="1910" t="s">
        <v>7030</v>
      </c>
      <c r="D144" s="24" t="s">
        <v>7031</v>
      </c>
      <c r="E144" s="24" t="s">
        <v>7032</v>
      </c>
      <c r="F144" s="24"/>
      <c r="G144" s="1871"/>
      <c r="H144" s="1400" t="s">
        <v>7035</v>
      </c>
    </row>
    <row r="145" spans="1:8" ht="36" customHeight="1">
      <c r="A145" s="1900"/>
      <c r="B145" s="1903"/>
      <c r="C145" s="1914"/>
      <c r="D145" s="24" t="s">
        <v>241</v>
      </c>
      <c r="E145" s="24" t="s">
        <v>7032</v>
      </c>
      <c r="F145" s="1872"/>
      <c r="G145" s="1871"/>
    </row>
    <row r="146" spans="1:8" ht="36" customHeight="1">
      <c r="A146" s="1900"/>
      <c r="B146" s="1903"/>
      <c r="C146" s="1906"/>
      <c r="D146" s="32" t="s">
        <v>7033</v>
      </c>
      <c r="E146" s="31" t="s">
        <v>7034</v>
      </c>
      <c r="F146" s="1872" t="s">
        <v>7042</v>
      </c>
      <c r="G146" s="1873"/>
    </row>
    <row r="147" spans="1:8" ht="30" customHeight="1">
      <c r="A147" s="1900"/>
      <c r="B147" s="1903"/>
      <c r="C147" s="1881" t="s">
        <v>1920</v>
      </c>
      <c r="D147" s="30" t="s">
        <v>1921</v>
      </c>
      <c r="E147" s="29" t="s">
        <v>1922</v>
      </c>
      <c r="F147" s="1880" t="s">
        <v>7078</v>
      </c>
      <c r="G147" s="1876" t="s">
        <v>45</v>
      </c>
      <c r="H147" s="1400" t="s">
        <v>7048</v>
      </c>
    </row>
    <row r="148" spans="1:8" ht="30" customHeight="1">
      <c r="A148" s="1900"/>
      <c r="B148" s="1903"/>
      <c r="C148" s="1878" t="s">
        <v>7062</v>
      </c>
      <c r="D148" s="30" t="s">
        <v>7063</v>
      </c>
      <c r="E148" s="29" t="s">
        <v>7064</v>
      </c>
      <c r="F148" s="1880" t="s">
        <v>7065</v>
      </c>
      <c r="G148" s="1877" t="s">
        <v>7066</v>
      </c>
      <c r="H148" s="1400" t="s">
        <v>7067</v>
      </c>
    </row>
    <row r="149" spans="1:8" ht="36" customHeight="1">
      <c r="A149" s="1900"/>
      <c r="B149" s="1903"/>
      <c r="C149" s="1881" t="s">
        <v>7080</v>
      </c>
      <c r="D149" s="24" t="s">
        <v>7081</v>
      </c>
      <c r="E149" s="24" t="s">
        <v>7082</v>
      </c>
      <c r="F149" s="1880"/>
      <c r="G149" s="1875" t="s">
        <v>7083</v>
      </c>
    </row>
    <row r="150" spans="1:8" ht="36" customHeight="1">
      <c r="A150" s="1900"/>
      <c r="B150" s="1903"/>
      <c r="C150" s="21"/>
      <c r="D150" s="20"/>
      <c r="E150" s="19"/>
      <c r="F150" s="1685"/>
      <c r="G150" s="1771"/>
    </row>
    <row r="151" spans="1:8" ht="36" customHeight="1" thickBot="1">
      <c r="A151" s="1900"/>
      <c r="B151" s="1903"/>
      <c r="C151" s="1774"/>
      <c r="D151" s="16"/>
      <c r="E151" s="15"/>
      <c r="F151" s="1684"/>
      <c r="G151" s="1771"/>
    </row>
    <row r="152" spans="1:8" ht="36" customHeight="1" thickBot="1">
      <c r="A152" s="1901"/>
      <c r="B152" s="1904"/>
      <c r="C152" s="12"/>
      <c r="D152" s="11"/>
      <c r="E152" s="10"/>
      <c r="F152" s="10"/>
      <c r="G152" s="9"/>
    </row>
    <row r="153" spans="1:8" ht="36" customHeight="1">
      <c r="A153" s="1900">
        <v>45344</v>
      </c>
      <c r="B153" s="1903" t="s">
        <v>7094</v>
      </c>
      <c r="C153" s="21"/>
      <c r="D153" s="20" t="s">
        <v>612</v>
      </c>
      <c r="E153" s="19"/>
      <c r="F153" s="22"/>
      <c r="G153" s="64"/>
    </row>
    <row r="154" spans="1:8" ht="36" customHeight="1">
      <c r="A154" s="1900"/>
      <c r="B154" s="1903"/>
      <c r="C154" s="1910" t="s">
        <v>7036</v>
      </c>
      <c r="D154" s="30" t="s">
        <v>7037</v>
      </c>
      <c r="E154" s="29" t="s">
        <v>7038</v>
      </c>
      <c r="F154" s="1889"/>
      <c r="G154" s="1911" t="s">
        <v>7041</v>
      </c>
    </row>
    <row r="155" spans="1:8" ht="36" customHeight="1">
      <c r="A155" s="1900"/>
      <c r="B155" s="1903"/>
      <c r="C155" s="1906"/>
      <c r="D155" s="30" t="s">
        <v>7039</v>
      </c>
      <c r="E155" s="29" t="s">
        <v>7040</v>
      </c>
      <c r="F155" s="1889"/>
      <c r="G155" s="1912"/>
    </row>
    <row r="156" spans="1:8" ht="36" customHeight="1">
      <c r="A156" s="1900"/>
      <c r="B156" s="1903"/>
      <c r="C156" s="1882" t="s">
        <v>7090</v>
      </c>
      <c r="D156" s="30" t="s">
        <v>7091</v>
      </c>
      <c r="E156" s="29" t="s">
        <v>7092</v>
      </c>
      <c r="F156" s="1889"/>
      <c r="G156" s="1883" t="s">
        <v>7093</v>
      </c>
      <c r="H156" s="58"/>
    </row>
    <row r="157" spans="1:8" ht="36" customHeight="1">
      <c r="A157" s="1900"/>
      <c r="B157" s="1903"/>
      <c r="C157" s="1910" t="s">
        <v>7095</v>
      </c>
      <c r="D157" s="30" t="s">
        <v>7098</v>
      </c>
      <c r="E157" s="29" t="s">
        <v>7096</v>
      </c>
      <c r="F157" s="1889"/>
      <c r="G157" s="1883"/>
      <c r="H157" s="58"/>
    </row>
    <row r="158" spans="1:8" ht="36" customHeight="1">
      <c r="A158" s="1900"/>
      <c r="B158" s="1903"/>
      <c r="C158" s="1906"/>
      <c r="D158" s="30" t="s">
        <v>7099</v>
      </c>
      <c r="E158" s="29" t="s">
        <v>7097</v>
      </c>
      <c r="F158" s="1889"/>
      <c r="G158" s="1883"/>
      <c r="H158" s="58"/>
    </row>
    <row r="159" spans="1:8" ht="36" customHeight="1">
      <c r="A159" s="1900"/>
      <c r="B159" s="1903"/>
      <c r="C159" s="1882" t="s">
        <v>7104</v>
      </c>
      <c r="D159" s="30" t="s">
        <v>7106</v>
      </c>
      <c r="E159" s="29" t="s">
        <v>7107</v>
      </c>
      <c r="F159" s="1889" t="s">
        <v>7108</v>
      </c>
      <c r="G159" s="1883" t="s">
        <v>7105</v>
      </c>
    </row>
    <row r="160" spans="1:8" s="1400" customFormat="1" ht="35.1" customHeight="1" thickBot="1">
      <c r="A160" s="1900"/>
      <c r="B160" s="1903"/>
      <c r="C160" s="1882" t="s">
        <v>740</v>
      </c>
      <c r="D160" s="24" t="s">
        <v>218</v>
      </c>
      <c r="E160" s="29" t="s">
        <v>407</v>
      </c>
      <c r="F160" s="1888" t="s">
        <v>6280</v>
      </c>
      <c r="G160" s="1883" t="s">
        <v>18</v>
      </c>
      <c r="H160" s="1400" t="s">
        <v>5843</v>
      </c>
    </row>
    <row r="161" spans="1:8" ht="36" customHeight="1" thickBot="1">
      <c r="A161" s="1901"/>
      <c r="B161" s="1904"/>
      <c r="C161" s="12"/>
      <c r="D161" s="11"/>
      <c r="E161" s="10"/>
      <c r="F161" s="10"/>
      <c r="G161" s="9"/>
    </row>
    <row r="162" spans="1:8" ht="36" customHeight="1">
      <c r="A162" s="1899">
        <v>45345</v>
      </c>
      <c r="B162" s="1902" t="s">
        <v>0</v>
      </c>
      <c r="C162" s="21" t="s">
        <v>7011</v>
      </c>
      <c r="D162" s="22" t="s">
        <v>569</v>
      </c>
      <c r="E162" s="22" t="s">
        <v>54</v>
      </c>
      <c r="F162" s="1685"/>
      <c r="G162" s="884" t="s">
        <v>58</v>
      </c>
    </row>
    <row r="163" spans="1:8" ht="36" customHeight="1">
      <c r="A163" s="1900"/>
      <c r="B163" s="1903"/>
      <c r="C163" s="1910" t="s">
        <v>7109</v>
      </c>
      <c r="D163" s="24" t="s">
        <v>7044</v>
      </c>
      <c r="E163" s="24" t="s">
        <v>220</v>
      </c>
      <c r="F163" s="1895"/>
      <c r="G163" s="1913" t="s">
        <v>7110</v>
      </c>
    </row>
    <row r="164" spans="1:8" ht="36" customHeight="1">
      <c r="A164" s="1900"/>
      <c r="B164" s="1903"/>
      <c r="C164" s="1906"/>
      <c r="D164" s="24" t="s">
        <v>215</v>
      </c>
      <c r="E164" s="24" t="s">
        <v>7045</v>
      </c>
      <c r="F164" s="1895"/>
      <c r="G164" s="1912"/>
    </row>
    <row r="165" spans="1:8" ht="36" customHeight="1">
      <c r="A165" s="1900"/>
      <c r="B165" s="1903"/>
      <c r="C165" s="1910" t="s">
        <v>7047</v>
      </c>
      <c r="D165" s="24" t="s">
        <v>7051</v>
      </c>
      <c r="E165" s="24" t="s">
        <v>7068</v>
      </c>
      <c r="F165" s="1895" t="s">
        <v>7070</v>
      </c>
      <c r="G165" s="1911" t="s">
        <v>7077</v>
      </c>
    </row>
    <row r="166" spans="1:8" ht="36" customHeight="1">
      <c r="A166" s="1900"/>
      <c r="B166" s="1903"/>
      <c r="C166" s="1914"/>
      <c r="D166" s="24" t="s">
        <v>7049</v>
      </c>
      <c r="E166" s="24" t="s">
        <v>7050</v>
      </c>
      <c r="F166" s="1895" t="s">
        <v>7069</v>
      </c>
      <c r="G166" s="1913"/>
    </row>
    <row r="167" spans="1:8" ht="36" customHeight="1">
      <c r="A167" s="1900"/>
      <c r="B167" s="1903"/>
      <c r="C167" s="1914"/>
      <c r="D167" s="24" t="s">
        <v>7072</v>
      </c>
      <c r="E167" s="24" t="s">
        <v>7073</v>
      </c>
      <c r="F167" s="1895"/>
      <c r="G167" s="1913"/>
    </row>
    <row r="168" spans="1:8" ht="36" customHeight="1">
      <c r="A168" s="1900"/>
      <c r="B168" s="1903"/>
      <c r="C168" s="1914"/>
      <c r="D168" s="24" t="s">
        <v>7046</v>
      </c>
      <c r="E168" s="24" t="s">
        <v>7074</v>
      </c>
      <c r="F168" s="1895"/>
      <c r="G168" s="1913"/>
    </row>
    <row r="169" spans="1:8" ht="36" customHeight="1">
      <c r="A169" s="1900"/>
      <c r="B169" s="1903"/>
      <c r="C169" s="1914"/>
      <c r="D169" s="24" t="s">
        <v>7075</v>
      </c>
      <c r="E169" s="24" t="s">
        <v>7076</v>
      </c>
      <c r="F169" s="1895"/>
      <c r="G169" s="1913"/>
    </row>
    <row r="170" spans="1:8" ht="36" customHeight="1">
      <c r="A170" s="1900"/>
      <c r="B170" s="1903"/>
      <c r="C170" s="1906"/>
      <c r="D170" s="24" t="s">
        <v>7053</v>
      </c>
      <c r="E170" s="24" t="s">
        <v>7052</v>
      </c>
      <c r="F170" s="1895" t="s">
        <v>7071</v>
      </c>
      <c r="G170" s="1912"/>
    </row>
    <row r="171" spans="1:8" ht="36" customHeight="1">
      <c r="A171" s="1900"/>
      <c r="B171" s="1903"/>
      <c r="C171" s="1892" t="s">
        <v>7084</v>
      </c>
      <c r="D171" s="30" t="s">
        <v>224</v>
      </c>
      <c r="E171" s="29" t="s">
        <v>1958</v>
      </c>
      <c r="F171" s="1895" t="s">
        <v>591</v>
      </c>
      <c r="G171" s="1891" t="s">
        <v>178</v>
      </c>
      <c r="H171" s="1400" t="s">
        <v>7089</v>
      </c>
    </row>
    <row r="172" spans="1:8" ht="36" customHeight="1">
      <c r="A172" s="1900"/>
      <c r="B172" s="1903"/>
      <c r="C172" s="1897" t="s">
        <v>7119</v>
      </c>
      <c r="D172" s="32" t="s">
        <v>7120</v>
      </c>
      <c r="E172" s="31" t="s">
        <v>7121</v>
      </c>
      <c r="F172" s="24"/>
      <c r="G172" s="1896" t="s">
        <v>7122</v>
      </c>
      <c r="H172" s="1400" t="s">
        <v>7123</v>
      </c>
    </row>
    <row r="173" spans="1:8" ht="36" customHeight="1">
      <c r="A173" s="1900"/>
      <c r="B173" s="1903"/>
      <c r="C173" s="1910" t="s">
        <v>7124</v>
      </c>
      <c r="D173" s="24" t="s">
        <v>218</v>
      </c>
      <c r="E173" s="37" t="s">
        <v>7126</v>
      </c>
      <c r="F173" s="24"/>
      <c r="G173" s="1911" t="s">
        <v>7128</v>
      </c>
    </row>
    <row r="174" spans="1:8" ht="36" customHeight="1" thickBot="1">
      <c r="A174" s="1900"/>
      <c r="B174" s="1903"/>
      <c r="C174" s="1932"/>
      <c r="D174" s="24" t="s">
        <v>7125</v>
      </c>
      <c r="E174" s="37" t="s">
        <v>7127</v>
      </c>
      <c r="F174" s="1894"/>
      <c r="G174" s="1933"/>
    </row>
    <row r="175" spans="1:8" ht="36" customHeight="1" thickBot="1">
      <c r="A175" s="1901"/>
      <c r="B175" s="1904"/>
      <c r="C175" s="12"/>
      <c r="D175" s="11"/>
      <c r="E175" s="10"/>
      <c r="F175" s="10"/>
      <c r="G175" s="9"/>
    </row>
    <row r="176" spans="1:8" ht="60" customHeight="1" thickBot="1">
      <c r="A176" s="1907" t="s">
        <v>5</v>
      </c>
      <c r="B176" s="1908"/>
      <c r="C176" s="1908"/>
      <c r="D176" s="1908"/>
      <c r="E176" s="1908"/>
      <c r="F176" s="1908"/>
      <c r="G176" s="1909"/>
    </row>
    <row r="177" spans="1:8" ht="36" customHeight="1">
      <c r="A177" s="1899">
        <v>45348</v>
      </c>
      <c r="B177" s="1902" t="s">
        <v>4</v>
      </c>
      <c r="C177" s="1905" t="s">
        <v>6850</v>
      </c>
      <c r="D177" s="24" t="s">
        <v>6855</v>
      </c>
      <c r="E177" s="24" t="s">
        <v>6856</v>
      </c>
      <c r="F177" s="1895"/>
      <c r="G177" s="1890"/>
    </row>
    <row r="178" spans="1:8" ht="36" customHeight="1">
      <c r="A178" s="1900"/>
      <c r="B178" s="1903"/>
      <c r="C178" s="1906"/>
      <c r="D178" s="24" t="s">
        <v>7079</v>
      </c>
      <c r="E178" s="24" t="s">
        <v>6857</v>
      </c>
      <c r="F178" s="1895"/>
      <c r="G178" s="1890"/>
    </row>
    <row r="179" spans="1:8" ht="36" customHeight="1">
      <c r="A179" s="1900"/>
      <c r="B179" s="1903"/>
      <c r="C179" s="1910" t="s">
        <v>393</v>
      </c>
      <c r="D179" s="24" t="s">
        <v>378</v>
      </c>
      <c r="E179" s="24" t="s">
        <v>438</v>
      </c>
      <c r="F179" s="1895" t="s">
        <v>6606</v>
      </c>
      <c r="G179" s="1911" t="s">
        <v>183</v>
      </c>
    </row>
    <row r="180" spans="1:8" ht="36" customHeight="1">
      <c r="A180" s="1900"/>
      <c r="B180" s="1903"/>
      <c r="C180" s="1906"/>
      <c r="D180" s="24" t="s">
        <v>218</v>
      </c>
      <c r="E180" s="24" t="s">
        <v>7131</v>
      </c>
      <c r="F180" s="1895"/>
      <c r="G180" s="1912"/>
    </row>
    <row r="181" spans="1:8" ht="36" customHeight="1">
      <c r="A181" s="1900"/>
      <c r="B181" s="1903"/>
      <c r="C181" s="1897" t="s">
        <v>198</v>
      </c>
      <c r="D181" s="32" t="s">
        <v>176</v>
      </c>
      <c r="E181" s="31" t="s">
        <v>7140</v>
      </c>
      <c r="F181" s="24" t="s">
        <v>7149</v>
      </c>
      <c r="G181" s="1896" t="s">
        <v>7141</v>
      </c>
      <c r="H181" s="1400" t="s">
        <v>7143</v>
      </c>
    </row>
    <row r="182" spans="1:8" ht="36" customHeight="1">
      <c r="A182" s="1900"/>
      <c r="B182" s="1903"/>
      <c r="C182" s="1897" t="s">
        <v>7119</v>
      </c>
      <c r="D182" s="32" t="s">
        <v>7120</v>
      </c>
      <c r="E182" s="31" t="s">
        <v>7142</v>
      </c>
      <c r="F182" s="24" t="s">
        <v>7150</v>
      </c>
      <c r="G182" s="1896" t="s">
        <v>7144</v>
      </c>
      <c r="H182" s="1400" t="s">
        <v>7145</v>
      </c>
    </row>
    <row r="183" spans="1:8" ht="36" customHeight="1">
      <c r="A183" s="1900"/>
      <c r="B183" s="1903"/>
      <c r="C183" s="1897" t="s">
        <v>7100</v>
      </c>
      <c r="D183" s="32" t="s">
        <v>7101</v>
      </c>
      <c r="E183" s="31" t="s">
        <v>7102</v>
      </c>
      <c r="F183" s="1895"/>
      <c r="G183" s="1890" t="s">
        <v>7103</v>
      </c>
    </row>
    <row r="184" spans="1:8" ht="36" customHeight="1" thickBot="1">
      <c r="A184" s="1900"/>
      <c r="B184" s="1903"/>
      <c r="C184" s="21"/>
      <c r="D184" s="20"/>
      <c r="E184" s="19"/>
      <c r="F184" s="22"/>
      <c r="G184" s="64"/>
    </row>
    <row r="185" spans="1:8" ht="36" hidden="1" customHeight="1">
      <c r="A185" s="1900"/>
      <c r="B185" s="1903"/>
      <c r="C185" s="1885"/>
      <c r="D185" s="28"/>
      <c r="E185" s="27"/>
      <c r="F185" s="1685"/>
      <c r="G185" s="1887"/>
    </row>
    <row r="186" spans="1:8" ht="36" hidden="1" customHeight="1" thickBot="1">
      <c r="A186" s="1900"/>
      <c r="B186" s="1903"/>
      <c r="C186" s="1884"/>
      <c r="D186" s="26"/>
      <c r="E186" s="25"/>
      <c r="F186" s="1684"/>
      <c r="G186" s="1886"/>
    </row>
    <row r="187" spans="1:8" ht="36" customHeight="1" thickBot="1">
      <c r="A187" s="1901"/>
      <c r="B187" s="1904"/>
      <c r="C187" s="12"/>
      <c r="D187" s="11"/>
      <c r="E187" s="10"/>
      <c r="F187" s="10"/>
      <c r="G187" s="9"/>
    </row>
    <row r="188" spans="1:8" ht="36" customHeight="1">
      <c r="A188" s="1899">
        <v>45349</v>
      </c>
      <c r="B188" s="1902" t="s">
        <v>3</v>
      </c>
      <c r="C188" s="21" t="s">
        <v>7085</v>
      </c>
      <c r="D188" s="22" t="s">
        <v>7086</v>
      </c>
      <c r="E188" s="22" t="s">
        <v>7087</v>
      </c>
      <c r="F188" s="1685" t="s">
        <v>7088</v>
      </c>
      <c r="G188" s="1771"/>
    </row>
    <row r="189" spans="1:8" ht="36" customHeight="1">
      <c r="A189" s="1900"/>
      <c r="B189" s="1903"/>
      <c r="C189" s="1926" t="s">
        <v>7151</v>
      </c>
      <c r="D189" s="20" t="s">
        <v>20</v>
      </c>
      <c r="E189" s="22" t="s">
        <v>7153</v>
      </c>
      <c r="F189" s="1685" t="s">
        <v>7155</v>
      </c>
      <c r="G189" s="1927" t="s">
        <v>261</v>
      </c>
    </row>
    <row r="190" spans="1:8" ht="36" customHeight="1">
      <c r="A190" s="1900"/>
      <c r="B190" s="1903"/>
      <c r="C190" s="1925"/>
      <c r="D190" s="20" t="s">
        <v>7152</v>
      </c>
      <c r="E190" s="19" t="s">
        <v>7154</v>
      </c>
      <c r="F190" s="1685"/>
      <c r="G190" s="1929"/>
    </row>
    <row r="191" spans="1:8" ht="36" customHeight="1" thickBot="1">
      <c r="A191" s="1900"/>
      <c r="B191" s="1903"/>
      <c r="C191" s="1774"/>
      <c r="D191" s="16"/>
      <c r="E191" s="15"/>
      <c r="F191" s="1684"/>
      <c r="G191" s="1771"/>
    </row>
    <row r="192" spans="1:8" ht="36" customHeight="1" thickBot="1">
      <c r="A192" s="1901"/>
      <c r="B192" s="1904"/>
      <c r="C192" s="12"/>
      <c r="D192" s="11"/>
      <c r="E192" s="10"/>
      <c r="F192" s="10"/>
      <c r="G192" s="9"/>
    </row>
    <row r="193" spans="1:8" ht="36" customHeight="1">
      <c r="A193" s="1900">
        <v>45350</v>
      </c>
      <c r="B193" s="1903" t="s">
        <v>7129</v>
      </c>
      <c r="C193" s="1926" t="s">
        <v>7111</v>
      </c>
      <c r="D193" s="20" t="s">
        <v>20</v>
      </c>
      <c r="E193" s="22" t="s">
        <v>7112</v>
      </c>
      <c r="F193" s="1685"/>
      <c r="G193" s="1879"/>
    </row>
    <row r="194" spans="1:8" ht="36" customHeight="1">
      <c r="A194" s="1900"/>
      <c r="B194" s="1903"/>
      <c r="C194" s="1924"/>
      <c r="D194" s="20" t="s">
        <v>7113</v>
      </c>
      <c r="E194" s="22" t="s">
        <v>7114</v>
      </c>
      <c r="F194" s="1685"/>
      <c r="G194" s="1879"/>
    </row>
    <row r="195" spans="1:8" ht="36" customHeight="1">
      <c r="A195" s="1900"/>
      <c r="B195" s="1903"/>
      <c r="C195" s="1924"/>
      <c r="D195" s="22" t="s">
        <v>7115</v>
      </c>
      <c r="E195" s="22" t="s">
        <v>7116</v>
      </c>
      <c r="F195" s="1685"/>
      <c r="G195" s="1879"/>
    </row>
    <row r="196" spans="1:8" ht="36" customHeight="1">
      <c r="A196" s="1900"/>
      <c r="B196" s="1903"/>
      <c r="C196" s="1925"/>
      <c r="D196" s="22" t="s">
        <v>7117</v>
      </c>
      <c r="E196" s="22" t="s">
        <v>7118</v>
      </c>
      <c r="F196" s="1685"/>
      <c r="G196" s="1771"/>
    </row>
    <row r="197" spans="1:8" ht="36" customHeight="1" thickBot="1">
      <c r="A197" s="1900"/>
      <c r="B197" s="1903"/>
      <c r="C197" s="1854" t="s">
        <v>7146</v>
      </c>
      <c r="D197" s="20" t="s">
        <v>7147</v>
      </c>
      <c r="E197" s="19" t="s">
        <v>7148</v>
      </c>
      <c r="F197" s="1685"/>
      <c r="G197" s="1771"/>
    </row>
    <row r="198" spans="1:8" ht="36" customHeight="1" thickBot="1">
      <c r="A198" s="1901"/>
      <c r="B198" s="1904"/>
      <c r="C198" s="12"/>
      <c r="D198" s="11"/>
      <c r="E198" s="10"/>
      <c r="F198" s="10"/>
      <c r="G198" s="9"/>
    </row>
    <row r="199" spans="1:8" ht="36" customHeight="1">
      <c r="A199" s="1899">
        <v>45351</v>
      </c>
      <c r="B199" s="1902" t="s">
        <v>1</v>
      </c>
      <c r="C199" s="882" t="s">
        <v>267</v>
      </c>
      <c r="D199" s="22" t="s">
        <v>268</v>
      </c>
      <c r="E199" s="22" t="s">
        <v>269</v>
      </c>
      <c r="F199" s="46"/>
      <c r="G199" s="1898"/>
    </row>
    <row r="200" spans="1:8" ht="36" customHeight="1" thickBot="1">
      <c r="A200" s="1900"/>
      <c r="B200" s="1903"/>
      <c r="C200" s="48"/>
      <c r="D200" s="46"/>
      <c r="E200" s="46"/>
      <c r="F200" s="46"/>
      <c r="G200" s="45"/>
    </row>
    <row r="201" spans="1:8" ht="36" hidden="1" customHeight="1">
      <c r="A201" s="1900"/>
      <c r="B201" s="1903"/>
      <c r="C201" s="48"/>
      <c r="D201" s="46"/>
      <c r="E201" s="46"/>
      <c r="F201" s="46"/>
      <c r="G201" s="45"/>
    </row>
    <row r="202" spans="1:8" ht="36" hidden="1" customHeight="1" thickBot="1">
      <c r="A202" s="1900"/>
      <c r="B202" s="1903"/>
      <c r="C202" s="1884"/>
      <c r="D202" s="26"/>
      <c r="E202" s="25"/>
      <c r="F202" s="1684"/>
      <c r="G202" s="1886"/>
    </row>
    <row r="203" spans="1:8" ht="36" customHeight="1" thickBot="1">
      <c r="A203" s="1901"/>
      <c r="B203" s="1904"/>
      <c r="C203" s="12" t="s">
        <v>7130</v>
      </c>
      <c r="D203" s="11" t="s">
        <v>398</v>
      </c>
      <c r="E203" s="10"/>
      <c r="F203" s="10" t="s">
        <v>7133</v>
      </c>
      <c r="G203" s="9"/>
    </row>
    <row r="204" spans="1:8" ht="36" customHeight="1">
      <c r="A204" s="1960">
        <v>45352</v>
      </c>
      <c r="B204" s="1963" t="s">
        <v>0</v>
      </c>
      <c r="C204" s="1803" t="s">
        <v>1846</v>
      </c>
      <c r="D204" s="1715" t="s">
        <v>6814</v>
      </c>
      <c r="E204" s="1715" t="s">
        <v>6815</v>
      </c>
      <c r="F204" s="1821"/>
      <c r="G204" s="1840" t="s">
        <v>178</v>
      </c>
      <c r="H204" s="1400" t="s">
        <v>6816</v>
      </c>
    </row>
    <row r="205" spans="1:8" ht="36" customHeight="1">
      <c r="A205" s="1961"/>
      <c r="B205" s="1964"/>
      <c r="C205" s="1803" t="s">
        <v>1915</v>
      </c>
      <c r="D205" s="1715" t="s">
        <v>2673</v>
      </c>
      <c r="E205" s="1715" t="s">
        <v>6892</v>
      </c>
      <c r="F205" s="1821"/>
      <c r="G205" s="1862" t="s">
        <v>178</v>
      </c>
    </row>
    <row r="206" spans="1:8" ht="36" customHeight="1">
      <c r="A206" s="1961"/>
      <c r="B206" s="1964"/>
      <c r="C206" s="1926" t="s">
        <v>274</v>
      </c>
      <c r="D206" s="20" t="s">
        <v>20</v>
      </c>
      <c r="E206" s="22" t="s">
        <v>219</v>
      </c>
      <c r="F206" s="1685"/>
      <c r="G206" s="1927" t="s">
        <v>7025</v>
      </c>
    </row>
    <row r="207" spans="1:8" ht="36" customHeight="1">
      <c r="A207" s="1961"/>
      <c r="B207" s="1964"/>
      <c r="C207" s="1925"/>
      <c r="D207" s="20" t="s">
        <v>615</v>
      </c>
      <c r="E207" s="19" t="s">
        <v>182</v>
      </c>
      <c r="F207" s="1685"/>
      <c r="G207" s="1929"/>
    </row>
    <row r="208" spans="1:8" ht="36" customHeight="1">
      <c r="A208" s="1961"/>
      <c r="B208" s="1964"/>
      <c r="C208" s="21"/>
      <c r="D208" s="20"/>
      <c r="E208" s="19"/>
      <c r="F208" s="1685"/>
      <c r="G208" s="1771"/>
    </row>
    <row r="209" spans="1:7" ht="36" customHeight="1" thickBot="1">
      <c r="A209" s="1961"/>
      <c r="B209" s="1964"/>
      <c r="C209" s="1774"/>
      <c r="D209" s="16"/>
      <c r="E209" s="15"/>
      <c r="F209" s="1684"/>
      <c r="G209" s="1771"/>
    </row>
    <row r="210" spans="1:7" ht="36" customHeight="1" thickBot="1">
      <c r="A210" s="1962"/>
      <c r="B210" s="1965"/>
      <c r="C210" s="12"/>
      <c r="D210" s="11"/>
      <c r="E210" s="10"/>
      <c r="F210" s="10"/>
      <c r="G210" s="9"/>
    </row>
    <row r="211" spans="1:7" ht="60" customHeight="1" thickBot="1">
      <c r="A211" s="1907" t="s">
        <v>5</v>
      </c>
      <c r="B211" s="1908"/>
      <c r="C211" s="1908"/>
      <c r="D211" s="1908"/>
      <c r="E211" s="1908"/>
      <c r="F211" s="1908"/>
      <c r="G211" s="1909"/>
    </row>
    <row r="212" spans="1:7" ht="36" customHeight="1">
      <c r="A212" s="1899">
        <v>45355</v>
      </c>
      <c r="B212" s="1902" t="s">
        <v>4</v>
      </c>
      <c r="C212" s="21" t="s">
        <v>6850</v>
      </c>
      <c r="D212" s="22" t="s">
        <v>207</v>
      </c>
      <c r="E212" s="22" t="s">
        <v>6858</v>
      </c>
      <c r="F212" s="1685"/>
      <c r="G212" s="1771"/>
    </row>
    <row r="213" spans="1:7" ht="36" customHeight="1">
      <c r="A213" s="1900"/>
      <c r="B213" s="1903"/>
      <c r="C213" s="21"/>
      <c r="D213" s="22"/>
      <c r="E213" s="22"/>
      <c r="F213" s="1685"/>
      <c r="G213" s="1771"/>
    </row>
    <row r="214" spans="1:7" ht="36" customHeight="1">
      <c r="A214" s="1900"/>
      <c r="B214" s="1903"/>
      <c r="C214" s="21"/>
      <c r="D214" s="20"/>
      <c r="E214" s="19"/>
      <c r="F214" s="1685"/>
      <c r="G214" s="1771"/>
    </row>
    <row r="215" spans="1:7" ht="36" customHeight="1" thickBot="1">
      <c r="A215" s="1900"/>
      <c r="B215" s="1903"/>
      <c r="C215" s="1774"/>
      <c r="D215" s="16"/>
      <c r="E215" s="15"/>
      <c r="F215" s="1684"/>
      <c r="G215" s="1771"/>
    </row>
    <row r="216" spans="1:7" ht="36" customHeight="1" thickBot="1">
      <c r="A216" s="1901"/>
      <c r="B216" s="1904"/>
      <c r="C216" s="12"/>
      <c r="D216" s="11"/>
      <c r="E216" s="10"/>
      <c r="F216" s="10"/>
      <c r="G216" s="9"/>
    </row>
    <row r="217" spans="1:7" ht="36" customHeight="1">
      <c r="A217" s="1899">
        <v>45356</v>
      </c>
      <c r="B217" s="1902" t="s">
        <v>3</v>
      </c>
      <c r="C217" s="21" t="s">
        <v>206</v>
      </c>
      <c r="D217" s="22" t="s">
        <v>207</v>
      </c>
      <c r="E217" s="22" t="s">
        <v>7132</v>
      </c>
      <c r="F217" s="1685"/>
      <c r="G217" s="1771"/>
    </row>
    <row r="218" spans="1:7" ht="36" customHeight="1">
      <c r="A218" s="1900"/>
      <c r="B218" s="1903"/>
      <c r="C218" s="1926" t="s">
        <v>7134</v>
      </c>
      <c r="D218" s="22" t="s">
        <v>7135</v>
      </c>
      <c r="E218" s="22" t="s">
        <v>7136</v>
      </c>
      <c r="F218" s="1685"/>
      <c r="G218" s="1927" t="s">
        <v>7139</v>
      </c>
    </row>
    <row r="219" spans="1:7" ht="36" customHeight="1">
      <c r="A219" s="1900"/>
      <c r="B219" s="1903"/>
      <c r="C219" s="1925"/>
      <c r="D219" s="22" t="s">
        <v>7137</v>
      </c>
      <c r="E219" s="22" t="s">
        <v>7138</v>
      </c>
      <c r="F219" s="1685"/>
      <c r="G219" s="1929"/>
    </row>
    <row r="220" spans="1:7" ht="36" customHeight="1">
      <c r="A220" s="1900"/>
      <c r="B220" s="1903"/>
      <c r="C220" s="21"/>
      <c r="D220" s="22"/>
      <c r="E220" s="22"/>
      <c r="F220" s="1685"/>
      <c r="G220" s="1893"/>
    </row>
    <row r="221" spans="1:7" ht="36" customHeight="1">
      <c r="A221" s="1900"/>
      <c r="B221" s="1903"/>
      <c r="C221" s="21"/>
      <c r="D221" s="22"/>
      <c r="E221" s="22"/>
      <c r="F221" s="1685"/>
      <c r="G221" s="1893"/>
    </row>
    <row r="222" spans="1:7" ht="36" customHeight="1">
      <c r="A222" s="1900"/>
      <c r="B222" s="1903"/>
      <c r="C222" s="21"/>
      <c r="D222" s="22"/>
      <c r="E222" s="22"/>
      <c r="F222" s="1685"/>
      <c r="G222" s="1771"/>
    </row>
    <row r="223" spans="1:7" ht="36" customHeight="1">
      <c r="A223" s="1900"/>
      <c r="B223" s="1903"/>
      <c r="C223" s="21"/>
      <c r="D223" s="20"/>
      <c r="E223" s="19"/>
      <c r="F223" s="1685"/>
      <c r="G223" s="1771"/>
    </row>
    <row r="224" spans="1:7" ht="36" customHeight="1" thickBot="1">
      <c r="A224" s="1900"/>
      <c r="B224" s="1903"/>
      <c r="C224" s="1774"/>
      <c r="D224" s="16"/>
      <c r="E224" s="15"/>
      <c r="F224" s="1684"/>
      <c r="G224" s="1771"/>
    </row>
    <row r="225" spans="1:7" ht="36" customHeight="1" thickBot="1">
      <c r="A225" s="1901"/>
      <c r="B225" s="1904"/>
      <c r="C225" s="12" t="s">
        <v>7156</v>
      </c>
      <c r="D225" s="11" t="s">
        <v>7157</v>
      </c>
      <c r="E225" s="10" t="s">
        <v>7158</v>
      </c>
      <c r="F225" s="10" t="s">
        <v>7159</v>
      </c>
      <c r="G225" s="9"/>
    </row>
    <row r="226" spans="1:7" ht="36" customHeight="1">
      <c r="A226" s="1899">
        <v>45357</v>
      </c>
      <c r="B226" s="1902" t="s">
        <v>2</v>
      </c>
      <c r="C226" s="21"/>
      <c r="D226" s="22"/>
      <c r="E226" s="22"/>
      <c r="F226" s="1685"/>
      <c r="G226" s="1771"/>
    </row>
    <row r="227" spans="1:7" ht="36" customHeight="1">
      <c r="A227" s="1900"/>
      <c r="B227" s="1903"/>
      <c r="C227" s="21"/>
      <c r="D227" s="22"/>
      <c r="E227" s="22"/>
      <c r="F227" s="1685"/>
      <c r="G227" s="1771"/>
    </row>
    <row r="228" spans="1:7" ht="36" customHeight="1">
      <c r="A228" s="1900"/>
      <c r="B228" s="1903"/>
      <c r="C228" s="21"/>
      <c r="D228" s="20"/>
      <c r="E228" s="19"/>
      <c r="F228" s="1685"/>
      <c r="G228" s="1771"/>
    </row>
    <row r="229" spans="1:7" ht="36" customHeight="1" thickBot="1">
      <c r="A229" s="1900"/>
      <c r="B229" s="1903"/>
      <c r="C229" s="1774"/>
      <c r="D229" s="16"/>
      <c r="E229" s="15"/>
      <c r="F229" s="1684"/>
      <c r="G229" s="1771"/>
    </row>
    <row r="230" spans="1:7" ht="36" customHeight="1" thickBot="1">
      <c r="A230" s="1901"/>
      <c r="B230" s="1904"/>
      <c r="C230" s="12" t="s">
        <v>7160</v>
      </c>
      <c r="D230" s="11" t="s">
        <v>7157</v>
      </c>
      <c r="E230" s="10" t="s">
        <v>7161</v>
      </c>
      <c r="F230" s="10" t="s">
        <v>7162</v>
      </c>
      <c r="G230" s="9"/>
    </row>
    <row r="231" spans="1:7" ht="36" customHeight="1">
      <c r="A231" s="1899">
        <v>45358</v>
      </c>
      <c r="B231" s="1902" t="s">
        <v>1</v>
      </c>
      <c r="C231" s="21"/>
      <c r="D231" s="22"/>
      <c r="E231" s="22"/>
      <c r="F231" s="1685"/>
      <c r="G231" s="1771"/>
    </row>
    <row r="232" spans="1:7" ht="36" customHeight="1">
      <c r="A232" s="1900"/>
      <c r="B232" s="1903"/>
      <c r="C232" s="21"/>
      <c r="D232" s="22"/>
      <c r="E232" s="22"/>
      <c r="F232" s="1685"/>
      <c r="G232" s="1771"/>
    </row>
    <row r="233" spans="1:7" ht="36" customHeight="1">
      <c r="A233" s="1900"/>
      <c r="B233" s="1903"/>
      <c r="C233" s="21"/>
      <c r="D233" s="20"/>
      <c r="E233" s="19"/>
      <c r="F233" s="1685"/>
      <c r="G233" s="1771"/>
    </row>
    <row r="234" spans="1:7" ht="36" customHeight="1" thickBot="1">
      <c r="A234" s="1900"/>
      <c r="B234" s="1903"/>
      <c r="C234" s="1774"/>
      <c r="D234" s="16"/>
      <c r="E234" s="15"/>
      <c r="F234" s="1684"/>
      <c r="G234" s="1771"/>
    </row>
    <row r="235" spans="1:7" ht="36" customHeight="1" thickBot="1">
      <c r="A235" s="1901"/>
      <c r="B235" s="1904"/>
      <c r="C235" s="12" t="s">
        <v>7166</v>
      </c>
      <c r="D235" s="11" t="s">
        <v>7167</v>
      </c>
      <c r="E235" s="10" t="s">
        <v>7168</v>
      </c>
      <c r="F235" s="10" t="s">
        <v>7169</v>
      </c>
      <c r="G235" s="9"/>
    </row>
    <row r="236" spans="1:7" ht="36" customHeight="1">
      <c r="A236" s="1899">
        <v>45359</v>
      </c>
      <c r="B236" s="1902" t="s">
        <v>0</v>
      </c>
      <c r="C236" s="21"/>
      <c r="D236" s="22"/>
      <c r="E236" s="22"/>
      <c r="F236" s="1685"/>
      <c r="G236" s="1771"/>
    </row>
    <row r="237" spans="1:7" ht="36" customHeight="1">
      <c r="A237" s="1900"/>
      <c r="B237" s="1903"/>
      <c r="C237" s="21"/>
      <c r="D237" s="22"/>
      <c r="E237" s="22"/>
      <c r="F237" s="1685"/>
      <c r="G237" s="1771"/>
    </row>
    <row r="238" spans="1:7" ht="36" customHeight="1">
      <c r="A238" s="1900"/>
      <c r="B238" s="1903"/>
      <c r="C238" s="21"/>
      <c r="D238" s="20"/>
      <c r="E238" s="19"/>
      <c r="F238" s="1685"/>
      <c r="G238" s="1771"/>
    </row>
    <row r="239" spans="1:7" ht="36" customHeight="1" thickBot="1">
      <c r="A239" s="1900"/>
      <c r="B239" s="1903"/>
      <c r="C239" s="1774"/>
      <c r="D239" s="16"/>
      <c r="E239" s="15"/>
      <c r="F239" s="1684"/>
      <c r="G239" s="1771"/>
    </row>
    <row r="240" spans="1:7" ht="36" customHeight="1" thickBot="1">
      <c r="A240" s="1901"/>
      <c r="B240" s="1904"/>
      <c r="C240" s="12" t="s">
        <v>7163</v>
      </c>
      <c r="D240" s="11" t="s">
        <v>7157</v>
      </c>
      <c r="E240" s="10" t="s">
        <v>7164</v>
      </c>
      <c r="F240" s="10" t="s">
        <v>7165</v>
      </c>
      <c r="G240" s="9"/>
    </row>
  </sheetData>
  <mergeCells count="121">
    <mergeCell ref="C157:C158"/>
    <mergeCell ref="C193:C196"/>
    <mergeCell ref="G154:G155"/>
    <mergeCell ref="C154:C155"/>
    <mergeCell ref="G163:G164"/>
    <mergeCell ref="C163:C164"/>
    <mergeCell ref="C165:C170"/>
    <mergeCell ref="C218:C219"/>
    <mergeCell ref="G218:G219"/>
    <mergeCell ref="C189:C190"/>
    <mergeCell ref="G189:G190"/>
    <mergeCell ref="C138:C139"/>
    <mergeCell ref="G138:G139"/>
    <mergeCell ref="G165:G170"/>
    <mergeCell ref="A204:A210"/>
    <mergeCell ref="B204:B210"/>
    <mergeCell ref="A211:G211"/>
    <mergeCell ref="A188:A192"/>
    <mergeCell ref="C111:C112"/>
    <mergeCell ref="G119:G121"/>
    <mergeCell ref="C122:C126"/>
    <mergeCell ref="G122:G126"/>
    <mergeCell ref="C206:C207"/>
    <mergeCell ref="G206:G207"/>
    <mergeCell ref="B188:B192"/>
    <mergeCell ref="A193:A198"/>
    <mergeCell ref="B193:B198"/>
    <mergeCell ref="A199:A203"/>
    <mergeCell ref="B199:B203"/>
    <mergeCell ref="C177:C178"/>
    <mergeCell ref="A142:A152"/>
    <mergeCell ref="B142:B152"/>
    <mergeCell ref="A153:A161"/>
    <mergeCell ref="B153:B161"/>
    <mergeCell ref="A162:A175"/>
    <mergeCell ref="B162:B175"/>
    <mergeCell ref="A176:G176"/>
    <mergeCell ref="A236:A240"/>
    <mergeCell ref="B236:B240"/>
    <mergeCell ref="A217:A225"/>
    <mergeCell ref="B217:B225"/>
    <mergeCell ref="A226:A230"/>
    <mergeCell ref="B226:B230"/>
    <mergeCell ref="A231:A235"/>
    <mergeCell ref="B231:B235"/>
    <mergeCell ref="A212:A216"/>
    <mergeCell ref="B212:B216"/>
    <mergeCell ref="A177:A187"/>
    <mergeCell ref="B177:B187"/>
    <mergeCell ref="C173:C174"/>
    <mergeCell ref="G173:G174"/>
    <mergeCell ref="C179:C180"/>
    <mergeCell ref="G179:G180"/>
    <mergeCell ref="A132:A141"/>
    <mergeCell ref="B132:B141"/>
    <mergeCell ref="A70:A78"/>
    <mergeCell ref="B70:B78"/>
    <mergeCell ref="A79:A87"/>
    <mergeCell ref="B79:B87"/>
    <mergeCell ref="A88:A101"/>
    <mergeCell ref="B88:B101"/>
    <mergeCell ref="A102:A116"/>
    <mergeCell ref="B102:B116"/>
    <mergeCell ref="A117:G117"/>
    <mergeCell ref="A118:A131"/>
    <mergeCell ref="B118:B131"/>
    <mergeCell ref="C72:C75"/>
    <mergeCell ref="G72:G75"/>
    <mergeCell ref="C88:C89"/>
    <mergeCell ref="C93:C98"/>
    <mergeCell ref="G97:G98"/>
    <mergeCell ref="C119:C121"/>
    <mergeCell ref="C82:C83"/>
    <mergeCell ref="C91:C92"/>
    <mergeCell ref="G91:G92"/>
    <mergeCell ref="G93:G96"/>
    <mergeCell ref="C105:C106"/>
    <mergeCell ref="A69:G69"/>
    <mergeCell ref="C43:C48"/>
    <mergeCell ref="G43:G48"/>
    <mergeCell ref="C49:C50"/>
    <mergeCell ref="G49:G50"/>
    <mergeCell ref="C35:C37"/>
    <mergeCell ref="C38:C39"/>
    <mergeCell ref="C65:C66"/>
    <mergeCell ref="G65:G66"/>
    <mergeCell ref="A2:A14"/>
    <mergeCell ref="B2:B14"/>
    <mergeCell ref="C17:C21"/>
    <mergeCell ref="G35:G36"/>
    <mergeCell ref="C63:C64"/>
    <mergeCell ref="A31:G31"/>
    <mergeCell ref="A32:A41"/>
    <mergeCell ref="B32:B41"/>
    <mergeCell ref="A42:A54"/>
    <mergeCell ref="B42:B54"/>
    <mergeCell ref="G38:G39"/>
    <mergeCell ref="C134:C135"/>
    <mergeCell ref="G134:G135"/>
    <mergeCell ref="C144:C146"/>
    <mergeCell ref="A1:G1"/>
    <mergeCell ref="C3:C7"/>
    <mergeCell ref="C8:C9"/>
    <mergeCell ref="G8:G9"/>
    <mergeCell ref="C12:C13"/>
    <mergeCell ref="A55:A62"/>
    <mergeCell ref="B55:B62"/>
    <mergeCell ref="A63:A68"/>
    <mergeCell ref="B63:B68"/>
    <mergeCell ref="G63:G64"/>
    <mergeCell ref="C58:C59"/>
    <mergeCell ref="F58:F59"/>
    <mergeCell ref="G58:G59"/>
    <mergeCell ref="G33:G34"/>
    <mergeCell ref="C22:C24"/>
    <mergeCell ref="G3:G5"/>
    <mergeCell ref="A15:A30"/>
    <mergeCell ref="B15:B30"/>
    <mergeCell ref="C15:C16"/>
    <mergeCell ref="G105:G106"/>
    <mergeCell ref="G15:G16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3"/>
  <sheetViews>
    <sheetView zoomScaleNormal="100" zoomScaleSheetLayoutView="75" workbookViewId="0">
      <selection activeCell="C5" sqref="C5"/>
    </sheetView>
  </sheetViews>
  <sheetFormatPr defaultColWidth="9" defaultRowHeight="16.5"/>
  <cols>
    <col min="1" max="1" width="12.5" style="71" bestFit="1" customWidth="1"/>
    <col min="2" max="2" width="14.125" style="70" customWidth="1"/>
    <col min="3" max="3" width="12.125" style="70" bestFit="1" customWidth="1"/>
    <col min="4" max="7" width="11.875" style="70" customWidth="1"/>
    <col min="8" max="8" width="11.875" style="69" customWidth="1"/>
    <col min="9" max="9" width="14.25" style="69" customWidth="1"/>
    <col min="10" max="10" width="13.625" style="69" customWidth="1"/>
    <col min="11" max="11" width="17.375" style="68" customWidth="1"/>
    <col min="12" max="12" width="18.75" style="68" bestFit="1" customWidth="1"/>
    <col min="14" max="14" width="11.625" bestFit="1" customWidth="1"/>
  </cols>
  <sheetData>
    <row r="1" spans="1:14" ht="45" customHeight="1" thickBot="1">
      <c r="A1" s="1966" t="s">
        <v>1543</v>
      </c>
      <c r="B1" s="1967"/>
      <c r="C1" s="1967"/>
      <c r="D1" s="1967"/>
      <c r="E1" s="1967"/>
      <c r="F1" s="1967"/>
      <c r="G1" s="1967"/>
      <c r="H1" s="1968"/>
      <c r="I1" s="1966" t="s">
        <v>1544</v>
      </c>
      <c r="J1" s="1967"/>
      <c r="K1" s="1968"/>
    </row>
    <row r="2" spans="1:14" s="73" customFormat="1" ht="45.75" customHeight="1">
      <c r="A2" s="164" t="s">
        <v>84</v>
      </c>
      <c r="B2" s="165" t="s">
        <v>1545</v>
      </c>
      <c r="C2" s="165" t="s">
        <v>1546</v>
      </c>
      <c r="D2" s="165" t="s">
        <v>1547</v>
      </c>
      <c r="E2" s="165" t="s">
        <v>1548</v>
      </c>
      <c r="F2" s="166" t="s">
        <v>4105</v>
      </c>
      <c r="G2" s="166" t="s">
        <v>75</v>
      </c>
      <c r="H2" s="108" t="s">
        <v>1549</v>
      </c>
      <c r="I2" s="107" t="s">
        <v>1550</v>
      </c>
      <c r="J2" s="106" t="s">
        <v>1551</v>
      </c>
      <c r="K2" s="105" t="s">
        <v>1552</v>
      </c>
    </row>
    <row r="3" spans="1:14" s="73" customFormat="1" ht="33" customHeight="1">
      <c r="A3" s="167">
        <v>45355</v>
      </c>
      <c r="B3" s="161"/>
      <c r="C3" s="161">
        <v>400</v>
      </c>
      <c r="D3" s="162"/>
      <c r="E3" s="162"/>
      <c r="F3" s="162"/>
      <c r="G3" s="162"/>
      <c r="H3" s="93">
        <f t="shared" ref="H3" si="0">SUM(B3:F3)</f>
        <v>400</v>
      </c>
      <c r="I3" s="97">
        <f>32*12+16</f>
        <v>400</v>
      </c>
      <c r="J3" s="99">
        <v>13</v>
      </c>
      <c r="K3" s="1841"/>
    </row>
    <row r="4" spans="1:14" s="73" customFormat="1" ht="33" customHeight="1">
      <c r="A4" s="167">
        <v>45356</v>
      </c>
      <c r="B4" s="161"/>
      <c r="C4" s="1979">
        <f>141+100</f>
        <v>241</v>
      </c>
      <c r="D4" s="162"/>
      <c r="E4" s="162"/>
      <c r="F4" s="162"/>
      <c r="G4" s="162"/>
      <c r="H4" s="93">
        <f t="shared" ref="H4" si="1">SUM(B4:F4)</f>
        <v>241</v>
      </c>
      <c r="I4" s="97">
        <f>32*4+13+32*2+36</f>
        <v>241</v>
      </c>
      <c r="J4" s="99">
        <v>8</v>
      </c>
      <c r="K4" s="1841"/>
    </row>
    <row r="5" spans="1:14" s="73" customFormat="1" ht="33" customHeight="1" thickBot="1">
      <c r="A5" s="1166">
        <v>45362</v>
      </c>
      <c r="B5" s="1167"/>
      <c r="C5" s="1870">
        <f>33+58</f>
        <v>91</v>
      </c>
      <c r="D5" s="1168"/>
      <c r="E5" s="1168"/>
      <c r="F5" s="1168"/>
      <c r="G5" s="1168"/>
      <c r="H5" s="101">
        <f t="shared" ref="H5" si="2">SUM(B5:F5)</f>
        <v>91</v>
      </c>
      <c r="I5" s="173">
        <f>33+32+26</f>
        <v>91</v>
      </c>
      <c r="J5" s="174">
        <v>3</v>
      </c>
      <c r="K5" s="175"/>
    </row>
    <row r="6" spans="1:14" s="73" customFormat="1" ht="33" customHeight="1" thickBot="1">
      <c r="A6" s="157" t="s">
        <v>1553</v>
      </c>
      <c r="B6" s="158">
        <f>SUM(B3:B5)</f>
        <v>0</v>
      </c>
      <c r="C6" s="158">
        <f>SUM(C3:C5)</f>
        <v>732</v>
      </c>
      <c r="D6" s="158">
        <f>SUM(D3:D5)</f>
        <v>0</v>
      </c>
      <c r="E6" s="158">
        <f>SUM(E3:E5)</f>
        <v>0</v>
      </c>
      <c r="F6" s="158">
        <f>SUM(F3:F5)</f>
        <v>0</v>
      </c>
      <c r="G6" s="158"/>
      <c r="H6" s="158">
        <f>SUM(H3:H5)</f>
        <v>732</v>
      </c>
      <c r="I6" s="97">
        <f>SUM(I3:I5)</f>
        <v>732</v>
      </c>
      <c r="J6" s="99"/>
      <c r="K6" s="98"/>
    </row>
    <row r="7" spans="1:14" s="73" customFormat="1" ht="33" customHeight="1">
      <c r="A7" s="104"/>
      <c r="B7" s="103"/>
      <c r="C7" s="103"/>
      <c r="D7" s="102"/>
      <c r="E7" s="102"/>
      <c r="F7" s="102"/>
      <c r="G7" s="102"/>
      <c r="H7" s="101">
        <f t="shared" ref="H7:H17" si="3">SUM(B7:F7)</f>
        <v>0</v>
      </c>
      <c r="I7" s="97"/>
      <c r="J7" s="99"/>
      <c r="K7" s="98"/>
      <c r="N7" s="1696"/>
    </row>
    <row r="8" spans="1:14" s="73" customFormat="1" ht="33" customHeight="1">
      <c r="A8" s="100"/>
      <c r="B8" s="95"/>
      <c r="C8" s="95"/>
      <c r="D8" s="94"/>
      <c r="E8" s="94"/>
      <c r="F8" s="94"/>
      <c r="G8" s="94"/>
      <c r="H8" s="93">
        <f t="shared" si="3"/>
        <v>0</v>
      </c>
      <c r="I8" s="97"/>
      <c r="J8" s="99"/>
      <c r="K8" s="98"/>
    </row>
    <row r="9" spans="1:14" s="73" customFormat="1" ht="33" customHeight="1">
      <c r="A9" s="96"/>
      <c r="B9" s="95"/>
      <c r="C9" s="95"/>
      <c r="D9" s="94"/>
      <c r="E9" s="94"/>
      <c r="F9" s="94"/>
      <c r="G9" s="94"/>
      <c r="H9" s="93">
        <f t="shared" si="3"/>
        <v>0</v>
      </c>
      <c r="I9" s="97"/>
      <c r="J9" s="99"/>
      <c r="K9" s="98"/>
    </row>
    <row r="10" spans="1:14" s="73" customFormat="1" ht="33" customHeight="1">
      <c r="A10" s="96"/>
      <c r="B10" s="95"/>
      <c r="C10" s="95"/>
      <c r="D10" s="94"/>
      <c r="E10" s="94"/>
      <c r="F10" s="94"/>
      <c r="G10" s="94"/>
      <c r="H10" s="93">
        <f t="shared" si="3"/>
        <v>0</v>
      </c>
      <c r="I10" s="97"/>
      <c r="J10" s="99"/>
      <c r="K10" s="98"/>
    </row>
    <row r="11" spans="1:14" s="73" customFormat="1" ht="33" customHeight="1">
      <c r="A11" s="96"/>
      <c r="B11" s="95"/>
      <c r="C11" s="95"/>
      <c r="D11" s="94"/>
      <c r="E11" s="94"/>
      <c r="F11" s="94"/>
      <c r="G11" s="94"/>
      <c r="H11" s="93">
        <f t="shared" si="3"/>
        <v>0</v>
      </c>
      <c r="I11" s="97"/>
      <c r="J11" s="91"/>
      <c r="K11" s="90"/>
    </row>
    <row r="12" spans="1:14" s="73" customFormat="1" ht="33" customHeight="1">
      <c r="A12" s="96"/>
      <c r="B12" s="95"/>
      <c r="C12" s="95"/>
      <c r="D12" s="94"/>
      <c r="E12" s="94"/>
      <c r="F12" s="94"/>
      <c r="G12" s="94"/>
      <c r="H12" s="93">
        <f t="shared" si="3"/>
        <v>0</v>
      </c>
      <c r="I12" s="97"/>
      <c r="J12" s="91"/>
      <c r="K12" s="90"/>
    </row>
    <row r="13" spans="1:14" s="73" customFormat="1" ht="33" customHeight="1">
      <c r="A13" s="96"/>
      <c r="B13" s="95"/>
      <c r="C13" s="95"/>
      <c r="D13" s="94"/>
      <c r="E13" s="94"/>
      <c r="F13" s="94"/>
      <c r="G13" s="94"/>
      <c r="H13" s="93">
        <f t="shared" si="3"/>
        <v>0</v>
      </c>
      <c r="I13" s="97"/>
      <c r="J13" s="91"/>
      <c r="K13" s="90"/>
    </row>
    <row r="14" spans="1:14" s="73" customFormat="1" ht="33" customHeight="1">
      <c r="A14" s="96"/>
      <c r="B14" s="95"/>
      <c r="C14" s="95"/>
      <c r="D14" s="94"/>
      <c r="E14" s="94"/>
      <c r="F14" s="94"/>
      <c r="G14" s="94"/>
      <c r="H14" s="93">
        <f t="shared" si="3"/>
        <v>0</v>
      </c>
      <c r="I14" s="97"/>
      <c r="J14" s="91"/>
      <c r="K14" s="90"/>
    </row>
    <row r="15" spans="1:14" s="73" customFormat="1" ht="33" customHeight="1">
      <c r="A15" s="96"/>
      <c r="B15" s="95"/>
      <c r="C15" s="95"/>
      <c r="D15" s="94"/>
      <c r="E15" s="94"/>
      <c r="F15" s="94"/>
      <c r="G15" s="94"/>
      <c r="H15" s="93">
        <f t="shared" si="3"/>
        <v>0</v>
      </c>
      <c r="I15" s="97"/>
      <c r="J15" s="91"/>
      <c r="K15" s="90"/>
    </row>
    <row r="16" spans="1:14" s="73" customFormat="1" ht="33" customHeight="1">
      <c r="A16" s="96"/>
      <c r="B16" s="95"/>
      <c r="C16" s="95"/>
      <c r="D16" s="94"/>
      <c r="E16" s="94"/>
      <c r="F16" s="94"/>
      <c r="G16" s="94"/>
      <c r="H16" s="93">
        <f t="shared" si="3"/>
        <v>0</v>
      </c>
      <c r="I16" s="97"/>
      <c r="J16" s="91"/>
      <c r="K16" s="90"/>
    </row>
    <row r="17" spans="1:18" s="73" customFormat="1" ht="33" customHeight="1">
      <c r="A17" s="96"/>
      <c r="B17" s="95"/>
      <c r="C17" s="95"/>
      <c r="D17" s="94"/>
      <c r="E17" s="94"/>
      <c r="F17" s="94"/>
      <c r="G17" s="94"/>
      <c r="H17" s="93">
        <f t="shared" si="3"/>
        <v>0</v>
      </c>
      <c r="I17" s="92"/>
      <c r="J17" s="91"/>
      <c r="K17" s="90"/>
    </row>
    <row r="18" spans="1:18" s="73" customFormat="1" ht="33" customHeight="1" thickBot="1">
      <c r="A18" s="89" t="s">
        <v>1554</v>
      </c>
      <c r="B18" s="88">
        <f>SUM(B3:B17)</f>
        <v>0</v>
      </c>
      <c r="C18" s="88">
        <f>SUM(C3:C17)</f>
        <v>1464</v>
      </c>
      <c r="D18" s="88">
        <f>SUM(D3:D17)</f>
        <v>0</v>
      </c>
      <c r="E18" s="88">
        <f>SUM(E3:E17)</f>
        <v>0</v>
      </c>
      <c r="F18" s="88">
        <f>SUM(F3:F17)</f>
        <v>0</v>
      </c>
      <c r="G18" s="88">
        <f>SUM(G3:G17)</f>
        <v>0</v>
      </c>
      <c r="H18" s="87">
        <f>SUM(H3:H17)</f>
        <v>1464</v>
      </c>
      <c r="I18" s="86" t="s">
        <v>82</v>
      </c>
      <c r="J18" s="85">
        <f>SUM(J3:J17)</f>
        <v>24</v>
      </c>
      <c r="K18" s="84">
        <f>SUM(K3:K17)</f>
        <v>0</v>
      </c>
      <c r="O18" s="74"/>
      <c r="R18" s="72"/>
    </row>
    <row r="19" spans="1:18" ht="29.25" customHeight="1" thickBot="1">
      <c r="A19" s="83"/>
      <c r="B19" s="82"/>
      <c r="C19" s="81"/>
      <c r="D19" s="81"/>
      <c r="E19" s="81"/>
      <c r="F19" s="81"/>
      <c r="G19" s="81"/>
      <c r="H19" s="80"/>
      <c r="I19" s="79" t="s">
        <v>81</v>
      </c>
      <c r="J19" s="78"/>
      <c r="K19" s="77"/>
      <c r="R19" s="72"/>
    </row>
    <row r="20" spans="1:18" ht="29.25" customHeight="1">
      <c r="H20" s="76"/>
      <c r="R20" s="72"/>
    </row>
    <row r="21" spans="1:18" ht="29.25" customHeight="1">
      <c r="B21" s="70" t="s">
        <v>80</v>
      </c>
      <c r="D21" s="74" t="s">
        <v>1555</v>
      </c>
      <c r="J21" s="75"/>
      <c r="K21" s="75"/>
      <c r="P21" s="73"/>
      <c r="R21" s="72"/>
    </row>
    <row r="22" spans="1:18" ht="23.25" customHeight="1">
      <c r="A22"/>
      <c r="B22" s="70" t="s">
        <v>79</v>
      </c>
      <c r="D22" s="74" t="s">
        <v>1556</v>
      </c>
      <c r="I22" s="69" t="s">
        <v>78</v>
      </c>
      <c r="J22"/>
      <c r="K22"/>
      <c r="L22"/>
      <c r="P22" s="73"/>
      <c r="R22" s="72"/>
    </row>
    <row r="23" spans="1:18">
      <c r="A23"/>
      <c r="B23" s="70" t="s">
        <v>77</v>
      </c>
      <c r="I23" s="69" t="s">
        <v>76</v>
      </c>
      <c r="J23"/>
      <c r="K23"/>
      <c r="L23"/>
      <c r="R23" s="72"/>
    </row>
  </sheetData>
  <mergeCells count="2">
    <mergeCell ref="A1:H1"/>
    <mergeCell ref="I1:K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67"/>
  <sheetViews>
    <sheetView topLeftCell="A129" zoomScaleNormal="100" workbookViewId="0">
      <selection activeCell="I135" sqref="I135"/>
    </sheetView>
  </sheetViews>
  <sheetFormatPr defaultRowHeight="16.5"/>
  <cols>
    <col min="5" max="5" width="9.25" customWidth="1"/>
    <col min="6" max="6" width="21.25" bestFit="1" customWidth="1"/>
    <col min="7" max="7" width="19.75" customWidth="1"/>
    <col min="8" max="8" width="21.75" customWidth="1"/>
    <col min="9" max="9" width="11.625" bestFit="1" customWidth="1"/>
    <col min="10" max="10" width="7.625" customWidth="1"/>
    <col min="11" max="11" width="11.375" customWidth="1"/>
    <col min="12" max="12" width="19.5" customWidth="1"/>
    <col min="13" max="13" width="20.625" bestFit="1" customWidth="1"/>
    <col min="14" max="14" width="15.125" customWidth="1"/>
  </cols>
  <sheetData>
    <row r="1" spans="1:19" ht="54">
      <c r="A1" s="137" t="s">
        <v>1557</v>
      </c>
      <c r="B1" s="136"/>
      <c r="C1" s="136"/>
      <c r="D1" s="136"/>
      <c r="E1" s="136"/>
      <c r="F1" s="136"/>
      <c r="G1" s="136"/>
      <c r="H1" s="136"/>
      <c r="I1" s="154" t="s">
        <v>1558</v>
      </c>
      <c r="J1" s="153"/>
      <c r="K1" s="153"/>
      <c r="L1" s="153"/>
      <c r="M1" s="153"/>
      <c r="N1" s="153"/>
      <c r="O1" s="153"/>
      <c r="P1" s="153"/>
      <c r="Q1" s="152"/>
      <c r="R1" s="152"/>
      <c r="S1" s="152"/>
    </row>
    <row r="2" spans="1:19" ht="54">
      <c r="A2" s="137" t="s">
        <v>1559</v>
      </c>
      <c r="B2" s="136"/>
      <c r="C2" s="136"/>
      <c r="D2" s="136"/>
      <c r="E2" s="136"/>
      <c r="F2" s="136"/>
      <c r="G2" s="136"/>
      <c r="H2" s="136"/>
      <c r="I2" s="151" t="s">
        <v>1560</v>
      </c>
      <c r="J2" s="126"/>
      <c r="K2" s="126"/>
      <c r="L2" s="126"/>
      <c r="M2" s="126"/>
      <c r="N2" s="126"/>
      <c r="O2" s="126"/>
      <c r="P2" s="126"/>
      <c r="Q2" s="139"/>
      <c r="R2" s="139"/>
      <c r="S2" s="139"/>
    </row>
    <row r="3" spans="1:19" ht="54">
      <c r="A3" s="137" t="s">
        <v>1561</v>
      </c>
      <c r="B3" s="136"/>
      <c r="C3" s="136"/>
      <c r="D3" s="136"/>
      <c r="E3" s="136"/>
      <c r="F3" s="136"/>
      <c r="G3" s="136"/>
      <c r="H3" s="136"/>
      <c r="I3" s="126" t="s">
        <v>1562</v>
      </c>
      <c r="J3" s="126"/>
      <c r="K3" s="126"/>
      <c r="L3" s="126"/>
      <c r="M3" s="126"/>
      <c r="N3" s="126"/>
      <c r="O3" s="126"/>
      <c r="P3" s="126"/>
      <c r="Q3" s="139"/>
      <c r="R3" s="139"/>
      <c r="S3" s="139"/>
    </row>
    <row r="4" spans="1:19" ht="54">
      <c r="A4" s="137" t="s">
        <v>1563</v>
      </c>
      <c r="B4" s="136"/>
      <c r="C4" s="136"/>
      <c r="D4" s="136"/>
      <c r="E4" s="136"/>
      <c r="F4" s="136"/>
      <c r="G4" s="136"/>
      <c r="H4" s="136"/>
      <c r="I4" s="126" t="s">
        <v>1564</v>
      </c>
      <c r="J4" s="126"/>
      <c r="K4" s="126"/>
      <c r="L4" s="126"/>
      <c r="M4" s="126"/>
      <c r="N4" s="126"/>
      <c r="O4" s="126"/>
      <c r="P4" s="126"/>
      <c r="Q4" s="139"/>
      <c r="R4" s="139"/>
      <c r="S4" s="139"/>
    </row>
    <row r="5" spans="1:19" ht="54">
      <c r="A5" s="137"/>
      <c r="B5" s="136"/>
      <c r="C5" s="136"/>
      <c r="D5" s="136"/>
      <c r="E5" s="136"/>
      <c r="F5" s="136"/>
      <c r="G5" s="136"/>
      <c r="H5" s="136"/>
      <c r="I5" s="126"/>
      <c r="J5" s="126"/>
      <c r="K5" s="126"/>
      <c r="L5" s="126"/>
      <c r="M5" s="126"/>
      <c r="N5" s="126"/>
      <c r="O5" s="126"/>
      <c r="P5" s="126"/>
      <c r="Q5" s="139"/>
      <c r="R5" s="139"/>
      <c r="S5" s="139"/>
    </row>
    <row r="6" spans="1:19" ht="54">
      <c r="A6" s="148" t="s">
        <v>1565</v>
      </c>
      <c r="B6" s="136"/>
      <c r="C6" s="136"/>
      <c r="D6" s="136"/>
      <c r="E6" s="136"/>
      <c r="F6" s="136"/>
      <c r="G6" s="136"/>
      <c r="H6" s="136"/>
      <c r="I6" s="1055" t="s">
        <v>1566</v>
      </c>
      <c r="J6" s="126"/>
      <c r="K6" s="126"/>
      <c r="L6" s="126"/>
      <c r="M6" s="126"/>
      <c r="N6" s="126"/>
      <c r="O6" s="126"/>
      <c r="P6" s="126"/>
      <c r="Q6" s="139"/>
      <c r="R6" s="139"/>
      <c r="S6" s="139"/>
    </row>
    <row r="7" spans="1:19" ht="54">
      <c r="A7" s="148" t="s">
        <v>1567</v>
      </c>
      <c r="B7" s="136"/>
      <c r="C7" s="136"/>
      <c r="D7" s="136"/>
      <c r="E7" s="136"/>
      <c r="F7" s="148"/>
      <c r="G7" s="136"/>
      <c r="H7" s="136"/>
      <c r="I7" s="126"/>
      <c r="J7" s="126"/>
      <c r="K7" s="126"/>
      <c r="L7" s="126"/>
      <c r="M7" s="126"/>
      <c r="N7" s="126"/>
      <c r="O7" s="126"/>
      <c r="P7" s="126"/>
      <c r="Q7" s="139"/>
      <c r="R7" s="139"/>
      <c r="S7" s="139"/>
    </row>
    <row r="8" spans="1:19" ht="54">
      <c r="A8" s="148" t="s">
        <v>1568</v>
      </c>
      <c r="B8" s="136"/>
      <c r="C8" s="136"/>
      <c r="D8" s="136"/>
      <c r="E8" s="136"/>
      <c r="F8" s="136"/>
      <c r="G8" s="136"/>
      <c r="H8" s="136"/>
      <c r="I8" s="159" t="s">
        <v>1569</v>
      </c>
      <c r="J8" s="126"/>
      <c r="K8" s="126"/>
      <c r="L8" s="126"/>
      <c r="M8" s="126"/>
      <c r="N8" s="126"/>
      <c r="O8" s="126"/>
      <c r="P8" s="126"/>
      <c r="Q8" s="139"/>
      <c r="R8" s="139"/>
      <c r="S8" s="139"/>
    </row>
    <row r="9" spans="1:19" ht="54">
      <c r="A9" s="159" t="s">
        <v>1569</v>
      </c>
      <c r="B9" s="136"/>
      <c r="C9" s="136"/>
      <c r="D9" s="136"/>
      <c r="E9" s="136"/>
      <c r="F9" s="136"/>
      <c r="G9" s="136"/>
      <c r="H9" s="136"/>
      <c r="I9" s="126"/>
      <c r="J9" s="126"/>
      <c r="K9" s="126"/>
      <c r="L9" s="126"/>
      <c r="M9" s="126"/>
      <c r="N9" s="126"/>
      <c r="O9" s="126"/>
      <c r="P9" s="126"/>
      <c r="Q9" s="139"/>
      <c r="R9" s="139"/>
      <c r="S9" s="139"/>
    </row>
    <row r="10" spans="1:19" ht="49.5">
      <c r="B10" s="136"/>
      <c r="C10" s="136"/>
      <c r="D10" s="136"/>
      <c r="E10" s="136"/>
      <c r="F10" s="136"/>
      <c r="G10" s="136"/>
      <c r="H10" s="136"/>
      <c r="J10" s="150"/>
      <c r="K10" s="149"/>
    </row>
    <row r="11" spans="1:19" ht="36.75" customHeight="1"/>
    <row r="12" spans="1:19" s="140" customFormat="1" ht="54">
      <c r="A12" s="137" t="s">
        <v>1570</v>
      </c>
      <c r="B12" s="137"/>
      <c r="C12" s="137"/>
      <c r="D12" s="137"/>
      <c r="E12" s="137"/>
      <c r="F12" s="137"/>
      <c r="G12" s="137"/>
      <c r="H12" s="137"/>
      <c r="I12" s="126" t="s">
        <v>1571</v>
      </c>
      <c r="J12" s="126"/>
      <c r="K12" s="126"/>
      <c r="L12" s="126"/>
      <c r="M12" s="126"/>
      <c r="N12" s="148"/>
      <c r="O12" s="148"/>
      <c r="P12" s="148"/>
      <c r="Q12" s="148"/>
      <c r="R12" s="134"/>
    </row>
    <row r="13" spans="1:19" s="140" customFormat="1" ht="54">
      <c r="A13" s="137" t="s">
        <v>1572</v>
      </c>
      <c r="B13" s="137"/>
      <c r="C13" s="137"/>
      <c r="D13" s="137"/>
      <c r="E13" s="137"/>
      <c r="F13" s="137"/>
      <c r="G13" s="137"/>
      <c r="H13" s="137"/>
      <c r="I13" s="126" t="s">
        <v>1573</v>
      </c>
      <c r="J13" s="126"/>
      <c r="K13" s="126"/>
      <c r="L13" s="126"/>
      <c r="M13" s="126"/>
      <c r="N13" s="148"/>
      <c r="O13" s="148"/>
      <c r="P13" s="148"/>
      <c r="Q13" s="148"/>
      <c r="R13" s="134"/>
    </row>
    <row r="14" spans="1:19" s="140" customFormat="1" ht="54">
      <c r="A14" s="137" t="s">
        <v>1574</v>
      </c>
      <c r="B14" s="137"/>
      <c r="C14" s="137"/>
      <c r="D14" s="137"/>
      <c r="E14" s="137"/>
      <c r="F14" s="137"/>
      <c r="G14" s="137"/>
      <c r="H14" s="137"/>
      <c r="I14" s="126" t="s">
        <v>1575</v>
      </c>
      <c r="J14" s="126"/>
      <c r="K14" s="126"/>
      <c r="L14" s="126"/>
      <c r="M14" s="126"/>
      <c r="N14" s="148"/>
      <c r="O14" s="148"/>
      <c r="P14" s="148"/>
      <c r="Q14" s="148"/>
      <c r="R14" s="134"/>
    </row>
    <row r="15" spans="1:19" s="140" customFormat="1" ht="54">
      <c r="A15" s="137" t="s">
        <v>1576</v>
      </c>
      <c r="B15" s="137"/>
      <c r="C15" s="137"/>
      <c r="D15" s="137"/>
      <c r="E15" s="137"/>
      <c r="F15" s="137"/>
      <c r="G15" s="137"/>
      <c r="H15" s="137"/>
      <c r="I15" s="126" t="s">
        <v>171</v>
      </c>
      <c r="J15" s="126"/>
      <c r="K15" s="126"/>
      <c r="L15" s="126"/>
      <c r="M15" s="126"/>
      <c r="N15" s="148"/>
      <c r="O15" s="148"/>
      <c r="P15" s="148"/>
      <c r="Q15" s="148"/>
      <c r="R15" s="134"/>
    </row>
    <row r="16" spans="1:19" s="140" customFormat="1" ht="54">
      <c r="A16" s="137"/>
      <c r="B16" s="137"/>
      <c r="C16" s="137"/>
      <c r="D16" s="137"/>
      <c r="E16" s="137"/>
      <c r="F16" s="137"/>
      <c r="G16" s="137"/>
      <c r="H16" s="137"/>
      <c r="I16" s="126"/>
      <c r="J16" s="126"/>
      <c r="K16" s="126"/>
      <c r="L16" s="126"/>
      <c r="M16" s="126"/>
      <c r="N16" s="148"/>
      <c r="O16" s="148"/>
      <c r="P16" s="148"/>
      <c r="Q16" s="148"/>
      <c r="R16" s="134"/>
    </row>
    <row r="17" spans="1:18" s="140" customFormat="1" ht="54">
      <c r="A17" s="134" t="s">
        <v>1577</v>
      </c>
      <c r="B17" s="137"/>
      <c r="C17" s="137"/>
      <c r="D17" s="137"/>
      <c r="E17" s="137"/>
      <c r="F17" s="137" t="s">
        <v>5090</v>
      </c>
      <c r="G17" s="137"/>
      <c r="H17" s="137"/>
      <c r="I17" s="126" t="s">
        <v>1578</v>
      </c>
      <c r="J17" s="126"/>
      <c r="K17" s="126"/>
      <c r="L17" s="126"/>
      <c r="M17" s="126"/>
      <c r="N17" s="170"/>
      <c r="O17" s="146"/>
      <c r="Q17" s="148"/>
      <c r="R17" s="134"/>
    </row>
    <row r="18" spans="1:18" s="140" customFormat="1" ht="54">
      <c r="A18" s="134"/>
      <c r="B18" s="137"/>
      <c r="C18" s="137"/>
      <c r="D18" s="137"/>
      <c r="E18" s="137"/>
      <c r="F18" s="137"/>
      <c r="G18" s="137"/>
      <c r="H18" s="137"/>
      <c r="I18" s="126" t="s">
        <v>1580</v>
      </c>
      <c r="J18" s="126"/>
      <c r="K18" s="126"/>
      <c r="L18" s="126"/>
      <c r="M18" s="126"/>
      <c r="N18" s="170"/>
      <c r="O18" s="146"/>
      <c r="Q18" s="148"/>
      <c r="R18" s="134"/>
    </row>
    <row r="19" spans="1:18" s="140" customFormat="1" ht="54">
      <c r="A19" s="134" t="s">
        <v>1581</v>
      </c>
      <c r="B19" s="137"/>
      <c r="C19" s="137"/>
      <c r="D19" s="137"/>
      <c r="E19" s="137"/>
      <c r="F19" s="137"/>
      <c r="G19" s="137"/>
      <c r="H19" s="137"/>
      <c r="I19" s="126"/>
      <c r="J19" s="126"/>
      <c r="K19" s="126"/>
      <c r="L19" s="126"/>
      <c r="M19" s="126"/>
      <c r="N19" s="146"/>
      <c r="O19" s="146"/>
      <c r="Q19" s="148"/>
      <c r="R19" s="134"/>
    </row>
    <row r="20" spans="1:18" s="140" customFormat="1" ht="54">
      <c r="B20" s="137"/>
      <c r="C20" s="137"/>
      <c r="D20" s="137"/>
      <c r="E20" s="137"/>
      <c r="F20" s="137"/>
      <c r="G20" s="137"/>
      <c r="H20" s="137"/>
      <c r="I20" s="714" t="s">
        <v>2774</v>
      </c>
      <c r="J20" s="148"/>
      <c r="K20" s="148"/>
      <c r="L20" s="148"/>
      <c r="M20" s="148"/>
      <c r="N20" s="148"/>
      <c r="O20" s="148"/>
      <c r="P20" s="148"/>
      <c r="Q20" s="148"/>
      <c r="R20" s="134"/>
    </row>
    <row r="21" spans="1:18" s="140" customFormat="1" ht="45">
      <c r="J21" s="134"/>
      <c r="K21" s="134"/>
      <c r="L21" s="134"/>
      <c r="M21" s="134"/>
      <c r="N21" s="134"/>
      <c r="O21" s="134"/>
      <c r="P21" s="134"/>
      <c r="Q21" s="134"/>
      <c r="R21" s="134"/>
    </row>
    <row r="22" spans="1:18" s="145" customFormat="1" ht="54" customHeight="1">
      <c r="A22" s="140"/>
      <c r="B22" s="140"/>
      <c r="C22" s="140"/>
      <c r="D22" s="140"/>
      <c r="E22" s="140"/>
      <c r="F22" s="140"/>
      <c r="G22" s="140"/>
      <c r="H22" s="140"/>
    </row>
    <row r="23" spans="1:18" ht="36.75" customHeight="1"/>
    <row r="24" spans="1:18" s="145" customFormat="1" ht="41.25">
      <c r="A24" s="146" t="s">
        <v>170</v>
      </c>
      <c r="I24" s="147" t="s">
        <v>1582</v>
      </c>
    </row>
    <row r="25" spans="1:18" s="145" customFormat="1" ht="41.25">
      <c r="A25" s="146" t="s">
        <v>169</v>
      </c>
      <c r="I25" s="139" t="s">
        <v>1583</v>
      </c>
    </row>
    <row r="26" spans="1:18" s="145" customFormat="1" ht="41.25">
      <c r="A26" s="146" t="s">
        <v>1584</v>
      </c>
      <c r="I26" s="139" t="s">
        <v>168</v>
      </c>
    </row>
    <row r="27" spans="1:18" ht="41.25">
      <c r="A27" s="144" t="s">
        <v>167</v>
      </c>
    </row>
    <row r="28" spans="1:18" ht="48" customHeight="1"/>
    <row r="29" spans="1:18" ht="45">
      <c r="A29" s="142" t="s">
        <v>1585</v>
      </c>
      <c r="I29" s="143" t="s">
        <v>1998</v>
      </c>
      <c r="J29" s="141"/>
      <c r="K29" s="141"/>
      <c r="L29" s="141"/>
      <c r="M29" s="141"/>
      <c r="N29" s="141"/>
      <c r="O29" s="141"/>
      <c r="P29" s="141"/>
    </row>
    <row r="30" spans="1:18" ht="45">
      <c r="A30" s="142" t="s">
        <v>1587</v>
      </c>
      <c r="I30" s="134" t="s">
        <v>1996</v>
      </c>
      <c r="J30" s="141"/>
      <c r="K30" s="141"/>
      <c r="L30" s="141"/>
      <c r="M30" s="141"/>
      <c r="N30" s="141"/>
      <c r="O30" s="141"/>
      <c r="P30" s="141"/>
    </row>
    <row r="31" spans="1:18" ht="45">
      <c r="A31" s="142" t="s">
        <v>1588</v>
      </c>
      <c r="I31" s="134" t="s">
        <v>1997</v>
      </c>
      <c r="J31" s="141"/>
      <c r="K31" s="141"/>
      <c r="L31" s="141"/>
      <c r="M31" s="141"/>
      <c r="N31" s="141"/>
      <c r="O31" s="141"/>
      <c r="P31" s="141"/>
    </row>
    <row r="32" spans="1:18" ht="45">
      <c r="A32" s="142" t="s">
        <v>1589</v>
      </c>
      <c r="I32" s="134"/>
      <c r="J32" s="141"/>
      <c r="K32" s="141"/>
      <c r="L32" s="141"/>
      <c r="M32" s="141"/>
      <c r="N32" s="141"/>
      <c r="O32" s="141"/>
      <c r="P32" s="141"/>
    </row>
    <row r="33" spans="1:16" ht="45">
      <c r="A33" s="142"/>
      <c r="I33" s="134" t="s">
        <v>3597</v>
      </c>
      <c r="J33" s="141"/>
      <c r="K33" s="141"/>
      <c r="L33" s="141"/>
      <c r="M33" s="141"/>
      <c r="N33" s="141"/>
      <c r="O33" s="141"/>
      <c r="P33" s="141"/>
    </row>
    <row r="34" spans="1:16" ht="45">
      <c r="A34" s="142" t="s">
        <v>473</v>
      </c>
      <c r="I34" s="134"/>
      <c r="J34" s="141"/>
      <c r="K34" s="141"/>
      <c r="L34" s="141"/>
      <c r="M34" s="141"/>
      <c r="N34" s="141"/>
      <c r="O34" s="141"/>
      <c r="P34" s="141"/>
    </row>
    <row r="35" spans="1:16" ht="45">
      <c r="A35" s="134" t="s">
        <v>4663</v>
      </c>
      <c r="I35" s="134" t="s">
        <v>3598</v>
      </c>
      <c r="J35" s="141"/>
      <c r="K35" s="141"/>
      <c r="L35" s="141"/>
      <c r="M35" s="141"/>
      <c r="N35" s="141"/>
      <c r="O35" s="141"/>
      <c r="P35" s="141"/>
    </row>
    <row r="36" spans="1:16" ht="45">
      <c r="A36" s="134"/>
      <c r="I36" s="134" t="s">
        <v>3712</v>
      </c>
      <c r="J36" s="141"/>
      <c r="K36" s="141"/>
      <c r="L36" s="141"/>
      <c r="M36" s="141"/>
      <c r="N36" s="141"/>
      <c r="O36" s="141"/>
      <c r="P36" s="141"/>
    </row>
    <row r="37" spans="1:16" ht="45">
      <c r="A37" s="134" t="s">
        <v>1592</v>
      </c>
      <c r="J37" s="141"/>
      <c r="K37" s="141"/>
      <c r="L37" s="141"/>
      <c r="M37" s="141"/>
      <c r="N37" s="141"/>
      <c r="O37" s="141"/>
      <c r="P37" s="141"/>
    </row>
    <row r="38" spans="1:16" ht="45">
      <c r="A38" s="142"/>
      <c r="I38" s="134" t="s">
        <v>1578</v>
      </c>
      <c r="J38" s="141"/>
      <c r="K38" s="141"/>
      <c r="L38" s="141"/>
      <c r="M38" s="141"/>
      <c r="N38" s="141"/>
      <c r="O38" s="141"/>
      <c r="P38" s="141"/>
    </row>
    <row r="39" spans="1:16" ht="49.5">
      <c r="A39" s="187" t="s">
        <v>6447</v>
      </c>
      <c r="I39" s="134" t="s">
        <v>1590</v>
      </c>
      <c r="J39" s="141"/>
      <c r="K39" s="141"/>
      <c r="L39" s="141"/>
      <c r="M39" s="141"/>
      <c r="N39" s="141"/>
      <c r="O39" s="141"/>
      <c r="P39" s="141"/>
    </row>
    <row r="40" spans="1:16" ht="49.5">
      <c r="A40" s="137" t="s">
        <v>6448</v>
      </c>
      <c r="I40" s="134" t="s">
        <v>1591</v>
      </c>
      <c r="J40" s="141"/>
      <c r="K40" s="141"/>
      <c r="L40" s="141"/>
      <c r="M40" s="141"/>
      <c r="N40" s="141"/>
      <c r="O40" s="141"/>
      <c r="P40" s="141"/>
    </row>
    <row r="41" spans="1:16" ht="49.5">
      <c r="A41" s="137" t="s">
        <v>6449</v>
      </c>
      <c r="I41" s="134" t="s">
        <v>6414</v>
      </c>
      <c r="J41" s="141"/>
      <c r="K41" s="141"/>
      <c r="L41" s="141"/>
      <c r="M41" s="141"/>
      <c r="N41" s="141"/>
      <c r="O41" s="141"/>
      <c r="P41" s="141"/>
    </row>
    <row r="42" spans="1:16" ht="45">
      <c r="A42" s="134"/>
      <c r="I42" s="134" t="s">
        <v>1593</v>
      </c>
      <c r="J42" s="141"/>
      <c r="K42" s="141"/>
      <c r="L42" s="141"/>
      <c r="M42" s="141"/>
      <c r="N42" s="141"/>
      <c r="O42" s="141"/>
      <c r="P42" s="141"/>
    </row>
    <row r="43" spans="1:16" ht="49.5">
      <c r="A43" s="137" t="s">
        <v>6450</v>
      </c>
      <c r="I43" s="134"/>
      <c r="J43" s="141"/>
      <c r="K43" s="141"/>
      <c r="L43" s="141"/>
      <c r="M43" s="141"/>
      <c r="N43" s="141"/>
      <c r="O43" s="141"/>
      <c r="P43" s="141"/>
    </row>
    <row r="44" spans="1:16" ht="45">
      <c r="A44" s="134"/>
      <c r="I44" s="134" t="s">
        <v>3945</v>
      </c>
      <c r="J44" s="141"/>
      <c r="K44" s="141"/>
      <c r="L44" s="141"/>
      <c r="M44" s="141"/>
      <c r="N44" s="141"/>
      <c r="O44" s="141"/>
      <c r="P44" s="141"/>
    </row>
    <row r="45" spans="1:16" ht="49.5">
      <c r="A45" s="137" t="s">
        <v>1578</v>
      </c>
      <c r="I45" s="134" t="s">
        <v>1594</v>
      </c>
      <c r="J45" s="141"/>
      <c r="K45" s="141"/>
      <c r="L45" s="141"/>
      <c r="M45" s="141"/>
      <c r="N45" s="141"/>
      <c r="O45" s="141"/>
      <c r="P45" s="141"/>
    </row>
    <row r="46" spans="1:16" ht="45" customHeight="1"/>
    <row r="47" spans="1:16" ht="45" customHeight="1">
      <c r="A47" s="142" t="s">
        <v>1595</v>
      </c>
      <c r="I47" s="134" t="s">
        <v>1596</v>
      </c>
    </row>
    <row r="48" spans="1:16" ht="45">
      <c r="A48" s="142" t="s">
        <v>1597</v>
      </c>
    </row>
    <row r="49" spans="1:18" ht="45">
      <c r="A49" s="134" t="s">
        <v>166</v>
      </c>
    </row>
    <row r="50" spans="1:18" ht="50.25">
      <c r="I50" s="129" t="s">
        <v>1598</v>
      </c>
    </row>
    <row r="51" spans="1:18" ht="50.25" customHeight="1">
      <c r="A51" s="139" t="s">
        <v>1599</v>
      </c>
      <c r="I51" s="129" t="s">
        <v>1600</v>
      </c>
    </row>
    <row r="52" spans="1:18" ht="50.25" customHeight="1">
      <c r="A52" s="139" t="s">
        <v>1601</v>
      </c>
      <c r="I52" s="129" t="s">
        <v>165</v>
      </c>
    </row>
    <row r="53" spans="1:18" ht="50.25" customHeight="1">
      <c r="I53" s="129" t="s">
        <v>1602</v>
      </c>
    </row>
    <row r="54" spans="1:18" ht="54">
      <c r="A54" s="126" t="s">
        <v>1603</v>
      </c>
      <c r="I54" s="139"/>
    </row>
    <row r="55" spans="1:18" ht="54">
      <c r="A55" s="126" t="s">
        <v>1604</v>
      </c>
      <c r="I55" s="139" t="s">
        <v>1605</v>
      </c>
    </row>
    <row r="56" spans="1:18" ht="54">
      <c r="A56" s="126" t="s">
        <v>1606</v>
      </c>
    </row>
    <row r="57" spans="1:18" ht="51" customHeight="1">
      <c r="A57" s="126" t="s">
        <v>3494</v>
      </c>
      <c r="I57" s="134" t="s">
        <v>1607</v>
      </c>
      <c r="J57" s="125"/>
      <c r="K57" s="125"/>
      <c r="L57" s="125"/>
      <c r="M57" s="125"/>
      <c r="N57" s="125"/>
      <c r="O57" s="133"/>
      <c r="P57" s="133"/>
      <c r="Q57" s="136"/>
      <c r="R57" s="136"/>
    </row>
    <row r="58" spans="1:18" ht="23.25" customHeight="1">
      <c r="A58" s="126"/>
      <c r="I58" s="138"/>
      <c r="J58" s="125"/>
      <c r="K58" s="125"/>
      <c r="L58" s="125"/>
      <c r="M58" s="125"/>
      <c r="N58" s="125"/>
      <c r="O58" s="133"/>
      <c r="P58" s="133"/>
      <c r="Q58" s="136"/>
      <c r="R58" s="136"/>
    </row>
    <row r="59" spans="1:18" ht="51" customHeight="1">
      <c r="A59" s="129" t="s">
        <v>1608</v>
      </c>
      <c r="B59" s="129"/>
      <c r="C59" s="129"/>
      <c r="D59" s="129"/>
      <c r="E59" s="129"/>
      <c r="F59" s="129"/>
      <c r="G59" s="129" t="s">
        <v>189</v>
      </c>
      <c r="H59" s="129"/>
      <c r="I59" s="138"/>
      <c r="J59" s="125"/>
      <c r="K59" s="125"/>
      <c r="L59" s="125"/>
      <c r="M59" s="125"/>
      <c r="N59" s="125"/>
      <c r="O59" s="133"/>
      <c r="P59" s="133"/>
      <c r="Q59" s="136"/>
      <c r="R59" s="136"/>
    </row>
    <row r="60" spans="1:18" ht="23.25" customHeight="1">
      <c r="A60" s="126"/>
      <c r="I60" s="138"/>
      <c r="J60" s="125"/>
      <c r="K60" s="125"/>
      <c r="L60" s="125"/>
      <c r="M60" s="125"/>
      <c r="N60" s="125"/>
      <c r="O60" s="133"/>
      <c r="P60" s="133"/>
      <c r="Q60" s="136"/>
      <c r="R60" s="136"/>
    </row>
    <row r="61" spans="1:18" ht="51" customHeight="1">
      <c r="A61" s="125" t="s">
        <v>1592</v>
      </c>
      <c r="I61" s="138" t="s">
        <v>1610</v>
      </c>
      <c r="J61" s="125"/>
      <c r="K61" s="125"/>
      <c r="L61" s="125"/>
      <c r="M61" s="125"/>
      <c r="N61" s="125"/>
      <c r="O61" s="133"/>
      <c r="P61" s="133"/>
      <c r="Q61" s="136"/>
      <c r="R61" s="136"/>
    </row>
    <row r="62" spans="1:18" ht="51" customHeight="1">
      <c r="A62" s="125"/>
      <c r="I62" s="125" t="s">
        <v>1611</v>
      </c>
      <c r="J62" s="125"/>
      <c r="K62" s="125"/>
      <c r="L62" s="125"/>
      <c r="M62" s="125"/>
      <c r="N62" s="125"/>
      <c r="O62" s="133"/>
      <c r="P62" s="133"/>
      <c r="Q62" s="136"/>
      <c r="R62" s="136"/>
    </row>
    <row r="63" spans="1:18" ht="51" customHeight="1">
      <c r="A63" s="134" t="s">
        <v>1612</v>
      </c>
      <c r="I63" s="125" t="s">
        <v>164</v>
      </c>
      <c r="J63" s="125"/>
      <c r="K63" s="125"/>
      <c r="L63" s="125"/>
      <c r="M63" s="125"/>
      <c r="N63" s="125"/>
      <c r="O63" s="133"/>
      <c r="P63" s="133"/>
      <c r="Q63" s="136"/>
      <c r="R63" s="136"/>
    </row>
    <row r="64" spans="1:18" ht="50.25">
      <c r="A64" s="134" t="s">
        <v>163</v>
      </c>
      <c r="I64" s="133"/>
      <c r="J64" s="133"/>
      <c r="K64" s="133"/>
      <c r="L64" s="133"/>
      <c r="M64" s="133"/>
      <c r="N64" s="133"/>
      <c r="O64" s="133"/>
      <c r="P64" s="133"/>
    </row>
    <row r="65" spans="1:17" ht="50.1" customHeight="1">
      <c r="A65" s="134" t="s">
        <v>162</v>
      </c>
      <c r="I65" s="137" t="s">
        <v>161</v>
      </c>
      <c r="J65" s="136"/>
      <c r="K65" s="136"/>
      <c r="L65" s="136"/>
      <c r="M65" s="136"/>
      <c r="N65" s="136"/>
      <c r="O65" s="136"/>
      <c r="P65" s="136"/>
      <c r="Q65" s="136"/>
    </row>
    <row r="66" spans="1:17" ht="50.1" customHeight="1">
      <c r="I66" s="137" t="s">
        <v>1613</v>
      </c>
      <c r="J66" s="136"/>
      <c r="K66" s="136"/>
      <c r="L66" s="136"/>
      <c r="M66" s="136"/>
      <c r="N66" s="136"/>
      <c r="O66" s="136"/>
      <c r="P66" s="136"/>
      <c r="Q66" s="136"/>
    </row>
    <row r="67" spans="1:17" ht="50.1" customHeight="1">
      <c r="A67" s="125" t="s">
        <v>1614</v>
      </c>
      <c r="B67" s="133"/>
      <c r="C67" s="133"/>
      <c r="D67" s="133"/>
      <c r="E67" s="133"/>
      <c r="F67" s="133"/>
      <c r="G67" s="133"/>
      <c r="H67" s="133"/>
      <c r="I67" s="137" t="s">
        <v>160</v>
      </c>
      <c r="J67" s="136"/>
      <c r="K67" s="136"/>
      <c r="L67" s="136"/>
      <c r="M67" s="136"/>
      <c r="N67" s="136"/>
      <c r="O67" s="136"/>
      <c r="P67" s="136"/>
      <c r="Q67" s="136"/>
    </row>
    <row r="68" spans="1:17" ht="50.1" customHeight="1">
      <c r="A68" s="125" t="s">
        <v>159</v>
      </c>
      <c r="B68" s="133"/>
      <c r="C68" s="133"/>
      <c r="D68" s="133"/>
      <c r="E68" s="133"/>
      <c r="F68" s="133"/>
      <c r="G68" s="133"/>
      <c r="H68" s="133"/>
    </row>
    <row r="69" spans="1:17" ht="50.1" customHeight="1">
      <c r="A69" s="125" t="s">
        <v>158</v>
      </c>
      <c r="B69" s="133"/>
      <c r="C69" s="133"/>
      <c r="D69" s="133"/>
      <c r="E69" s="133"/>
      <c r="F69" s="133"/>
      <c r="G69" s="133"/>
      <c r="H69" s="133"/>
      <c r="I69" s="131" t="s">
        <v>1615</v>
      </c>
      <c r="J69" s="129"/>
      <c r="K69" s="129"/>
      <c r="L69" s="129"/>
      <c r="M69" s="129"/>
      <c r="N69" s="129"/>
      <c r="O69" s="129"/>
      <c r="P69" s="129"/>
      <c r="Q69" s="125"/>
    </row>
    <row r="70" spans="1:17" ht="50.1" customHeight="1">
      <c r="A70" s="125" t="s">
        <v>157</v>
      </c>
      <c r="B70" s="133"/>
      <c r="C70" s="133"/>
      <c r="D70" s="133"/>
      <c r="E70" s="133"/>
      <c r="F70" s="133"/>
      <c r="G70" s="133"/>
      <c r="H70" s="133"/>
      <c r="I70" s="129" t="s">
        <v>1616</v>
      </c>
      <c r="J70" s="129"/>
      <c r="K70" s="129"/>
      <c r="L70" s="129"/>
      <c r="M70" s="129"/>
      <c r="N70" s="129"/>
      <c r="O70" s="129"/>
      <c r="P70" s="129"/>
      <c r="Q70" s="125"/>
    </row>
    <row r="71" spans="1:17" ht="50.1" customHeight="1">
      <c r="A71" s="125" t="s">
        <v>520</v>
      </c>
      <c r="B71" s="133"/>
      <c r="C71" s="133"/>
      <c r="D71" s="133"/>
      <c r="E71" s="133"/>
      <c r="F71" s="133"/>
      <c r="G71" s="133"/>
      <c r="H71" s="133"/>
      <c r="I71" s="129" t="s">
        <v>1617</v>
      </c>
      <c r="J71" s="129"/>
      <c r="K71" s="129"/>
      <c r="L71" s="129"/>
      <c r="M71" s="129"/>
      <c r="N71" s="129"/>
      <c r="O71" s="129"/>
      <c r="P71" s="129"/>
      <c r="Q71" s="125"/>
    </row>
    <row r="72" spans="1:17" ht="50.1" customHeight="1">
      <c r="B72" s="133"/>
      <c r="C72" s="133"/>
      <c r="D72" s="133"/>
      <c r="E72" s="133"/>
      <c r="F72" s="133"/>
      <c r="G72" s="133"/>
      <c r="H72" s="133"/>
      <c r="I72" s="129" t="s">
        <v>5142</v>
      </c>
      <c r="J72" s="129"/>
      <c r="K72" s="129"/>
      <c r="L72" s="129"/>
      <c r="M72" s="129"/>
      <c r="N72" s="129"/>
      <c r="O72" s="129"/>
      <c r="P72" s="129"/>
      <c r="Q72" s="125"/>
    </row>
    <row r="73" spans="1:17" ht="50.1" customHeight="1">
      <c r="A73" s="125" t="s">
        <v>1618</v>
      </c>
      <c r="B73" s="133"/>
      <c r="C73" s="133"/>
      <c r="D73" s="133"/>
      <c r="E73" s="133"/>
      <c r="F73" s="133"/>
      <c r="G73" s="133"/>
      <c r="H73" s="133"/>
      <c r="I73" s="129" t="s">
        <v>156</v>
      </c>
      <c r="J73" s="135"/>
      <c r="K73" s="135"/>
      <c r="L73" s="135"/>
      <c r="M73" s="135"/>
      <c r="N73" s="135"/>
      <c r="O73" s="135"/>
      <c r="P73" s="135"/>
    </row>
    <row r="74" spans="1:17" ht="50.1" customHeight="1">
      <c r="A74" s="125"/>
    </row>
    <row r="75" spans="1:17" ht="50.1" customHeight="1">
      <c r="A75" s="125" t="s">
        <v>1578</v>
      </c>
      <c r="I75" s="129" t="s">
        <v>1619</v>
      </c>
    </row>
    <row r="76" spans="1:17" ht="50.1" customHeight="1">
      <c r="I76" s="129" t="s">
        <v>1620</v>
      </c>
    </row>
    <row r="77" spans="1:17" ht="50.1" customHeight="1">
      <c r="A77" s="125"/>
      <c r="B77" s="133"/>
      <c r="C77" s="133"/>
      <c r="D77" s="133"/>
      <c r="E77" s="133"/>
      <c r="F77" s="133"/>
      <c r="G77" s="133"/>
      <c r="H77" s="133"/>
      <c r="I77" s="129" t="s">
        <v>1579</v>
      </c>
      <c r="J77" s="135"/>
      <c r="K77" s="135"/>
      <c r="L77" s="135"/>
      <c r="M77" s="135"/>
      <c r="N77" s="135"/>
      <c r="O77" s="135"/>
      <c r="P77" s="135"/>
    </row>
    <row r="78" spans="1:17" ht="50.1" customHeight="1">
      <c r="A78" s="125"/>
      <c r="B78" s="133"/>
      <c r="C78" s="133"/>
      <c r="D78" s="133"/>
      <c r="E78" s="133"/>
      <c r="F78" s="133"/>
      <c r="G78" s="133"/>
      <c r="H78" s="133"/>
      <c r="I78" s="134"/>
      <c r="J78" s="135"/>
      <c r="K78" s="135"/>
      <c r="L78" s="135"/>
      <c r="M78" s="135"/>
      <c r="N78" s="135"/>
      <c r="O78" s="135"/>
      <c r="P78" s="135"/>
    </row>
    <row r="79" spans="1:17" ht="50.1" customHeight="1">
      <c r="A79" s="125"/>
      <c r="B79" s="133"/>
      <c r="C79" s="133"/>
      <c r="D79" s="133"/>
      <c r="E79" s="133"/>
      <c r="F79" s="133"/>
      <c r="G79" s="133"/>
      <c r="H79" s="133"/>
      <c r="I79" s="129" t="s">
        <v>1621</v>
      </c>
      <c r="J79" s="135"/>
      <c r="K79" s="135"/>
      <c r="L79" s="135"/>
      <c r="M79" s="135"/>
      <c r="N79" s="135"/>
      <c r="O79" s="135"/>
      <c r="P79" s="135"/>
    </row>
    <row r="80" spans="1:17" ht="50.1" customHeight="1">
      <c r="A80" s="134"/>
      <c r="B80" s="133"/>
      <c r="C80" s="133"/>
      <c r="D80" s="133"/>
      <c r="E80" s="133"/>
      <c r="F80" s="133"/>
      <c r="G80" s="133"/>
      <c r="H80" s="133"/>
    </row>
    <row r="81" spans="1:16" ht="50.1" customHeight="1">
      <c r="A81" s="125" t="s">
        <v>1622</v>
      </c>
      <c r="B81" s="133"/>
      <c r="C81" s="133"/>
      <c r="D81" s="133"/>
      <c r="E81" s="133"/>
      <c r="F81" s="133"/>
      <c r="G81" s="133"/>
      <c r="H81" s="133"/>
      <c r="I81" s="129" t="s">
        <v>1623</v>
      </c>
    </row>
    <row r="82" spans="1:16" ht="50.1" customHeight="1">
      <c r="A82" s="125" t="s">
        <v>1624</v>
      </c>
      <c r="B82" s="133"/>
      <c r="C82" s="133"/>
      <c r="D82" s="133"/>
      <c r="E82" s="133"/>
      <c r="F82" s="133"/>
      <c r="G82" s="133"/>
      <c r="H82" s="133"/>
      <c r="I82" s="129" t="s">
        <v>155</v>
      </c>
    </row>
    <row r="83" spans="1:16" ht="50.1" customHeight="1">
      <c r="A83" s="125" t="s">
        <v>1625</v>
      </c>
      <c r="B83" s="133"/>
      <c r="C83" s="133"/>
      <c r="D83" s="133"/>
      <c r="E83" s="133"/>
      <c r="F83" s="133"/>
      <c r="G83" s="133"/>
      <c r="H83" s="133"/>
      <c r="I83" s="129" t="s">
        <v>154</v>
      </c>
    </row>
    <row r="84" spans="1:16" ht="50.1" customHeight="1">
      <c r="A84" s="125" t="s">
        <v>1618</v>
      </c>
      <c r="I84" s="129" t="s">
        <v>1626</v>
      </c>
    </row>
    <row r="85" spans="1:16" ht="24.75" customHeight="1">
      <c r="A85" s="125"/>
      <c r="B85" s="133"/>
      <c r="C85" s="133"/>
      <c r="D85" s="133"/>
      <c r="E85" s="133"/>
      <c r="F85" s="133"/>
      <c r="G85" s="133"/>
      <c r="H85" s="133"/>
    </row>
    <row r="86" spans="1:16" ht="50.1" customHeight="1">
      <c r="A86" s="125" t="s">
        <v>1578</v>
      </c>
      <c r="B86" s="133"/>
      <c r="C86" s="133"/>
      <c r="D86" s="133"/>
      <c r="E86" s="133"/>
      <c r="F86" s="133"/>
      <c r="G86" s="133"/>
      <c r="H86" s="133"/>
      <c r="I86" s="129" t="s">
        <v>1627</v>
      </c>
      <c r="J86" s="129"/>
      <c r="K86" s="129"/>
      <c r="L86" s="129"/>
      <c r="M86" s="129"/>
      <c r="N86" s="129"/>
      <c r="O86" s="129"/>
      <c r="P86" s="129"/>
    </row>
    <row r="87" spans="1:16" ht="50.1" customHeight="1">
      <c r="I87" s="129" t="s">
        <v>153</v>
      </c>
      <c r="J87" s="129"/>
      <c r="K87" s="129"/>
      <c r="L87" s="129"/>
      <c r="M87" s="129"/>
      <c r="N87" s="129"/>
      <c r="O87" s="129"/>
      <c r="P87" s="129"/>
    </row>
    <row r="88" spans="1:16" ht="50.1" customHeight="1">
      <c r="A88" s="132" t="s">
        <v>1628</v>
      </c>
      <c r="B88" s="129"/>
      <c r="C88" s="129"/>
      <c r="D88" s="129"/>
      <c r="E88" s="129"/>
      <c r="F88" s="129"/>
      <c r="G88" s="129"/>
      <c r="H88" s="129"/>
      <c r="I88" s="129" t="s">
        <v>1629</v>
      </c>
      <c r="J88" s="129"/>
      <c r="K88" s="129"/>
      <c r="L88" s="129"/>
      <c r="M88" s="129"/>
      <c r="N88" s="129"/>
      <c r="O88" s="129"/>
      <c r="P88" s="129"/>
    </row>
    <row r="89" spans="1:16" ht="50.1" customHeight="1">
      <c r="A89" s="129" t="s">
        <v>152</v>
      </c>
      <c r="B89" s="129"/>
      <c r="C89" s="129"/>
      <c r="D89" s="129"/>
      <c r="E89" s="129"/>
      <c r="F89" s="129"/>
      <c r="G89" s="129"/>
      <c r="H89" s="129"/>
      <c r="I89" s="129" t="s">
        <v>1630</v>
      </c>
      <c r="J89" s="129"/>
      <c r="K89" s="129"/>
      <c r="L89" s="129"/>
      <c r="M89" s="129"/>
      <c r="N89" s="129"/>
      <c r="O89" s="129"/>
      <c r="P89" s="129"/>
    </row>
    <row r="90" spans="1:16" ht="50.1" customHeight="1">
      <c r="A90" s="129" t="s">
        <v>151</v>
      </c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</row>
    <row r="91" spans="1:16" ht="50.25">
      <c r="A91" s="129" t="s">
        <v>1631</v>
      </c>
      <c r="B91" s="129"/>
      <c r="C91" s="129"/>
      <c r="D91" s="129"/>
      <c r="E91" s="129"/>
      <c r="F91" s="129"/>
      <c r="G91" s="129"/>
      <c r="H91" s="129"/>
      <c r="I91" s="129" t="s">
        <v>1632</v>
      </c>
      <c r="J91" s="129"/>
      <c r="K91" s="129"/>
      <c r="L91" s="129"/>
      <c r="M91" s="129"/>
      <c r="N91" s="129"/>
      <c r="O91" s="129"/>
      <c r="P91" s="129"/>
    </row>
    <row r="92" spans="1:16" ht="50.25">
      <c r="A92" s="129" t="s">
        <v>1633</v>
      </c>
      <c r="B92" s="129"/>
      <c r="C92" s="129"/>
      <c r="D92" s="129"/>
      <c r="E92" s="129"/>
      <c r="F92" s="129"/>
      <c r="G92" s="129"/>
      <c r="H92" s="129"/>
      <c r="I92" s="129" t="s">
        <v>1634</v>
      </c>
      <c r="J92" s="129"/>
      <c r="K92" s="129"/>
      <c r="L92" s="129"/>
      <c r="M92" s="129"/>
      <c r="N92" s="129"/>
      <c r="O92" s="129"/>
      <c r="P92" s="129"/>
    </row>
    <row r="93" spans="1:16" ht="50.25">
      <c r="A93" s="129"/>
      <c r="B93" s="129"/>
      <c r="C93" s="129"/>
      <c r="D93" s="129"/>
      <c r="E93" s="129"/>
      <c r="F93" s="129"/>
      <c r="G93" s="129"/>
      <c r="H93" s="129"/>
      <c r="I93" s="129" t="s">
        <v>1635</v>
      </c>
      <c r="J93" s="129"/>
      <c r="K93" s="129"/>
      <c r="L93" s="129"/>
      <c r="M93" s="129"/>
      <c r="N93" s="129"/>
      <c r="O93" s="129"/>
      <c r="P93" s="129"/>
    </row>
    <row r="94" spans="1:16" ht="50.25">
      <c r="B94" s="129"/>
      <c r="C94" s="129"/>
      <c r="D94" s="129"/>
      <c r="E94" s="129"/>
      <c r="F94" s="129"/>
      <c r="G94" s="129"/>
      <c r="H94" s="129"/>
      <c r="I94" s="129" t="s">
        <v>1636</v>
      </c>
      <c r="J94" s="129"/>
      <c r="K94" s="129"/>
      <c r="L94" s="129"/>
      <c r="M94" s="129"/>
      <c r="N94" s="129"/>
      <c r="O94" s="129"/>
      <c r="P94" s="129"/>
    </row>
    <row r="95" spans="1:16" ht="50.25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</row>
    <row r="96" spans="1:16" ht="50.25">
      <c r="A96" s="129"/>
      <c r="B96" s="129"/>
      <c r="C96" s="129"/>
      <c r="D96" s="129"/>
      <c r="E96" s="129"/>
      <c r="F96" s="129"/>
      <c r="G96" s="129"/>
      <c r="H96" s="129"/>
      <c r="I96" s="129" t="s">
        <v>1608</v>
      </c>
      <c r="J96" s="129"/>
      <c r="K96" s="129"/>
      <c r="L96" s="129"/>
      <c r="M96" s="129"/>
      <c r="N96" s="129"/>
      <c r="O96" s="129" t="s">
        <v>1609</v>
      </c>
      <c r="P96" s="129"/>
    </row>
    <row r="97" spans="1:19" ht="50.25">
      <c r="A97" s="129" t="s">
        <v>1637</v>
      </c>
      <c r="B97" s="129"/>
      <c r="C97" s="129"/>
      <c r="D97" s="129"/>
      <c r="E97" s="129"/>
      <c r="F97" s="129"/>
      <c r="G97" s="129"/>
      <c r="H97" s="129"/>
      <c r="I97" s="129" t="s">
        <v>1638</v>
      </c>
      <c r="J97" s="129"/>
      <c r="K97" s="129"/>
      <c r="L97" s="129"/>
      <c r="M97" s="129"/>
      <c r="N97" s="129"/>
      <c r="O97" s="129" t="s">
        <v>1639</v>
      </c>
      <c r="P97" s="129"/>
    </row>
    <row r="98" spans="1:19" ht="50.25">
      <c r="A98" s="129" t="s">
        <v>1640</v>
      </c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</row>
    <row r="99" spans="1:19" ht="50.25">
      <c r="A99" s="129" t="s">
        <v>1641</v>
      </c>
      <c r="B99" s="129"/>
      <c r="C99" s="129"/>
      <c r="D99" s="129"/>
      <c r="E99" s="129"/>
      <c r="F99" s="129"/>
      <c r="G99" s="129"/>
      <c r="H99" s="129"/>
      <c r="I99" s="125" t="s">
        <v>1592</v>
      </c>
      <c r="J99" s="129"/>
      <c r="K99" s="129"/>
      <c r="L99" s="129"/>
      <c r="M99" s="129"/>
      <c r="N99" s="129"/>
      <c r="O99" s="129"/>
      <c r="P99" s="129"/>
    </row>
    <row r="100" spans="1:19" ht="50.25">
      <c r="A100" s="129" t="s">
        <v>1642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</row>
    <row r="101" spans="1:19" ht="50.25">
      <c r="A101" s="125" t="s">
        <v>1592</v>
      </c>
      <c r="I101" s="131" t="s">
        <v>1585</v>
      </c>
    </row>
    <row r="102" spans="1:19" ht="50.1" customHeight="1">
      <c r="A102" s="129" t="s">
        <v>1643</v>
      </c>
      <c r="I102" s="129" t="s">
        <v>1644</v>
      </c>
    </row>
    <row r="103" spans="1:19" ht="50.1" customHeight="1">
      <c r="I103" s="129" t="s">
        <v>2395</v>
      </c>
    </row>
    <row r="104" spans="1:19" ht="50.1" customHeight="1">
      <c r="A104" s="131" t="s">
        <v>1645</v>
      </c>
      <c r="I104" s="129"/>
    </row>
    <row r="105" spans="1:19" ht="50.1" customHeight="1">
      <c r="A105" s="129" t="s">
        <v>1646</v>
      </c>
      <c r="I105" s="125" t="s">
        <v>362</v>
      </c>
    </row>
    <row r="106" spans="1:19" ht="50.1" customHeight="1">
      <c r="A106" s="129" t="s">
        <v>1647</v>
      </c>
    </row>
    <row r="107" spans="1:19" ht="50.1" customHeight="1">
      <c r="A107" s="129" t="s">
        <v>150</v>
      </c>
    </row>
    <row r="108" spans="1:19" ht="50.1" customHeight="1">
      <c r="I108" s="131" t="s">
        <v>3525</v>
      </c>
      <c r="J108" s="129"/>
      <c r="K108" s="129"/>
      <c r="L108" s="129"/>
      <c r="M108" s="129"/>
      <c r="N108" s="129"/>
      <c r="O108" s="129"/>
    </row>
    <row r="109" spans="1:19" ht="50.1" customHeight="1">
      <c r="A109" s="125" t="s">
        <v>1578</v>
      </c>
      <c r="I109" s="129" t="s">
        <v>1648</v>
      </c>
      <c r="J109" s="129"/>
      <c r="K109" s="129"/>
      <c r="L109" s="129"/>
      <c r="M109" s="129"/>
      <c r="N109" s="129"/>
      <c r="O109" s="129"/>
    </row>
    <row r="110" spans="1:19" ht="50.1" customHeight="1">
      <c r="I110" s="129" t="s">
        <v>1649</v>
      </c>
      <c r="J110" s="129"/>
      <c r="K110" s="129"/>
      <c r="L110" s="129"/>
      <c r="M110" s="129"/>
      <c r="N110" s="129"/>
      <c r="O110" s="129"/>
    </row>
    <row r="111" spans="1:19" ht="50.1" customHeight="1">
      <c r="A111" s="131" t="s">
        <v>1650</v>
      </c>
      <c r="I111" s="126" t="s">
        <v>3523</v>
      </c>
      <c r="J111" s="129"/>
      <c r="K111" s="129"/>
      <c r="L111" s="129"/>
      <c r="M111" s="129"/>
      <c r="N111" s="129"/>
      <c r="O111" s="129"/>
    </row>
    <row r="112" spans="1:19" ht="45" customHeight="1">
      <c r="A112" s="129" t="s">
        <v>1651</v>
      </c>
      <c r="S112" s="134"/>
    </row>
    <row r="113" spans="1:19" ht="45" customHeight="1">
      <c r="A113" s="129" t="s">
        <v>1652</v>
      </c>
      <c r="I113" s="134" t="s">
        <v>3524</v>
      </c>
      <c r="M113" s="134" t="s">
        <v>1654</v>
      </c>
      <c r="S113" s="134"/>
    </row>
    <row r="114" spans="1:19" ht="50.1" customHeight="1">
      <c r="A114" s="129" t="s">
        <v>149</v>
      </c>
      <c r="J114" s="129"/>
      <c r="K114" s="129"/>
      <c r="L114" s="129"/>
      <c r="O114" s="129"/>
    </row>
    <row r="115" spans="1:19" ht="50.1" customHeight="1">
      <c r="A115" s="129"/>
      <c r="I115" s="125" t="s">
        <v>1578</v>
      </c>
      <c r="J115" s="129"/>
      <c r="K115" s="129"/>
      <c r="L115" s="129"/>
      <c r="M115" s="129"/>
      <c r="N115" s="134"/>
      <c r="O115" s="129"/>
    </row>
    <row r="116" spans="1:19" ht="50.1" customHeight="1">
      <c r="A116" s="125" t="s">
        <v>1578</v>
      </c>
      <c r="J116" s="129"/>
      <c r="K116" s="129"/>
      <c r="L116" s="129"/>
      <c r="M116" s="129"/>
      <c r="N116" s="129"/>
      <c r="O116" s="129"/>
    </row>
    <row r="117" spans="1:19" ht="50.1" customHeight="1"/>
    <row r="118" spans="1:19" ht="50.1" customHeight="1">
      <c r="A118" s="131" t="s">
        <v>1655</v>
      </c>
      <c r="I118" s="1969" t="s">
        <v>148</v>
      </c>
      <c r="J118" s="1969"/>
      <c r="K118" s="1969"/>
      <c r="L118" s="1969"/>
      <c r="M118" s="1969"/>
      <c r="N118" s="1969"/>
      <c r="O118" s="1969"/>
      <c r="P118" s="1969"/>
    </row>
    <row r="119" spans="1:19" ht="50.1" customHeight="1">
      <c r="A119" s="129" t="s">
        <v>1656</v>
      </c>
      <c r="I119" s="1969" t="s">
        <v>147</v>
      </c>
      <c r="J119" s="1969"/>
      <c r="K119" s="1969"/>
      <c r="L119" s="1969"/>
      <c r="M119" s="1969"/>
      <c r="N119" s="1969"/>
      <c r="O119" s="1969"/>
      <c r="P119" s="1969"/>
    </row>
    <row r="120" spans="1:19" ht="50.1" customHeight="1">
      <c r="A120" s="129" t="s">
        <v>1657</v>
      </c>
      <c r="I120" s="1969" t="s">
        <v>1658</v>
      </c>
      <c r="J120" s="1969"/>
      <c r="K120" s="1969"/>
      <c r="L120" s="1969"/>
      <c r="M120" s="1969"/>
      <c r="N120" s="1969"/>
      <c r="O120" s="1969"/>
      <c r="P120" s="1969"/>
    </row>
    <row r="121" spans="1:19" ht="50.1" customHeight="1">
      <c r="A121" s="129" t="s">
        <v>144</v>
      </c>
      <c r="B121" s="129"/>
      <c r="C121" s="129"/>
      <c r="D121" s="129"/>
      <c r="E121" s="129"/>
      <c r="F121" s="129"/>
      <c r="G121" s="129"/>
      <c r="H121" s="129"/>
      <c r="I121" s="134" t="s">
        <v>1659</v>
      </c>
    </row>
    <row r="122" spans="1:19" ht="50.1" customHeight="1">
      <c r="A122" s="129"/>
      <c r="B122" s="129"/>
      <c r="C122" s="129"/>
      <c r="D122" s="129"/>
      <c r="E122" s="129"/>
      <c r="F122" s="129"/>
      <c r="G122" s="129"/>
      <c r="H122" s="129"/>
      <c r="I122" s="1969" t="s">
        <v>145</v>
      </c>
      <c r="J122" s="1969"/>
      <c r="K122" s="1969"/>
      <c r="L122" s="1969"/>
      <c r="M122" s="1969"/>
      <c r="N122" s="1969"/>
      <c r="O122" s="1969"/>
      <c r="P122" s="1969"/>
    </row>
    <row r="123" spans="1:19" ht="50.25">
      <c r="A123" s="134" t="s">
        <v>1660</v>
      </c>
      <c r="B123" s="129"/>
      <c r="C123" s="129"/>
      <c r="D123" s="129"/>
      <c r="E123" s="129"/>
      <c r="F123" s="129"/>
      <c r="G123" s="129"/>
      <c r="H123" s="129"/>
    </row>
    <row r="124" spans="1:19" ht="45" customHeight="1">
      <c r="A124" s="134" t="s">
        <v>1661</v>
      </c>
      <c r="B124" s="129"/>
      <c r="C124" s="129"/>
      <c r="D124" s="129"/>
      <c r="E124" s="129"/>
      <c r="F124" s="134" t="s">
        <v>1662</v>
      </c>
      <c r="G124" s="129"/>
      <c r="H124" s="129"/>
    </row>
    <row r="125" spans="1:19" ht="45" customHeight="1">
      <c r="B125" s="129"/>
      <c r="C125" s="129"/>
      <c r="D125" s="129"/>
      <c r="E125" s="129"/>
      <c r="F125" s="129"/>
      <c r="G125" s="129"/>
      <c r="H125" s="129"/>
      <c r="I125" s="130" t="s">
        <v>1663</v>
      </c>
    </row>
    <row r="126" spans="1:19" ht="45" customHeight="1">
      <c r="A126" s="125" t="s">
        <v>363</v>
      </c>
      <c r="I126" s="129" t="s">
        <v>143</v>
      </c>
    </row>
    <row r="127" spans="1:19" ht="45" customHeight="1">
      <c r="I127" s="129" t="s">
        <v>1664</v>
      </c>
    </row>
    <row r="128" spans="1:19" ht="45" customHeight="1">
      <c r="I128" s="128" t="s">
        <v>1665</v>
      </c>
    </row>
    <row r="129" spans="1:14" ht="45" customHeight="1">
      <c r="I129" s="128" t="s">
        <v>1666</v>
      </c>
    </row>
    <row r="130" spans="1:14" ht="45" customHeight="1">
      <c r="A130" s="127" t="s">
        <v>1570</v>
      </c>
      <c r="B130" s="126"/>
      <c r="C130" s="126"/>
      <c r="D130" s="126"/>
      <c r="E130" s="126"/>
      <c r="F130" s="126"/>
      <c r="G130" s="126"/>
      <c r="H130" s="126"/>
    </row>
    <row r="131" spans="1:14" ht="45" customHeight="1">
      <c r="A131" s="126" t="s">
        <v>1667</v>
      </c>
      <c r="B131" s="126"/>
      <c r="C131" s="126"/>
      <c r="D131" s="126"/>
      <c r="E131" s="126"/>
      <c r="F131" s="126"/>
      <c r="G131" s="126"/>
      <c r="H131" s="126"/>
      <c r="I131" s="127" t="s">
        <v>5638</v>
      </c>
      <c r="J131" s="126"/>
      <c r="K131" s="126"/>
      <c r="L131" s="126"/>
      <c r="M131" s="126"/>
      <c r="N131" s="126"/>
    </row>
    <row r="132" spans="1:14" ht="45" customHeight="1">
      <c r="A132" s="126" t="s">
        <v>1668</v>
      </c>
      <c r="B132" s="126"/>
      <c r="C132" s="126"/>
      <c r="D132" s="126"/>
      <c r="E132" s="126"/>
      <c r="F132" s="126"/>
      <c r="G132" s="126"/>
      <c r="H132" s="126"/>
      <c r="I132" s="126" t="s">
        <v>5639</v>
      </c>
      <c r="J132" s="126"/>
      <c r="K132" s="126"/>
      <c r="L132" s="126"/>
      <c r="M132" s="126"/>
      <c r="N132" s="126"/>
    </row>
    <row r="133" spans="1:14" ht="45" customHeight="1">
      <c r="A133" s="126" t="s">
        <v>142</v>
      </c>
      <c r="B133" s="126"/>
      <c r="C133" s="126"/>
      <c r="D133" s="126"/>
      <c r="E133" s="126"/>
      <c r="F133" s="126"/>
      <c r="G133" s="126"/>
      <c r="H133" s="126"/>
      <c r="I133" s="126" t="s">
        <v>1669</v>
      </c>
      <c r="J133" s="126"/>
      <c r="K133" s="126"/>
      <c r="L133" s="126"/>
      <c r="M133" s="126"/>
      <c r="N133" s="126"/>
    </row>
    <row r="134" spans="1:14" ht="45" customHeight="1">
      <c r="A134" s="126"/>
      <c r="B134" s="126"/>
      <c r="C134" s="126"/>
      <c r="D134" s="126"/>
      <c r="E134" s="126"/>
      <c r="F134" s="126"/>
      <c r="G134" s="126"/>
      <c r="H134" s="126"/>
      <c r="I134" s="126" t="s">
        <v>179</v>
      </c>
      <c r="J134" s="126"/>
      <c r="K134" s="126"/>
      <c r="L134" s="126"/>
      <c r="M134" s="126"/>
      <c r="N134" s="126"/>
    </row>
    <row r="135" spans="1:14" ht="45" customHeight="1">
      <c r="A135" s="126" t="s">
        <v>478</v>
      </c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</row>
    <row r="136" spans="1:14" ht="45" customHeight="1">
      <c r="A136" s="126"/>
      <c r="B136" s="126"/>
      <c r="C136" s="126"/>
      <c r="D136" s="126"/>
      <c r="E136" s="126"/>
      <c r="F136" s="126"/>
      <c r="G136" s="126"/>
      <c r="H136" s="126"/>
      <c r="I136" s="126" t="s">
        <v>5640</v>
      </c>
      <c r="J136" s="126"/>
      <c r="K136" s="126"/>
      <c r="L136" s="126"/>
      <c r="M136" s="126"/>
      <c r="N136" s="126"/>
    </row>
    <row r="137" spans="1:14" ht="45" customHeight="1">
      <c r="A137" s="125" t="s">
        <v>361</v>
      </c>
    </row>
    <row r="138" spans="1:14" ht="45" customHeight="1">
      <c r="I138" s="125" t="s">
        <v>361</v>
      </c>
    </row>
    <row r="139" spans="1:14" ht="45" customHeight="1">
      <c r="A139" s="127" t="s">
        <v>1670</v>
      </c>
      <c r="B139" s="126"/>
      <c r="C139" s="126"/>
      <c r="D139" s="126"/>
      <c r="E139" s="126"/>
      <c r="F139" s="126"/>
      <c r="G139" s="126"/>
      <c r="H139" s="126"/>
    </row>
    <row r="140" spans="1:14" ht="45" customHeight="1">
      <c r="A140" s="126" t="s">
        <v>1671</v>
      </c>
      <c r="B140" s="126"/>
      <c r="C140" s="126"/>
      <c r="D140" s="126" t="s">
        <v>1672</v>
      </c>
      <c r="E140" s="126"/>
      <c r="F140" s="126"/>
      <c r="G140" s="126"/>
      <c r="H140" s="126"/>
      <c r="I140" s="127" t="s">
        <v>1673</v>
      </c>
      <c r="J140" s="126"/>
      <c r="K140" s="126"/>
      <c r="L140" s="126"/>
      <c r="M140" s="126"/>
      <c r="N140" s="126"/>
    </row>
    <row r="141" spans="1:14" ht="45" customHeight="1">
      <c r="A141" s="126" t="s">
        <v>1674</v>
      </c>
      <c r="B141" s="126"/>
      <c r="C141" s="126"/>
      <c r="D141" s="126"/>
      <c r="E141" s="126"/>
      <c r="F141" s="126"/>
      <c r="G141" s="126"/>
      <c r="H141" s="126"/>
      <c r="I141" s="126" t="s">
        <v>231</v>
      </c>
      <c r="J141" s="126"/>
      <c r="K141" s="126"/>
      <c r="L141" s="126"/>
      <c r="M141" s="126"/>
      <c r="N141" s="126"/>
    </row>
    <row r="142" spans="1:14" ht="45" customHeight="1">
      <c r="A142" s="126" t="s">
        <v>1675</v>
      </c>
      <c r="B142" s="126"/>
      <c r="C142" s="126"/>
      <c r="D142" s="126"/>
      <c r="E142" s="126"/>
      <c r="F142" s="126"/>
      <c r="G142" s="126"/>
      <c r="H142" s="126"/>
      <c r="I142" s="126" t="s">
        <v>1676</v>
      </c>
      <c r="J142" s="126"/>
      <c r="K142" s="126"/>
      <c r="L142" s="126"/>
      <c r="M142" s="126"/>
      <c r="N142" s="126"/>
    </row>
    <row r="143" spans="1:14" ht="50.25" customHeight="1">
      <c r="A143" s="125"/>
      <c r="I143" s="126" t="s">
        <v>1677</v>
      </c>
    </row>
    <row r="144" spans="1:14" ht="45" customHeight="1">
      <c r="A144" s="125" t="s">
        <v>364</v>
      </c>
    </row>
    <row r="145" spans="1:9" ht="45" customHeight="1">
      <c r="I145" s="131" t="s">
        <v>1678</v>
      </c>
    </row>
    <row r="146" spans="1:9" ht="45" customHeight="1">
      <c r="I146" s="129" t="s">
        <v>1679</v>
      </c>
    </row>
    <row r="147" spans="1:9" ht="45" customHeight="1">
      <c r="I147" s="129" t="s">
        <v>1680</v>
      </c>
    </row>
    <row r="148" spans="1:9" ht="44.25" customHeight="1">
      <c r="I148" s="129" t="s">
        <v>251</v>
      </c>
    </row>
    <row r="149" spans="1:9" ht="24" customHeight="1"/>
    <row r="150" spans="1:9" ht="45" customHeight="1">
      <c r="A150" s="129" t="s">
        <v>1681</v>
      </c>
      <c r="B150" s="129"/>
      <c r="C150" s="129"/>
      <c r="D150" s="129"/>
      <c r="E150" s="129"/>
      <c r="F150" s="129"/>
      <c r="G150" s="129"/>
      <c r="H150" s="129"/>
      <c r="I150" s="125" t="s">
        <v>362</v>
      </c>
    </row>
    <row r="151" spans="1:9" ht="45" customHeight="1">
      <c r="A151" s="129" t="s">
        <v>281</v>
      </c>
      <c r="B151" s="129"/>
      <c r="C151" s="129"/>
      <c r="D151" s="129"/>
      <c r="E151" s="129"/>
      <c r="F151" s="129"/>
      <c r="G151" s="129"/>
      <c r="H151" s="129"/>
    </row>
    <row r="152" spans="1:9" ht="45" customHeight="1">
      <c r="A152" s="129" t="s">
        <v>1682</v>
      </c>
      <c r="B152" s="129"/>
      <c r="C152" s="129"/>
      <c r="D152" s="129"/>
      <c r="E152" s="129"/>
      <c r="F152" s="129"/>
      <c r="G152" s="129"/>
      <c r="H152" s="129"/>
      <c r="I152" s="409" t="s">
        <v>1683</v>
      </c>
    </row>
    <row r="153" spans="1:9" ht="45" customHeight="1">
      <c r="A153" s="129" t="s">
        <v>1684</v>
      </c>
      <c r="B153" s="129"/>
      <c r="C153" s="129"/>
      <c r="D153" s="129"/>
      <c r="E153" s="129"/>
      <c r="F153" s="129"/>
      <c r="G153" s="129"/>
      <c r="H153" s="129"/>
      <c r="I153" s="134" t="s">
        <v>1685</v>
      </c>
    </row>
    <row r="154" spans="1:9" ht="45" customHeight="1">
      <c r="A154" s="129"/>
      <c r="B154" s="129"/>
      <c r="C154" s="129"/>
      <c r="D154" s="129"/>
      <c r="E154" s="129"/>
      <c r="F154" s="129"/>
      <c r="G154" s="129"/>
      <c r="H154" s="129"/>
      <c r="I154" s="409" t="s">
        <v>1686</v>
      </c>
    </row>
    <row r="155" spans="1:9" ht="45" customHeight="1">
      <c r="A155" s="126" t="s">
        <v>1687</v>
      </c>
      <c r="B155" s="129"/>
      <c r="C155" s="129"/>
      <c r="D155" s="129"/>
      <c r="E155" s="129"/>
      <c r="F155" s="129"/>
      <c r="G155" s="129"/>
      <c r="H155" s="129"/>
      <c r="I155" s="134"/>
    </row>
    <row r="156" spans="1:9" ht="45" customHeight="1">
      <c r="A156" s="129"/>
      <c r="B156" s="129"/>
      <c r="C156" s="129"/>
      <c r="D156" s="129"/>
      <c r="E156" s="129"/>
      <c r="F156" s="129"/>
      <c r="G156" s="129"/>
      <c r="H156" s="129"/>
      <c r="I156" s="134" t="s">
        <v>1569</v>
      </c>
    </row>
    <row r="157" spans="1:9" ht="45" customHeight="1">
      <c r="A157" s="125" t="s">
        <v>361</v>
      </c>
    </row>
    <row r="158" spans="1:9" ht="45" customHeight="1">
      <c r="I158" s="127" t="s">
        <v>306</v>
      </c>
    </row>
    <row r="159" spans="1:9" ht="45" customHeight="1">
      <c r="A159" s="129" t="s">
        <v>1688</v>
      </c>
      <c r="I159" s="126" t="s">
        <v>307</v>
      </c>
    </row>
    <row r="160" spans="1:9" ht="45" customHeight="1">
      <c r="A160" s="129" t="s">
        <v>1689</v>
      </c>
      <c r="I160" s="126" t="s">
        <v>303</v>
      </c>
    </row>
    <row r="161" spans="1:19" ht="45" customHeight="1">
      <c r="A161" s="129" t="s">
        <v>304</v>
      </c>
      <c r="I161" s="126" t="s">
        <v>308</v>
      </c>
    </row>
    <row r="162" spans="1:19" ht="45" customHeight="1">
      <c r="A162" s="129" t="s">
        <v>1690</v>
      </c>
    </row>
    <row r="163" spans="1:19" ht="45" customHeight="1">
      <c r="A163" s="129" t="s">
        <v>305</v>
      </c>
      <c r="I163" s="125" t="s">
        <v>361</v>
      </c>
    </row>
    <row r="164" spans="1:19" ht="45" customHeight="1">
      <c r="A164" s="129"/>
    </row>
    <row r="165" spans="1:19" ht="45" customHeight="1">
      <c r="A165" s="125" t="s">
        <v>365</v>
      </c>
      <c r="I165" s="127" t="s">
        <v>2936</v>
      </c>
    </row>
    <row r="166" spans="1:19" ht="45" customHeight="1">
      <c r="I166" s="126" t="s">
        <v>1692</v>
      </c>
    </row>
    <row r="167" spans="1:19" ht="45" customHeight="1">
      <c r="A167" s="131" t="s">
        <v>1691</v>
      </c>
      <c r="I167" s="126" t="s">
        <v>1695</v>
      </c>
    </row>
    <row r="168" spans="1:19" ht="45" customHeight="1">
      <c r="A168" s="129" t="s">
        <v>1693</v>
      </c>
      <c r="I168" s="126" t="s">
        <v>2937</v>
      </c>
    </row>
    <row r="169" spans="1:19" ht="45" customHeight="1">
      <c r="A169" s="129" t="s">
        <v>1694</v>
      </c>
    </row>
    <row r="170" spans="1:19" ht="45" customHeight="1">
      <c r="A170" s="134" t="s">
        <v>1696</v>
      </c>
      <c r="I170" s="134" t="s">
        <v>1619</v>
      </c>
    </row>
    <row r="171" spans="1:19" ht="45" customHeight="1">
      <c r="A171" s="134"/>
      <c r="I171" s="134" t="s">
        <v>1653</v>
      </c>
      <c r="M171" s="134" t="s">
        <v>302</v>
      </c>
      <c r="S171" s="134"/>
    </row>
    <row r="172" spans="1:19" ht="45" customHeight="1">
      <c r="A172" s="134" t="s">
        <v>1619</v>
      </c>
      <c r="I172" s="126"/>
      <c r="S172" s="134"/>
    </row>
    <row r="173" spans="1:19" ht="45" customHeight="1">
      <c r="A173" s="134" t="s">
        <v>1653</v>
      </c>
      <c r="F173" s="134" t="s">
        <v>1654</v>
      </c>
      <c r="I173" s="126" t="s">
        <v>1697</v>
      </c>
      <c r="S173" s="134"/>
    </row>
    <row r="174" spans="1:19" ht="45" customHeight="1">
      <c r="S174" s="134"/>
    </row>
    <row r="175" spans="1:19" ht="45" customHeight="1">
      <c r="A175" s="148" t="s">
        <v>1697</v>
      </c>
    </row>
    <row r="176" spans="1:19" ht="45" customHeight="1">
      <c r="I176" s="129" t="s">
        <v>1698</v>
      </c>
    </row>
    <row r="177" spans="1:9" ht="45" customHeight="1">
      <c r="A177" s="129" t="s">
        <v>1699</v>
      </c>
      <c r="I177" s="129" t="s">
        <v>1700</v>
      </c>
    </row>
    <row r="178" spans="1:9" ht="45" customHeight="1">
      <c r="A178" s="129" t="s">
        <v>386</v>
      </c>
      <c r="I178" s="129" t="s">
        <v>1701</v>
      </c>
    </row>
    <row r="179" spans="1:9" ht="45" customHeight="1">
      <c r="A179" s="129" t="s">
        <v>1702</v>
      </c>
      <c r="I179" s="129" t="s">
        <v>1703</v>
      </c>
    </row>
    <row r="180" spans="1:9" ht="45" customHeight="1">
      <c r="A180" s="129" t="s">
        <v>387</v>
      </c>
      <c r="I180" s="129"/>
    </row>
    <row r="181" spans="1:9" ht="45" customHeight="1">
      <c r="I181" s="129" t="s">
        <v>1704</v>
      </c>
    </row>
    <row r="182" spans="1:9" ht="45" customHeight="1">
      <c r="A182" s="148" t="s">
        <v>1697</v>
      </c>
    </row>
    <row r="183" spans="1:9" ht="35.25" customHeight="1"/>
    <row r="184" spans="1:9" ht="50.25">
      <c r="A184" s="143" t="s">
        <v>1586</v>
      </c>
      <c r="B184" s="141"/>
      <c r="C184" s="141"/>
      <c r="D184" s="141"/>
      <c r="E184" s="141"/>
      <c r="F184" s="141"/>
      <c r="G184" s="141"/>
      <c r="I184" s="131" t="s">
        <v>1681</v>
      </c>
    </row>
    <row r="185" spans="1:9" ht="50.25">
      <c r="A185" s="134" t="s">
        <v>1705</v>
      </c>
      <c r="B185" s="141"/>
      <c r="C185" s="141"/>
      <c r="D185" s="141"/>
      <c r="E185" s="141"/>
      <c r="F185" s="141"/>
      <c r="G185" s="141"/>
      <c r="I185" s="129" t="s">
        <v>1706</v>
      </c>
    </row>
    <row r="186" spans="1:9" ht="50.25">
      <c r="A186" s="134" t="s">
        <v>1707</v>
      </c>
      <c r="B186" s="141"/>
      <c r="C186" s="141"/>
      <c r="D186" s="141"/>
      <c r="E186" s="141"/>
      <c r="F186" s="141"/>
      <c r="G186" s="141"/>
      <c r="I186" s="129" t="s">
        <v>412</v>
      </c>
    </row>
    <row r="187" spans="1:9" ht="50.25">
      <c r="A187" s="134" t="s">
        <v>1708</v>
      </c>
      <c r="B187" s="141"/>
      <c r="C187" s="141"/>
      <c r="D187" s="141"/>
      <c r="E187" s="141"/>
      <c r="F187" s="141"/>
      <c r="G187" s="141"/>
      <c r="I187" s="129" t="s">
        <v>413</v>
      </c>
    </row>
    <row r="188" spans="1:9" ht="45">
      <c r="A188" s="134" t="s">
        <v>402</v>
      </c>
      <c r="B188" s="141"/>
      <c r="C188" s="141"/>
      <c r="D188" s="141"/>
      <c r="E188" s="141"/>
      <c r="F188" s="141"/>
      <c r="G188" s="141"/>
    </row>
    <row r="189" spans="1:9" ht="50.25">
      <c r="A189" s="134"/>
      <c r="B189" s="141"/>
      <c r="C189" s="141"/>
      <c r="D189" s="141"/>
      <c r="E189" s="141"/>
      <c r="F189" s="141"/>
      <c r="G189" s="141"/>
      <c r="I189" s="148" t="s">
        <v>1660</v>
      </c>
    </row>
    <row r="190" spans="1:9" ht="50.25">
      <c r="A190" s="134" t="s">
        <v>1660</v>
      </c>
      <c r="B190" s="141"/>
      <c r="C190" s="141"/>
      <c r="D190" s="141"/>
      <c r="E190" s="141"/>
      <c r="F190" s="141"/>
      <c r="G190" s="141"/>
      <c r="I190" s="148" t="s">
        <v>1709</v>
      </c>
    </row>
    <row r="191" spans="1:9" ht="50.25">
      <c r="A191" s="134" t="s">
        <v>1709</v>
      </c>
      <c r="B191" s="141"/>
      <c r="C191" s="141"/>
      <c r="D191" s="141"/>
      <c r="E191" s="141"/>
      <c r="F191" s="141"/>
      <c r="G191" s="141"/>
      <c r="I191" s="148" t="s">
        <v>1662</v>
      </c>
    </row>
    <row r="192" spans="1:9" ht="50.25">
      <c r="A192" s="134" t="s">
        <v>1710</v>
      </c>
      <c r="B192" s="141"/>
      <c r="C192" s="134" t="s">
        <v>1711</v>
      </c>
      <c r="D192" s="141"/>
      <c r="E192" s="141"/>
      <c r="F192" s="141"/>
      <c r="G192" s="141"/>
      <c r="I192" s="148"/>
    </row>
    <row r="193" spans="1:9" ht="50.25">
      <c r="A193" s="134"/>
      <c r="I193" s="148" t="s">
        <v>1578</v>
      </c>
    </row>
    <row r="194" spans="1:9" ht="45">
      <c r="A194" s="134" t="s">
        <v>1592</v>
      </c>
    </row>
    <row r="195" spans="1:9" ht="50.1" customHeight="1">
      <c r="I195" s="168" t="s">
        <v>1712</v>
      </c>
    </row>
    <row r="196" spans="1:9" ht="50.1" customHeight="1">
      <c r="A196" s="134" t="s">
        <v>1713</v>
      </c>
      <c r="I196" s="148" t="s">
        <v>1714</v>
      </c>
    </row>
    <row r="197" spans="1:9" ht="50.1" customHeight="1">
      <c r="A197" s="134" t="s">
        <v>1715</v>
      </c>
      <c r="I197" s="148" t="s">
        <v>1716</v>
      </c>
    </row>
    <row r="198" spans="1:9" ht="50.1" customHeight="1">
      <c r="A198" s="134" t="s">
        <v>433</v>
      </c>
      <c r="H198" t="s">
        <v>1717</v>
      </c>
      <c r="I198" s="148" t="s">
        <v>441</v>
      </c>
    </row>
    <row r="199" spans="1:9" ht="50.1" customHeight="1">
      <c r="A199" s="134" t="s">
        <v>1718</v>
      </c>
    </row>
    <row r="200" spans="1:9" ht="50.1" customHeight="1">
      <c r="A200" s="134"/>
      <c r="I200" s="134" t="s">
        <v>1619</v>
      </c>
    </row>
    <row r="201" spans="1:9" ht="50.1" customHeight="1">
      <c r="A201" s="134" t="s">
        <v>1619</v>
      </c>
      <c r="C201" s="134" t="s">
        <v>6037</v>
      </c>
      <c r="I201" s="134" t="s">
        <v>1719</v>
      </c>
    </row>
    <row r="202" spans="1:9" ht="50.1" customHeight="1">
      <c r="F202" s="134"/>
      <c r="I202" s="134" t="s">
        <v>1720</v>
      </c>
    </row>
    <row r="203" spans="1:9" ht="50.1" customHeight="1">
      <c r="A203" s="134" t="s">
        <v>362</v>
      </c>
    </row>
    <row r="204" spans="1:9" ht="50.1" customHeight="1">
      <c r="A204" s="134"/>
      <c r="I204" s="125" t="s">
        <v>1721</v>
      </c>
    </row>
    <row r="205" spans="1:9" ht="50.1" customHeight="1"/>
    <row r="206" spans="1:9" ht="50.1" customHeight="1">
      <c r="I206" s="134" t="s">
        <v>1722</v>
      </c>
    </row>
    <row r="207" spans="1:9" ht="50.1" customHeight="1">
      <c r="A207" s="134" t="s">
        <v>1723</v>
      </c>
      <c r="I207" s="134" t="s">
        <v>466</v>
      </c>
    </row>
    <row r="208" spans="1:9" ht="50.1" customHeight="1">
      <c r="A208" s="134" t="s">
        <v>1724</v>
      </c>
      <c r="I208" s="171" t="s">
        <v>467</v>
      </c>
    </row>
    <row r="209" spans="1:11" ht="50.1" customHeight="1">
      <c r="A209" s="134" t="s">
        <v>1725</v>
      </c>
    </row>
    <row r="210" spans="1:11" ht="50.1" customHeight="1">
      <c r="I210" s="139" t="s">
        <v>1726</v>
      </c>
      <c r="J210" s="170"/>
      <c r="K210" s="170"/>
    </row>
    <row r="211" spans="1:11" ht="50.1" customHeight="1">
      <c r="A211" s="143" t="s">
        <v>1727</v>
      </c>
      <c r="B211" s="134"/>
      <c r="C211" s="134"/>
      <c r="D211" s="134"/>
      <c r="E211" s="134"/>
      <c r="F211" s="134"/>
      <c r="G211" s="134"/>
      <c r="I211" s="139" t="s">
        <v>1728</v>
      </c>
    </row>
    <row r="212" spans="1:11" ht="50.1" customHeight="1">
      <c r="A212" s="134" t="s">
        <v>1729</v>
      </c>
      <c r="B212" s="134"/>
      <c r="C212" s="134"/>
      <c r="D212" s="134"/>
      <c r="E212" s="134"/>
      <c r="F212" s="134"/>
      <c r="G212" s="134"/>
    </row>
    <row r="213" spans="1:11" ht="50.1" customHeight="1">
      <c r="A213" s="134" t="s">
        <v>469</v>
      </c>
      <c r="B213" s="134"/>
      <c r="C213" s="134"/>
      <c r="D213" s="134"/>
      <c r="E213" s="134"/>
      <c r="F213" s="134"/>
      <c r="G213" s="134"/>
      <c r="I213" s="168" t="s">
        <v>1730</v>
      </c>
    </row>
    <row r="214" spans="1:11" ht="50.1" customHeight="1">
      <c r="I214" s="148" t="s">
        <v>1731</v>
      </c>
    </row>
    <row r="215" spans="1:11" ht="50.1" customHeight="1">
      <c r="A215" s="139" t="s">
        <v>470</v>
      </c>
      <c r="I215" s="148" t="s">
        <v>494</v>
      </c>
    </row>
    <row r="216" spans="1:11" ht="50.1" customHeight="1">
      <c r="A216" s="139" t="s">
        <v>1728</v>
      </c>
    </row>
    <row r="217" spans="1:11" ht="50.1" customHeight="1">
      <c r="I217" s="148" t="s">
        <v>1660</v>
      </c>
    </row>
    <row r="218" spans="1:11" ht="50.1" customHeight="1">
      <c r="A218" s="148" t="s">
        <v>2663</v>
      </c>
      <c r="I218" s="148" t="s">
        <v>1732</v>
      </c>
    </row>
    <row r="219" spans="1:11" ht="50.1" customHeight="1">
      <c r="A219" s="148" t="s">
        <v>1734</v>
      </c>
      <c r="I219" s="148" t="s">
        <v>1733</v>
      </c>
    </row>
    <row r="220" spans="1:11" ht="50.1" customHeight="1">
      <c r="A220" s="148" t="s">
        <v>488</v>
      </c>
      <c r="I220" s="148"/>
    </row>
    <row r="221" spans="1:11" ht="50.1" customHeight="1">
      <c r="I221" s="148" t="s">
        <v>1578</v>
      </c>
    </row>
    <row r="222" spans="1:11" ht="50.1" customHeight="1">
      <c r="A222" s="134" t="s">
        <v>2664</v>
      </c>
    </row>
    <row r="223" spans="1:11" ht="50.1" customHeight="1">
      <c r="A223" s="134"/>
      <c r="I223" s="148" t="s">
        <v>1735</v>
      </c>
    </row>
    <row r="224" spans="1:11" ht="50.1" customHeight="1">
      <c r="A224" s="148" t="s">
        <v>1578</v>
      </c>
      <c r="I224" s="148" t="s">
        <v>1736</v>
      </c>
    </row>
    <row r="225" spans="1:9" ht="50.1" customHeight="1">
      <c r="I225" s="148" t="s">
        <v>1737</v>
      </c>
    </row>
    <row r="226" spans="1:9" ht="50.1" customHeight="1">
      <c r="I226" s="148" t="s">
        <v>1738</v>
      </c>
    </row>
    <row r="227" spans="1:9" ht="50.1" customHeight="1">
      <c r="I227" s="148" t="s">
        <v>1739</v>
      </c>
    </row>
    <row r="228" spans="1:9" ht="50.1" customHeight="1">
      <c r="A228" s="129" t="s">
        <v>1740</v>
      </c>
      <c r="I228" s="148" t="s">
        <v>1741</v>
      </c>
    </row>
    <row r="229" spans="1:9" ht="50.1" customHeight="1">
      <c r="A229" s="129" t="s">
        <v>509</v>
      </c>
      <c r="I229" s="148" t="s">
        <v>1742</v>
      </c>
    </row>
    <row r="230" spans="1:9" ht="50.1" customHeight="1">
      <c r="A230" s="129" t="s">
        <v>512</v>
      </c>
    </row>
    <row r="231" spans="1:9" ht="50.1" customHeight="1">
      <c r="A231" s="129" t="s">
        <v>510</v>
      </c>
      <c r="I231" s="131" t="s">
        <v>1650</v>
      </c>
    </row>
    <row r="232" spans="1:9" ht="50.1" customHeight="1">
      <c r="A232" s="129" t="s">
        <v>511</v>
      </c>
      <c r="I232" s="129" t="s">
        <v>1651</v>
      </c>
    </row>
    <row r="233" spans="1:9" ht="50.1" customHeight="1">
      <c r="A233" s="129"/>
      <c r="I233" s="129" t="s">
        <v>1652</v>
      </c>
    </row>
    <row r="234" spans="1:9" ht="50.1" customHeight="1">
      <c r="A234" s="148" t="s">
        <v>1726</v>
      </c>
      <c r="I234" s="129" t="s">
        <v>149</v>
      </c>
    </row>
    <row r="235" spans="1:9" ht="50.1" customHeight="1">
      <c r="A235" s="148" t="s">
        <v>1743</v>
      </c>
    </row>
    <row r="236" spans="1:9" ht="50.1" customHeight="1">
      <c r="A236" s="176"/>
      <c r="I236" s="148" t="s">
        <v>1726</v>
      </c>
    </row>
    <row r="237" spans="1:9" ht="50.1" customHeight="1">
      <c r="A237" s="148" t="s">
        <v>1578</v>
      </c>
      <c r="I237" s="148" t="s">
        <v>1654</v>
      </c>
    </row>
    <row r="238" spans="1:9" ht="50.1" customHeight="1"/>
    <row r="239" spans="1:9" ht="50.1" customHeight="1">
      <c r="I239" s="125" t="s">
        <v>1578</v>
      </c>
    </row>
    <row r="240" spans="1:9" ht="50.1" customHeight="1">
      <c r="A240" s="177" t="s">
        <v>1744</v>
      </c>
    </row>
    <row r="241" spans="1:16" ht="50.1" customHeight="1">
      <c r="A241" s="129" t="s">
        <v>1745</v>
      </c>
      <c r="I241" s="184" t="s">
        <v>1746</v>
      </c>
      <c r="J241" s="182"/>
      <c r="K241" s="182"/>
      <c r="L241" s="182"/>
      <c r="M241" s="182"/>
      <c r="N241" s="182"/>
      <c r="O241" s="182"/>
    </row>
    <row r="242" spans="1:16" ht="50.1" customHeight="1">
      <c r="A242" s="129" t="s">
        <v>1747</v>
      </c>
      <c r="I242" s="184" t="s">
        <v>547</v>
      </c>
      <c r="J242" s="182"/>
      <c r="K242" s="182"/>
      <c r="L242" s="182"/>
      <c r="M242" s="182"/>
      <c r="N242" s="182"/>
      <c r="O242" s="182"/>
    </row>
    <row r="243" spans="1:16" ht="50.1" customHeight="1">
      <c r="A243" s="129" t="s">
        <v>513</v>
      </c>
      <c r="I243" s="185" t="s">
        <v>548</v>
      </c>
      <c r="J243" s="182"/>
      <c r="K243" s="182"/>
      <c r="L243" s="182"/>
      <c r="M243" s="182"/>
      <c r="N243" s="182"/>
      <c r="O243" s="182"/>
    </row>
    <row r="244" spans="1:16" ht="50.1" customHeight="1">
      <c r="A244" s="129" t="s">
        <v>1748</v>
      </c>
      <c r="I244" s="183" t="s">
        <v>549</v>
      </c>
      <c r="J244" s="183"/>
      <c r="K244" s="183"/>
      <c r="L244" s="183"/>
      <c r="M244" s="183"/>
      <c r="N244" s="183"/>
      <c r="O244" s="183"/>
      <c r="P244" s="186"/>
    </row>
    <row r="245" spans="1:16" ht="50.1" customHeight="1">
      <c r="I245" s="183" t="s">
        <v>550</v>
      </c>
      <c r="J245" s="183"/>
      <c r="K245" s="183"/>
      <c r="L245" s="183"/>
      <c r="M245" s="183"/>
      <c r="N245" s="183"/>
      <c r="O245" s="183"/>
      <c r="P245" s="186"/>
    </row>
    <row r="246" spans="1:16" ht="50.1" customHeight="1">
      <c r="A246" s="148" t="s">
        <v>1726</v>
      </c>
      <c r="K246" s="183"/>
      <c r="M246" s="183"/>
      <c r="N246" s="183"/>
      <c r="O246" s="183"/>
      <c r="P246" s="186"/>
    </row>
    <row r="247" spans="1:16" ht="50.1" customHeight="1">
      <c r="A247" s="148" t="s">
        <v>1601</v>
      </c>
      <c r="I247" s="183" t="s">
        <v>1749</v>
      </c>
      <c r="J247" s="183"/>
      <c r="K247" s="183"/>
      <c r="L247" s="183"/>
      <c r="M247" s="183"/>
      <c r="N247" s="183"/>
      <c r="O247" s="183"/>
      <c r="P247" s="186"/>
    </row>
    <row r="248" spans="1:16" ht="50.1" customHeight="1">
      <c r="I248" s="183" t="s">
        <v>551</v>
      </c>
      <c r="J248" s="186"/>
      <c r="K248" s="186"/>
      <c r="L248" s="186"/>
      <c r="M248" s="186"/>
      <c r="N248" s="186"/>
      <c r="O248" s="186"/>
      <c r="P248" s="186"/>
    </row>
    <row r="249" spans="1:16" ht="50.1" customHeight="1">
      <c r="A249" s="125" t="s">
        <v>1750</v>
      </c>
    </row>
    <row r="250" spans="1:16" ht="50.1" customHeight="1">
      <c r="I250" s="125" t="s">
        <v>1751</v>
      </c>
    </row>
    <row r="251" spans="1:16" ht="50.1" customHeight="1"/>
    <row r="252" spans="1:16" ht="50.1" customHeight="1">
      <c r="A252" s="187" t="s">
        <v>6536</v>
      </c>
      <c r="B252" s="137"/>
      <c r="C252" s="137"/>
      <c r="D252" s="137"/>
      <c r="E252" s="137"/>
      <c r="F252" s="137"/>
      <c r="G252" s="137"/>
      <c r="H252" s="137"/>
      <c r="I252" s="168" t="s">
        <v>1752</v>
      </c>
      <c r="J252" s="148"/>
      <c r="K252" s="148"/>
      <c r="L252" s="148"/>
      <c r="M252" s="148"/>
      <c r="N252" s="148"/>
      <c r="O252" s="148"/>
      <c r="P252" s="148"/>
    </row>
    <row r="253" spans="1:16" ht="50.1" customHeight="1">
      <c r="A253" s="137" t="s">
        <v>1753</v>
      </c>
      <c r="B253" s="137"/>
      <c r="C253" s="137"/>
      <c r="D253" s="137"/>
      <c r="E253" s="137"/>
      <c r="F253" s="137"/>
      <c r="G253" s="137"/>
      <c r="H253" s="137"/>
      <c r="I253" s="148" t="s">
        <v>1754</v>
      </c>
      <c r="J253" s="148"/>
      <c r="K253" s="148"/>
      <c r="L253" s="148"/>
      <c r="M253" s="148"/>
      <c r="N253" s="148"/>
      <c r="O253" s="148"/>
      <c r="P253" s="148"/>
    </row>
    <row r="254" spans="1:16" ht="50.1" customHeight="1">
      <c r="A254" s="137" t="s">
        <v>1755</v>
      </c>
      <c r="B254" s="137"/>
      <c r="C254" s="137"/>
      <c r="D254" s="137"/>
      <c r="E254" s="137"/>
      <c r="F254" s="137"/>
      <c r="G254" s="137"/>
      <c r="H254" s="137"/>
      <c r="I254" s="148" t="s">
        <v>559</v>
      </c>
      <c r="K254" s="148"/>
      <c r="L254" s="148"/>
      <c r="M254" s="148"/>
      <c r="N254" s="148"/>
      <c r="O254" s="148"/>
      <c r="P254" s="148"/>
    </row>
    <row r="255" spans="1:16" ht="50.1" customHeight="1">
      <c r="A255" s="137"/>
      <c r="B255" s="137"/>
      <c r="C255" s="137"/>
      <c r="D255" s="137"/>
      <c r="E255" s="137"/>
      <c r="F255" s="137"/>
      <c r="G255" s="137"/>
      <c r="H255" s="137"/>
      <c r="I255" s="148" t="s">
        <v>1756</v>
      </c>
      <c r="J255" s="148"/>
      <c r="K255" s="148"/>
      <c r="L255" s="148"/>
      <c r="M255" s="148"/>
      <c r="N255" s="148"/>
      <c r="O255" s="148"/>
      <c r="P255" s="148"/>
    </row>
    <row r="256" spans="1:16" ht="50.1" customHeight="1">
      <c r="A256" s="137" t="s">
        <v>1726</v>
      </c>
      <c r="B256" s="137"/>
      <c r="C256" s="137"/>
      <c r="D256" s="137"/>
      <c r="E256" s="137"/>
      <c r="F256" s="137" t="s">
        <v>1654</v>
      </c>
      <c r="G256" s="137"/>
      <c r="H256" s="137"/>
      <c r="I256" s="148" t="s">
        <v>558</v>
      </c>
      <c r="J256" s="148"/>
      <c r="K256" s="148"/>
      <c r="L256" s="148"/>
      <c r="M256" s="148"/>
      <c r="N256" s="148"/>
      <c r="O256" s="148"/>
      <c r="P256" s="148"/>
    </row>
    <row r="257" spans="1:16" ht="50.1" customHeight="1">
      <c r="A257" s="136"/>
      <c r="B257" s="136"/>
      <c r="C257" s="136"/>
      <c r="D257" s="136"/>
      <c r="E257" s="136"/>
      <c r="G257" s="136"/>
      <c r="H257" s="137"/>
      <c r="I257" s="148"/>
      <c r="J257" s="148"/>
      <c r="K257" s="148"/>
      <c r="L257" s="148"/>
      <c r="M257" s="148"/>
      <c r="N257" s="148"/>
      <c r="O257" s="148"/>
      <c r="P257" s="148"/>
    </row>
    <row r="258" spans="1:16" ht="50.1" customHeight="1">
      <c r="A258" s="137" t="s">
        <v>1578</v>
      </c>
      <c r="B258" s="136"/>
      <c r="C258" s="136"/>
      <c r="D258" s="136"/>
      <c r="E258" s="136"/>
      <c r="F258" s="137"/>
      <c r="G258" s="137"/>
      <c r="H258" s="137"/>
      <c r="I258" s="148" t="s">
        <v>1757</v>
      </c>
      <c r="J258" s="148"/>
      <c r="K258" s="148"/>
      <c r="L258" s="148"/>
      <c r="M258" s="148"/>
      <c r="N258" s="148"/>
      <c r="O258" s="148"/>
      <c r="P258" s="148"/>
    </row>
    <row r="259" spans="1:16" ht="50.1" customHeight="1">
      <c r="B259" s="136"/>
      <c r="C259" s="136"/>
      <c r="D259" s="136"/>
      <c r="E259" s="136"/>
      <c r="F259" s="136"/>
      <c r="G259" s="136"/>
      <c r="H259" s="136"/>
      <c r="I259" s="148"/>
      <c r="J259" s="148"/>
    </row>
    <row r="260" spans="1:16" ht="50.1" customHeight="1">
      <c r="I260" s="148" t="s">
        <v>1758</v>
      </c>
    </row>
    <row r="261" spans="1:16" ht="50.1" customHeight="1">
      <c r="I261" s="148" t="s">
        <v>1759</v>
      </c>
    </row>
    <row r="262" spans="1:16" ht="50.1" customHeight="1">
      <c r="A262" s="168" t="s">
        <v>1760</v>
      </c>
      <c r="I262" s="148"/>
    </row>
    <row r="263" spans="1:16" ht="50.1" customHeight="1">
      <c r="A263" s="148" t="s">
        <v>1761</v>
      </c>
      <c r="I263" s="148" t="s">
        <v>564</v>
      </c>
    </row>
    <row r="264" spans="1:16" ht="50.1" customHeight="1">
      <c r="A264" s="148" t="s">
        <v>1762</v>
      </c>
      <c r="I264" s="148" t="s">
        <v>565</v>
      </c>
    </row>
    <row r="265" spans="1:16" ht="50.1" customHeight="1">
      <c r="A265" s="148" t="s">
        <v>574</v>
      </c>
      <c r="I265" s="148" t="s">
        <v>566</v>
      </c>
    </row>
    <row r="266" spans="1:16" ht="50.1" customHeight="1">
      <c r="A266" s="139"/>
      <c r="I266" s="148" t="s">
        <v>567</v>
      </c>
    </row>
    <row r="267" spans="1:16" ht="50.1" customHeight="1">
      <c r="A267" s="134" t="s">
        <v>173</v>
      </c>
      <c r="B267" s="134"/>
      <c r="C267" s="134"/>
      <c r="D267" s="134"/>
      <c r="E267" s="134" t="s">
        <v>205</v>
      </c>
      <c r="F267" s="134"/>
      <c r="I267" s="148"/>
    </row>
    <row r="268" spans="1:16" ht="50.1" customHeight="1">
      <c r="A268" s="134" t="s">
        <v>20</v>
      </c>
      <c r="B268" s="134"/>
      <c r="C268" s="134"/>
      <c r="D268" s="134"/>
      <c r="E268" s="134" t="s">
        <v>39</v>
      </c>
      <c r="F268" s="134"/>
      <c r="G268" s="136"/>
      <c r="H268" s="137"/>
      <c r="I268" s="137" t="s">
        <v>1726</v>
      </c>
      <c r="J268" s="148"/>
      <c r="K268" s="148"/>
      <c r="L268" s="148"/>
      <c r="M268" s="148"/>
      <c r="N268" s="137" t="s">
        <v>1601</v>
      </c>
      <c r="O268" s="148"/>
      <c r="P268" s="148"/>
    </row>
    <row r="269" spans="1:16" ht="50.1" customHeight="1">
      <c r="B269" s="136"/>
      <c r="C269" s="136"/>
      <c r="D269" s="136"/>
      <c r="E269" s="136"/>
      <c r="F269" s="137"/>
      <c r="G269" s="136"/>
      <c r="H269" s="137"/>
      <c r="I269" s="137"/>
      <c r="J269" s="148"/>
      <c r="K269" s="148"/>
      <c r="L269" s="148"/>
      <c r="M269" s="148"/>
      <c r="N269" s="148"/>
      <c r="O269" s="148"/>
      <c r="P269" s="148"/>
    </row>
    <row r="270" spans="1:16" ht="50.1" customHeight="1">
      <c r="A270" s="137" t="s">
        <v>1578</v>
      </c>
      <c r="I270" s="137" t="s">
        <v>1750</v>
      </c>
    </row>
    <row r="271" spans="1:16" ht="50.1" customHeight="1">
      <c r="I271" s="148"/>
    </row>
    <row r="272" spans="1:16" ht="50.1" customHeight="1">
      <c r="A272" s="143" t="s">
        <v>584</v>
      </c>
      <c r="I272" s="168" t="s">
        <v>1763</v>
      </c>
    </row>
    <row r="273" spans="1:11" ht="50.1" customHeight="1">
      <c r="A273" s="134" t="s">
        <v>1764</v>
      </c>
      <c r="I273" s="148" t="s">
        <v>1765</v>
      </c>
    </row>
    <row r="274" spans="1:11" ht="50.1" customHeight="1">
      <c r="A274" s="134" t="s">
        <v>5836</v>
      </c>
      <c r="I274" s="148" t="s">
        <v>593</v>
      </c>
    </row>
    <row r="275" spans="1:11" ht="50.1" customHeight="1">
      <c r="A275" s="134"/>
      <c r="I275" s="148" t="s">
        <v>592</v>
      </c>
    </row>
    <row r="276" spans="1:11" ht="50.1" customHeight="1">
      <c r="A276" s="139" t="s">
        <v>585</v>
      </c>
      <c r="E276" s="139" t="s">
        <v>6881</v>
      </c>
      <c r="I276" s="148"/>
    </row>
    <row r="277" spans="1:11" ht="50.1" customHeight="1">
      <c r="I277" s="148" t="s">
        <v>1766</v>
      </c>
    </row>
    <row r="278" spans="1:11" ht="50.1" customHeight="1">
      <c r="A278" s="134" t="s">
        <v>6882</v>
      </c>
    </row>
    <row r="279" spans="1:11" ht="50.1" customHeight="1">
      <c r="A279" s="148" t="s">
        <v>6883</v>
      </c>
      <c r="I279" s="137" t="s">
        <v>1767</v>
      </c>
    </row>
    <row r="280" spans="1:11" ht="50.1" customHeight="1">
      <c r="A280" s="148" t="s">
        <v>6884</v>
      </c>
      <c r="I280" s="148"/>
      <c r="K280" s="134" t="s">
        <v>1768</v>
      </c>
    </row>
    <row r="281" spans="1:11" ht="50.1" customHeight="1">
      <c r="A281" s="148" t="s">
        <v>6885</v>
      </c>
      <c r="I281" s="148"/>
      <c r="K281" s="134"/>
    </row>
    <row r="282" spans="1:11" ht="50.1" customHeight="1">
      <c r="I282" s="148"/>
      <c r="K282" s="134"/>
    </row>
    <row r="283" spans="1:11" ht="50.1" customHeight="1">
      <c r="A283" s="129" t="s">
        <v>1627</v>
      </c>
      <c r="B283" s="129"/>
      <c r="C283" s="129"/>
      <c r="D283" s="129"/>
      <c r="E283" s="129"/>
      <c r="F283" s="129"/>
      <c r="G283" s="129"/>
      <c r="I283" s="148"/>
    </row>
    <row r="284" spans="1:11" ht="50.1" customHeight="1">
      <c r="A284" s="129" t="s">
        <v>153</v>
      </c>
      <c r="B284" s="129"/>
      <c r="C284" s="129"/>
      <c r="D284" s="129"/>
      <c r="E284" s="129"/>
      <c r="F284" s="129"/>
      <c r="G284" s="129"/>
      <c r="I284" s="193" t="s">
        <v>1769</v>
      </c>
    </row>
    <row r="285" spans="1:11" ht="50.1" customHeight="1">
      <c r="A285" s="129" t="s">
        <v>1629</v>
      </c>
      <c r="B285" s="129"/>
      <c r="C285" s="129"/>
      <c r="D285" s="129"/>
      <c r="E285" s="129"/>
      <c r="F285" s="129"/>
      <c r="G285" s="129"/>
      <c r="I285" s="126" t="s">
        <v>617</v>
      </c>
    </row>
    <row r="286" spans="1:11" ht="50.1" customHeight="1">
      <c r="A286" s="129" t="s">
        <v>1630</v>
      </c>
      <c r="B286" s="129"/>
      <c r="C286" s="129"/>
      <c r="D286" s="129"/>
      <c r="E286" s="129"/>
      <c r="F286" s="129"/>
      <c r="G286" s="129"/>
      <c r="I286" s="192" t="s">
        <v>1770</v>
      </c>
    </row>
    <row r="287" spans="1:11" ht="50.1" customHeight="1">
      <c r="I287" s="192" t="s">
        <v>1771</v>
      </c>
    </row>
    <row r="288" spans="1:11" s="141" customFormat="1" ht="50.1" customHeight="1">
      <c r="A288" s="134" t="s">
        <v>1772</v>
      </c>
      <c r="I288" s="134"/>
    </row>
    <row r="289" spans="1:15" ht="50.1" customHeight="1">
      <c r="A289" s="134" t="s">
        <v>1662</v>
      </c>
      <c r="I289" s="127" t="s">
        <v>1773</v>
      </c>
    </row>
    <row r="290" spans="1:15" ht="50.1" customHeight="1">
      <c r="I290" s="126" t="s">
        <v>1774</v>
      </c>
    </row>
    <row r="291" spans="1:15" ht="50.1" customHeight="1">
      <c r="A291" s="137" t="s">
        <v>1581</v>
      </c>
      <c r="I291" s="195" t="s">
        <v>620</v>
      </c>
    </row>
    <row r="292" spans="1:15" ht="50.1" customHeight="1">
      <c r="I292" s="148"/>
    </row>
    <row r="293" spans="1:15" ht="50.1" customHeight="1">
      <c r="I293" s="126" t="s">
        <v>1775</v>
      </c>
      <c r="N293" s="196" t="s">
        <v>1776</v>
      </c>
    </row>
    <row r="294" spans="1:15" ht="50.1" customHeight="1">
      <c r="A294" s="187" t="s">
        <v>1777</v>
      </c>
    </row>
    <row r="295" spans="1:15" ht="50.1" customHeight="1">
      <c r="A295" s="137" t="s">
        <v>1778</v>
      </c>
      <c r="I295" s="187" t="s">
        <v>1779</v>
      </c>
      <c r="J295" s="136"/>
      <c r="K295" s="136"/>
      <c r="L295" s="136"/>
      <c r="M295" s="136"/>
      <c r="N295" s="136"/>
      <c r="O295" s="136"/>
    </row>
    <row r="296" spans="1:15" ht="50.1" customHeight="1">
      <c r="A296" s="137" t="s">
        <v>1780</v>
      </c>
      <c r="I296" s="137" t="s">
        <v>1781</v>
      </c>
      <c r="J296" s="136"/>
      <c r="K296" s="136"/>
      <c r="L296" s="136"/>
      <c r="M296" s="136"/>
      <c r="N296" s="136"/>
      <c r="O296" s="136"/>
    </row>
    <row r="297" spans="1:15" ht="50.1" customHeight="1">
      <c r="A297" s="137" t="s">
        <v>1782</v>
      </c>
      <c r="I297" s="137" t="s">
        <v>1783</v>
      </c>
      <c r="J297" s="136"/>
      <c r="K297" s="136"/>
      <c r="L297" s="136"/>
      <c r="M297" s="136"/>
      <c r="N297" s="136"/>
      <c r="O297" s="136"/>
    </row>
    <row r="298" spans="1:15" ht="50.1" customHeight="1">
      <c r="I298" s="136"/>
      <c r="J298" s="136"/>
      <c r="K298" s="136"/>
      <c r="L298" s="136"/>
      <c r="M298" s="136"/>
      <c r="N298" s="136"/>
      <c r="O298" s="136"/>
    </row>
    <row r="299" spans="1:15" ht="49.5">
      <c r="A299" s="137" t="s">
        <v>1726</v>
      </c>
      <c r="B299" s="136"/>
      <c r="C299" s="136"/>
      <c r="D299" s="136"/>
      <c r="E299" s="136"/>
      <c r="F299" s="137" t="s">
        <v>1654</v>
      </c>
      <c r="G299" s="136"/>
      <c r="I299" s="137" t="s">
        <v>1784</v>
      </c>
      <c r="J299" s="136"/>
      <c r="K299" s="136"/>
      <c r="L299" s="136"/>
      <c r="M299" s="137" t="s">
        <v>1785</v>
      </c>
      <c r="N299" s="136"/>
      <c r="O299" s="136"/>
    </row>
    <row r="300" spans="1:15" ht="49.5">
      <c r="A300" s="136"/>
      <c r="B300" s="136"/>
      <c r="C300" s="136"/>
      <c r="D300" s="136"/>
      <c r="E300" s="136"/>
      <c r="F300" s="137"/>
      <c r="G300" s="137"/>
      <c r="I300" s="136"/>
      <c r="J300" s="136"/>
      <c r="K300" s="136"/>
      <c r="L300" s="136"/>
      <c r="M300" s="136"/>
      <c r="N300" s="136"/>
      <c r="O300" s="136"/>
    </row>
    <row r="301" spans="1:15" ht="49.5">
      <c r="A301" s="137" t="s">
        <v>1578</v>
      </c>
      <c r="B301" s="136"/>
      <c r="C301" s="136"/>
      <c r="D301" s="136"/>
      <c r="E301" s="136"/>
      <c r="F301" s="136"/>
      <c r="G301" s="136"/>
      <c r="I301" s="137" t="s">
        <v>1786</v>
      </c>
      <c r="J301" s="136"/>
      <c r="K301" s="136"/>
      <c r="L301" s="136"/>
      <c r="M301" s="136"/>
      <c r="N301" s="136"/>
      <c r="O301" s="136"/>
    </row>
    <row r="302" spans="1:15" ht="50.1" customHeight="1">
      <c r="I302" s="126"/>
      <c r="N302" s="196"/>
    </row>
    <row r="303" spans="1:15" ht="51.75" customHeight="1">
      <c r="A303" s="187" t="s">
        <v>1787</v>
      </c>
      <c r="I303" s="187" t="s">
        <v>1788</v>
      </c>
    </row>
    <row r="304" spans="1:15" ht="51.75" customHeight="1">
      <c r="A304" s="137" t="s">
        <v>1789</v>
      </c>
      <c r="I304" s="187" t="s">
        <v>1790</v>
      </c>
      <c r="J304" s="136"/>
      <c r="K304" s="136"/>
      <c r="L304" s="136"/>
      <c r="M304" s="136"/>
      <c r="N304" s="136"/>
      <c r="O304" s="136"/>
    </row>
    <row r="305" spans="1:20" ht="51.75" customHeight="1">
      <c r="A305" s="137" t="s">
        <v>1791</v>
      </c>
      <c r="I305" s="137" t="s">
        <v>1792</v>
      </c>
      <c r="J305" s="136"/>
      <c r="K305" s="136"/>
      <c r="L305" s="136"/>
      <c r="M305" s="136"/>
      <c r="N305" s="136"/>
      <c r="O305" s="136"/>
    </row>
    <row r="306" spans="1:20" ht="51.75" customHeight="1">
      <c r="A306" s="137" t="s">
        <v>1768</v>
      </c>
      <c r="I306" s="137" t="s">
        <v>700</v>
      </c>
      <c r="J306" s="136"/>
      <c r="K306" s="136"/>
      <c r="L306" s="136"/>
      <c r="M306" s="136"/>
      <c r="N306" s="136"/>
      <c r="O306" s="136"/>
    </row>
    <row r="307" spans="1:20" ht="51.75" customHeight="1">
      <c r="A307" s="137" t="s">
        <v>1793</v>
      </c>
    </row>
    <row r="308" spans="1:20" ht="50.1" customHeight="1">
      <c r="I308" s="137" t="s">
        <v>1794</v>
      </c>
      <c r="M308" s="137" t="s">
        <v>1654</v>
      </c>
    </row>
    <row r="309" spans="1:20" ht="50.1" customHeight="1">
      <c r="I309" s="136"/>
    </row>
    <row r="310" spans="1:20" ht="50.1" customHeight="1">
      <c r="I310" s="137" t="s">
        <v>1578</v>
      </c>
    </row>
    <row r="311" spans="1:20" ht="50.1" customHeight="1">
      <c r="A311" s="168" t="s">
        <v>1795</v>
      </c>
    </row>
    <row r="312" spans="1:20" ht="50.1" customHeight="1">
      <c r="A312" s="148" t="s">
        <v>1796</v>
      </c>
      <c r="I312" s="148" t="s">
        <v>1797</v>
      </c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</row>
    <row r="313" spans="1:20" ht="50.1" customHeight="1">
      <c r="A313" s="148" t="s">
        <v>1798</v>
      </c>
      <c r="I313" s="148" t="s">
        <v>1799</v>
      </c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</row>
    <row r="314" spans="1:20" ht="50.1" customHeight="1">
      <c r="A314" s="148" t="s">
        <v>2470</v>
      </c>
      <c r="I314" s="148" t="s">
        <v>1800</v>
      </c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</row>
    <row r="315" spans="1:20" ht="50.1" customHeight="1">
      <c r="I315" s="148" t="s">
        <v>1801</v>
      </c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</row>
    <row r="316" spans="1:20" ht="50.1" customHeight="1">
      <c r="A316" s="137" t="s">
        <v>1726</v>
      </c>
      <c r="F316" s="282" t="s">
        <v>2471</v>
      </c>
      <c r="I316" s="148" t="s">
        <v>1802</v>
      </c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</row>
    <row r="317" spans="1:20" ht="50.1" customHeight="1">
      <c r="A317" s="136"/>
      <c r="I317" s="148" t="s">
        <v>1803</v>
      </c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</row>
    <row r="318" spans="1:20" ht="50.1" customHeight="1">
      <c r="A318" s="137" t="s">
        <v>1578</v>
      </c>
    </row>
    <row r="319" spans="1:20" ht="50.1" customHeight="1">
      <c r="I319" s="134"/>
    </row>
    <row r="320" spans="1:20" s="137" customFormat="1" ht="50.1" customHeight="1">
      <c r="A320" s="187" t="s">
        <v>1804</v>
      </c>
      <c r="I320" s="137" t="s">
        <v>1805</v>
      </c>
    </row>
    <row r="321" spans="1:9" s="137" customFormat="1" ht="50.1" customHeight="1">
      <c r="A321" s="137" t="s">
        <v>1806</v>
      </c>
      <c r="I321" s="137" t="s">
        <v>1807</v>
      </c>
    </row>
    <row r="322" spans="1:9" s="137" customFormat="1" ht="50.1" customHeight="1">
      <c r="A322" s="137" t="s">
        <v>1808</v>
      </c>
      <c r="I322" s="137" t="s">
        <v>1809</v>
      </c>
    </row>
    <row r="323" spans="1:9" s="137" customFormat="1" ht="50.1" customHeight="1">
      <c r="I323" s="137" t="s">
        <v>1810</v>
      </c>
    </row>
    <row r="324" spans="1:9" s="137" customFormat="1" ht="50.1" customHeight="1">
      <c r="A324" s="137" t="s">
        <v>1811</v>
      </c>
    </row>
    <row r="325" spans="1:9" s="137" customFormat="1" ht="50.1" customHeight="1">
      <c r="I325" s="187" t="s">
        <v>1812</v>
      </c>
    </row>
    <row r="326" spans="1:9" s="137" customFormat="1" ht="50.1" customHeight="1">
      <c r="A326" s="137" t="s">
        <v>1578</v>
      </c>
      <c r="I326" s="137" t="s">
        <v>1813</v>
      </c>
    </row>
    <row r="327" spans="1:9" s="137" customFormat="1" ht="50.1" customHeight="1">
      <c r="I327" s="137" t="s">
        <v>1814</v>
      </c>
    </row>
    <row r="328" spans="1:9" s="137" customFormat="1" ht="50.1" customHeight="1">
      <c r="A328" s="184" t="s">
        <v>1815</v>
      </c>
      <c r="I328" s="137" t="s">
        <v>1816</v>
      </c>
    </row>
    <row r="329" spans="1:9" s="137" customFormat="1" ht="50.1" customHeight="1">
      <c r="A329" s="137" t="s">
        <v>1817</v>
      </c>
    </row>
    <row r="330" spans="1:9" s="137" customFormat="1" ht="50.1" customHeight="1">
      <c r="A330" s="185" t="s">
        <v>1818</v>
      </c>
      <c r="I330" s="137" t="s">
        <v>1819</v>
      </c>
    </row>
    <row r="331" spans="1:9" s="137" customFormat="1" ht="50.1" customHeight="1">
      <c r="A331" s="184" t="s">
        <v>1820</v>
      </c>
    </row>
    <row r="332" spans="1:9" s="137" customFormat="1" ht="50.1" customHeight="1">
      <c r="I332" s="137" t="s">
        <v>1578</v>
      </c>
    </row>
    <row r="333" spans="1:9" s="137" customFormat="1" ht="50.1" customHeight="1">
      <c r="A333" s="129" t="s">
        <v>1821</v>
      </c>
      <c r="B333" s="129"/>
      <c r="C333" s="129"/>
      <c r="D333" s="129"/>
      <c r="E333" s="129"/>
      <c r="F333" s="129"/>
    </row>
    <row r="334" spans="1:9" s="137" customFormat="1" ht="50.1" customHeight="1">
      <c r="A334" s="129" t="s">
        <v>1822</v>
      </c>
      <c r="B334" s="129"/>
      <c r="C334" s="129"/>
      <c r="D334" s="129"/>
      <c r="E334" s="129"/>
      <c r="F334" s="129"/>
      <c r="I334" s="137" t="s">
        <v>1823</v>
      </c>
    </row>
    <row r="335" spans="1:9" s="137" customFormat="1" ht="50.1" customHeight="1">
      <c r="A335" s="129" t="s">
        <v>1828</v>
      </c>
      <c r="B335" s="129"/>
      <c r="C335" s="129"/>
      <c r="D335" s="129"/>
      <c r="E335" s="129"/>
      <c r="F335" s="129"/>
      <c r="I335" s="137" t="s">
        <v>1825</v>
      </c>
    </row>
    <row r="336" spans="1:9" s="137" customFormat="1" ht="50.1" customHeight="1">
      <c r="A336" s="129" t="s">
        <v>1824</v>
      </c>
      <c r="B336" s="129"/>
      <c r="C336" s="129"/>
      <c r="D336" s="129"/>
      <c r="E336" s="129"/>
      <c r="F336" s="129"/>
      <c r="I336" s="137" t="s">
        <v>1827</v>
      </c>
    </row>
    <row r="337" spans="1:9" s="137" customFormat="1" ht="50.1" customHeight="1">
      <c r="A337" s="129" t="s">
        <v>1826</v>
      </c>
      <c r="B337" s="129"/>
      <c r="C337" s="129"/>
      <c r="D337" s="129"/>
      <c r="E337" s="129"/>
      <c r="F337" s="129"/>
      <c r="I337" s="137" t="s">
        <v>1829</v>
      </c>
    </row>
    <row r="338" spans="1:9" s="137" customFormat="1" ht="50.1" customHeight="1">
      <c r="A338" s="129"/>
      <c r="B338" s="129"/>
      <c r="C338" s="129"/>
      <c r="D338" s="129"/>
      <c r="E338" s="129"/>
      <c r="F338" s="129"/>
    </row>
    <row r="339" spans="1:9" s="137" customFormat="1" ht="50.1" customHeight="1">
      <c r="A339" s="129" t="s">
        <v>4770</v>
      </c>
      <c r="B339" s="129"/>
      <c r="C339" s="129"/>
      <c r="D339" s="129"/>
      <c r="E339" s="129"/>
      <c r="F339" s="129"/>
      <c r="I339" s="137" t="s">
        <v>1830</v>
      </c>
    </row>
    <row r="340" spans="1:9" s="137" customFormat="1" ht="50.1" customHeight="1">
      <c r="A340" s="137" t="s">
        <v>4771</v>
      </c>
    </row>
    <row r="341" spans="1:9" s="137" customFormat="1" ht="50.1" customHeight="1">
      <c r="A341" s="187" t="s">
        <v>1831</v>
      </c>
      <c r="B341"/>
      <c r="C341"/>
      <c r="D341"/>
      <c r="E341"/>
      <c r="F341"/>
      <c r="I341" s="137" t="s">
        <v>1578</v>
      </c>
    </row>
    <row r="342" spans="1:9" s="137" customFormat="1" ht="50.1" customHeight="1">
      <c r="A342" s="137" t="s">
        <v>1832</v>
      </c>
      <c r="B342"/>
      <c r="C342"/>
      <c r="D342"/>
      <c r="E342"/>
      <c r="F342"/>
    </row>
    <row r="343" spans="1:9" s="137" customFormat="1" ht="50.1" customHeight="1">
      <c r="A343" s="137" t="s">
        <v>1833</v>
      </c>
      <c r="B343"/>
      <c r="C343"/>
      <c r="D343"/>
      <c r="E343"/>
      <c r="F343"/>
      <c r="I343" s="187" t="s">
        <v>2363</v>
      </c>
    </row>
    <row r="344" spans="1:9" s="137" customFormat="1" ht="50.1" customHeight="1">
      <c r="A344"/>
      <c r="B344"/>
      <c r="C344"/>
      <c r="D344"/>
      <c r="E344"/>
      <c r="F344"/>
      <c r="I344" s="137" t="s">
        <v>2362</v>
      </c>
    </row>
    <row r="345" spans="1:9" s="137" customFormat="1" ht="50.1" customHeight="1">
      <c r="A345" s="137" t="s">
        <v>1726</v>
      </c>
      <c r="B345" s="136"/>
      <c r="C345" s="136"/>
      <c r="D345" s="136"/>
      <c r="E345" s="136"/>
      <c r="F345" s="137" t="s">
        <v>1654</v>
      </c>
      <c r="I345" s="137" t="s">
        <v>2360</v>
      </c>
    </row>
    <row r="346" spans="1:9" s="137" customFormat="1" ht="50.1" customHeight="1">
      <c r="A346" s="136"/>
      <c r="B346" s="136"/>
      <c r="C346" s="136"/>
      <c r="D346" s="136"/>
      <c r="E346" s="136"/>
      <c r="I346" s="137" t="s">
        <v>2361</v>
      </c>
    </row>
    <row r="347" spans="1:9" ht="49.5">
      <c r="A347" s="137" t="s">
        <v>1578</v>
      </c>
      <c r="B347" s="136"/>
      <c r="C347" s="136"/>
      <c r="D347" s="136"/>
      <c r="E347" s="136"/>
      <c r="F347" s="136"/>
    </row>
    <row r="348" spans="1:9" ht="49.5">
      <c r="B348" s="136"/>
      <c r="C348" s="136"/>
      <c r="D348" s="136"/>
      <c r="E348" s="136"/>
      <c r="F348" s="136"/>
      <c r="I348" s="137" t="s">
        <v>1578</v>
      </c>
    </row>
    <row r="349" spans="1:9" ht="50.1" customHeight="1">
      <c r="A349" s="650" t="s">
        <v>2529</v>
      </c>
    </row>
    <row r="350" spans="1:9" ht="50.1" customHeight="1">
      <c r="A350" s="137" t="s">
        <v>2530</v>
      </c>
      <c r="I350" s="187" t="s">
        <v>2577</v>
      </c>
    </row>
    <row r="351" spans="1:9" s="136" customFormat="1" ht="50.1" customHeight="1">
      <c r="A351" s="137" t="s">
        <v>2531</v>
      </c>
      <c r="I351" s="137" t="s">
        <v>2578</v>
      </c>
    </row>
    <row r="352" spans="1:9" s="136" customFormat="1" ht="50.1" customHeight="1">
      <c r="A352" s="137" t="s">
        <v>2532</v>
      </c>
      <c r="I352" s="137" t="s">
        <v>2574</v>
      </c>
    </row>
    <row r="353" spans="1:9" s="137" customFormat="1" ht="50.1" customHeight="1"/>
    <row r="354" spans="1:9" s="137" customFormat="1" ht="50.1" customHeight="1">
      <c r="A354" s="137" t="s">
        <v>2533</v>
      </c>
      <c r="F354" s="282" t="s">
        <v>642</v>
      </c>
      <c r="I354" s="137" t="s">
        <v>2576</v>
      </c>
    </row>
    <row r="355" spans="1:9" s="137" customFormat="1" ht="50.1" customHeight="1"/>
    <row r="356" spans="1:9" s="137" customFormat="1" ht="50.1" customHeight="1">
      <c r="A356" s="137" t="s">
        <v>2534</v>
      </c>
      <c r="I356" s="137" t="s">
        <v>2575</v>
      </c>
    </row>
    <row r="357" spans="1:9" s="137" customFormat="1" ht="50.1" customHeight="1"/>
    <row r="358" spans="1:9" s="137" customFormat="1" ht="50.1" customHeight="1">
      <c r="A358" s="187" t="s">
        <v>2613</v>
      </c>
      <c r="I358" s="682" t="s">
        <v>2634</v>
      </c>
    </row>
    <row r="359" spans="1:9" s="137" customFormat="1" ht="50.1" customHeight="1">
      <c r="A359" s="137" t="s">
        <v>2614</v>
      </c>
      <c r="I359" s="683" t="s">
        <v>2632</v>
      </c>
    </row>
    <row r="360" spans="1:9" s="137" customFormat="1" ht="50.1" customHeight="1">
      <c r="A360" s="137" t="s">
        <v>2615</v>
      </c>
      <c r="I360" s="682" t="s">
        <v>2635</v>
      </c>
    </row>
    <row r="361" spans="1:9" s="137" customFormat="1" ht="50.1" customHeight="1">
      <c r="I361" s="682" t="s">
        <v>2633</v>
      </c>
    </row>
    <row r="362" spans="1:9" s="137" customFormat="1" ht="50.1" customHeight="1">
      <c r="A362" s="137" t="s">
        <v>2616</v>
      </c>
      <c r="F362" s="282" t="s">
        <v>2617</v>
      </c>
      <c r="I362" s="685" t="s">
        <v>2643</v>
      </c>
    </row>
    <row r="363" spans="1:9" s="137" customFormat="1" ht="50.1" customHeight="1"/>
    <row r="364" spans="1:9" ht="50.1" customHeight="1">
      <c r="A364" s="137" t="s">
        <v>2618</v>
      </c>
      <c r="I364" s="187" t="s">
        <v>2767</v>
      </c>
    </row>
    <row r="365" spans="1:9" ht="50.1" customHeight="1">
      <c r="I365" s="137" t="s">
        <v>2768</v>
      </c>
    </row>
    <row r="366" spans="1:9" ht="50.1" customHeight="1">
      <c r="A366" s="184" t="s">
        <v>2644</v>
      </c>
      <c r="I366" s="137" t="s">
        <v>2769</v>
      </c>
    </row>
    <row r="367" spans="1:9" ht="50.1" customHeight="1">
      <c r="A367" s="184" t="s">
        <v>2636</v>
      </c>
    </row>
    <row r="368" spans="1:9" ht="50.1" customHeight="1">
      <c r="A368" s="184" t="s">
        <v>2645</v>
      </c>
      <c r="I368" s="184" t="s">
        <v>2770</v>
      </c>
    </row>
    <row r="369" spans="1:14" ht="50.1" customHeight="1">
      <c r="A369" s="184"/>
    </row>
    <row r="370" spans="1:14" ht="50.1" customHeight="1">
      <c r="A370" s="184" t="s">
        <v>2647</v>
      </c>
      <c r="I370" s="137" t="s">
        <v>2771</v>
      </c>
    </row>
    <row r="371" spans="1:14" ht="50.1" customHeight="1"/>
    <row r="372" spans="1:14" ht="50.1" customHeight="1">
      <c r="A372" s="137" t="s">
        <v>2646</v>
      </c>
      <c r="I372" s="187" t="s">
        <v>3530</v>
      </c>
    </row>
    <row r="373" spans="1:14" ht="50.1" customHeight="1">
      <c r="I373" s="137" t="s">
        <v>3531</v>
      </c>
    </row>
    <row r="374" spans="1:14" ht="50.1" customHeight="1">
      <c r="A374" s="187" t="s">
        <v>2953</v>
      </c>
      <c r="I374" s="137" t="s">
        <v>3532</v>
      </c>
    </row>
    <row r="375" spans="1:14" ht="50.1" customHeight="1">
      <c r="A375" s="137" t="s">
        <v>2951</v>
      </c>
      <c r="I375" s="137" t="s">
        <v>3533</v>
      </c>
    </row>
    <row r="376" spans="1:14" ht="50.1" customHeight="1">
      <c r="A376" s="137" t="s">
        <v>2952</v>
      </c>
    </row>
    <row r="377" spans="1:14" ht="50.1" customHeight="1">
      <c r="I377" s="137" t="s">
        <v>1726</v>
      </c>
      <c r="J377" s="136"/>
      <c r="K377" s="136"/>
      <c r="L377" s="136"/>
      <c r="M377" s="137" t="s">
        <v>177</v>
      </c>
    </row>
    <row r="378" spans="1:14" ht="50.1" customHeight="1">
      <c r="A378" s="137" t="s">
        <v>2954</v>
      </c>
      <c r="I378" s="134" t="s">
        <v>3534</v>
      </c>
      <c r="J378" s="136"/>
      <c r="K378" s="136"/>
      <c r="L378" s="136"/>
      <c r="M378" s="137" t="s">
        <v>3535</v>
      </c>
      <c r="N378" s="137"/>
    </row>
    <row r="379" spans="1:14" ht="50.1" customHeight="1">
      <c r="J379" s="136"/>
      <c r="K379" s="136"/>
      <c r="L379" s="136"/>
      <c r="M379" s="136"/>
      <c r="N379" s="136"/>
    </row>
    <row r="380" spans="1:14" ht="50.1" customHeight="1">
      <c r="A380" s="137" t="s">
        <v>2955</v>
      </c>
      <c r="I380" s="137" t="s">
        <v>1578</v>
      </c>
    </row>
    <row r="381" spans="1:14" ht="50.1" customHeight="1"/>
    <row r="382" spans="1:14" ht="50.1" customHeight="1">
      <c r="A382" s="137" t="s">
        <v>3560</v>
      </c>
      <c r="I382" s="137" t="s">
        <v>3891</v>
      </c>
      <c r="J382" s="137"/>
    </row>
    <row r="383" spans="1:14" ht="50.1" customHeight="1">
      <c r="A383" s="137" t="s">
        <v>3561</v>
      </c>
      <c r="I383" s="137" t="s">
        <v>3892</v>
      </c>
      <c r="J383" s="137"/>
    </row>
    <row r="384" spans="1:14" ht="50.1" customHeight="1">
      <c r="A384" s="137" t="s">
        <v>3562</v>
      </c>
      <c r="I384" s="137" t="s">
        <v>3893</v>
      </c>
      <c r="J384" s="137"/>
    </row>
    <row r="385" spans="1:10" ht="50.1" customHeight="1">
      <c r="A385" s="137" t="s">
        <v>3563</v>
      </c>
      <c r="I385" s="137" t="s">
        <v>3894</v>
      </c>
      <c r="J385" s="137"/>
    </row>
    <row r="386" spans="1:10" ht="50.1" customHeight="1">
      <c r="A386" s="137" t="s">
        <v>3564</v>
      </c>
      <c r="J386" s="137"/>
    </row>
    <row r="387" spans="1:10" ht="50.1" customHeight="1">
      <c r="I387" s="137" t="s">
        <v>3896</v>
      </c>
      <c r="J387" s="137"/>
    </row>
    <row r="388" spans="1:10" ht="50.1" customHeight="1">
      <c r="A388" s="137" t="s">
        <v>3565</v>
      </c>
      <c r="I388" s="137" t="s">
        <v>3897</v>
      </c>
      <c r="J388" s="137"/>
    </row>
    <row r="389" spans="1:10" ht="50.1" customHeight="1">
      <c r="I389" s="137"/>
      <c r="J389" s="137"/>
    </row>
    <row r="390" spans="1:10" ht="50.1" customHeight="1">
      <c r="A390" s="137" t="s">
        <v>3566</v>
      </c>
      <c r="I390" s="137" t="s">
        <v>3895</v>
      </c>
    </row>
    <row r="391" spans="1:10" ht="50.1" customHeight="1"/>
    <row r="392" spans="1:10" s="137" customFormat="1" ht="50.1" customHeight="1">
      <c r="A392" s="137" t="s">
        <v>4092</v>
      </c>
      <c r="I392" s="187" t="s">
        <v>4108</v>
      </c>
    </row>
    <row r="393" spans="1:10" s="137" customFormat="1" ht="50.1" customHeight="1">
      <c r="A393" s="137" t="s">
        <v>4093</v>
      </c>
      <c r="I393" s="137" t="s">
        <v>4109</v>
      </c>
    </row>
    <row r="394" spans="1:10" s="137" customFormat="1" ht="50.1" customHeight="1">
      <c r="A394" s="137" t="s">
        <v>4094</v>
      </c>
      <c r="I394" s="137" t="s">
        <v>4110</v>
      </c>
    </row>
    <row r="395" spans="1:10" s="137" customFormat="1" ht="50.1" customHeight="1">
      <c r="A395" s="137" t="s">
        <v>4095</v>
      </c>
      <c r="I395" s="137" t="s">
        <v>4111</v>
      </c>
    </row>
    <row r="396" spans="1:10" s="137" customFormat="1" ht="50.1" customHeight="1">
      <c r="A396" s="137" t="s">
        <v>4096</v>
      </c>
    </row>
    <row r="397" spans="1:10" s="137" customFormat="1" ht="50.1" customHeight="1">
      <c r="I397" s="137" t="s">
        <v>4112</v>
      </c>
    </row>
    <row r="398" spans="1:10" s="137" customFormat="1" ht="50.1" customHeight="1">
      <c r="A398" s="137" t="s">
        <v>4097</v>
      </c>
    </row>
    <row r="399" spans="1:10" s="137" customFormat="1" ht="50.1" customHeight="1">
      <c r="I399" s="137" t="s">
        <v>1578</v>
      </c>
    </row>
    <row r="400" spans="1:10" ht="50.1" customHeight="1">
      <c r="A400" s="137" t="s">
        <v>1569</v>
      </c>
    </row>
    <row r="401" spans="1:9" ht="50.1" customHeight="1"/>
    <row r="402" spans="1:9" ht="50.1" customHeight="1">
      <c r="A402" s="184" t="s">
        <v>4133</v>
      </c>
      <c r="I402" s="137" t="s">
        <v>4252</v>
      </c>
    </row>
    <row r="403" spans="1:9" ht="50.1" customHeight="1">
      <c r="A403" s="184" t="s">
        <v>4131</v>
      </c>
      <c r="I403" s="137" t="s">
        <v>4253</v>
      </c>
    </row>
    <row r="404" spans="1:9" ht="50.1" customHeight="1">
      <c r="A404" s="184" t="s">
        <v>4132</v>
      </c>
      <c r="I404" s="137" t="s">
        <v>4254</v>
      </c>
    </row>
    <row r="405" spans="1:9" ht="50.1" customHeight="1">
      <c r="A405" s="184" t="s">
        <v>4135</v>
      </c>
      <c r="I405" s="137" t="s">
        <v>4255</v>
      </c>
    </row>
    <row r="406" spans="1:9" ht="50.1" customHeight="1"/>
    <row r="407" spans="1:9" ht="50.1" customHeight="1">
      <c r="A407" s="184" t="s">
        <v>4134</v>
      </c>
      <c r="I407" s="134" t="s">
        <v>4256</v>
      </c>
    </row>
    <row r="408" spans="1:9" ht="50.1" customHeight="1"/>
    <row r="409" spans="1:9" ht="50.1" customHeight="1">
      <c r="A409" s="187" t="s">
        <v>4296</v>
      </c>
      <c r="I409" s="137" t="s">
        <v>3566</v>
      </c>
    </row>
    <row r="410" spans="1:9" ht="50.1" customHeight="1">
      <c r="A410" s="137" t="s">
        <v>4297</v>
      </c>
    </row>
    <row r="411" spans="1:9" ht="50.1" customHeight="1">
      <c r="A411" s="137" t="s">
        <v>4298</v>
      </c>
      <c r="I411" s="168" t="s">
        <v>4428</v>
      </c>
    </row>
    <row r="412" spans="1:9" ht="50.1" customHeight="1">
      <c r="A412" s="137" t="s">
        <v>4299</v>
      </c>
      <c r="I412" s="148" t="s">
        <v>4429</v>
      </c>
    </row>
    <row r="413" spans="1:9" ht="50.1" customHeight="1">
      <c r="I413" s="148" t="s">
        <v>4431</v>
      </c>
    </row>
    <row r="414" spans="1:9" ht="50.1" customHeight="1">
      <c r="A414" s="137" t="s">
        <v>4300</v>
      </c>
      <c r="I414" s="148" t="s">
        <v>4430</v>
      </c>
    </row>
    <row r="415" spans="1:9" ht="50.1" customHeight="1"/>
    <row r="416" spans="1:9" ht="50.1" customHeight="1">
      <c r="A416" s="137" t="s">
        <v>1578</v>
      </c>
      <c r="I416" s="134" t="s">
        <v>4256</v>
      </c>
    </row>
    <row r="417" spans="1:9" ht="50.1" customHeight="1"/>
    <row r="418" spans="1:9" ht="50.1" customHeight="1">
      <c r="A418" s="183" t="s">
        <v>4687</v>
      </c>
      <c r="I418" s="137" t="s">
        <v>3566</v>
      </c>
    </row>
    <row r="419" spans="1:9" ht="50.1" customHeight="1">
      <c r="A419" s="183" t="s">
        <v>4688</v>
      </c>
    </row>
    <row r="420" spans="1:9" ht="50.1" customHeight="1">
      <c r="A420" s="183" t="s">
        <v>4676</v>
      </c>
      <c r="I420" s="168" t="s">
        <v>4442</v>
      </c>
    </row>
    <row r="421" spans="1:9" ht="50.1" customHeight="1">
      <c r="A421" s="183" t="s">
        <v>4686</v>
      </c>
      <c r="I421" s="148" t="s">
        <v>4440</v>
      </c>
    </row>
    <row r="422" spans="1:9" ht="50.1" customHeight="1">
      <c r="I422" s="148" t="s">
        <v>4441</v>
      </c>
    </row>
    <row r="423" spans="1:9" ht="50.1" customHeight="1">
      <c r="A423" s="137" t="s">
        <v>4689</v>
      </c>
    </row>
    <row r="424" spans="1:9" ht="50.1" customHeight="1">
      <c r="I424" s="134" t="s">
        <v>4256</v>
      </c>
    </row>
    <row r="425" spans="1:9" ht="50.1" customHeight="1">
      <c r="A425" s="409" t="s">
        <v>4813</v>
      </c>
    </row>
    <row r="426" spans="1:9" ht="50.1" customHeight="1">
      <c r="A426" s="1325" t="s">
        <v>4814</v>
      </c>
      <c r="I426" s="137" t="s">
        <v>3566</v>
      </c>
    </row>
    <row r="427" spans="1:9" ht="50.1" customHeight="1">
      <c r="A427" s="409" t="s">
        <v>4815</v>
      </c>
    </row>
    <row r="428" spans="1:9" ht="50.1" customHeight="1">
      <c r="A428" s="134" t="s">
        <v>4816</v>
      </c>
      <c r="I428" s="143" t="s">
        <v>5215</v>
      </c>
    </row>
    <row r="429" spans="1:9" ht="50.1" customHeight="1">
      <c r="I429" s="134" t="s">
        <v>5216</v>
      </c>
    </row>
    <row r="430" spans="1:9" ht="50.1" customHeight="1">
      <c r="A430" s="143" t="s">
        <v>5045</v>
      </c>
      <c r="I430" s="134" t="s">
        <v>5217</v>
      </c>
    </row>
    <row r="431" spans="1:9" ht="50.1" customHeight="1">
      <c r="A431" s="134" t="s">
        <v>5046</v>
      </c>
      <c r="I431" s="134"/>
    </row>
    <row r="432" spans="1:9" ht="50.1" customHeight="1">
      <c r="A432" s="134" t="s">
        <v>5047</v>
      </c>
      <c r="I432" s="134" t="s">
        <v>5218</v>
      </c>
    </row>
    <row r="433" spans="1:9" ht="50.1" customHeight="1">
      <c r="I433" s="134"/>
    </row>
    <row r="434" spans="1:9" ht="50.1" customHeight="1">
      <c r="A434" s="134" t="s">
        <v>5048</v>
      </c>
      <c r="I434" s="1439" t="s">
        <v>5219</v>
      </c>
    </row>
    <row r="435" spans="1:9" ht="50.1" customHeight="1">
      <c r="A435" s="134"/>
    </row>
    <row r="436" spans="1:9" ht="50.1" customHeight="1">
      <c r="A436" s="134" t="s">
        <v>5049</v>
      </c>
      <c r="I436" s="168" t="s">
        <v>5428</v>
      </c>
    </row>
    <row r="437" spans="1:9" ht="50.1" customHeight="1">
      <c r="I437" s="148" t="s">
        <v>5429</v>
      </c>
    </row>
    <row r="438" spans="1:9" ht="50.1" customHeight="1">
      <c r="A438" s="168" t="s">
        <v>5878</v>
      </c>
    </row>
    <row r="439" spans="1:9" ht="50.1" customHeight="1">
      <c r="A439" s="148" t="s">
        <v>5879</v>
      </c>
      <c r="I439" s="148" t="s">
        <v>5430</v>
      </c>
    </row>
    <row r="440" spans="1:9" ht="50.1" customHeight="1">
      <c r="A440" s="148" t="s">
        <v>5880</v>
      </c>
    </row>
    <row r="441" spans="1:9" ht="50.1" customHeight="1">
      <c r="I441" s="1439" t="s">
        <v>5431</v>
      </c>
    </row>
    <row r="442" spans="1:9" ht="50.1" customHeight="1">
      <c r="A442" s="137" t="s">
        <v>1726</v>
      </c>
    </row>
    <row r="443" spans="1:9" ht="50.1" customHeight="1">
      <c r="A443" s="136"/>
      <c r="I443" s="409" t="s">
        <v>6093</v>
      </c>
    </row>
    <row r="444" spans="1:9" ht="50.1" customHeight="1">
      <c r="A444" s="137" t="s">
        <v>1578</v>
      </c>
      <c r="I444" s="1649" t="s">
        <v>6094</v>
      </c>
    </row>
    <row r="445" spans="1:9" ht="50.1" customHeight="1">
      <c r="I445" s="142" t="s">
        <v>6095</v>
      </c>
    </row>
    <row r="446" spans="1:9" ht="50.1" customHeight="1">
      <c r="A446" s="134" t="s">
        <v>6223</v>
      </c>
      <c r="I446" s="142" t="s">
        <v>1659</v>
      </c>
    </row>
    <row r="447" spans="1:9" ht="50.1" customHeight="1">
      <c r="A447" s="134" t="s">
        <v>6224</v>
      </c>
    </row>
    <row r="448" spans="1:9" ht="50.1" customHeight="1">
      <c r="A448" s="134" t="s">
        <v>6225</v>
      </c>
      <c r="I448" s="134" t="s">
        <v>6096</v>
      </c>
    </row>
    <row r="449" spans="1:9" ht="50.1" customHeight="1">
      <c r="A449" s="134" t="s">
        <v>6226</v>
      </c>
    </row>
    <row r="450" spans="1:9" ht="50.1" customHeight="1">
      <c r="A450" s="141"/>
      <c r="I450" s="187" t="s">
        <v>6565</v>
      </c>
    </row>
    <row r="451" spans="1:9" ht="50.1" customHeight="1">
      <c r="A451" s="134" t="s">
        <v>6227</v>
      </c>
      <c r="F451" s="134" t="s">
        <v>6228</v>
      </c>
      <c r="I451" s="137" t="s">
        <v>6566</v>
      </c>
    </row>
    <row r="452" spans="1:9" ht="50.1" customHeight="1">
      <c r="A452" s="141"/>
      <c r="I452" s="137" t="s">
        <v>6567</v>
      </c>
    </row>
    <row r="453" spans="1:9" ht="50.1" customHeight="1">
      <c r="A453" s="134" t="s">
        <v>361</v>
      </c>
      <c r="I453" s="137" t="s">
        <v>6568</v>
      </c>
    </row>
    <row r="454" spans="1:9" ht="50.1" customHeight="1"/>
    <row r="455" spans="1:9" ht="50.1" customHeight="1">
      <c r="A455" s="134" t="s">
        <v>6874</v>
      </c>
      <c r="I455" s="137" t="s">
        <v>6569</v>
      </c>
    </row>
    <row r="456" spans="1:9" ht="50.1" customHeight="1">
      <c r="A456" s="134" t="s">
        <v>6877</v>
      </c>
      <c r="I456" s="136"/>
    </row>
    <row r="457" spans="1:9" ht="50.1" customHeight="1">
      <c r="A457" s="134"/>
      <c r="I457" s="137" t="s">
        <v>1578</v>
      </c>
    </row>
    <row r="458" spans="1:9" ht="50.1" customHeight="1">
      <c r="A458" s="134" t="s">
        <v>6875</v>
      </c>
    </row>
    <row r="459" spans="1:9" ht="50.1" customHeight="1">
      <c r="A459" s="134" t="s">
        <v>6876</v>
      </c>
      <c r="I459" s="187" t="s">
        <v>6920</v>
      </c>
    </row>
    <row r="460" spans="1:9" ht="50.1" customHeight="1">
      <c r="I460" s="137" t="s">
        <v>6921</v>
      </c>
    </row>
    <row r="461" spans="1:9" ht="50.1" customHeight="1">
      <c r="A461" s="134" t="s">
        <v>6951</v>
      </c>
      <c r="I461" s="137" t="s">
        <v>6922</v>
      </c>
    </row>
    <row r="462" spans="1:9" ht="50.1" customHeight="1">
      <c r="A462" s="134" t="s">
        <v>6953</v>
      </c>
      <c r="I462" s="137" t="s">
        <v>6923</v>
      </c>
    </row>
    <row r="463" spans="1:9" ht="50.1" customHeight="1">
      <c r="A463" s="134" t="s">
        <v>6954</v>
      </c>
    </row>
    <row r="464" spans="1:9" ht="50.1" customHeight="1">
      <c r="A464" s="134" t="s">
        <v>6952</v>
      </c>
      <c r="I464" s="137" t="s">
        <v>6924</v>
      </c>
    </row>
    <row r="465" spans="9:9" ht="50.1" customHeight="1"/>
    <row r="466" spans="9:9" ht="50.1" customHeight="1">
      <c r="I466" s="137" t="s">
        <v>1578</v>
      </c>
    </row>
    <row r="467" spans="9:9" ht="50.1" customHeight="1"/>
  </sheetData>
  <mergeCells count="4">
    <mergeCell ref="I118:P118"/>
    <mergeCell ref="I119:P119"/>
    <mergeCell ref="I120:P120"/>
    <mergeCell ref="I122:P122"/>
  </mergeCells>
  <phoneticPr fontId="3" type="noConversion"/>
  <hyperlinks>
    <hyperlink ref="I243" r:id="rId1" display="javascript:;"/>
    <hyperlink ref="A330" r:id="rId2" display="javascript:;"/>
    <hyperlink ref="A426" r:id="rId3" display="javascript:;"/>
  </hyperlinks>
  <pageMargins left="0.43307086614173229" right="0" top="0.82677165354330717" bottom="0.74803149606299213" header="0.31496062992125984" footer="0.31496062992125984"/>
  <pageSetup paperSize="9" scale="40" orientation="portrait" r:id="rId4"/>
  <rowBreaks count="3" manualBreakCount="3">
    <brk id="10" max="16" man="1"/>
    <brk id="22" max="16" man="1"/>
    <brk id="27" max="16" man="1"/>
  </rowBreaks>
  <colBreaks count="1" manualBreakCount="1">
    <brk id="8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zoomScaleNormal="100" workbookViewId="0">
      <selection activeCell="P29" sqref="P29"/>
    </sheetView>
  </sheetViews>
  <sheetFormatPr defaultRowHeight="16.5"/>
  <sheetData/>
  <phoneticPr fontId="3" type="noConversion"/>
  <printOptions horizontalCentered="1" verticalCentered="1"/>
  <pageMargins left="0.23622047244094491" right="0.23622047244094491" top="0" bottom="0" header="0" footer="0"/>
  <pageSetup paperSize="9" scale="81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zoomScale="70" zoomScaleNormal="70" zoomScaleSheetLayoutView="70" workbookViewId="0">
      <selection activeCell="A209" sqref="A209:XFD20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" customWidth="1"/>
    <col min="9" max="16384" width="9" style="1"/>
  </cols>
  <sheetData>
    <row r="1" spans="1:7" s="2" customFormat="1" ht="60" customHeight="1" thickBot="1">
      <c r="A1" s="1907" t="s">
        <v>5</v>
      </c>
      <c r="B1" s="1908"/>
      <c r="C1" s="1908"/>
      <c r="D1" s="1908"/>
      <c r="E1" s="1908"/>
      <c r="F1" s="1908"/>
      <c r="G1" s="1909"/>
    </row>
    <row r="2" spans="1:7" s="2" customFormat="1" ht="30" customHeight="1">
      <c r="A2" s="1899"/>
      <c r="B2" s="1902" t="s">
        <v>4</v>
      </c>
      <c r="C2" s="21"/>
      <c r="D2" s="22"/>
      <c r="E2" s="22"/>
      <c r="F2" s="18"/>
      <c r="G2" s="13"/>
    </row>
    <row r="3" spans="1:7" s="2" customFormat="1" ht="30" customHeight="1">
      <c r="A3" s="1900"/>
      <c r="B3" s="1903"/>
      <c r="C3" s="21"/>
      <c r="D3" s="22"/>
      <c r="E3" s="22"/>
      <c r="F3" s="18"/>
      <c r="G3" s="13"/>
    </row>
    <row r="4" spans="1:7" s="2" customFormat="1" ht="30" customHeight="1">
      <c r="A4" s="1900"/>
      <c r="B4" s="1903"/>
      <c r="C4" s="21"/>
      <c r="D4" s="20"/>
      <c r="E4" s="19"/>
      <c r="F4" s="18"/>
      <c r="G4" s="13"/>
    </row>
    <row r="5" spans="1:7" s="2" customFormat="1" ht="30" customHeight="1" thickBot="1">
      <c r="A5" s="1900"/>
      <c r="B5" s="1903"/>
      <c r="C5" s="17"/>
      <c r="D5" s="16"/>
      <c r="E5" s="15"/>
      <c r="F5" s="14"/>
      <c r="G5" s="13"/>
    </row>
    <row r="6" spans="1:7" s="2" customFormat="1" ht="30" customHeight="1" thickBot="1">
      <c r="A6" s="1901"/>
      <c r="B6" s="1904"/>
      <c r="C6" s="12"/>
      <c r="D6" s="11"/>
      <c r="E6" s="10"/>
      <c r="F6" s="10"/>
      <c r="G6" s="9"/>
    </row>
    <row r="7" spans="1:7" ht="30" customHeight="1">
      <c r="A7" s="1899"/>
      <c r="B7" s="1902" t="s">
        <v>3</v>
      </c>
      <c r="C7" s="21"/>
      <c r="D7" s="22"/>
      <c r="E7" s="22"/>
      <c r="F7" s="18"/>
      <c r="G7" s="13"/>
    </row>
    <row r="8" spans="1:7" ht="30" customHeight="1">
      <c r="A8" s="1900"/>
      <c r="B8" s="1903"/>
      <c r="C8" s="21"/>
      <c r="D8" s="22"/>
      <c r="E8" s="22"/>
      <c r="F8" s="18"/>
      <c r="G8" s="13"/>
    </row>
    <row r="9" spans="1:7" ht="30" customHeight="1">
      <c r="A9" s="1900"/>
      <c r="B9" s="1903"/>
      <c r="C9" s="21"/>
      <c r="D9" s="20"/>
      <c r="E9" s="19"/>
      <c r="F9" s="18"/>
      <c r="G9" s="13"/>
    </row>
    <row r="10" spans="1:7" ht="30" customHeight="1" thickBot="1">
      <c r="A10" s="1900"/>
      <c r="B10" s="1903"/>
      <c r="C10" s="17"/>
      <c r="D10" s="16"/>
      <c r="E10" s="15"/>
      <c r="F10" s="14"/>
      <c r="G10" s="13"/>
    </row>
    <row r="11" spans="1:7" ht="30" customHeight="1" thickBot="1">
      <c r="A11" s="1901"/>
      <c r="B11" s="1904"/>
      <c r="C11" s="12"/>
      <c r="D11" s="11"/>
      <c r="E11" s="10"/>
      <c r="F11" s="10"/>
      <c r="G11" s="9"/>
    </row>
    <row r="12" spans="1:7" ht="30" customHeight="1">
      <c r="A12" s="1899"/>
      <c r="B12" s="1902" t="s">
        <v>2</v>
      </c>
      <c r="C12" s="21"/>
      <c r="D12" s="22"/>
      <c r="E12" s="22"/>
      <c r="F12" s="18"/>
      <c r="G12" s="13"/>
    </row>
    <row r="13" spans="1:7" ht="30" customHeight="1">
      <c r="A13" s="1900"/>
      <c r="B13" s="1903"/>
      <c r="C13" s="21"/>
      <c r="D13" s="22"/>
      <c r="E13" s="22"/>
      <c r="F13" s="18"/>
      <c r="G13" s="13"/>
    </row>
    <row r="14" spans="1:7" ht="30" customHeight="1">
      <c r="A14" s="1900"/>
      <c r="B14" s="1903"/>
      <c r="C14" s="21"/>
      <c r="D14" s="20"/>
      <c r="E14" s="19"/>
      <c r="F14" s="18"/>
      <c r="G14" s="13"/>
    </row>
    <row r="15" spans="1:7" ht="30" customHeight="1" thickBot="1">
      <c r="A15" s="1900"/>
      <c r="B15" s="1903"/>
      <c r="C15" s="17"/>
      <c r="D15" s="16"/>
      <c r="E15" s="15"/>
      <c r="F15" s="14"/>
      <c r="G15" s="13"/>
    </row>
    <row r="16" spans="1:7" ht="30" customHeight="1" thickBot="1">
      <c r="A16" s="1901"/>
      <c r="B16" s="1904"/>
      <c r="C16" s="12"/>
      <c r="D16" s="11"/>
      <c r="E16" s="10"/>
      <c r="F16" s="10"/>
      <c r="G16" s="9"/>
    </row>
    <row r="17" spans="1:7" ht="30" customHeight="1">
      <c r="A17" s="1899"/>
      <c r="B17" s="1902" t="s">
        <v>1</v>
      </c>
      <c r="C17" s="21"/>
      <c r="D17" s="22"/>
      <c r="E17" s="22"/>
      <c r="F17" s="18"/>
      <c r="G17" s="13"/>
    </row>
    <row r="18" spans="1:7" ht="30" customHeight="1">
      <c r="A18" s="1900"/>
      <c r="B18" s="1903"/>
      <c r="C18" s="21"/>
      <c r="D18" s="22"/>
      <c r="E18" s="22"/>
      <c r="F18" s="18"/>
      <c r="G18" s="13"/>
    </row>
    <row r="19" spans="1:7" ht="30" customHeight="1">
      <c r="A19" s="1900"/>
      <c r="B19" s="1903"/>
      <c r="C19" s="21"/>
      <c r="D19" s="20"/>
      <c r="E19" s="19"/>
      <c r="F19" s="18"/>
      <c r="G19" s="13"/>
    </row>
    <row r="20" spans="1:7" ht="30" customHeight="1" thickBot="1">
      <c r="A20" s="1900"/>
      <c r="B20" s="1903"/>
      <c r="C20" s="17"/>
      <c r="D20" s="16"/>
      <c r="E20" s="15"/>
      <c r="F20" s="14"/>
      <c r="G20" s="13"/>
    </row>
    <row r="21" spans="1:7" ht="30" customHeight="1" thickBot="1">
      <c r="A21" s="1901"/>
      <c r="B21" s="1904"/>
      <c r="C21" s="12"/>
      <c r="D21" s="11"/>
      <c r="E21" s="10"/>
      <c r="F21" s="10"/>
      <c r="G21" s="9"/>
    </row>
    <row r="22" spans="1:7" ht="30" customHeight="1">
      <c r="A22" s="1899"/>
      <c r="B22" s="1902" t="s">
        <v>31</v>
      </c>
      <c r="C22" s="21"/>
      <c r="D22" s="22"/>
      <c r="E22" s="22"/>
      <c r="F22" s="18"/>
      <c r="G22" s="13"/>
    </row>
    <row r="23" spans="1:7" ht="30" customHeight="1">
      <c r="A23" s="1900"/>
      <c r="B23" s="1903"/>
      <c r="C23" s="21"/>
      <c r="D23" s="22"/>
      <c r="E23" s="22"/>
      <c r="F23" s="18"/>
      <c r="G23" s="13"/>
    </row>
    <row r="24" spans="1:7" ht="30" customHeight="1">
      <c r="A24" s="1900"/>
      <c r="B24" s="1903"/>
      <c r="C24" s="21"/>
      <c r="D24" s="20"/>
      <c r="E24" s="19"/>
      <c r="F24" s="18"/>
      <c r="G24" s="13"/>
    </row>
    <row r="25" spans="1:7" ht="30" customHeight="1" thickBot="1">
      <c r="A25" s="1900"/>
      <c r="B25" s="1903"/>
      <c r="C25" s="17"/>
      <c r="D25" s="16"/>
      <c r="E25" s="15"/>
      <c r="F25" s="14"/>
      <c r="G25" s="13"/>
    </row>
    <row r="26" spans="1:7" ht="30" customHeight="1" thickBot="1">
      <c r="A26" s="1901"/>
      <c r="B26" s="1904"/>
      <c r="C26" s="12"/>
      <c r="D26" s="11"/>
      <c r="E26" s="10"/>
      <c r="F26" s="10"/>
      <c r="G26" s="9"/>
    </row>
    <row r="27" spans="1:7" ht="60" customHeight="1" thickBot="1">
      <c r="A27" s="1907" t="s">
        <v>5</v>
      </c>
      <c r="B27" s="1908"/>
      <c r="C27" s="1908"/>
      <c r="D27" s="1908"/>
      <c r="E27" s="1908"/>
      <c r="F27" s="1908"/>
      <c r="G27" s="1909"/>
    </row>
    <row r="28" spans="1:7" ht="36" customHeight="1">
      <c r="A28" s="1899"/>
      <c r="B28" s="1902" t="s">
        <v>4</v>
      </c>
      <c r="C28" s="21"/>
      <c r="D28" s="22"/>
      <c r="E28" s="22"/>
      <c r="F28" s="18"/>
      <c r="G28" s="13"/>
    </row>
    <row r="29" spans="1:7" ht="36" customHeight="1">
      <c r="A29" s="1900"/>
      <c r="B29" s="1903"/>
      <c r="C29" s="21"/>
      <c r="D29" s="22"/>
      <c r="E29" s="22"/>
      <c r="F29" s="18"/>
      <c r="G29" s="13"/>
    </row>
    <row r="30" spans="1:7" ht="36" customHeight="1">
      <c r="A30" s="1900"/>
      <c r="B30" s="1903"/>
      <c r="C30" s="21"/>
      <c r="D30" s="20"/>
      <c r="E30" s="19"/>
      <c r="F30" s="18"/>
      <c r="G30" s="13"/>
    </row>
    <row r="31" spans="1:7" ht="36" customHeight="1" thickBot="1">
      <c r="A31" s="1900"/>
      <c r="B31" s="1903"/>
      <c r="C31" s="17"/>
      <c r="D31" s="16"/>
      <c r="E31" s="15"/>
      <c r="F31" s="14"/>
      <c r="G31" s="13"/>
    </row>
    <row r="32" spans="1:7" ht="36" customHeight="1" thickBot="1">
      <c r="A32" s="1901"/>
      <c r="B32" s="1904"/>
      <c r="C32" s="12"/>
      <c r="D32" s="11"/>
      <c r="E32" s="10"/>
      <c r="F32" s="10"/>
      <c r="G32" s="9"/>
    </row>
    <row r="33" spans="1:7" ht="36" customHeight="1">
      <c r="A33" s="1899"/>
      <c r="B33" s="1902" t="s">
        <v>3</v>
      </c>
      <c r="C33" s="21"/>
      <c r="D33" s="22"/>
      <c r="E33" s="22"/>
      <c r="F33" s="18"/>
      <c r="G33" s="13"/>
    </row>
    <row r="34" spans="1:7" ht="36" customHeight="1">
      <c r="A34" s="1900"/>
      <c r="B34" s="1903"/>
      <c r="C34" s="21"/>
      <c r="D34" s="22"/>
      <c r="E34" s="22"/>
      <c r="F34" s="18"/>
      <c r="G34" s="13"/>
    </row>
    <row r="35" spans="1:7" ht="36" customHeight="1">
      <c r="A35" s="1900"/>
      <c r="B35" s="1903"/>
      <c r="C35" s="21"/>
      <c r="D35" s="20"/>
      <c r="E35" s="19"/>
      <c r="F35" s="18"/>
      <c r="G35" s="13"/>
    </row>
    <row r="36" spans="1:7" ht="36" customHeight="1" thickBot="1">
      <c r="A36" s="1900"/>
      <c r="B36" s="1903"/>
      <c r="C36" s="17"/>
      <c r="D36" s="16"/>
      <c r="E36" s="15"/>
      <c r="F36" s="14"/>
      <c r="G36" s="13"/>
    </row>
    <row r="37" spans="1:7" ht="36" customHeight="1" thickBot="1">
      <c r="A37" s="1901"/>
      <c r="B37" s="1904"/>
      <c r="C37" s="12"/>
      <c r="D37" s="11"/>
      <c r="E37" s="10"/>
      <c r="F37" s="10"/>
      <c r="G37" s="9"/>
    </row>
    <row r="38" spans="1:7" ht="36" customHeight="1">
      <c r="A38" s="1899"/>
      <c r="B38" s="1902" t="s">
        <v>2</v>
      </c>
      <c r="C38" s="21"/>
      <c r="D38" s="22"/>
      <c r="E38" s="22"/>
      <c r="F38" s="18"/>
      <c r="G38" s="13"/>
    </row>
    <row r="39" spans="1:7" ht="36" customHeight="1">
      <c r="A39" s="1900"/>
      <c r="B39" s="1903"/>
      <c r="C39" s="21"/>
      <c r="D39" s="22"/>
      <c r="E39" s="22"/>
      <c r="F39" s="18"/>
      <c r="G39" s="13"/>
    </row>
    <row r="40" spans="1:7" ht="36" customHeight="1">
      <c r="A40" s="1900"/>
      <c r="B40" s="1903"/>
      <c r="C40" s="21"/>
      <c r="D40" s="20"/>
      <c r="E40" s="19"/>
      <c r="F40" s="18"/>
      <c r="G40" s="13"/>
    </row>
    <row r="41" spans="1:7" ht="36" customHeight="1" thickBot="1">
      <c r="A41" s="1900"/>
      <c r="B41" s="1903"/>
      <c r="C41" s="17"/>
      <c r="D41" s="16"/>
      <c r="E41" s="15"/>
      <c r="F41" s="14"/>
      <c r="G41" s="13"/>
    </row>
    <row r="42" spans="1:7" ht="36" customHeight="1" thickBot="1">
      <c r="A42" s="1901"/>
      <c r="B42" s="1904"/>
      <c r="C42" s="12"/>
      <c r="D42" s="11"/>
      <c r="E42" s="10"/>
      <c r="F42" s="10"/>
      <c r="G42" s="9"/>
    </row>
    <row r="43" spans="1:7" ht="36" customHeight="1">
      <c r="A43" s="1899"/>
      <c r="B43" s="1902" t="s">
        <v>1</v>
      </c>
      <c r="C43" s="21"/>
      <c r="D43" s="22"/>
      <c r="E43" s="22"/>
      <c r="F43" s="18"/>
      <c r="G43" s="13"/>
    </row>
    <row r="44" spans="1:7" ht="36" customHeight="1">
      <c r="A44" s="1900"/>
      <c r="B44" s="1903"/>
      <c r="C44" s="21"/>
      <c r="D44" s="22"/>
      <c r="E44" s="22"/>
      <c r="F44" s="18"/>
      <c r="G44" s="13"/>
    </row>
    <row r="45" spans="1:7" ht="36" customHeight="1">
      <c r="A45" s="1900"/>
      <c r="B45" s="1903"/>
      <c r="C45" s="21"/>
      <c r="D45" s="20"/>
      <c r="E45" s="19"/>
      <c r="F45" s="18"/>
      <c r="G45" s="13"/>
    </row>
    <row r="46" spans="1:7" ht="36" customHeight="1" thickBot="1">
      <c r="A46" s="1900"/>
      <c r="B46" s="1903"/>
      <c r="C46" s="17"/>
      <c r="D46" s="16"/>
      <c r="E46" s="15"/>
      <c r="F46" s="14"/>
      <c r="G46" s="13"/>
    </row>
    <row r="47" spans="1:7" ht="36" customHeight="1" thickBot="1">
      <c r="A47" s="1901"/>
      <c r="B47" s="1904"/>
      <c r="C47" s="12"/>
      <c r="D47" s="11"/>
      <c r="E47" s="10"/>
      <c r="F47" s="10"/>
      <c r="G47" s="9"/>
    </row>
    <row r="48" spans="1:7" ht="36" customHeight="1">
      <c r="A48" s="1899"/>
      <c r="B48" s="1902" t="s">
        <v>0</v>
      </c>
      <c r="C48" s="21"/>
      <c r="D48" s="22"/>
      <c r="E48" s="22"/>
      <c r="F48" s="18"/>
      <c r="G48" s="13"/>
    </row>
    <row r="49" spans="1:7" ht="36" customHeight="1">
      <c r="A49" s="1900"/>
      <c r="B49" s="1903"/>
      <c r="C49" s="21"/>
      <c r="D49" s="22"/>
      <c r="E49" s="22"/>
      <c r="F49" s="18"/>
      <c r="G49" s="13"/>
    </row>
    <row r="50" spans="1:7" ht="36" customHeight="1">
      <c r="A50" s="1900"/>
      <c r="B50" s="1903"/>
      <c r="C50" s="21"/>
      <c r="D50" s="20"/>
      <c r="E50" s="19"/>
      <c r="F50" s="18"/>
      <c r="G50" s="13"/>
    </row>
    <row r="51" spans="1:7" ht="36" customHeight="1" thickBot="1">
      <c r="A51" s="1900"/>
      <c r="B51" s="1903"/>
      <c r="C51" s="17"/>
      <c r="D51" s="16"/>
      <c r="E51" s="15"/>
      <c r="F51" s="14"/>
      <c r="G51" s="13"/>
    </row>
    <row r="52" spans="1:7" ht="36" customHeight="1" thickBot="1">
      <c r="A52" s="1901"/>
      <c r="B52" s="1904"/>
      <c r="C52" s="12"/>
      <c r="D52" s="11"/>
      <c r="E52" s="10"/>
      <c r="F52" s="10"/>
      <c r="G52" s="9"/>
    </row>
    <row r="53" spans="1:7" ht="60" customHeight="1" thickBot="1">
      <c r="A53" s="1907" t="s">
        <v>5</v>
      </c>
      <c r="B53" s="1908"/>
      <c r="C53" s="1908"/>
      <c r="D53" s="1908"/>
      <c r="E53" s="1908"/>
      <c r="F53" s="1908"/>
      <c r="G53" s="1909"/>
    </row>
    <row r="54" spans="1:7" ht="36" customHeight="1">
      <c r="A54" s="1899"/>
      <c r="B54" s="1902" t="s">
        <v>4</v>
      </c>
      <c r="C54" s="21"/>
      <c r="D54" s="22"/>
      <c r="E54" s="22"/>
      <c r="F54" s="18"/>
      <c r="G54" s="13"/>
    </row>
    <row r="55" spans="1:7" ht="36" customHeight="1">
      <c r="A55" s="1900"/>
      <c r="B55" s="1903"/>
      <c r="C55" s="21"/>
      <c r="D55" s="22"/>
      <c r="E55" s="22"/>
      <c r="F55" s="18"/>
      <c r="G55" s="13"/>
    </row>
    <row r="56" spans="1:7" ht="36" customHeight="1">
      <c r="A56" s="1900"/>
      <c r="B56" s="1903"/>
      <c r="C56" s="21"/>
      <c r="D56" s="20"/>
      <c r="E56" s="19"/>
      <c r="F56" s="18"/>
      <c r="G56" s="13"/>
    </row>
    <row r="57" spans="1:7" ht="36" customHeight="1" thickBot="1">
      <c r="A57" s="1900"/>
      <c r="B57" s="1903"/>
      <c r="C57" s="17"/>
      <c r="D57" s="16"/>
      <c r="E57" s="15"/>
      <c r="F57" s="14"/>
      <c r="G57" s="13"/>
    </row>
    <row r="58" spans="1:7" ht="36" customHeight="1" thickBot="1">
      <c r="A58" s="1901"/>
      <c r="B58" s="1904"/>
      <c r="C58" s="12"/>
      <c r="D58" s="11"/>
      <c r="E58" s="10"/>
      <c r="F58" s="10"/>
      <c r="G58" s="9"/>
    </row>
    <row r="59" spans="1:7" ht="36" customHeight="1">
      <c r="A59" s="1899"/>
      <c r="B59" s="1902" t="s">
        <v>15</v>
      </c>
      <c r="C59" s="21"/>
      <c r="D59" s="22"/>
      <c r="E59" s="22"/>
      <c r="F59" s="18"/>
      <c r="G59" s="13"/>
    </row>
    <row r="60" spans="1:7" ht="36" customHeight="1">
      <c r="A60" s="1900"/>
      <c r="B60" s="1903"/>
      <c r="C60" s="21"/>
      <c r="D60" s="22"/>
      <c r="E60" s="22"/>
      <c r="F60" s="18"/>
      <c r="G60" s="13"/>
    </row>
    <row r="61" spans="1:7" ht="36" customHeight="1">
      <c r="A61" s="1900"/>
      <c r="B61" s="1903"/>
      <c r="C61" s="21"/>
      <c r="D61" s="20"/>
      <c r="E61" s="19"/>
      <c r="F61" s="18"/>
      <c r="G61" s="13"/>
    </row>
    <row r="62" spans="1:7" ht="36" customHeight="1" thickBot="1">
      <c r="A62" s="1900"/>
      <c r="B62" s="1903"/>
      <c r="C62" s="17"/>
      <c r="D62" s="16"/>
      <c r="E62" s="15"/>
      <c r="F62" s="14"/>
      <c r="G62" s="13"/>
    </row>
    <row r="63" spans="1:7" ht="36" customHeight="1" thickBot="1">
      <c r="A63" s="1901"/>
      <c r="B63" s="1904"/>
      <c r="C63" s="12"/>
      <c r="D63" s="11"/>
      <c r="E63" s="10"/>
      <c r="F63" s="10"/>
      <c r="G63" s="9"/>
    </row>
    <row r="64" spans="1:7" ht="36" customHeight="1">
      <c r="A64" s="1899"/>
      <c r="B64" s="1902" t="s">
        <v>2</v>
      </c>
      <c r="C64" s="21"/>
      <c r="D64" s="22"/>
      <c r="E64" s="22"/>
      <c r="F64" s="18"/>
      <c r="G64" s="13"/>
    </row>
    <row r="65" spans="1:7" ht="36" customHeight="1">
      <c r="A65" s="1900"/>
      <c r="B65" s="1903"/>
      <c r="C65" s="21"/>
      <c r="D65" s="22"/>
      <c r="E65" s="22"/>
      <c r="F65" s="18"/>
      <c r="G65" s="13"/>
    </row>
    <row r="66" spans="1:7" ht="36" customHeight="1">
      <c r="A66" s="1900"/>
      <c r="B66" s="1903"/>
      <c r="C66" s="21"/>
      <c r="D66" s="20"/>
      <c r="E66" s="19"/>
      <c r="F66" s="18"/>
      <c r="G66" s="13"/>
    </row>
    <row r="67" spans="1:7" ht="36" customHeight="1" thickBot="1">
      <c r="A67" s="1900"/>
      <c r="B67" s="1903"/>
      <c r="C67" s="17"/>
      <c r="D67" s="16"/>
      <c r="E67" s="15"/>
      <c r="F67" s="14"/>
      <c r="G67" s="13"/>
    </row>
    <row r="68" spans="1:7" ht="36" customHeight="1" thickBot="1">
      <c r="A68" s="1901"/>
      <c r="B68" s="1904"/>
      <c r="C68" s="12"/>
      <c r="D68" s="11"/>
      <c r="E68" s="10"/>
      <c r="F68" s="10"/>
      <c r="G68" s="9"/>
    </row>
    <row r="69" spans="1:7" ht="36" customHeight="1">
      <c r="A69" s="1899"/>
      <c r="B69" s="1902" t="s">
        <v>1</v>
      </c>
      <c r="C69" s="21"/>
      <c r="D69" s="22"/>
      <c r="E69" s="22"/>
      <c r="F69" s="18"/>
      <c r="G69" s="13"/>
    </row>
    <row r="70" spans="1:7" ht="36" customHeight="1">
      <c r="A70" s="1900"/>
      <c r="B70" s="1903"/>
      <c r="C70" s="21"/>
      <c r="D70" s="22"/>
      <c r="E70" s="22"/>
      <c r="F70" s="18"/>
      <c r="G70" s="13"/>
    </row>
    <row r="71" spans="1:7" ht="36" customHeight="1">
      <c r="A71" s="1900"/>
      <c r="B71" s="1903"/>
      <c r="C71" s="21"/>
      <c r="D71" s="20"/>
      <c r="E71" s="19"/>
      <c r="F71" s="18"/>
      <c r="G71" s="13"/>
    </row>
    <row r="72" spans="1:7" ht="36" customHeight="1" thickBot="1">
      <c r="A72" s="1900"/>
      <c r="B72" s="1903"/>
      <c r="C72" s="17"/>
      <c r="D72" s="16"/>
      <c r="E72" s="15"/>
      <c r="F72" s="14"/>
      <c r="G72" s="13"/>
    </row>
    <row r="73" spans="1:7" ht="36" customHeight="1" thickBot="1">
      <c r="A73" s="1901"/>
      <c r="B73" s="1904"/>
      <c r="C73" s="12"/>
      <c r="D73" s="11"/>
      <c r="E73" s="10"/>
      <c r="F73" s="10"/>
      <c r="G73" s="9"/>
    </row>
    <row r="74" spans="1:7" ht="36" customHeight="1">
      <c r="A74" s="1899"/>
      <c r="B74" s="1902" t="s">
        <v>0</v>
      </c>
      <c r="C74" s="21"/>
      <c r="D74" s="22"/>
      <c r="E74" s="22"/>
      <c r="F74" s="18"/>
      <c r="G74" s="13"/>
    </row>
    <row r="75" spans="1:7" ht="36" customHeight="1">
      <c r="A75" s="1900"/>
      <c r="B75" s="1903"/>
      <c r="C75" s="21"/>
      <c r="D75" s="22"/>
      <c r="E75" s="22"/>
      <c r="F75" s="18"/>
      <c r="G75" s="13"/>
    </row>
    <row r="76" spans="1:7" ht="36" customHeight="1">
      <c r="A76" s="1900"/>
      <c r="B76" s="1903"/>
      <c r="C76" s="21"/>
      <c r="D76" s="20"/>
      <c r="E76" s="19"/>
      <c r="F76" s="18"/>
      <c r="G76" s="13"/>
    </row>
    <row r="77" spans="1:7" ht="36" customHeight="1" thickBot="1">
      <c r="A77" s="1900"/>
      <c r="B77" s="1903"/>
      <c r="C77" s="17"/>
      <c r="D77" s="16"/>
      <c r="E77" s="15"/>
      <c r="F77" s="14"/>
      <c r="G77" s="13"/>
    </row>
    <row r="78" spans="1:7" ht="36" customHeight="1" thickBot="1">
      <c r="A78" s="1901"/>
      <c r="B78" s="1904"/>
      <c r="C78" s="12"/>
      <c r="D78" s="11"/>
      <c r="E78" s="10"/>
      <c r="F78" s="10"/>
      <c r="G78" s="9"/>
    </row>
    <row r="79" spans="1:7" ht="60" customHeight="1" thickBot="1">
      <c r="A79" s="1907" t="s">
        <v>5</v>
      </c>
      <c r="B79" s="1908"/>
      <c r="C79" s="1908"/>
      <c r="D79" s="1908"/>
      <c r="E79" s="1908"/>
      <c r="F79" s="1908"/>
      <c r="G79" s="1909"/>
    </row>
    <row r="80" spans="1:7" ht="36" customHeight="1">
      <c r="A80" s="1899"/>
      <c r="B80" s="1902" t="s">
        <v>4</v>
      </c>
      <c r="C80" s="21"/>
      <c r="D80" s="22"/>
      <c r="E80" s="22"/>
      <c r="F80" s="18"/>
      <c r="G80" s="13"/>
    </row>
    <row r="81" spans="1:7" ht="36" customHeight="1">
      <c r="A81" s="1900"/>
      <c r="B81" s="1903"/>
      <c r="C81" s="21"/>
      <c r="D81" s="22"/>
      <c r="E81" s="22"/>
      <c r="F81" s="18"/>
      <c r="G81" s="13"/>
    </row>
    <row r="82" spans="1:7" ht="36" customHeight="1">
      <c r="A82" s="1900"/>
      <c r="B82" s="1903"/>
      <c r="C82" s="21"/>
      <c r="D82" s="20"/>
      <c r="E82" s="19"/>
      <c r="F82" s="18"/>
      <c r="G82" s="13"/>
    </row>
    <row r="83" spans="1:7" ht="36" customHeight="1" thickBot="1">
      <c r="A83" s="1900"/>
      <c r="B83" s="1903"/>
      <c r="C83" s="17"/>
      <c r="D83" s="16"/>
      <c r="E83" s="15"/>
      <c r="F83" s="14"/>
      <c r="G83" s="13"/>
    </row>
    <row r="84" spans="1:7" ht="36" customHeight="1" thickBot="1">
      <c r="A84" s="1901"/>
      <c r="B84" s="1904"/>
      <c r="C84" s="12"/>
      <c r="D84" s="11"/>
      <c r="E84" s="10"/>
      <c r="F84" s="10"/>
      <c r="G84" s="9"/>
    </row>
    <row r="85" spans="1:7" ht="36" customHeight="1">
      <c r="A85" s="1899"/>
      <c r="B85" s="1902" t="s">
        <v>3</v>
      </c>
      <c r="C85" s="21"/>
      <c r="D85" s="22"/>
      <c r="E85" s="22"/>
      <c r="F85" s="18"/>
      <c r="G85" s="13"/>
    </row>
    <row r="86" spans="1:7" ht="36" customHeight="1">
      <c r="A86" s="1900"/>
      <c r="B86" s="1903"/>
      <c r="C86" s="21"/>
      <c r="D86" s="22"/>
      <c r="E86" s="22"/>
      <c r="F86" s="18"/>
      <c r="G86" s="13"/>
    </row>
    <row r="87" spans="1:7" ht="36" customHeight="1">
      <c r="A87" s="1900"/>
      <c r="B87" s="1903"/>
      <c r="C87" s="21"/>
      <c r="D87" s="20"/>
      <c r="E87" s="19"/>
      <c r="F87" s="18"/>
      <c r="G87" s="13"/>
    </row>
    <row r="88" spans="1:7" ht="36" customHeight="1" thickBot="1">
      <c r="A88" s="1900"/>
      <c r="B88" s="1903"/>
      <c r="C88" s="17"/>
      <c r="D88" s="16"/>
      <c r="E88" s="15"/>
      <c r="F88" s="14"/>
      <c r="G88" s="13"/>
    </row>
    <row r="89" spans="1:7" ht="36" customHeight="1" thickBot="1">
      <c r="A89" s="1901"/>
      <c r="B89" s="1904"/>
      <c r="C89" s="12"/>
      <c r="D89" s="11"/>
      <c r="E89" s="10"/>
      <c r="F89" s="10"/>
      <c r="G89" s="9"/>
    </row>
    <row r="90" spans="1:7" ht="36" customHeight="1">
      <c r="A90" s="1899"/>
      <c r="B90" s="1902" t="s">
        <v>32</v>
      </c>
      <c r="C90" s="21"/>
      <c r="D90" s="22"/>
      <c r="E90" s="22"/>
      <c r="F90" s="18"/>
      <c r="G90" s="13"/>
    </row>
    <row r="91" spans="1:7" ht="36" customHeight="1">
      <c r="A91" s="1900"/>
      <c r="B91" s="1903"/>
      <c r="C91" s="21"/>
      <c r="D91" s="22"/>
      <c r="E91" s="22"/>
      <c r="F91" s="18"/>
      <c r="G91" s="13"/>
    </row>
    <row r="92" spans="1:7" ht="36" customHeight="1">
      <c r="A92" s="1900"/>
      <c r="B92" s="1903"/>
      <c r="C92" s="21"/>
      <c r="D92" s="20"/>
      <c r="E92" s="19"/>
      <c r="F92" s="18"/>
      <c r="G92" s="13"/>
    </row>
    <row r="93" spans="1:7" ht="36" customHeight="1" thickBot="1">
      <c r="A93" s="1900"/>
      <c r="B93" s="1903"/>
      <c r="C93" s="17"/>
      <c r="D93" s="16"/>
      <c r="E93" s="15"/>
      <c r="F93" s="14"/>
      <c r="G93" s="13"/>
    </row>
    <row r="94" spans="1:7" ht="36" customHeight="1" thickBot="1">
      <c r="A94" s="1901"/>
      <c r="B94" s="1904"/>
      <c r="C94" s="12"/>
      <c r="D94" s="11"/>
      <c r="E94" s="10"/>
      <c r="F94" s="10"/>
      <c r="G94" s="9"/>
    </row>
    <row r="95" spans="1:7" ht="36" customHeight="1">
      <c r="A95" s="1899"/>
      <c r="B95" s="1902" t="s">
        <v>1</v>
      </c>
      <c r="C95" s="21"/>
      <c r="D95" s="22"/>
      <c r="E95" s="22"/>
      <c r="F95" s="18"/>
      <c r="G95" s="13"/>
    </row>
    <row r="96" spans="1:7" ht="36" customHeight="1">
      <c r="A96" s="1900"/>
      <c r="B96" s="1903"/>
      <c r="C96" s="21"/>
      <c r="D96" s="22"/>
      <c r="E96" s="22"/>
      <c r="F96" s="18"/>
      <c r="G96" s="13"/>
    </row>
    <row r="97" spans="1:7" ht="36" customHeight="1">
      <c r="A97" s="1900"/>
      <c r="B97" s="1903"/>
      <c r="C97" s="21"/>
      <c r="D97" s="20"/>
      <c r="E97" s="19"/>
      <c r="F97" s="18"/>
      <c r="G97" s="13"/>
    </row>
    <row r="98" spans="1:7" ht="36" customHeight="1" thickBot="1">
      <c r="A98" s="1900"/>
      <c r="B98" s="1903"/>
      <c r="C98" s="17"/>
      <c r="D98" s="16"/>
      <c r="E98" s="15"/>
      <c r="F98" s="14"/>
      <c r="G98" s="13"/>
    </row>
    <row r="99" spans="1:7" ht="36" customHeight="1" thickBot="1">
      <c r="A99" s="1901"/>
      <c r="B99" s="1904"/>
      <c r="C99" s="12"/>
      <c r="D99" s="11"/>
      <c r="E99" s="10"/>
      <c r="F99" s="10"/>
      <c r="G99" s="9"/>
    </row>
    <row r="100" spans="1:7" ht="36" customHeight="1">
      <c r="A100" s="1899"/>
      <c r="B100" s="1902" t="s">
        <v>0</v>
      </c>
      <c r="C100" s="21"/>
      <c r="D100" s="22"/>
      <c r="E100" s="22"/>
      <c r="F100" s="18"/>
      <c r="G100" s="13"/>
    </row>
    <row r="101" spans="1:7" ht="36" customHeight="1">
      <c r="A101" s="1900"/>
      <c r="B101" s="1903"/>
      <c r="C101" s="21"/>
      <c r="D101" s="22"/>
      <c r="E101" s="22"/>
      <c r="F101" s="18"/>
      <c r="G101" s="13"/>
    </row>
    <row r="102" spans="1:7" ht="36" customHeight="1">
      <c r="A102" s="1900"/>
      <c r="B102" s="1903"/>
      <c r="C102" s="21"/>
      <c r="D102" s="20"/>
      <c r="E102" s="19"/>
      <c r="F102" s="18"/>
      <c r="G102" s="13"/>
    </row>
    <row r="103" spans="1:7" ht="36" customHeight="1" thickBot="1">
      <c r="A103" s="1900"/>
      <c r="B103" s="1903"/>
      <c r="C103" s="17"/>
      <c r="D103" s="16"/>
      <c r="E103" s="15"/>
      <c r="F103" s="14"/>
      <c r="G103" s="13"/>
    </row>
    <row r="104" spans="1:7" ht="36" customHeight="1" thickBot="1">
      <c r="A104" s="1901"/>
      <c r="B104" s="1904"/>
      <c r="C104" s="12"/>
      <c r="D104" s="11"/>
      <c r="E104" s="10"/>
      <c r="F104" s="10"/>
      <c r="G104" s="9"/>
    </row>
    <row r="105" spans="1:7" ht="60" customHeight="1" thickBot="1">
      <c r="A105" s="1907" t="s">
        <v>5</v>
      </c>
      <c r="B105" s="1908"/>
      <c r="C105" s="1908"/>
      <c r="D105" s="1908"/>
      <c r="E105" s="1908"/>
      <c r="F105" s="1908"/>
      <c r="G105" s="1909"/>
    </row>
    <row r="106" spans="1:7" ht="36" customHeight="1">
      <c r="A106" s="1899"/>
      <c r="B106" s="1902" t="s">
        <v>4</v>
      </c>
      <c r="C106" s="21"/>
      <c r="D106" s="22"/>
      <c r="E106" s="22"/>
      <c r="F106" s="18"/>
      <c r="G106" s="13"/>
    </row>
    <row r="107" spans="1:7" ht="36" customHeight="1">
      <c r="A107" s="1900"/>
      <c r="B107" s="1903"/>
      <c r="C107" s="21"/>
      <c r="D107" s="22"/>
      <c r="E107" s="22"/>
      <c r="F107" s="18"/>
      <c r="G107" s="13"/>
    </row>
    <row r="108" spans="1:7" ht="36" customHeight="1">
      <c r="A108" s="1900"/>
      <c r="B108" s="1903"/>
      <c r="C108" s="21"/>
      <c r="D108" s="20"/>
      <c r="E108" s="19"/>
      <c r="F108" s="18"/>
      <c r="G108" s="13"/>
    </row>
    <row r="109" spans="1:7" ht="36" customHeight="1" thickBot="1">
      <c r="A109" s="1900"/>
      <c r="B109" s="1903"/>
      <c r="C109" s="17"/>
      <c r="D109" s="16"/>
      <c r="E109" s="15"/>
      <c r="F109" s="14"/>
      <c r="G109" s="13"/>
    </row>
    <row r="110" spans="1:7" ht="36" customHeight="1" thickBot="1">
      <c r="A110" s="1901"/>
      <c r="B110" s="1904"/>
      <c r="C110" s="12"/>
      <c r="D110" s="11"/>
      <c r="E110" s="10"/>
      <c r="F110" s="10"/>
      <c r="G110" s="9"/>
    </row>
    <row r="111" spans="1:7" ht="36" customHeight="1">
      <c r="A111" s="1899"/>
      <c r="B111" s="1902" t="s">
        <v>3</v>
      </c>
      <c r="C111" s="21"/>
      <c r="D111" s="22"/>
      <c r="E111" s="22"/>
      <c r="F111" s="18"/>
      <c r="G111" s="13"/>
    </row>
    <row r="112" spans="1:7" ht="36" customHeight="1">
      <c r="A112" s="1900"/>
      <c r="B112" s="1903"/>
      <c r="C112" s="21"/>
      <c r="D112" s="22"/>
      <c r="E112" s="22"/>
      <c r="F112" s="18"/>
      <c r="G112" s="13"/>
    </row>
    <row r="113" spans="1:7" ht="36" customHeight="1">
      <c r="A113" s="1900"/>
      <c r="B113" s="1903"/>
      <c r="C113" s="21"/>
      <c r="D113" s="20"/>
      <c r="E113" s="19"/>
      <c r="F113" s="18"/>
      <c r="G113" s="13"/>
    </row>
    <row r="114" spans="1:7" ht="36" customHeight="1" thickBot="1">
      <c r="A114" s="1900"/>
      <c r="B114" s="1903"/>
      <c r="C114" s="17"/>
      <c r="D114" s="16"/>
      <c r="E114" s="15"/>
      <c r="F114" s="14"/>
      <c r="G114" s="13"/>
    </row>
    <row r="115" spans="1:7" ht="36" customHeight="1" thickBot="1">
      <c r="A115" s="1901"/>
      <c r="B115" s="1904"/>
      <c r="C115" s="12"/>
      <c r="D115" s="11"/>
      <c r="E115" s="10"/>
      <c r="F115" s="10"/>
      <c r="G115" s="9"/>
    </row>
    <row r="116" spans="1:7" ht="36" customHeight="1">
      <c r="A116" s="1899"/>
      <c r="B116" s="1902" t="s">
        <v>2</v>
      </c>
      <c r="C116" s="21"/>
      <c r="D116" s="22"/>
      <c r="E116" s="22"/>
      <c r="F116" s="18"/>
      <c r="G116" s="13"/>
    </row>
    <row r="117" spans="1:7" ht="36" customHeight="1">
      <c r="A117" s="1900"/>
      <c r="B117" s="1903"/>
      <c r="C117" s="21"/>
      <c r="D117" s="22"/>
      <c r="E117" s="22"/>
      <c r="F117" s="18"/>
      <c r="G117" s="13"/>
    </row>
    <row r="118" spans="1:7" ht="36" customHeight="1">
      <c r="A118" s="1900"/>
      <c r="B118" s="1903"/>
      <c r="C118" s="21"/>
      <c r="D118" s="20"/>
      <c r="E118" s="19"/>
      <c r="F118" s="18"/>
      <c r="G118" s="13"/>
    </row>
    <row r="119" spans="1:7" ht="36" customHeight="1" thickBot="1">
      <c r="A119" s="1900"/>
      <c r="B119" s="1903"/>
      <c r="C119" s="17"/>
      <c r="D119" s="16"/>
      <c r="E119" s="15"/>
      <c r="F119" s="14"/>
      <c r="G119" s="13"/>
    </row>
    <row r="120" spans="1:7" ht="36" customHeight="1" thickBot="1">
      <c r="A120" s="1901"/>
      <c r="B120" s="1904"/>
      <c r="C120" s="12"/>
      <c r="D120" s="11"/>
      <c r="E120" s="10"/>
      <c r="F120" s="10"/>
      <c r="G120" s="9"/>
    </row>
    <row r="121" spans="1:7" ht="36" customHeight="1">
      <c r="A121" s="1899"/>
      <c r="B121" s="1902" t="s">
        <v>1</v>
      </c>
      <c r="C121" s="21"/>
      <c r="D121" s="22"/>
      <c r="E121" s="22"/>
      <c r="F121" s="18"/>
      <c r="G121" s="13"/>
    </row>
    <row r="122" spans="1:7" ht="36" customHeight="1">
      <c r="A122" s="1900"/>
      <c r="B122" s="1903"/>
      <c r="C122" s="21"/>
      <c r="D122" s="22"/>
      <c r="E122" s="22"/>
      <c r="F122" s="18"/>
      <c r="G122" s="13"/>
    </row>
    <row r="123" spans="1:7" ht="36" customHeight="1">
      <c r="A123" s="1900"/>
      <c r="B123" s="1903"/>
      <c r="C123" s="21"/>
      <c r="D123" s="20"/>
      <c r="E123" s="19"/>
      <c r="F123" s="18"/>
      <c r="G123" s="13"/>
    </row>
    <row r="124" spans="1:7" ht="36" customHeight="1" thickBot="1">
      <c r="A124" s="1900"/>
      <c r="B124" s="1903"/>
      <c r="C124" s="17"/>
      <c r="D124" s="16"/>
      <c r="E124" s="15"/>
      <c r="F124" s="14"/>
      <c r="G124" s="13"/>
    </row>
    <row r="125" spans="1:7" ht="36" customHeight="1" thickBot="1">
      <c r="A125" s="1901"/>
      <c r="B125" s="1904"/>
      <c r="C125" s="12"/>
      <c r="D125" s="11"/>
      <c r="E125" s="10"/>
      <c r="F125" s="10"/>
      <c r="G125" s="9"/>
    </row>
    <row r="126" spans="1:7" ht="36" customHeight="1">
      <c r="A126" s="1899"/>
      <c r="B126" s="1902" t="s">
        <v>0</v>
      </c>
      <c r="C126" s="21"/>
      <c r="D126" s="22"/>
      <c r="E126" s="22"/>
      <c r="F126" s="18"/>
      <c r="G126" s="13"/>
    </row>
    <row r="127" spans="1:7" ht="36" customHeight="1">
      <c r="A127" s="1900"/>
      <c r="B127" s="1903"/>
      <c r="C127" s="21"/>
      <c r="D127" s="22"/>
      <c r="E127" s="22"/>
      <c r="F127" s="18"/>
      <c r="G127" s="13"/>
    </row>
    <row r="128" spans="1:7" ht="36" customHeight="1">
      <c r="A128" s="1900"/>
      <c r="B128" s="1903"/>
      <c r="C128" s="21"/>
      <c r="D128" s="20"/>
      <c r="E128" s="19"/>
      <c r="F128" s="18"/>
      <c r="G128" s="13"/>
    </row>
    <row r="129" spans="1:7" ht="36" customHeight="1" thickBot="1">
      <c r="A129" s="1900"/>
      <c r="B129" s="1903"/>
      <c r="C129" s="17"/>
      <c r="D129" s="16"/>
      <c r="E129" s="15"/>
      <c r="F129" s="14"/>
      <c r="G129" s="13"/>
    </row>
    <row r="130" spans="1:7" ht="36" customHeight="1" thickBot="1">
      <c r="A130" s="1901"/>
      <c r="B130" s="1904"/>
      <c r="C130" s="12"/>
      <c r="D130" s="11"/>
      <c r="E130" s="10"/>
      <c r="F130" s="10"/>
      <c r="G130" s="9"/>
    </row>
  </sheetData>
  <mergeCells count="55">
    <mergeCell ref="A22:A26"/>
    <mergeCell ref="B22:B26"/>
    <mergeCell ref="A12:A16"/>
    <mergeCell ref="B12:B16"/>
    <mergeCell ref="A17:A21"/>
    <mergeCell ref="B17:B21"/>
    <mergeCell ref="A7:A11"/>
    <mergeCell ref="B7:B11"/>
    <mergeCell ref="A1:G1"/>
    <mergeCell ref="A2:A6"/>
    <mergeCell ref="B2:B6"/>
    <mergeCell ref="B48:B52"/>
    <mergeCell ref="A27:G27"/>
    <mergeCell ref="A28:A32"/>
    <mergeCell ref="B28:B32"/>
    <mergeCell ref="A33:A37"/>
    <mergeCell ref="B33:B37"/>
    <mergeCell ref="A38:A42"/>
    <mergeCell ref="B38:B42"/>
    <mergeCell ref="A43:A47"/>
    <mergeCell ref="B43:B47"/>
    <mergeCell ref="A48:A52"/>
    <mergeCell ref="A53:G53"/>
    <mergeCell ref="A54:A58"/>
    <mergeCell ref="B54:B58"/>
    <mergeCell ref="A59:A63"/>
    <mergeCell ref="B59:B63"/>
    <mergeCell ref="A64:A68"/>
    <mergeCell ref="B64:B68"/>
    <mergeCell ref="A69:A73"/>
    <mergeCell ref="B69:B73"/>
    <mergeCell ref="A74:A78"/>
    <mergeCell ref="B74:B78"/>
    <mergeCell ref="B100:B104"/>
    <mergeCell ref="A79:G79"/>
    <mergeCell ref="A80:A84"/>
    <mergeCell ref="B80:B84"/>
    <mergeCell ref="A85:A89"/>
    <mergeCell ref="B85:B89"/>
    <mergeCell ref="A90:A94"/>
    <mergeCell ref="B90:B94"/>
    <mergeCell ref="A95:A99"/>
    <mergeCell ref="B95:B99"/>
    <mergeCell ref="A100:A104"/>
    <mergeCell ref="A105:G105"/>
    <mergeCell ref="A106:A110"/>
    <mergeCell ref="B106:B110"/>
    <mergeCell ref="A111:A115"/>
    <mergeCell ref="B111:B115"/>
    <mergeCell ref="A116:A120"/>
    <mergeCell ref="B116:B120"/>
    <mergeCell ref="A121:A125"/>
    <mergeCell ref="B121:B125"/>
    <mergeCell ref="A126:A130"/>
    <mergeCell ref="B126:B13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J29" sqref="J29"/>
    </sheetView>
  </sheetViews>
  <sheetFormatPr defaultRowHeight="16.5"/>
  <cols>
    <col min="1" max="1" width="11.125" bestFit="1" customWidth="1"/>
    <col min="2" max="2" width="11.5" customWidth="1"/>
    <col min="3" max="3" width="11.875" bestFit="1" customWidth="1"/>
    <col min="4" max="5" width="11.875" customWidth="1"/>
    <col min="6" max="6" width="11.625" bestFit="1" customWidth="1"/>
  </cols>
  <sheetData>
    <row r="1" spans="1:7" ht="20.25">
      <c r="A1" s="1970" t="s">
        <v>91</v>
      </c>
      <c r="B1" s="1970"/>
      <c r="C1" s="1970"/>
      <c r="D1" s="1970"/>
      <c r="E1" s="1970"/>
      <c r="F1" s="1970"/>
      <c r="G1" s="112" t="s">
        <v>90</v>
      </c>
    </row>
    <row r="2" spans="1:7">
      <c r="A2" s="111" t="s">
        <v>89</v>
      </c>
      <c r="B2" s="111" t="s">
        <v>88</v>
      </c>
      <c r="C2" s="111" t="s">
        <v>23</v>
      </c>
      <c r="D2" s="111" t="s">
        <v>89</v>
      </c>
      <c r="E2" s="111" t="s">
        <v>88</v>
      </c>
      <c r="F2" s="111" t="s">
        <v>87</v>
      </c>
    </row>
    <row r="3" spans="1:7">
      <c r="A3" s="110">
        <v>44615</v>
      </c>
      <c r="B3" s="109" t="s">
        <v>86</v>
      </c>
      <c r="C3" s="109"/>
      <c r="D3" s="110">
        <v>44615</v>
      </c>
      <c r="E3" s="109" t="s">
        <v>86</v>
      </c>
      <c r="F3" s="109"/>
    </row>
    <row r="4" spans="1:7">
      <c r="A4" s="110">
        <v>44616</v>
      </c>
      <c r="B4" s="109" t="s">
        <v>70</v>
      </c>
      <c r="C4" s="109">
        <v>30</v>
      </c>
      <c r="D4" s="110"/>
      <c r="E4" s="109"/>
      <c r="F4" s="109"/>
    </row>
    <row r="5" spans="1:7">
      <c r="A5" s="110"/>
      <c r="B5" s="109"/>
      <c r="C5" s="109"/>
      <c r="D5" s="109"/>
      <c r="E5" s="109"/>
      <c r="F5" s="109"/>
    </row>
    <row r="6" spans="1:7">
      <c r="A6" s="110"/>
      <c r="B6" s="109"/>
      <c r="C6" s="109"/>
      <c r="D6" s="109"/>
      <c r="E6" s="109"/>
      <c r="F6" s="109"/>
    </row>
    <row r="7" spans="1:7">
      <c r="A7" s="110"/>
      <c r="B7" s="109"/>
      <c r="C7" s="109"/>
      <c r="D7" s="109"/>
      <c r="E7" s="109"/>
      <c r="F7" s="109"/>
    </row>
    <row r="8" spans="1:7">
      <c r="A8" s="110"/>
      <c r="B8" s="109"/>
      <c r="C8" s="109"/>
      <c r="D8" s="109"/>
      <c r="E8" s="109"/>
      <c r="F8" s="109"/>
    </row>
    <row r="9" spans="1:7">
      <c r="A9" s="110"/>
      <c r="B9" s="109"/>
      <c r="C9" s="109"/>
      <c r="D9" s="109"/>
      <c r="E9" s="109"/>
      <c r="F9" s="109"/>
    </row>
    <row r="10" spans="1:7">
      <c r="A10" s="110"/>
      <c r="B10" s="109"/>
      <c r="C10" s="109"/>
      <c r="D10" s="109"/>
      <c r="E10" s="109"/>
      <c r="F10" s="109"/>
    </row>
    <row r="11" spans="1:7">
      <c r="A11" s="110"/>
      <c r="B11" s="109"/>
      <c r="C11" s="109"/>
      <c r="D11" s="109"/>
      <c r="E11" s="109"/>
      <c r="F11" s="109"/>
    </row>
    <row r="12" spans="1:7">
      <c r="A12" s="109"/>
      <c r="B12" s="109"/>
      <c r="C12" s="109"/>
      <c r="D12" s="109"/>
      <c r="E12" s="109"/>
      <c r="F12" s="109"/>
    </row>
    <row r="13" spans="1:7">
      <c r="A13" s="109"/>
      <c r="B13" s="109"/>
      <c r="C13" s="109"/>
      <c r="D13" s="109"/>
      <c r="E13" s="109"/>
      <c r="F13" s="109"/>
    </row>
    <row r="14" spans="1:7">
      <c r="A14" s="109"/>
      <c r="B14" s="109"/>
      <c r="C14" s="109"/>
      <c r="D14" s="109"/>
      <c r="E14" s="109"/>
      <c r="F14" s="109"/>
    </row>
    <row r="15" spans="1:7">
      <c r="A15" s="109"/>
      <c r="B15" s="109"/>
      <c r="C15" s="109"/>
      <c r="D15" s="109"/>
      <c r="E15" s="109"/>
      <c r="F15" s="109"/>
    </row>
    <row r="16" spans="1:7">
      <c r="A16" s="109"/>
      <c r="B16" s="109"/>
      <c r="C16" s="109"/>
      <c r="D16" s="109"/>
      <c r="E16" s="109"/>
      <c r="F16" s="109"/>
    </row>
    <row r="17" spans="1:6">
      <c r="A17" s="109"/>
      <c r="B17" s="109"/>
      <c r="C17" s="109"/>
      <c r="D17" s="109"/>
      <c r="E17" s="109"/>
      <c r="F17" s="109"/>
    </row>
    <row r="18" spans="1:6">
      <c r="A18" s="109"/>
      <c r="B18" s="109"/>
      <c r="C18" s="109"/>
      <c r="D18" s="109"/>
      <c r="E18" s="109"/>
      <c r="F18" s="109"/>
    </row>
    <row r="19" spans="1:6">
      <c r="A19" s="109"/>
      <c r="B19" s="109"/>
      <c r="C19" s="109"/>
      <c r="D19" s="109"/>
      <c r="E19" s="109"/>
      <c r="F19" s="109"/>
    </row>
    <row r="20" spans="1:6">
      <c r="A20" s="109"/>
      <c r="B20" s="109"/>
      <c r="C20" s="109"/>
      <c r="D20" s="109"/>
      <c r="E20" s="109"/>
      <c r="F20" s="109"/>
    </row>
    <row r="21" spans="1:6">
      <c r="A21" s="109"/>
      <c r="B21" s="109"/>
      <c r="C21" s="109"/>
      <c r="D21" s="109"/>
      <c r="E21" s="109"/>
      <c r="F21" s="109"/>
    </row>
    <row r="22" spans="1:6">
      <c r="A22" s="109"/>
      <c r="B22" s="109"/>
      <c r="C22" s="109"/>
      <c r="D22" s="109"/>
      <c r="E22" s="109"/>
      <c r="F22" s="109"/>
    </row>
    <row r="23" spans="1:6">
      <c r="A23" s="109"/>
      <c r="B23" s="109"/>
      <c r="C23" s="109"/>
      <c r="D23" s="109"/>
      <c r="E23" s="109"/>
      <c r="F23" s="109"/>
    </row>
    <row r="24" spans="1:6">
      <c r="A24" s="109"/>
      <c r="B24" s="109"/>
      <c r="C24" s="109"/>
      <c r="D24" s="109"/>
      <c r="E24" s="109"/>
      <c r="F24" s="109"/>
    </row>
    <row r="25" spans="1:6">
      <c r="A25" s="109"/>
      <c r="B25" s="109"/>
      <c r="C25" s="109"/>
      <c r="D25" s="109"/>
      <c r="E25" s="109"/>
      <c r="F25" s="109"/>
    </row>
    <row r="26" spans="1:6">
      <c r="A26" s="109"/>
      <c r="B26" s="109"/>
      <c r="C26" s="109"/>
      <c r="D26" s="109"/>
      <c r="E26" s="109"/>
      <c r="F26" s="109"/>
    </row>
    <row r="27" spans="1:6">
      <c r="A27" s="109"/>
      <c r="B27" s="109"/>
      <c r="C27" s="109"/>
      <c r="D27" s="109"/>
      <c r="E27" s="109"/>
      <c r="F27" s="109"/>
    </row>
    <row r="28" spans="1:6">
      <c r="A28" s="109"/>
      <c r="B28" s="109"/>
      <c r="C28" s="109"/>
      <c r="D28" s="109"/>
      <c r="E28" s="109"/>
      <c r="F28" s="109"/>
    </row>
    <row r="29" spans="1:6">
      <c r="A29" s="109"/>
      <c r="B29" s="109"/>
      <c r="C29" s="109"/>
      <c r="D29" s="109"/>
      <c r="E29" s="109"/>
      <c r="F29" s="109"/>
    </row>
    <row r="30" spans="1:6">
      <c r="A30" s="109"/>
      <c r="B30" s="109"/>
      <c r="C30" s="109"/>
      <c r="D30" s="109"/>
      <c r="E30" s="109"/>
      <c r="F30" s="109"/>
    </row>
    <row r="31" spans="1:6">
      <c r="A31" s="109"/>
      <c r="B31" s="109"/>
      <c r="C31" s="109"/>
      <c r="D31" s="109"/>
      <c r="E31" s="109"/>
      <c r="F31" s="109"/>
    </row>
    <row r="32" spans="1:6">
      <c r="A32" s="1971" t="s">
        <v>85</v>
      </c>
      <c r="B32" s="1972"/>
      <c r="C32" s="109">
        <f>SUM(C3:C31)</f>
        <v>30</v>
      </c>
      <c r="D32" s="109"/>
      <c r="E32" s="109"/>
      <c r="F32" s="109">
        <f>SUM(F3:F31)</f>
        <v>0</v>
      </c>
    </row>
  </sheetData>
  <mergeCells count="2">
    <mergeCell ref="A1:F1"/>
    <mergeCell ref="A32:B32"/>
  </mergeCells>
  <phoneticPr fontId="3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B7" sqref="B7"/>
    </sheetView>
  </sheetViews>
  <sheetFormatPr defaultRowHeight="16.5"/>
  <cols>
    <col min="1" max="1" width="11.125" bestFit="1" customWidth="1"/>
    <col min="2" max="2" width="11.5" customWidth="1"/>
    <col min="3" max="3" width="11.875" bestFit="1" customWidth="1"/>
    <col min="4" max="5" width="11.875" customWidth="1"/>
    <col min="6" max="6" width="11.625" bestFit="1" customWidth="1"/>
  </cols>
  <sheetData>
    <row r="1" spans="1:7" ht="20.25">
      <c r="A1" s="1970" t="s">
        <v>14</v>
      </c>
      <c r="B1" s="1970"/>
      <c r="C1" s="1970"/>
      <c r="D1" s="1970"/>
      <c r="E1" s="1970"/>
      <c r="F1" s="1970"/>
      <c r="G1" s="112" t="s">
        <v>90</v>
      </c>
    </row>
    <row r="2" spans="1:7">
      <c r="A2" s="111" t="s">
        <v>89</v>
      </c>
      <c r="B2" s="111" t="s">
        <v>88</v>
      </c>
      <c r="C2" s="111" t="s">
        <v>23</v>
      </c>
      <c r="D2" s="111" t="s">
        <v>89</v>
      </c>
      <c r="E2" s="111" t="s">
        <v>88</v>
      </c>
      <c r="F2" s="111" t="s">
        <v>87</v>
      </c>
    </row>
    <row r="3" spans="1:7">
      <c r="A3" s="110">
        <v>44357</v>
      </c>
      <c r="B3" s="109" t="s">
        <v>97</v>
      </c>
      <c r="C3" s="109">
        <f>576</f>
        <v>576</v>
      </c>
      <c r="D3" s="110">
        <v>44357</v>
      </c>
      <c r="E3" s="109" t="s">
        <v>97</v>
      </c>
      <c r="F3" s="109">
        <v>576</v>
      </c>
    </row>
    <row r="4" spans="1:7">
      <c r="A4" s="110">
        <v>44363</v>
      </c>
      <c r="B4" s="109" t="s">
        <v>96</v>
      </c>
      <c r="C4" s="109">
        <v>-20</v>
      </c>
      <c r="D4" s="110">
        <v>44376</v>
      </c>
      <c r="E4" s="109" t="s">
        <v>9</v>
      </c>
      <c r="F4" s="109">
        <v>-96</v>
      </c>
    </row>
    <row r="5" spans="1:7">
      <c r="A5" s="110">
        <v>44368</v>
      </c>
      <c r="B5" s="109" t="s">
        <v>70</v>
      </c>
      <c r="C5" s="109">
        <v>-30</v>
      </c>
      <c r="D5" s="109"/>
      <c r="E5" s="109"/>
      <c r="F5" s="109"/>
    </row>
    <row r="6" spans="1:7">
      <c r="A6" s="110">
        <v>44370</v>
      </c>
      <c r="B6" s="109" t="s">
        <v>30</v>
      </c>
      <c r="C6" s="109">
        <v>-20</v>
      </c>
      <c r="D6" s="109"/>
      <c r="E6" s="109"/>
      <c r="F6" s="109"/>
    </row>
    <row r="7" spans="1:7">
      <c r="A7" s="110">
        <v>44372</v>
      </c>
      <c r="B7" s="109" t="s">
        <v>93</v>
      </c>
      <c r="C7" s="109">
        <v>-20</v>
      </c>
      <c r="D7" s="109"/>
      <c r="E7" s="109"/>
      <c r="F7" s="109"/>
    </row>
    <row r="8" spans="1:7">
      <c r="A8" s="110">
        <v>44376</v>
      </c>
      <c r="B8" s="109" t="s">
        <v>95</v>
      </c>
      <c r="C8" s="109">
        <v>-5</v>
      </c>
      <c r="D8" s="109"/>
      <c r="E8" s="109"/>
      <c r="F8" s="109"/>
    </row>
    <row r="9" spans="1:7">
      <c r="A9" s="110">
        <v>44378</v>
      </c>
      <c r="B9" s="109" t="s">
        <v>94</v>
      </c>
      <c r="C9" s="109">
        <v>-24</v>
      </c>
      <c r="D9" s="109"/>
      <c r="E9" s="109"/>
      <c r="F9" s="109"/>
    </row>
    <row r="10" spans="1:7">
      <c r="A10" s="110">
        <v>44382</v>
      </c>
      <c r="B10" s="109" t="s">
        <v>93</v>
      </c>
      <c r="C10" s="109">
        <v>-20</v>
      </c>
      <c r="D10" s="109"/>
      <c r="E10" s="109"/>
      <c r="F10" s="109"/>
    </row>
    <row r="11" spans="1:7">
      <c r="A11" s="110">
        <v>44384</v>
      </c>
      <c r="B11" s="109" t="s">
        <v>92</v>
      </c>
      <c r="C11" s="109">
        <v>-2</v>
      </c>
      <c r="D11" s="109"/>
      <c r="E11" s="109"/>
      <c r="F11" s="109"/>
    </row>
    <row r="12" spans="1:7">
      <c r="A12" s="109"/>
      <c r="B12" s="109"/>
      <c r="C12" s="109"/>
      <c r="D12" s="109"/>
      <c r="E12" s="109"/>
      <c r="F12" s="109"/>
    </row>
    <row r="13" spans="1:7">
      <c r="A13" s="109"/>
      <c r="B13" s="109"/>
      <c r="C13" s="109"/>
      <c r="D13" s="109"/>
      <c r="E13" s="109"/>
      <c r="F13" s="109"/>
    </row>
    <row r="14" spans="1:7">
      <c r="A14" s="109"/>
      <c r="B14" s="109"/>
      <c r="C14" s="109"/>
      <c r="D14" s="109"/>
      <c r="E14" s="109"/>
      <c r="F14" s="109"/>
    </row>
    <row r="15" spans="1:7">
      <c r="A15" s="109"/>
      <c r="B15" s="109"/>
      <c r="C15" s="109"/>
      <c r="D15" s="109"/>
      <c r="E15" s="109"/>
      <c r="F15" s="109"/>
    </row>
    <row r="16" spans="1:7">
      <c r="A16" s="109"/>
      <c r="B16" s="109"/>
      <c r="C16" s="109"/>
      <c r="D16" s="109"/>
      <c r="E16" s="109"/>
      <c r="F16" s="109"/>
    </row>
    <row r="17" spans="1:6">
      <c r="A17" s="109"/>
      <c r="B17" s="109"/>
      <c r="C17" s="109"/>
      <c r="D17" s="109"/>
      <c r="E17" s="109"/>
      <c r="F17" s="109"/>
    </row>
    <row r="18" spans="1:6">
      <c r="A18" s="109"/>
      <c r="B18" s="109"/>
      <c r="C18" s="109"/>
      <c r="D18" s="109"/>
      <c r="E18" s="109"/>
      <c r="F18" s="109"/>
    </row>
    <row r="19" spans="1:6">
      <c r="A19" s="109"/>
      <c r="B19" s="109"/>
      <c r="C19" s="109"/>
      <c r="D19" s="109"/>
      <c r="E19" s="109"/>
      <c r="F19" s="109"/>
    </row>
    <row r="20" spans="1:6">
      <c r="A20" s="109"/>
      <c r="B20" s="109"/>
      <c r="C20" s="109"/>
      <c r="D20" s="109"/>
      <c r="E20" s="109"/>
      <c r="F20" s="109"/>
    </row>
    <row r="21" spans="1:6">
      <c r="A21" s="109"/>
      <c r="B21" s="109"/>
      <c r="C21" s="109"/>
      <c r="D21" s="109"/>
      <c r="E21" s="109"/>
      <c r="F21" s="109"/>
    </row>
    <row r="22" spans="1:6">
      <c r="A22" s="109"/>
      <c r="B22" s="109"/>
      <c r="C22" s="109"/>
      <c r="D22" s="109"/>
      <c r="E22" s="109"/>
      <c r="F22" s="109"/>
    </row>
    <row r="23" spans="1:6">
      <c r="A23" s="109"/>
      <c r="B23" s="109"/>
      <c r="C23" s="109"/>
      <c r="D23" s="109"/>
      <c r="E23" s="109"/>
      <c r="F23" s="109"/>
    </row>
    <row r="24" spans="1:6">
      <c r="A24" s="109"/>
      <c r="B24" s="109"/>
      <c r="C24" s="109"/>
      <c r="D24" s="109"/>
      <c r="E24" s="109"/>
      <c r="F24" s="109"/>
    </row>
    <row r="25" spans="1:6">
      <c r="A25" s="109"/>
      <c r="B25" s="109"/>
      <c r="C25" s="109"/>
      <c r="D25" s="109"/>
      <c r="E25" s="109"/>
      <c r="F25" s="109"/>
    </row>
    <row r="26" spans="1:6">
      <c r="A26" s="109"/>
      <c r="B26" s="109"/>
      <c r="C26" s="109"/>
      <c r="D26" s="109"/>
      <c r="E26" s="109"/>
      <c r="F26" s="109"/>
    </row>
    <row r="27" spans="1:6">
      <c r="A27" s="109"/>
      <c r="B27" s="109"/>
      <c r="C27" s="109"/>
      <c r="D27" s="109"/>
      <c r="E27" s="109"/>
      <c r="F27" s="109"/>
    </row>
    <row r="28" spans="1:6">
      <c r="A28" s="109"/>
      <c r="B28" s="109"/>
      <c r="C28" s="109"/>
      <c r="D28" s="109"/>
      <c r="E28" s="109"/>
      <c r="F28" s="109"/>
    </row>
    <row r="29" spans="1:6">
      <c r="A29" s="109"/>
      <c r="B29" s="109"/>
      <c r="C29" s="109"/>
      <c r="D29" s="109"/>
      <c r="E29" s="109"/>
      <c r="F29" s="109"/>
    </row>
    <row r="30" spans="1:6">
      <c r="A30" s="109"/>
      <c r="B30" s="109"/>
      <c r="C30" s="109"/>
      <c r="D30" s="109"/>
      <c r="E30" s="109"/>
      <c r="F30" s="109"/>
    </row>
    <row r="31" spans="1:6">
      <c r="A31" s="109"/>
      <c r="B31" s="109"/>
      <c r="C31" s="109"/>
      <c r="D31" s="109"/>
      <c r="E31" s="109"/>
      <c r="F31" s="109"/>
    </row>
    <row r="32" spans="1:6">
      <c r="A32" s="1971" t="s">
        <v>85</v>
      </c>
      <c r="B32" s="1972"/>
      <c r="C32" s="109">
        <f>SUM(C3:C31)</f>
        <v>435</v>
      </c>
      <c r="D32" s="109"/>
      <c r="E32" s="109"/>
      <c r="F32" s="109">
        <f>SUM(F3:F31)</f>
        <v>480</v>
      </c>
    </row>
  </sheetData>
  <mergeCells count="2">
    <mergeCell ref="A1:F1"/>
    <mergeCell ref="A32:B32"/>
  </mergeCells>
  <phoneticPr fontId="3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opLeftCell="A2" workbookViewId="0">
      <selection activeCell="C10" sqref="C10"/>
    </sheetView>
  </sheetViews>
  <sheetFormatPr defaultRowHeight="16.5"/>
  <cols>
    <col min="2" max="2" width="15.625" bestFit="1" customWidth="1"/>
    <col min="3" max="3" width="14.375" bestFit="1" customWidth="1"/>
    <col min="4" max="4" width="19.375" style="113" bestFit="1" customWidth="1"/>
    <col min="5" max="5" width="15.25" style="113" customWidth="1"/>
    <col min="6" max="6" width="11.875" bestFit="1" customWidth="1"/>
    <col min="9" max="9" width="13.75" bestFit="1" customWidth="1"/>
    <col min="10" max="10" width="11.875" bestFit="1" customWidth="1"/>
    <col min="11" max="11" width="10.875" bestFit="1" customWidth="1"/>
    <col min="12" max="12" width="12" bestFit="1" customWidth="1"/>
  </cols>
  <sheetData>
    <row r="1" spans="1:9" ht="26.25">
      <c r="A1" s="1977" t="s">
        <v>132</v>
      </c>
      <c r="B1" s="1978"/>
      <c r="C1" s="1978"/>
      <c r="D1" s="1978"/>
      <c r="E1" s="1978"/>
      <c r="F1" s="1978"/>
    </row>
    <row r="2" spans="1:9">
      <c r="A2" s="109" t="s">
        <v>131</v>
      </c>
      <c r="B2" s="109" t="s">
        <v>130</v>
      </c>
      <c r="C2" s="109" t="s">
        <v>88</v>
      </c>
      <c r="D2" s="120" t="s">
        <v>129</v>
      </c>
      <c r="E2" s="119" t="s">
        <v>128</v>
      </c>
      <c r="F2" s="115" t="s">
        <v>127</v>
      </c>
      <c r="H2" s="117" t="s">
        <v>126</v>
      </c>
    </row>
    <row r="3" spans="1:9">
      <c r="A3" s="109">
        <v>1</v>
      </c>
      <c r="B3" s="116" t="s">
        <v>123</v>
      </c>
      <c r="C3" s="109" t="s">
        <v>69</v>
      </c>
      <c r="D3" s="124">
        <v>1159400</v>
      </c>
      <c r="E3" s="119">
        <v>1159400</v>
      </c>
      <c r="F3" s="118">
        <f t="shared" ref="F3:F24" si="0">D3-E3</f>
        <v>0</v>
      </c>
    </row>
    <row r="4" spans="1:9">
      <c r="A4" s="109">
        <v>33</v>
      </c>
      <c r="B4" s="116" t="s">
        <v>122</v>
      </c>
      <c r="C4" s="115" t="s">
        <v>71</v>
      </c>
      <c r="D4" s="123">
        <v>10300000</v>
      </c>
      <c r="E4" s="121"/>
      <c r="F4" s="118">
        <f t="shared" si="0"/>
        <v>10300000</v>
      </c>
    </row>
    <row r="5" spans="1:9">
      <c r="A5" s="109">
        <v>22</v>
      </c>
      <c r="B5" s="99" t="s">
        <v>120</v>
      </c>
      <c r="C5" s="115" t="s">
        <v>121</v>
      </c>
      <c r="D5" s="123">
        <v>2858240</v>
      </c>
      <c r="E5" s="121"/>
      <c r="F5" s="118">
        <f t="shared" si="0"/>
        <v>2858240</v>
      </c>
    </row>
    <row r="6" spans="1:9">
      <c r="A6" s="109">
        <v>29</v>
      </c>
      <c r="B6" s="99" t="s">
        <v>120</v>
      </c>
      <c r="C6" s="115" t="s">
        <v>30</v>
      </c>
      <c r="D6" s="122">
        <v>21831150</v>
      </c>
      <c r="E6" s="121">
        <v>21831150</v>
      </c>
      <c r="F6" s="118">
        <f t="shared" si="0"/>
        <v>0</v>
      </c>
    </row>
    <row r="7" spans="1:9">
      <c r="A7" s="109">
        <v>15</v>
      </c>
      <c r="B7" s="99" t="s">
        <v>119</v>
      </c>
      <c r="C7" s="115" t="s">
        <v>118</v>
      </c>
      <c r="D7" s="122">
        <v>5390000</v>
      </c>
      <c r="E7" s="121">
        <v>5390000</v>
      </c>
      <c r="F7" s="118">
        <f t="shared" si="0"/>
        <v>0</v>
      </c>
    </row>
    <row r="8" spans="1:9">
      <c r="A8" s="109">
        <v>2</v>
      </c>
      <c r="B8" s="116" t="s">
        <v>114</v>
      </c>
      <c r="C8" s="115" t="s">
        <v>9</v>
      </c>
      <c r="D8" s="122">
        <v>12858780</v>
      </c>
      <c r="E8" s="121">
        <v>12858780</v>
      </c>
      <c r="F8" s="118">
        <f t="shared" si="0"/>
        <v>0</v>
      </c>
    </row>
    <row r="9" spans="1:9">
      <c r="A9" s="109">
        <v>4</v>
      </c>
      <c r="B9" s="116" t="s">
        <v>125</v>
      </c>
      <c r="C9" s="115" t="s">
        <v>70</v>
      </c>
      <c r="D9" s="122">
        <v>10000000</v>
      </c>
      <c r="E9" s="121">
        <v>5000000</v>
      </c>
      <c r="F9" s="118">
        <f t="shared" si="0"/>
        <v>5000000</v>
      </c>
    </row>
    <row r="10" spans="1:9">
      <c r="A10" s="109">
        <v>5</v>
      </c>
      <c r="B10" s="116" t="s">
        <v>125</v>
      </c>
      <c r="C10" s="115" t="s">
        <v>13</v>
      </c>
      <c r="D10" s="122">
        <v>15000000</v>
      </c>
      <c r="E10" s="121">
        <v>15000000</v>
      </c>
      <c r="F10" s="118">
        <f t="shared" si="0"/>
        <v>0</v>
      </c>
    </row>
    <row r="11" spans="1:9">
      <c r="A11" s="109">
        <v>3</v>
      </c>
      <c r="B11" s="116" t="s">
        <v>100</v>
      </c>
      <c r="C11" s="115" t="s">
        <v>113</v>
      </c>
      <c r="D11" s="122">
        <v>10000000</v>
      </c>
      <c r="E11" s="121">
        <v>10000000</v>
      </c>
      <c r="F11" s="118">
        <f t="shared" si="0"/>
        <v>0</v>
      </c>
      <c r="G11" s="117" t="s">
        <v>124</v>
      </c>
    </row>
    <row r="12" spans="1:9">
      <c r="A12" s="109">
        <v>6</v>
      </c>
      <c r="B12" s="116" t="s">
        <v>100</v>
      </c>
      <c r="C12" s="115" t="s">
        <v>112</v>
      </c>
      <c r="D12" s="122">
        <f>6921200+7040000</f>
        <v>13961200</v>
      </c>
      <c r="E12" s="121">
        <v>13961200</v>
      </c>
      <c r="F12" s="118">
        <f t="shared" si="0"/>
        <v>0</v>
      </c>
    </row>
    <row r="13" spans="1:9">
      <c r="A13" s="109"/>
      <c r="B13" s="116" t="s">
        <v>100</v>
      </c>
      <c r="C13" s="115" t="s">
        <v>24</v>
      </c>
      <c r="D13" s="122">
        <v>1292500</v>
      </c>
      <c r="E13" s="121">
        <v>1292500</v>
      </c>
      <c r="F13" s="118">
        <f t="shared" si="0"/>
        <v>0</v>
      </c>
    </row>
    <row r="14" spans="1:9">
      <c r="A14" s="109">
        <v>14</v>
      </c>
      <c r="B14" s="116" t="s">
        <v>100</v>
      </c>
      <c r="C14" s="115" t="s">
        <v>50</v>
      </c>
      <c r="D14" s="122">
        <v>1342000</v>
      </c>
      <c r="E14" s="121">
        <v>1342000</v>
      </c>
      <c r="F14" s="118">
        <f t="shared" si="0"/>
        <v>0</v>
      </c>
    </row>
    <row r="15" spans="1:9">
      <c r="A15" s="109">
        <v>16</v>
      </c>
      <c r="B15" s="116" t="s">
        <v>100</v>
      </c>
      <c r="C15" s="115" t="s">
        <v>16</v>
      </c>
      <c r="D15" s="122">
        <v>10000000</v>
      </c>
      <c r="E15" s="121">
        <v>10000000</v>
      </c>
      <c r="F15" s="118">
        <f t="shared" si="0"/>
        <v>0</v>
      </c>
    </row>
    <row r="16" spans="1:9">
      <c r="A16" s="109">
        <v>18</v>
      </c>
      <c r="B16" s="116" t="s">
        <v>100</v>
      </c>
      <c r="C16" s="115" t="s">
        <v>11</v>
      </c>
      <c r="D16" s="122">
        <v>15000000</v>
      </c>
      <c r="E16" s="121">
        <v>15000000</v>
      </c>
      <c r="F16" s="118">
        <f t="shared" si="0"/>
        <v>0</v>
      </c>
      <c r="I16" s="113"/>
    </row>
    <row r="17" spans="1:10">
      <c r="A17" s="109">
        <v>19</v>
      </c>
      <c r="B17" s="116" t="s">
        <v>100</v>
      </c>
      <c r="C17" s="115" t="s">
        <v>59</v>
      </c>
      <c r="D17" s="122">
        <v>5665000</v>
      </c>
      <c r="E17" s="121">
        <v>5665000</v>
      </c>
      <c r="F17" s="118">
        <f t="shared" si="0"/>
        <v>0</v>
      </c>
      <c r="I17" s="113"/>
    </row>
    <row r="18" spans="1:10">
      <c r="A18" s="109">
        <v>20</v>
      </c>
      <c r="B18" s="116" t="s">
        <v>100</v>
      </c>
      <c r="C18" s="115" t="s">
        <v>110</v>
      </c>
      <c r="D18" s="122">
        <v>2310000</v>
      </c>
      <c r="E18" s="121">
        <v>2310000</v>
      </c>
      <c r="F18" s="118">
        <f t="shared" si="0"/>
        <v>0</v>
      </c>
      <c r="I18" s="113"/>
    </row>
    <row r="19" spans="1:10">
      <c r="A19" s="109">
        <v>21</v>
      </c>
      <c r="B19" s="116" t="s">
        <v>100</v>
      </c>
      <c r="C19" s="115" t="s">
        <v>109</v>
      </c>
      <c r="D19" s="122">
        <v>55535570</v>
      </c>
      <c r="E19" s="121">
        <v>55535570</v>
      </c>
      <c r="F19" s="118">
        <f t="shared" si="0"/>
        <v>0</v>
      </c>
      <c r="I19" s="113"/>
    </row>
    <row r="20" spans="1:10">
      <c r="A20" s="109">
        <v>28</v>
      </c>
      <c r="B20" s="116" t="s">
        <v>100</v>
      </c>
      <c r="C20" s="115" t="s">
        <v>105</v>
      </c>
      <c r="D20" s="122">
        <v>1496000</v>
      </c>
      <c r="E20" s="121">
        <v>1496000</v>
      </c>
      <c r="F20" s="118">
        <f t="shared" si="0"/>
        <v>0</v>
      </c>
      <c r="I20" s="113"/>
    </row>
    <row r="21" spans="1:10">
      <c r="A21" s="109">
        <v>32</v>
      </c>
      <c r="B21" s="116" t="s">
        <v>100</v>
      </c>
      <c r="C21" s="115" t="s">
        <v>103</v>
      </c>
      <c r="D21" s="122">
        <v>4636500</v>
      </c>
      <c r="E21" s="121">
        <v>4636500</v>
      </c>
      <c r="F21" s="118">
        <f t="shared" si="0"/>
        <v>0</v>
      </c>
      <c r="I21" s="113"/>
    </row>
    <row r="22" spans="1:10">
      <c r="A22" s="109">
        <v>11</v>
      </c>
      <c r="B22" s="116" t="s">
        <v>100</v>
      </c>
      <c r="C22" s="115" t="s">
        <v>25</v>
      </c>
      <c r="D22" s="123">
        <v>40553150</v>
      </c>
      <c r="E22" s="121"/>
      <c r="F22" s="118">
        <f t="shared" si="0"/>
        <v>40553150</v>
      </c>
      <c r="I22" s="113"/>
    </row>
    <row r="23" spans="1:10">
      <c r="A23" s="109">
        <v>8</v>
      </c>
      <c r="B23" s="116" t="s">
        <v>98</v>
      </c>
      <c r="C23" s="115" t="s">
        <v>7</v>
      </c>
      <c r="D23" s="122">
        <v>17000000</v>
      </c>
      <c r="E23" s="121">
        <v>17000000</v>
      </c>
      <c r="F23" s="118">
        <f t="shared" si="0"/>
        <v>0</v>
      </c>
      <c r="I23" s="113"/>
    </row>
    <row r="24" spans="1:10">
      <c r="A24" s="1973" t="s">
        <v>83</v>
      </c>
      <c r="B24" s="1974"/>
      <c r="C24" s="1974"/>
      <c r="D24" s="120">
        <f>SUM(D3:D23)</f>
        <v>258189490</v>
      </c>
      <c r="E24" s="119">
        <f>SUM(E3:E23)</f>
        <v>199478100</v>
      </c>
      <c r="F24" s="118">
        <f t="shared" si="0"/>
        <v>58711390</v>
      </c>
      <c r="I24" s="113"/>
    </row>
    <row r="25" spans="1:10">
      <c r="B25" s="114"/>
      <c r="I25" s="113"/>
    </row>
    <row r="26" spans="1:10">
      <c r="B26" s="116" t="s">
        <v>123</v>
      </c>
      <c r="C26" s="109" t="s">
        <v>69</v>
      </c>
      <c r="I26" s="113"/>
    </row>
    <row r="27" spans="1:10">
      <c r="B27" s="116" t="s">
        <v>122</v>
      </c>
      <c r="C27" s="115" t="s">
        <v>71</v>
      </c>
      <c r="I27" s="113"/>
      <c r="J27" s="117"/>
    </row>
    <row r="28" spans="1:10">
      <c r="B28" s="99" t="s">
        <v>120</v>
      </c>
      <c r="C28" s="115" t="s">
        <v>121</v>
      </c>
      <c r="I28" s="113"/>
    </row>
    <row r="29" spans="1:10">
      <c r="B29" s="99" t="s">
        <v>120</v>
      </c>
      <c r="C29" s="115" t="s">
        <v>30</v>
      </c>
      <c r="I29" s="113"/>
      <c r="J29" s="1975"/>
    </row>
    <row r="30" spans="1:10">
      <c r="B30" s="99" t="s">
        <v>119</v>
      </c>
      <c r="C30" s="115" t="s">
        <v>118</v>
      </c>
      <c r="I30" s="113"/>
      <c r="J30" s="1976"/>
    </row>
    <row r="31" spans="1:10">
      <c r="B31" s="116" t="s">
        <v>116</v>
      </c>
      <c r="C31" s="115" t="s">
        <v>117</v>
      </c>
      <c r="I31" s="113"/>
    </row>
    <row r="32" spans="1:10">
      <c r="B32" s="116" t="s">
        <v>116</v>
      </c>
      <c r="C32" s="115" t="s">
        <v>115</v>
      </c>
      <c r="I32" s="113"/>
    </row>
    <row r="33" spans="2:9">
      <c r="B33" s="116" t="s">
        <v>114</v>
      </c>
      <c r="C33" s="115" t="s">
        <v>9</v>
      </c>
      <c r="I33" s="113"/>
    </row>
    <row r="34" spans="2:9">
      <c r="B34" s="116" t="s">
        <v>100</v>
      </c>
      <c r="C34" s="115" t="s">
        <v>113</v>
      </c>
    </row>
    <row r="35" spans="2:9">
      <c r="B35" s="116" t="s">
        <v>100</v>
      </c>
      <c r="C35" s="115" t="s">
        <v>112</v>
      </c>
    </row>
    <row r="36" spans="2:9">
      <c r="B36" s="116" t="s">
        <v>100</v>
      </c>
      <c r="C36" s="115" t="s">
        <v>17</v>
      </c>
    </row>
    <row r="37" spans="2:9">
      <c r="B37" s="116" t="s">
        <v>100</v>
      </c>
      <c r="C37" s="115" t="s">
        <v>36</v>
      </c>
    </row>
    <row r="38" spans="2:9">
      <c r="B38" s="116" t="s">
        <v>100</v>
      </c>
      <c r="C38" s="115" t="s">
        <v>60</v>
      </c>
    </row>
    <row r="39" spans="2:9">
      <c r="B39" s="116" t="s">
        <v>100</v>
      </c>
      <c r="C39" s="115" t="s">
        <v>50</v>
      </c>
    </row>
    <row r="40" spans="2:9">
      <c r="B40" s="116" t="s">
        <v>100</v>
      </c>
      <c r="C40" s="115" t="s">
        <v>16</v>
      </c>
    </row>
    <row r="41" spans="2:9">
      <c r="B41" s="116" t="s">
        <v>100</v>
      </c>
      <c r="C41" s="115" t="s">
        <v>111</v>
      </c>
    </row>
    <row r="42" spans="2:9">
      <c r="B42" s="116" t="s">
        <v>100</v>
      </c>
      <c r="C42" s="115" t="s">
        <v>11</v>
      </c>
    </row>
    <row r="43" spans="2:9">
      <c r="B43" s="116" t="s">
        <v>100</v>
      </c>
      <c r="C43" s="115" t="s">
        <v>59</v>
      </c>
    </row>
    <row r="44" spans="2:9">
      <c r="B44" s="116" t="s">
        <v>100</v>
      </c>
      <c r="C44" s="115" t="s">
        <v>110</v>
      </c>
    </row>
    <row r="45" spans="2:9">
      <c r="B45" s="116" t="s">
        <v>100</v>
      </c>
      <c r="C45" s="115" t="s">
        <v>109</v>
      </c>
    </row>
    <row r="46" spans="2:9">
      <c r="B46" s="116" t="s">
        <v>100</v>
      </c>
      <c r="C46" s="115" t="s">
        <v>108</v>
      </c>
    </row>
    <row r="47" spans="2:9">
      <c r="B47" s="116" t="s">
        <v>100</v>
      </c>
      <c r="C47" s="115" t="s">
        <v>107</v>
      </c>
    </row>
    <row r="48" spans="2:9">
      <c r="B48" s="116" t="s">
        <v>100</v>
      </c>
      <c r="C48" s="115" t="s">
        <v>106</v>
      </c>
    </row>
    <row r="49" spans="2:3">
      <c r="B49" s="116" t="s">
        <v>100</v>
      </c>
      <c r="C49" s="115" t="s">
        <v>105</v>
      </c>
    </row>
    <row r="50" spans="2:3">
      <c r="B50" s="116" t="s">
        <v>100</v>
      </c>
      <c r="C50" s="115" t="s">
        <v>104</v>
      </c>
    </row>
    <row r="51" spans="2:3">
      <c r="B51" s="116" t="s">
        <v>100</v>
      </c>
      <c r="C51" s="115" t="s">
        <v>103</v>
      </c>
    </row>
    <row r="52" spans="2:3">
      <c r="B52" s="116" t="s">
        <v>100</v>
      </c>
      <c r="C52" s="115" t="s">
        <v>102</v>
      </c>
    </row>
    <row r="53" spans="2:3">
      <c r="B53" s="116" t="s">
        <v>100</v>
      </c>
      <c r="C53" s="115" t="s">
        <v>25</v>
      </c>
    </row>
    <row r="54" spans="2:3">
      <c r="B54" s="116" t="s">
        <v>100</v>
      </c>
      <c r="C54" s="115" t="s">
        <v>24</v>
      </c>
    </row>
    <row r="55" spans="2:3">
      <c r="B55" s="116" t="s">
        <v>100</v>
      </c>
      <c r="C55" s="115" t="s">
        <v>101</v>
      </c>
    </row>
    <row r="56" spans="2:3">
      <c r="B56" s="116" t="s">
        <v>100</v>
      </c>
      <c r="C56" s="115" t="s">
        <v>99</v>
      </c>
    </row>
    <row r="57" spans="2:3">
      <c r="B57" s="116" t="s">
        <v>98</v>
      </c>
      <c r="C57" s="115" t="s">
        <v>7</v>
      </c>
    </row>
    <row r="58" spans="2:3">
      <c r="B58" s="114"/>
    </row>
    <row r="59" spans="2:3">
      <c r="B59" s="114"/>
    </row>
    <row r="60" spans="2:3">
      <c r="B60" s="114"/>
    </row>
    <row r="61" spans="2:3">
      <c r="B61" s="114"/>
    </row>
    <row r="62" spans="2:3">
      <c r="B62" s="114"/>
    </row>
    <row r="63" spans="2:3">
      <c r="B63" s="114"/>
    </row>
    <row r="64" spans="2:3">
      <c r="B64" s="114"/>
    </row>
    <row r="65" spans="2:2">
      <c r="B65" s="114"/>
    </row>
    <row r="66" spans="2:2">
      <c r="B66" s="114"/>
    </row>
    <row r="67" spans="2:2">
      <c r="B67" s="114"/>
    </row>
    <row r="68" spans="2:2">
      <c r="B68" s="114"/>
    </row>
    <row r="69" spans="2:2">
      <c r="B69" s="114"/>
    </row>
    <row r="70" spans="2:2">
      <c r="B70" s="114"/>
    </row>
    <row r="71" spans="2:2">
      <c r="B71" s="114"/>
    </row>
    <row r="72" spans="2:2">
      <c r="B72" s="114"/>
    </row>
    <row r="73" spans="2:2">
      <c r="B73" s="114"/>
    </row>
    <row r="74" spans="2:2">
      <c r="B74" s="114"/>
    </row>
    <row r="75" spans="2:2">
      <c r="B75" s="114"/>
    </row>
    <row r="76" spans="2:2">
      <c r="B76" s="114"/>
    </row>
    <row r="77" spans="2:2">
      <c r="B77" s="114"/>
    </row>
    <row r="78" spans="2:2">
      <c r="B78" s="114"/>
    </row>
    <row r="79" spans="2:2">
      <c r="B79" s="114"/>
    </row>
    <row r="80" spans="2:2">
      <c r="B80" s="114"/>
    </row>
    <row r="81" spans="2:2">
      <c r="B81" s="114"/>
    </row>
    <row r="82" spans="2:2">
      <c r="B82" s="114"/>
    </row>
    <row r="83" spans="2:2">
      <c r="B83" s="114"/>
    </row>
    <row r="84" spans="2:2">
      <c r="B84" s="114"/>
    </row>
    <row r="85" spans="2:2">
      <c r="B85" s="114"/>
    </row>
    <row r="86" spans="2:2">
      <c r="B86" s="114"/>
    </row>
    <row r="87" spans="2:2">
      <c r="B87" s="114"/>
    </row>
    <row r="88" spans="2:2">
      <c r="B88" s="114"/>
    </row>
    <row r="89" spans="2:2">
      <c r="B89" s="114"/>
    </row>
    <row r="90" spans="2:2">
      <c r="B90" s="114"/>
    </row>
    <row r="91" spans="2:2">
      <c r="B91" s="114"/>
    </row>
    <row r="92" spans="2:2">
      <c r="B92" s="114"/>
    </row>
    <row r="93" spans="2:2">
      <c r="B93" s="114"/>
    </row>
    <row r="94" spans="2:2">
      <c r="B94" s="114"/>
    </row>
    <row r="95" spans="2:2">
      <c r="B95" s="114"/>
    </row>
    <row r="96" spans="2:2">
      <c r="B96" s="114"/>
    </row>
    <row r="97" spans="2:2">
      <c r="B97" s="114"/>
    </row>
    <row r="98" spans="2:2">
      <c r="B98" s="114"/>
    </row>
    <row r="99" spans="2:2">
      <c r="B99" s="114"/>
    </row>
    <row r="100" spans="2:2">
      <c r="B100" s="114"/>
    </row>
    <row r="101" spans="2:2">
      <c r="B101" s="114"/>
    </row>
    <row r="102" spans="2:2">
      <c r="B102" s="114"/>
    </row>
    <row r="103" spans="2:2">
      <c r="B103" s="114"/>
    </row>
    <row r="104" spans="2:2">
      <c r="B104" s="114"/>
    </row>
    <row r="105" spans="2:2">
      <c r="B105" s="114"/>
    </row>
    <row r="106" spans="2:2">
      <c r="B106" s="114"/>
    </row>
    <row r="107" spans="2:2">
      <c r="B107" s="114"/>
    </row>
    <row r="108" spans="2:2">
      <c r="B108" s="114"/>
    </row>
    <row r="109" spans="2:2">
      <c r="B109" s="114"/>
    </row>
    <row r="110" spans="2:2">
      <c r="B110" s="114"/>
    </row>
    <row r="111" spans="2:2">
      <c r="B111" s="114"/>
    </row>
    <row r="112" spans="2:2">
      <c r="B112" s="114"/>
    </row>
    <row r="113" spans="2:2">
      <c r="B113" s="114"/>
    </row>
    <row r="114" spans="2:2">
      <c r="B114" s="114"/>
    </row>
    <row r="115" spans="2:2">
      <c r="B115" s="114"/>
    </row>
    <row r="116" spans="2:2">
      <c r="B116" s="114"/>
    </row>
    <row r="117" spans="2:2">
      <c r="B117" s="114"/>
    </row>
  </sheetData>
  <mergeCells count="3">
    <mergeCell ref="A24:C24"/>
    <mergeCell ref="J29:J30"/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209" sqref="A209:XFD209"/>
    </sheetView>
  </sheetViews>
  <sheetFormatPr defaultRowHeight="16.5"/>
  <sheetData>
    <row r="1" spans="1:6">
      <c r="A1" s="117" t="s">
        <v>141</v>
      </c>
    </row>
    <row r="2" spans="1:6">
      <c r="A2" s="117" t="s">
        <v>140</v>
      </c>
      <c r="B2" s="117" t="s">
        <v>139</v>
      </c>
      <c r="C2" s="117" t="s">
        <v>138</v>
      </c>
      <c r="D2" s="117" t="s">
        <v>137</v>
      </c>
    </row>
    <row r="3" spans="1:6">
      <c r="A3">
        <v>12</v>
      </c>
      <c r="B3">
        <v>1100</v>
      </c>
      <c r="C3">
        <v>1100</v>
      </c>
      <c r="D3">
        <f>120+200+200+200</f>
        <v>720</v>
      </c>
      <c r="F3" s="117" t="s">
        <v>136</v>
      </c>
    </row>
    <row r="4" spans="1:6">
      <c r="A4">
        <v>13</v>
      </c>
      <c r="B4">
        <v>1100</v>
      </c>
      <c r="C4">
        <v>1100</v>
      </c>
      <c r="D4">
        <f>120+200+200+200+200</f>
        <v>920</v>
      </c>
      <c r="F4" s="117" t="s">
        <v>135</v>
      </c>
    </row>
    <row r="5" spans="1:6">
      <c r="A5">
        <v>14</v>
      </c>
      <c r="B5">
        <v>1100</v>
      </c>
      <c r="C5">
        <v>1100</v>
      </c>
      <c r="D5">
        <f>120+200+200+200+200</f>
        <v>920</v>
      </c>
      <c r="F5" s="117" t="s">
        <v>134</v>
      </c>
    </row>
    <row r="6" spans="1:6">
      <c r="A6">
        <v>15</v>
      </c>
      <c r="B6">
        <v>1100</v>
      </c>
      <c r="C6">
        <v>1100</v>
      </c>
      <c r="D6">
        <f>120+200+200+200+200</f>
        <v>920</v>
      </c>
      <c r="F6" s="117" t="s">
        <v>133</v>
      </c>
    </row>
    <row r="7" spans="1:6">
      <c r="A7">
        <v>16</v>
      </c>
      <c r="B7">
        <v>1100</v>
      </c>
      <c r="C7">
        <v>1100</v>
      </c>
      <c r="D7">
        <f>120+200+200+200+200</f>
        <v>920</v>
      </c>
    </row>
    <row r="8" spans="1:6">
      <c r="A8">
        <v>17</v>
      </c>
      <c r="B8">
        <v>1100</v>
      </c>
      <c r="C8">
        <v>1100</v>
      </c>
      <c r="D8">
        <f>120+200+200+200+200+200</f>
        <v>1120</v>
      </c>
    </row>
    <row r="9" spans="1:6">
      <c r="A9">
        <v>18</v>
      </c>
      <c r="B9">
        <v>1100</v>
      </c>
      <c r="C9">
        <v>1100</v>
      </c>
      <c r="D9">
        <f>120+200+200+200+200+200</f>
        <v>1120</v>
      </c>
    </row>
    <row r="10" spans="1:6">
      <c r="A10">
        <v>19</v>
      </c>
      <c r="B10">
        <v>1100</v>
      </c>
      <c r="C10">
        <v>1100</v>
      </c>
      <c r="D10">
        <f>120+200+200+200+200+200</f>
        <v>1120</v>
      </c>
    </row>
    <row r="11" spans="1:6">
      <c r="A11">
        <v>20</v>
      </c>
      <c r="B11">
        <v>1100</v>
      </c>
      <c r="C11">
        <v>1100</v>
      </c>
      <c r="D11">
        <f>120+200+200+200+200+200</f>
        <v>1120</v>
      </c>
    </row>
    <row r="12" spans="1:6">
      <c r="A12">
        <v>21</v>
      </c>
      <c r="B12">
        <v>1100</v>
      </c>
      <c r="C12">
        <v>1100</v>
      </c>
      <c r="D12">
        <f>120+200+200+200+200+200+200</f>
        <v>1320</v>
      </c>
    </row>
    <row r="13" spans="1:6">
      <c r="A13">
        <v>22</v>
      </c>
      <c r="B13">
        <v>1100</v>
      </c>
      <c r="C13">
        <v>1100</v>
      </c>
      <c r="D13">
        <f>120+200+200+200+200+200+200</f>
        <v>1320</v>
      </c>
    </row>
    <row r="14" spans="1:6">
      <c r="A14">
        <v>23</v>
      </c>
      <c r="B14">
        <v>1100</v>
      </c>
      <c r="C14">
        <v>1100</v>
      </c>
      <c r="D14">
        <f>120+200+200+200+200+200+200</f>
        <v>1320</v>
      </c>
    </row>
    <row r="15" spans="1:6">
      <c r="A15">
        <v>24</v>
      </c>
      <c r="B15">
        <v>1100</v>
      </c>
      <c r="C15">
        <v>1100</v>
      </c>
      <c r="D15">
        <f>120+200+200+200+200+200+200</f>
        <v>1320</v>
      </c>
    </row>
    <row r="16" spans="1:6">
      <c r="A16">
        <v>25</v>
      </c>
      <c r="B16">
        <v>1100</v>
      </c>
      <c r="C16">
        <v>1100</v>
      </c>
      <c r="D16">
        <f>120+200+200+200+200+200+200+200</f>
        <v>1520</v>
      </c>
    </row>
    <row r="17" spans="1:4">
      <c r="A17">
        <v>26</v>
      </c>
      <c r="B17">
        <v>1100</v>
      </c>
      <c r="C17">
        <v>1100</v>
      </c>
      <c r="D17">
        <f>120+200+200+200+200+200+200+200</f>
        <v>1520</v>
      </c>
    </row>
    <row r="18" spans="1:4">
      <c r="A18">
        <v>27</v>
      </c>
      <c r="B18">
        <v>1100</v>
      </c>
      <c r="C18">
        <v>1100</v>
      </c>
      <c r="D18">
        <f>120+200+200+200+200+200+200+200</f>
        <v>1520</v>
      </c>
    </row>
    <row r="19" spans="1:4">
      <c r="A19">
        <v>28</v>
      </c>
      <c r="B19">
        <v>1100</v>
      </c>
      <c r="C19">
        <v>1100</v>
      </c>
      <c r="D19">
        <f>120+200+200+200+200+200+200+200</f>
        <v>1520</v>
      </c>
    </row>
    <row r="20" spans="1:4">
      <c r="A20">
        <v>29</v>
      </c>
      <c r="B20">
        <v>1100</v>
      </c>
      <c r="C20">
        <v>1100</v>
      </c>
      <c r="D20">
        <f>120+200+200+200+200+200+200+200+200</f>
        <v>1720</v>
      </c>
    </row>
    <row r="21" spans="1:4">
      <c r="A21">
        <v>30</v>
      </c>
      <c r="B21">
        <v>1100</v>
      </c>
      <c r="C21">
        <v>1100</v>
      </c>
      <c r="D21">
        <f>120+200+200+200+200+200+200+200+200</f>
        <v>1720</v>
      </c>
    </row>
    <row r="22" spans="1:4">
      <c r="A22">
        <v>31</v>
      </c>
      <c r="B22">
        <v>1100</v>
      </c>
      <c r="C22">
        <v>1100</v>
      </c>
      <c r="D22">
        <f>120+200+200+200+200+200+200+200+200</f>
        <v>1720</v>
      </c>
    </row>
    <row r="23" spans="1:4">
      <c r="A23">
        <v>32</v>
      </c>
      <c r="B23">
        <v>1100</v>
      </c>
      <c r="C23">
        <v>1100</v>
      </c>
      <c r="D23">
        <v>1720</v>
      </c>
    </row>
    <row r="24" spans="1:4">
      <c r="A24">
        <v>33</v>
      </c>
      <c r="B24">
        <v>1100</v>
      </c>
      <c r="C24">
        <v>1100</v>
      </c>
      <c r="D24">
        <v>1920</v>
      </c>
    </row>
    <row r="25" spans="1:4">
      <c r="A25">
        <v>34</v>
      </c>
      <c r="B25">
        <v>1100</v>
      </c>
      <c r="C25">
        <v>1100</v>
      </c>
      <c r="D25">
        <v>1920</v>
      </c>
    </row>
    <row r="26" spans="1:4">
      <c r="A26">
        <v>35</v>
      </c>
      <c r="B26">
        <v>1100</v>
      </c>
      <c r="C26">
        <v>1100</v>
      </c>
      <c r="D26">
        <v>1920</v>
      </c>
    </row>
    <row r="27" spans="1:4">
      <c r="A27">
        <v>36</v>
      </c>
      <c r="B27">
        <v>1100</v>
      </c>
      <c r="C27">
        <v>1100</v>
      </c>
      <c r="D27">
        <v>1920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selection activeCell="F22" sqref="F22"/>
    </sheetView>
  </sheetViews>
  <sheetFormatPr defaultRowHeight="16.5"/>
  <cols>
    <col min="1" max="1" width="14.75" customWidth="1"/>
    <col min="2" max="2" width="13.375" customWidth="1"/>
    <col min="3" max="3" width="14.25" customWidth="1"/>
    <col min="4" max="8" width="17" customWidth="1"/>
    <col min="9" max="12" width="11.625" customWidth="1"/>
    <col min="20" max="20" width="31.125" customWidth="1"/>
  </cols>
  <sheetData>
    <row r="1" spans="1:6">
      <c r="B1" t="s">
        <v>458</v>
      </c>
      <c r="C1" t="s">
        <v>459</v>
      </c>
      <c r="D1" t="s">
        <v>460</v>
      </c>
      <c r="E1" t="s">
        <v>461</v>
      </c>
      <c r="F1" t="s">
        <v>462</v>
      </c>
    </row>
    <row r="2" spans="1:6">
      <c r="A2" t="s">
        <v>456</v>
      </c>
      <c r="B2" s="169">
        <v>1580</v>
      </c>
      <c r="C2">
        <v>25000</v>
      </c>
      <c r="D2" s="169">
        <f>B2*C2</f>
        <v>39500000</v>
      </c>
      <c r="E2" s="169">
        <f>D2*0.1</f>
        <v>3950000</v>
      </c>
      <c r="F2" s="169">
        <f>D2+E2</f>
        <v>43450000</v>
      </c>
    </row>
    <row r="3" spans="1:6">
      <c r="A3" t="s">
        <v>457</v>
      </c>
      <c r="B3" s="169">
        <v>300000</v>
      </c>
      <c r="C3">
        <v>1</v>
      </c>
      <c r="D3" s="169">
        <f>B3*C3</f>
        <v>300000</v>
      </c>
      <c r="E3" s="169">
        <f>D3*0.1</f>
        <v>30000</v>
      </c>
      <c r="F3" s="169">
        <f>D3+E3</f>
        <v>330000</v>
      </c>
    </row>
    <row r="4" spans="1:6">
      <c r="F4" s="169">
        <f>SUM(F2:F3)</f>
        <v>43780000</v>
      </c>
    </row>
    <row r="5" spans="1:6" ht="26.25">
      <c r="B5" s="163"/>
    </row>
    <row r="6" spans="1:6" ht="26.25">
      <c r="B6" s="163"/>
    </row>
    <row r="7" spans="1:6" ht="26.25">
      <c r="B7" s="163"/>
    </row>
    <row r="8" spans="1:6" ht="26.25">
      <c r="B8" s="163"/>
    </row>
    <row r="9" spans="1:6" ht="26.25">
      <c r="A9" s="117"/>
      <c r="B9" s="163"/>
    </row>
    <row r="10" spans="1:6" ht="26.25">
      <c r="A10" s="117"/>
      <c r="B10" s="163"/>
    </row>
    <row r="11" spans="1:6" ht="26.25">
      <c r="A11" s="117"/>
      <c r="B11" s="163"/>
    </row>
    <row r="12" spans="1:6" ht="26.25">
      <c r="A12" s="117"/>
      <c r="B12" s="163"/>
    </row>
    <row r="14" spans="1:6">
      <c r="A14" s="117"/>
    </row>
    <row r="15" spans="1:6">
      <c r="A15" s="117"/>
    </row>
    <row r="16" spans="1:6">
      <c r="A16" s="117"/>
    </row>
    <row r="21" spans="5:20" ht="69.75" customHeight="1">
      <c r="E21" s="160"/>
      <c r="T21" s="155"/>
    </row>
  </sheetData>
  <phoneticPr fontId="3" type="noConversion"/>
  <pageMargins left="0" right="0" top="0.31496062992125984" bottom="0.31496062992125984" header="0.31496062992125984" footer="0.31496062992125984"/>
  <pageSetup paperSize="9" scale="7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zoomScaleNormal="100" workbookViewId="0"/>
  </sheetViews>
  <sheetFormatPr defaultRowHeight="16.5"/>
  <sheetData/>
  <phoneticPr fontId="3" type="noConversion"/>
  <printOptions horizontalCentered="1"/>
  <pageMargins left="0" right="0" top="0.59055118110236227" bottom="0" header="0.31496062992125984" footer="0.31496062992125984"/>
  <pageSetup paperSize="9" scale="95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I24"/>
  <sheetViews>
    <sheetView workbookViewId="0">
      <selection activeCell="I18" sqref="I18"/>
    </sheetView>
  </sheetViews>
  <sheetFormatPr defaultRowHeight="16.5"/>
  <cols>
    <col min="5" max="6" width="10.25" bestFit="1" customWidth="1"/>
    <col min="9" max="9" width="13" bestFit="1" customWidth="1"/>
    <col min="11" max="11" width="11" customWidth="1"/>
    <col min="12" max="12" width="10.875" customWidth="1"/>
    <col min="13" max="13" width="12.25" customWidth="1"/>
  </cols>
  <sheetData>
    <row r="1" spans="4:5">
      <c r="D1">
        <v>15</v>
      </c>
      <c r="E1">
        <v>5</v>
      </c>
    </row>
    <row r="2" spans="4:5">
      <c r="D2">
        <v>13</v>
      </c>
      <c r="E2">
        <v>5</v>
      </c>
    </row>
    <row r="3" spans="4:5">
      <c r="D3">
        <v>6</v>
      </c>
      <c r="E3">
        <v>5</v>
      </c>
    </row>
    <row r="4" spans="4:5">
      <c r="D4">
        <v>8</v>
      </c>
      <c r="E4">
        <v>5</v>
      </c>
    </row>
    <row r="5" spans="4:5">
      <c r="D5">
        <v>12</v>
      </c>
      <c r="E5">
        <v>5</v>
      </c>
    </row>
    <row r="6" spans="4:5">
      <c r="D6">
        <v>14</v>
      </c>
      <c r="E6">
        <v>5</v>
      </c>
    </row>
    <row r="7" spans="4:5">
      <c r="D7">
        <v>13</v>
      </c>
      <c r="E7">
        <v>5</v>
      </c>
    </row>
    <row r="8" spans="4:5">
      <c r="D8">
        <v>11</v>
      </c>
      <c r="E8">
        <v>5</v>
      </c>
    </row>
    <row r="9" spans="4:5">
      <c r="D9">
        <v>9</v>
      </c>
      <c r="E9">
        <v>6</v>
      </c>
    </row>
    <row r="10" spans="4:5">
      <c r="D10">
        <v>11</v>
      </c>
      <c r="E10">
        <v>6</v>
      </c>
    </row>
    <row r="11" spans="4:5">
      <c r="D11">
        <v>12</v>
      </c>
      <c r="E11">
        <v>5</v>
      </c>
    </row>
    <row r="12" spans="4:5">
      <c r="D12">
        <v>9</v>
      </c>
      <c r="E12">
        <v>5</v>
      </c>
    </row>
    <row r="13" spans="4:5">
      <c r="D13">
        <v>12</v>
      </c>
      <c r="E13">
        <v>5</v>
      </c>
    </row>
    <row r="14" spans="4:5">
      <c r="D14">
        <v>7</v>
      </c>
      <c r="E14">
        <v>5</v>
      </c>
    </row>
    <row r="15" spans="4:5">
      <c r="D15">
        <v>13</v>
      </c>
      <c r="E15">
        <v>5</v>
      </c>
    </row>
    <row r="16" spans="4:5">
      <c r="D16">
        <v>13</v>
      </c>
      <c r="E16">
        <v>5</v>
      </c>
    </row>
    <row r="17" spans="4:9">
      <c r="D17">
        <v>8</v>
      </c>
      <c r="E17">
        <v>5</v>
      </c>
    </row>
    <row r="18" spans="4:9">
      <c r="D18">
        <v>7</v>
      </c>
      <c r="E18">
        <v>5</v>
      </c>
      <c r="I18" s="320"/>
    </row>
    <row r="19" spans="4:9">
      <c r="D19">
        <v>12</v>
      </c>
      <c r="E19">
        <v>5</v>
      </c>
    </row>
    <row r="20" spans="4:9">
      <c r="D20">
        <v>12</v>
      </c>
      <c r="E20">
        <v>5</v>
      </c>
    </row>
    <row r="21" spans="4:9">
      <c r="D21">
        <v>16</v>
      </c>
      <c r="E21" s="319">
        <f>SUM(E1:E20)</f>
        <v>102</v>
      </c>
    </row>
    <row r="22" spans="4:9">
      <c r="D22">
        <v>13</v>
      </c>
    </row>
    <row r="23" spans="4:9">
      <c r="D23">
        <v>12</v>
      </c>
    </row>
    <row r="24" spans="4:9">
      <c r="D24" s="319">
        <f>SUM(D1:D23)</f>
        <v>258</v>
      </c>
    </row>
  </sheetData>
  <phoneticPr fontId="3" type="noConversion"/>
  <printOptions horizontalCentered="1" verticalCentered="1"/>
  <pageMargins left="0" right="0" top="0.39370078740157483" bottom="0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</vt:i4>
      </vt:variant>
      <vt:variant>
        <vt:lpstr>이름이 지정된 범위</vt:lpstr>
      </vt:variant>
      <vt:variant>
        <vt:i4>1</vt:i4>
      </vt:variant>
    </vt:vector>
  </HeadingPairs>
  <TitlesOfParts>
    <vt:vector size="26" baseType="lpstr">
      <vt:lpstr>2022.12</vt:lpstr>
      <vt:lpstr>2023.01</vt:lpstr>
      <vt:lpstr>2023.03</vt:lpstr>
      <vt:lpstr>2023.04</vt:lpstr>
      <vt:lpstr>2023.05</vt:lpstr>
      <vt:lpstr>2023.06</vt:lpstr>
      <vt:lpstr>2023.07</vt:lpstr>
      <vt:lpstr>2023.08</vt:lpstr>
      <vt:lpstr>2023.09</vt:lpstr>
      <vt:lpstr>2023.10</vt:lpstr>
      <vt:lpstr>2023.11</vt:lpstr>
      <vt:lpstr>2023.12</vt:lpstr>
      <vt:lpstr>2024.01</vt:lpstr>
      <vt:lpstr>2024.02</vt:lpstr>
      <vt:lpstr>삼성</vt:lpstr>
      <vt:lpstr>대납 주소</vt:lpstr>
      <vt:lpstr>삼성 지도</vt:lpstr>
      <vt:lpstr>빈 서식</vt:lpstr>
      <vt:lpstr>유진pe</vt:lpstr>
      <vt:lpstr>수입품</vt:lpstr>
      <vt:lpstr>정기결제</vt:lpstr>
      <vt:lpstr>파레트 사이즈</vt:lpstr>
      <vt:lpstr>Sheet2</vt:lpstr>
      <vt:lpstr>Sheet4</vt:lpstr>
      <vt:lpstr>Sheet5</vt:lpstr>
      <vt:lpstr>'대납 주소'!Print_Area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</dc:creator>
  <cp:lastModifiedBy>userpc</cp:lastModifiedBy>
  <cp:lastPrinted>2024-02-26T02:09:23Z</cp:lastPrinted>
  <dcterms:created xsi:type="dcterms:W3CDTF">2022-03-25T00:06:58Z</dcterms:created>
  <dcterms:modified xsi:type="dcterms:W3CDTF">2024-02-26T07:42:42Z</dcterms:modified>
</cp:coreProperties>
</file>