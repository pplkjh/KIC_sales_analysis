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서류\납품일정\"/>
    </mc:Choice>
  </mc:AlternateContent>
  <bookViews>
    <workbookView xWindow="0" yWindow="0" windowWidth="28800" windowHeight="12285" tabRatio="938" activeTab="12"/>
  </bookViews>
  <sheets>
    <sheet name="2021.12" sheetId="12" r:id="rId1"/>
    <sheet name="2022.01" sheetId="1" r:id="rId2"/>
    <sheet name="2022.02" sheetId="2" r:id="rId3"/>
    <sheet name="2022.03" sheetId="3" r:id="rId4"/>
    <sheet name="2022.04" sheetId="13" r:id="rId5"/>
    <sheet name="2022.05" sheetId="14" r:id="rId6"/>
    <sheet name="2022.06" sheetId="15" r:id="rId7"/>
    <sheet name="2022.07" sheetId="18" r:id="rId8"/>
    <sheet name="2022.08" sheetId="20" r:id="rId9"/>
    <sheet name="2022.09" sheetId="21" r:id="rId10"/>
    <sheet name="2022.10" sheetId="22" r:id="rId11"/>
    <sheet name="2022.11" sheetId="23" r:id="rId12"/>
    <sheet name="2022.12" sheetId="24" r:id="rId13"/>
    <sheet name="삼성" sheetId="4" r:id="rId14"/>
    <sheet name="대납 주소" sheetId="10" r:id="rId15"/>
    <sheet name="유진pe" sheetId="5" r:id="rId16"/>
    <sheet name="수입품" sheetId="6" r:id="rId17"/>
    <sheet name="정기결제" sheetId="7" r:id="rId18"/>
    <sheet name="파레트 사이즈" sheetId="8" r:id="rId19"/>
    <sheet name="빈 서식" sheetId="9" r:id="rId20"/>
    <sheet name="Sheet2" sheetId="11" r:id="rId21"/>
    <sheet name="Sheet3" sheetId="16" r:id="rId22"/>
    <sheet name="Sheet4" sheetId="17" r:id="rId23"/>
    <sheet name="Sheet5" sheetId="19" r:id="rId24"/>
  </sheets>
  <definedNames>
    <definedName name="_xlnm._FilterDatabase" localSheetId="3" hidden="1">'2022.03'!$A$1:$H$230</definedName>
    <definedName name="_xlnm._FilterDatabase" localSheetId="17" hidden="1">정기결제!$A$2:$F$24</definedName>
    <definedName name="_xlnm.Print_Area" localSheetId="0">'2021.12'!#REF!</definedName>
    <definedName name="_xlnm.Print_Area" localSheetId="1">'2022.01'!#REF!</definedName>
    <definedName name="_xlnm.Print_Area" localSheetId="2">'2022.02'!#REF!</definedName>
    <definedName name="_xlnm.Print_Area" localSheetId="3">'2022.03'!#REF!</definedName>
    <definedName name="_xlnm.Print_Area" localSheetId="4">'2022.04'!#REF!</definedName>
    <definedName name="_xlnm.Print_Area" localSheetId="5">'2022.05'!#REF!</definedName>
    <definedName name="_xlnm.Print_Area" localSheetId="6">'2022.06'!#REF!</definedName>
    <definedName name="_xlnm.Print_Area" localSheetId="7">'2022.07'!#REF!</definedName>
    <definedName name="_xlnm.Print_Area" localSheetId="8">'2022.08'!#REF!</definedName>
    <definedName name="_xlnm.Print_Area" localSheetId="9">'2022.09'!#REF!</definedName>
    <definedName name="_xlnm.Print_Area" localSheetId="10">'2022.10'!#REF!</definedName>
    <definedName name="_xlnm.Print_Area" localSheetId="11">'2022.11'!#REF!</definedName>
    <definedName name="_xlnm.Print_Area" localSheetId="12">'2022.12'!#REF!</definedName>
    <definedName name="_xlnm.Print_Area" localSheetId="14">'대납 주소'!$A$1:$Q$32</definedName>
    <definedName name="_xlnm.Print_Area" localSheetId="19">'빈 서식'!#REF!</definedName>
  </definedNames>
  <calcPr calcId="162913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4" l="1"/>
  <c r="C4" i="4"/>
  <c r="I3" i="4" l="1"/>
  <c r="C3" i="4"/>
  <c r="H3" i="4" l="1"/>
  <c r="C14" i="4" l="1"/>
  <c r="I14" i="4"/>
  <c r="H4" i="4" l="1"/>
  <c r="H9" i="4"/>
  <c r="H6" i="4"/>
  <c r="H5" i="4"/>
  <c r="H8" i="4"/>
  <c r="H7" i="4"/>
  <c r="H10" i="4" l="1"/>
  <c r="H11" i="4"/>
  <c r="H12" i="4"/>
  <c r="H13" i="4" l="1"/>
  <c r="H14" i="4" s="1"/>
  <c r="D14" i="4" l="1"/>
  <c r="B14" i="4" l="1"/>
  <c r="D3" i="11" l="1"/>
  <c r="E3" i="11" s="1"/>
  <c r="D2" i="11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F24" i="7"/>
  <c r="E24" i="7"/>
  <c r="D24" i="7"/>
  <c r="F23" i="7"/>
  <c r="F22" i="7"/>
  <c r="F21" i="7"/>
  <c r="F20" i="7"/>
  <c r="F19" i="7"/>
  <c r="F18" i="7"/>
  <c r="F17" i="7"/>
  <c r="F16" i="7"/>
  <c r="F15" i="7"/>
  <c r="F14" i="7"/>
  <c r="F13" i="7"/>
  <c r="F12" i="7"/>
  <c r="D12" i="7"/>
  <c r="F11" i="7"/>
  <c r="F10" i="7"/>
  <c r="F9" i="7"/>
  <c r="F8" i="7"/>
  <c r="F7" i="7"/>
  <c r="F6" i="7"/>
  <c r="F5" i="7"/>
  <c r="F4" i="7"/>
  <c r="F3" i="7"/>
  <c r="F32" i="6"/>
  <c r="C32" i="6"/>
  <c r="C3" i="6"/>
  <c r="F32" i="5"/>
  <c r="C32" i="5"/>
  <c r="K26" i="4"/>
  <c r="J26" i="4"/>
  <c r="G26" i="4"/>
  <c r="F26" i="4"/>
  <c r="H25" i="4"/>
  <c r="H24" i="4"/>
  <c r="H23" i="4"/>
  <c r="H22" i="4"/>
  <c r="H21" i="4"/>
  <c r="H20" i="4"/>
  <c r="H19" i="4"/>
  <c r="H18" i="4"/>
  <c r="H17" i="4"/>
  <c r="H16" i="4"/>
  <c r="H15" i="4"/>
  <c r="E26" i="4"/>
  <c r="D26" i="4"/>
  <c r="B26" i="4"/>
  <c r="F3" i="11" l="1"/>
  <c r="E2" i="11"/>
  <c r="F2" i="11" s="1"/>
  <c r="F4" i="11" s="1"/>
  <c r="C26" i="4"/>
  <c r="H26" i="4" l="1"/>
</calcChain>
</file>

<file path=xl/sharedStrings.xml><?xml version="1.0" encoding="utf-8"?>
<sst xmlns="http://schemas.openxmlformats.org/spreadsheetml/2006/main" count="8583" uniqueCount="5212">
  <si>
    <t>금</t>
    <phoneticPr fontId="8" type="noConversion"/>
  </si>
  <si>
    <t>목</t>
    <phoneticPr fontId="8" type="noConversion"/>
  </si>
  <si>
    <t>수</t>
    <phoneticPr fontId="8" type="noConversion"/>
  </si>
  <si>
    <t>화</t>
    <phoneticPr fontId="8" type="noConversion"/>
  </si>
  <si>
    <t>월</t>
    <phoneticPr fontId="8" type="noConversion"/>
  </si>
  <si>
    <t>납   품   일   정</t>
  </si>
  <si>
    <t>아주파레트 반납</t>
    <phoneticPr fontId="8" type="noConversion"/>
  </si>
  <si>
    <t>221롤</t>
    <phoneticPr fontId="8" type="noConversion"/>
  </si>
  <si>
    <t>18*21친환경</t>
  </si>
  <si>
    <t>1롤</t>
    <phoneticPr fontId="8" type="noConversion"/>
  </si>
  <si>
    <t>18*21투명</t>
  </si>
  <si>
    <t>삼성</t>
    <phoneticPr fontId="8" type="noConversion"/>
  </si>
  <si>
    <t>40"(오전9시30분)</t>
    <phoneticPr fontId="8" type="noConversion"/>
  </si>
  <si>
    <t>19.8톤</t>
    <phoneticPr fontId="8" type="noConversion"/>
  </si>
  <si>
    <t>수작업</t>
    <phoneticPr fontId="8" type="noConversion"/>
  </si>
  <si>
    <t>펀치볼</t>
    <phoneticPr fontId="8" type="noConversion"/>
  </si>
  <si>
    <t>1박스</t>
    <phoneticPr fontId="8" type="noConversion"/>
  </si>
  <si>
    <t>PE28*2황</t>
    <phoneticPr fontId="8" type="noConversion"/>
  </si>
  <si>
    <t>방문출고</t>
    <phoneticPr fontId="8" type="noConversion"/>
  </si>
  <si>
    <t>5박스</t>
    <phoneticPr fontId="8" type="noConversion"/>
  </si>
  <si>
    <t>PE28*2청</t>
    <phoneticPr fontId="8" type="noConversion"/>
  </si>
  <si>
    <t>동원팩</t>
    <phoneticPr fontId="8" type="noConversion"/>
  </si>
  <si>
    <t>대신택배 착불</t>
  </si>
  <si>
    <t>2롤씩 5묶음</t>
  </si>
  <si>
    <t>10롤</t>
    <phoneticPr fontId="8" type="noConversion"/>
  </si>
  <si>
    <t>15*10백(0.65T)</t>
    <phoneticPr fontId="8" type="noConversion"/>
  </si>
  <si>
    <t>나눔푸드</t>
    <phoneticPr fontId="8" type="noConversion"/>
  </si>
  <si>
    <t>40롤</t>
    <phoneticPr fontId="8" type="noConversion"/>
  </si>
  <si>
    <t>6*10백</t>
    <phoneticPr fontId="8" type="noConversion"/>
  </si>
  <si>
    <t>대신택배</t>
    <phoneticPr fontId="8" type="noConversion"/>
  </si>
  <si>
    <t>20박스</t>
    <phoneticPr fontId="8" type="noConversion"/>
  </si>
  <si>
    <t>PE28*2백</t>
    <phoneticPr fontId="8" type="noConversion"/>
  </si>
  <si>
    <t>전주삼신산업</t>
    <phoneticPr fontId="8" type="noConversion"/>
  </si>
  <si>
    <t>경기도 안성시 미양면 서미로 452-56  한미팜  010-9224-0268</t>
    <phoneticPr fontId="8" type="noConversion"/>
  </si>
  <si>
    <t>용차</t>
    <phoneticPr fontId="8" type="noConversion"/>
  </si>
  <si>
    <t>56롤</t>
    <phoneticPr fontId="8" type="noConversion"/>
  </si>
  <si>
    <t>경인팩</t>
    <phoneticPr fontId="8" type="noConversion"/>
  </si>
  <si>
    <t>100롤</t>
    <phoneticPr fontId="8" type="noConversion"/>
  </si>
  <si>
    <t>18*21황</t>
  </si>
  <si>
    <t>용차</t>
    <phoneticPr fontId="8" type="noConversion"/>
  </si>
  <si>
    <t>828롤</t>
    <phoneticPr fontId="8" type="noConversion"/>
  </si>
  <si>
    <t>6롤</t>
    <phoneticPr fontId="8" type="noConversion"/>
  </si>
  <si>
    <t>18*21투명</t>
    <phoneticPr fontId="8" type="noConversion"/>
  </si>
  <si>
    <t>40"(오후1시)</t>
    <phoneticPr fontId="8" type="noConversion"/>
  </si>
  <si>
    <t>앤더슨</t>
    <phoneticPr fontId="8" type="noConversion"/>
  </si>
  <si>
    <t>20"(오전10시)</t>
    <phoneticPr fontId="8" type="noConversion"/>
  </si>
  <si>
    <t>6톤</t>
    <phoneticPr fontId="8" type="noConversion"/>
  </si>
  <si>
    <t>고메리</t>
    <phoneticPr fontId="8" type="noConversion"/>
  </si>
  <si>
    <t>대신택배착불</t>
    <phoneticPr fontId="8" type="noConversion"/>
  </si>
  <si>
    <t>4롤</t>
    <phoneticPr fontId="8" type="noConversion"/>
  </si>
  <si>
    <t>7*10백(0.55T)</t>
    <phoneticPr fontId="8" type="noConversion"/>
  </si>
  <si>
    <t>고림포장</t>
    <phoneticPr fontId="8" type="noConversion"/>
  </si>
  <si>
    <t>신광포장</t>
    <phoneticPr fontId="8" type="noConversion"/>
  </si>
  <si>
    <t>7*10백(0.5T)</t>
    <phoneticPr fontId="8" type="noConversion"/>
  </si>
  <si>
    <t>광신수출포장</t>
    <phoneticPr fontId="8" type="noConversion"/>
  </si>
  <si>
    <t>105박스</t>
    <phoneticPr fontId="8" type="noConversion"/>
  </si>
  <si>
    <t>PE28*2벡(24kg)</t>
    <phoneticPr fontId="8" type="noConversion"/>
  </si>
  <si>
    <t>지방합화차 착불</t>
    <phoneticPr fontId="8" type="noConversion"/>
  </si>
  <si>
    <t>대구한국포장</t>
    <phoneticPr fontId="8" type="noConversion"/>
  </si>
  <si>
    <t>192롤</t>
    <phoneticPr fontId="8" type="noConversion"/>
  </si>
  <si>
    <t>500롤</t>
    <phoneticPr fontId="8" type="noConversion"/>
  </si>
  <si>
    <t>삼성</t>
  </si>
  <si>
    <t>40"</t>
    <phoneticPr fontId="8" type="noConversion"/>
  </si>
  <si>
    <t>15.5톤</t>
    <phoneticPr fontId="8" type="noConversion"/>
  </si>
  <si>
    <t>상일교역</t>
    <phoneticPr fontId="8" type="noConversion"/>
  </si>
  <si>
    <t>30박스</t>
    <phoneticPr fontId="8" type="noConversion"/>
  </si>
  <si>
    <t>대상산업</t>
    <phoneticPr fontId="8" type="noConversion"/>
  </si>
  <si>
    <t>64롤</t>
    <phoneticPr fontId="8" type="noConversion"/>
  </si>
  <si>
    <t>9*10황(0.75T)</t>
    <phoneticPr fontId="8" type="noConversion"/>
  </si>
  <si>
    <t>12*12.5황</t>
    <phoneticPr fontId="8" type="noConversion"/>
  </si>
  <si>
    <t>광림포장기계</t>
    <phoneticPr fontId="8" type="noConversion"/>
  </si>
  <si>
    <t>샘플</t>
    <phoneticPr fontId="8" type="noConversion"/>
  </si>
  <si>
    <t>1롤</t>
    <phoneticPr fontId="8" type="noConversion"/>
  </si>
  <si>
    <t>12*10황(0.8T)</t>
    <phoneticPr fontId="8" type="noConversion"/>
  </si>
  <si>
    <t>예림</t>
    <phoneticPr fontId="8" type="noConversion"/>
  </si>
  <si>
    <t>15롤</t>
    <phoneticPr fontId="8" type="noConversion"/>
  </si>
  <si>
    <t>12*10황(0.8t)</t>
    <phoneticPr fontId="8" type="noConversion"/>
  </si>
  <si>
    <t>15박스</t>
    <phoneticPr fontId="8" type="noConversion"/>
  </si>
  <si>
    <t>PE28*6백</t>
    <phoneticPr fontId="8" type="noConversion"/>
  </si>
  <si>
    <t>10박스</t>
    <phoneticPr fontId="8" type="noConversion"/>
  </si>
  <si>
    <t>PE28*2백</t>
    <phoneticPr fontId="8" type="noConversion"/>
  </si>
  <si>
    <t>김규현</t>
    <phoneticPr fontId="8" type="noConversion"/>
  </si>
  <si>
    <t>오후 3~4시 도착</t>
    <phoneticPr fontId="8" type="noConversion"/>
  </si>
  <si>
    <t>50롤</t>
    <phoneticPr fontId="8" type="noConversion"/>
  </si>
  <si>
    <t>6*10백</t>
    <phoneticPr fontId="8" type="noConversion"/>
  </si>
  <si>
    <t>430롤</t>
    <phoneticPr fontId="8" type="noConversion"/>
  </si>
  <si>
    <t>18*21친환경</t>
    <phoneticPr fontId="8" type="noConversion"/>
  </si>
  <si>
    <t>5롤</t>
    <phoneticPr fontId="8" type="noConversion"/>
  </si>
  <si>
    <t>화</t>
    <phoneticPr fontId="8" type="noConversion"/>
  </si>
  <si>
    <t>안성대덕점</t>
    <phoneticPr fontId="8" type="noConversion"/>
  </si>
  <si>
    <t>대신화물</t>
    <phoneticPr fontId="8" type="noConversion"/>
  </si>
  <si>
    <t>32롤</t>
    <phoneticPr fontId="8" type="noConversion"/>
  </si>
  <si>
    <t>되살림패키지</t>
    <phoneticPr fontId="8" type="noConversion"/>
  </si>
  <si>
    <t>21.8톤</t>
    <phoneticPr fontId="8" type="noConversion"/>
  </si>
  <si>
    <t>싸이클롭</t>
    <phoneticPr fontId="8" type="noConversion"/>
  </si>
  <si>
    <t>50롤</t>
    <phoneticPr fontId="8" type="noConversion"/>
  </si>
  <si>
    <t>12*10황(0.65T)</t>
    <phoneticPr fontId="8" type="noConversion"/>
  </si>
  <si>
    <t>50롤</t>
    <phoneticPr fontId="8" type="noConversion"/>
  </si>
  <si>
    <t>15*10황(0.65T)</t>
    <phoneticPr fontId="8" type="noConversion"/>
  </si>
  <si>
    <t>서울포장</t>
    <phoneticPr fontId="8" type="noConversion"/>
  </si>
  <si>
    <t>13롤</t>
    <phoneticPr fontId="8" type="noConversion"/>
  </si>
  <si>
    <t>15*10황(0.65T)</t>
    <phoneticPr fontId="8" type="noConversion"/>
  </si>
  <si>
    <t>동방포장</t>
    <phoneticPr fontId="8" type="noConversion"/>
  </si>
  <si>
    <t>30롤</t>
    <phoneticPr fontId="8" type="noConversion"/>
  </si>
  <si>
    <t>신광포장</t>
    <phoneticPr fontId="8" type="noConversion"/>
  </si>
  <si>
    <t>김혜선  경기도 파주시 광탄면 보광로 1336-15 (광탄면) 원흥피앤피  010-4982-7932</t>
    <phoneticPr fontId="8" type="noConversion"/>
  </si>
  <si>
    <t>로젠택배</t>
  </si>
  <si>
    <t>POWER박스</t>
  </si>
  <si>
    <t>1박스</t>
    <phoneticPr fontId="8" type="noConversion"/>
  </si>
  <si>
    <t>PE28*2백</t>
  </si>
  <si>
    <t>주신산업</t>
  </si>
  <si>
    <t>(네이쳐앤휴먼지피)명세표 이메일발송</t>
  </si>
  <si>
    <t>KIC박스</t>
  </si>
  <si>
    <t>2박스</t>
  </si>
  <si>
    <t>인스트아이앤씨</t>
    <phoneticPr fontId="8" type="noConversion"/>
  </si>
  <si>
    <t>2900원/kg</t>
    <phoneticPr fontId="8" type="noConversion"/>
  </si>
  <si>
    <t>kic박스 / KPP빨강</t>
    <phoneticPr fontId="8" type="noConversion"/>
  </si>
  <si>
    <t>24박스</t>
    <phoneticPr fontId="8" type="noConversion"/>
  </si>
  <si>
    <t>오비아이</t>
    <phoneticPr fontId="8" type="noConversion"/>
  </si>
  <si>
    <t>10박스</t>
    <phoneticPr fontId="8" type="noConversion"/>
  </si>
  <si>
    <t>랩 15*500*400</t>
    <phoneticPr fontId="8" type="noConversion"/>
  </si>
  <si>
    <t>서흥포장</t>
    <phoneticPr fontId="8" type="noConversion"/>
  </si>
  <si>
    <t>POWER박스</t>
    <phoneticPr fontId="8" type="noConversion"/>
  </si>
  <si>
    <t>20박스</t>
    <phoneticPr fontId="8" type="noConversion"/>
  </si>
  <si>
    <t>50롤</t>
    <phoneticPr fontId="8" type="noConversion"/>
  </si>
  <si>
    <t>12*10백(0.8T)</t>
    <phoneticPr fontId="8" type="noConversion"/>
  </si>
  <si>
    <t>비와이패키지</t>
    <phoneticPr fontId="8" type="noConversion"/>
  </si>
  <si>
    <t>무지패드</t>
    <phoneticPr fontId="8" type="noConversion"/>
  </si>
  <si>
    <t>6*10황</t>
    <phoneticPr fontId="8" type="noConversion"/>
  </si>
  <si>
    <t>낙원포장</t>
    <phoneticPr fontId="8" type="noConversion"/>
  </si>
  <si>
    <t>파란밴딩</t>
    <phoneticPr fontId="8" type="noConversion"/>
  </si>
  <si>
    <t>200롤</t>
    <phoneticPr fontId="8" type="noConversion"/>
  </si>
  <si>
    <t>파란밴딩</t>
    <phoneticPr fontId="8" type="noConversion"/>
  </si>
  <si>
    <t>6*10녹</t>
    <phoneticPr fontId="8" type="noConversion"/>
  </si>
  <si>
    <t>보우팩</t>
    <phoneticPr fontId="8" type="noConversion"/>
  </si>
  <si>
    <t>256롤</t>
    <phoneticPr fontId="8" type="noConversion"/>
  </si>
  <si>
    <t>삼성</t>
    <phoneticPr fontId="8" type="noConversion"/>
  </si>
  <si>
    <t>한국양계농헙 영주유통센터 경북 영주시 장수면 장안로 151-23  054-633-7401</t>
    <phoneticPr fontId="8" type="noConversion"/>
  </si>
  <si>
    <t>대신화물착불</t>
    <phoneticPr fontId="8" type="noConversion"/>
  </si>
  <si>
    <t>POWER박스</t>
    <phoneticPr fontId="8" type="noConversion"/>
  </si>
  <si>
    <t>2박스</t>
    <phoneticPr fontId="8" type="noConversion"/>
  </si>
  <si>
    <t>마도종합상사</t>
    <phoneticPr fontId="8" type="noConversion"/>
  </si>
  <si>
    <t>경기도 파주시 조리읍 능안로 290-22 (조리읍) 가동 맨안쪽 해성패키지   010-4126-8879 이대현 / 충청북도 진천군 덕산면 신척산단5로 196 (덕산면, (주)견지포장) 견지포장   010-4555-0979</t>
    <phoneticPr fontId="8" type="noConversion"/>
  </si>
  <si>
    <t>주신산업</t>
    <phoneticPr fontId="8" type="noConversion"/>
  </si>
  <si>
    <t>경상남도 김해시 한림면 명동로 123번길 42-18 태영포장산업 010-2641-4529</t>
    <phoneticPr fontId="8" type="noConversion"/>
  </si>
  <si>
    <t>진송팩</t>
    <phoneticPr fontId="8" type="noConversion"/>
  </si>
  <si>
    <t>국내발주</t>
    <phoneticPr fontId="8" type="noConversion"/>
  </si>
  <si>
    <t>10롤</t>
    <phoneticPr fontId="8" type="noConversion"/>
  </si>
  <si>
    <t>18*21친환경(230m)</t>
    <phoneticPr fontId="8" type="noConversion"/>
  </si>
  <si>
    <t>400롤</t>
    <phoneticPr fontId="8" type="noConversion"/>
  </si>
  <si>
    <t>11롤</t>
    <phoneticPr fontId="8" type="noConversion"/>
  </si>
  <si>
    <t>18*21투명</t>
    <phoneticPr fontId="8" type="noConversion"/>
  </si>
  <si>
    <t>삼성</t>
    <phoneticPr fontId="8" type="noConversion"/>
  </si>
  <si>
    <t>방문출고</t>
    <phoneticPr fontId="8" type="noConversion"/>
  </si>
  <si>
    <t>문경산양농장</t>
    <phoneticPr fontId="8" type="noConversion"/>
  </si>
  <si>
    <t>대신택배착불</t>
    <phoneticPr fontId="8" type="noConversion"/>
  </si>
  <si>
    <t>2롤 묶음</t>
    <phoneticPr fontId="8" type="noConversion"/>
  </si>
  <si>
    <t>kic박스</t>
    <phoneticPr fontId="8" type="noConversion"/>
  </si>
  <si>
    <t>에그조아</t>
    <phoneticPr fontId="8" type="noConversion"/>
  </si>
  <si>
    <t>김규현</t>
    <phoneticPr fontId="8" type="noConversion"/>
  </si>
  <si>
    <t>백색2롤 추가</t>
    <phoneticPr fontId="8" type="noConversion"/>
  </si>
  <si>
    <t>그린포장</t>
    <phoneticPr fontId="8" type="noConversion"/>
  </si>
  <si>
    <t>40롤</t>
    <phoneticPr fontId="8" type="noConversion"/>
  </si>
  <si>
    <t>12*12.5황</t>
    <phoneticPr fontId="8" type="noConversion"/>
  </si>
  <si>
    <t>2000원</t>
    <phoneticPr fontId="8" type="noConversion"/>
  </si>
  <si>
    <t>금동인쇄밴드</t>
    <phoneticPr fontId="8" type="noConversion"/>
  </si>
  <si>
    <t>15*10백(0.8T)</t>
    <phoneticPr fontId="8" type="noConversion"/>
  </si>
  <si>
    <t>광림포장기계</t>
    <phoneticPr fontId="8" type="noConversion"/>
  </si>
  <si>
    <t>30박스</t>
  </si>
  <si>
    <t>PE50*5백</t>
  </si>
  <si>
    <t>영화수출포장</t>
  </si>
  <si>
    <t>200롤</t>
  </si>
  <si>
    <t>68롤</t>
  </si>
  <si>
    <t>5롤</t>
    <phoneticPr fontId="8" type="noConversion"/>
  </si>
  <si>
    <t>12*10황(0.8T)</t>
    <phoneticPr fontId="8" type="noConversion"/>
  </si>
  <si>
    <t>20롤</t>
    <phoneticPr fontId="8" type="noConversion"/>
  </si>
  <si>
    <t>신광포장</t>
    <phoneticPr fontId="8" type="noConversion"/>
  </si>
  <si>
    <t>로젠택배</t>
    <phoneticPr fontId="8" type="noConversion"/>
  </si>
  <si>
    <t>동양프린팅</t>
    <phoneticPr fontId="8" type="noConversion"/>
  </si>
  <si>
    <t>7*10백(0.55T)</t>
    <phoneticPr fontId="8" type="noConversion"/>
  </si>
  <si>
    <t>로젠택배착불</t>
    <phoneticPr fontId="8" type="noConversion"/>
  </si>
  <si>
    <t>정명인쇄사</t>
    <phoneticPr fontId="8" type="noConversion"/>
  </si>
  <si>
    <t>동아출판</t>
    <phoneticPr fontId="8" type="noConversion"/>
  </si>
  <si>
    <t>10.5*10청</t>
    <phoneticPr fontId="8" type="noConversion"/>
  </si>
  <si>
    <t>파워엠팩</t>
    <phoneticPr fontId="8" type="noConversion"/>
  </si>
  <si>
    <t>배추끈</t>
    <phoneticPr fontId="8" type="noConversion"/>
  </si>
  <si>
    <t>100롤</t>
    <phoneticPr fontId="8" type="noConversion"/>
  </si>
  <si>
    <t>15*9.5적</t>
    <phoneticPr fontId="8" type="noConversion"/>
  </si>
  <si>
    <t>20롤</t>
    <phoneticPr fontId="8" type="noConversion"/>
  </si>
  <si>
    <t>15*10황</t>
    <phoneticPr fontId="8" type="noConversion"/>
  </si>
  <si>
    <t>224롤</t>
    <phoneticPr fontId="8" type="noConversion"/>
  </si>
  <si>
    <t>28박스</t>
    <phoneticPr fontId="8" type="noConversion"/>
  </si>
  <si>
    <t>PE28*6백</t>
    <phoneticPr fontId="8" type="noConversion"/>
  </si>
  <si>
    <t>PE28*2적</t>
    <phoneticPr fontId="8" type="noConversion"/>
  </si>
  <si>
    <t>30박스</t>
    <phoneticPr fontId="8" type="noConversion"/>
  </si>
  <si>
    <t>84박스</t>
    <phoneticPr fontId="8" type="noConversion"/>
  </si>
  <si>
    <t>20"(저녁7시)</t>
    <phoneticPr fontId="8" type="noConversion"/>
  </si>
  <si>
    <t>9톤</t>
    <phoneticPr fontId="8" type="noConversion"/>
  </si>
  <si>
    <t>수작업</t>
    <phoneticPr fontId="8" type="noConversion"/>
  </si>
  <si>
    <t>펀치볼</t>
    <phoneticPr fontId="8" type="noConversion"/>
  </si>
  <si>
    <t>20"(오후1시)</t>
    <phoneticPr fontId="8" type="noConversion"/>
  </si>
  <si>
    <t>8.3톤</t>
    <phoneticPr fontId="8" type="noConversion"/>
  </si>
  <si>
    <t>팔렛트</t>
    <phoneticPr fontId="8" type="noConversion"/>
  </si>
  <si>
    <t>알엘비</t>
    <phoneticPr fontId="8" type="noConversion"/>
  </si>
  <si>
    <t>20"(오전9시30분)</t>
    <phoneticPr fontId="8" type="noConversion"/>
  </si>
  <si>
    <t>7.4톤</t>
    <phoneticPr fontId="8" type="noConversion"/>
  </si>
  <si>
    <t>엔지세이프티</t>
    <phoneticPr fontId="8" type="noConversion"/>
  </si>
  <si>
    <t>640롤</t>
  </si>
  <si>
    <t>6*12.5백</t>
  </si>
  <si>
    <t>낙원포장</t>
  </si>
  <si>
    <t>514롤</t>
    <phoneticPr fontId="8" type="noConversion"/>
  </si>
  <si>
    <t>금</t>
    <phoneticPr fontId="8" type="noConversion"/>
  </si>
  <si>
    <t>40"(오후3시)</t>
    <phoneticPr fontId="8" type="noConversion"/>
  </si>
  <si>
    <t>25톤</t>
    <phoneticPr fontId="8" type="noConversion"/>
  </si>
  <si>
    <t>경기 광주 오포읍 매산리 629-28  알찬영농  031-766-2101</t>
    <phoneticPr fontId="8" type="noConversion"/>
  </si>
  <si>
    <t>경상북도 안동시 풍산읍 본마을길 137 (풍산읍) 위생세탁공장 김지영  010-3525-2621  /  경상남도 김해시 안곡로 8 (삼계동) 안쪽공장   동성포장 010-8570-5449 / 010-3514-5449</t>
    <phoneticPr fontId="8" type="noConversion"/>
  </si>
  <si>
    <t>로젠택배</t>
    <phoneticPr fontId="8" type="noConversion"/>
  </si>
  <si>
    <t>명세표 기발행</t>
    <phoneticPr fontId="8" type="noConversion"/>
  </si>
  <si>
    <t>PE28*2청</t>
    <phoneticPr fontId="8" type="noConversion"/>
  </si>
  <si>
    <t>5박스</t>
    <phoneticPr fontId="8" type="noConversion"/>
  </si>
  <si>
    <t>PE28*2황</t>
    <phoneticPr fontId="8" type="noConversion"/>
  </si>
  <si>
    <t>25박스</t>
    <phoneticPr fontId="8" type="noConversion"/>
  </si>
  <si>
    <t>18*21황</t>
    <phoneticPr fontId="8" type="noConversion"/>
  </si>
  <si>
    <t>131롤</t>
    <phoneticPr fontId="8" type="noConversion"/>
  </si>
  <si>
    <t>대구광역시 달서구 월곡로99길 32 (월성동) 민수현 010-9211-4441 / 053-630-2300</t>
    <phoneticPr fontId="8" type="noConversion"/>
  </si>
  <si>
    <t>경기도 광주시 오포읍 추자길 62 대경축산 010-6393-2582</t>
    <phoneticPr fontId="8" type="noConversion"/>
  </si>
  <si>
    <t>로젠택베</t>
    <phoneticPr fontId="8" type="noConversion"/>
  </si>
  <si>
    <t>동원팩</t>
    <phoneticPr fontId="8" type="noConversion"/>
  </si>
  <si>
    <t>2100원/kg</t>
    <phoneticPr fontId="8" type="noConversion"/>
  </si>
  <si>
    <t>지방합화차</t>
    <phoneticPr fontId="8" type="noConversion"/>
  </si>
  <si>
    <t>광주천일포장</t>
    <phoneticPr fontId="8" type="noConversion"/>
  </si>
  <si>
    <t>15*10황(0.8T)</t>
    <phoneticPr fontId="8" type="noConversion"/>
  </si>
  <si>
    <t>1,920원/kg</t>
    <phoneticPr fontId="8" type="noConversion"/>
  </si>
  <si>
    <t>2롤 묶음</t>
    <phoneticPr fontId="8" type="noConversion"/>
  </si>
  <si>
    <t>서울상사</t>
    <phoneticPr fontId="8" type="noConversion"/>
  </si>
  <si>
    <t>8박스</t>
    <phoneticPr fontId="8" type="noConversion"/>
  </si>
  <si>
    <t>진송팩</t>
    <phoneticPr fontId="8" type="noConversion"/>
  </si>
  <si>
    <t>제책4층</t>
    <phoneticPr fontId="8" type="noConversion"/>
  </si>
  <si>
    <t>10.5*10투명</t>
    <phoneticPr fontId="8" type="noConversion"/>
  </si>
  <si>
    <t>제책4층</t>
    <phoneticPr fontId="8" type="noConversion"/>
  </si>
  <si>
    <t>삼화인쇄</t>
    <phoneticPr fontId="8" type="noConversion"/>
  </si>
  <si>
    <t>솔표식품인쇄밴드</t>
    <phoneticPr fontId="8" type="noConversion"/>
  </si>
  <si>
    <t>12*12.5투명</t>
    <phoneticPr fontId="8" type="noConversion"/>
  </si>
  <si>
    <t>15*10황(0.95T)</t>
    <phoneticPr fontId="8" type="noConversion"/>
  </si>
  <si>
    <t>64롤</t>
    <phoneticPr fontId="8" type="noConversion"/>
  </si>
  <si>
    <t>128롤</t>
    <phoneticPr fontId="8" type="noConversion"/>
  </si>
  <si>
    <t>9*10황(0.75TT)</t>
    <phoneticPr fontId="8" type="noConversion"/>
  </si>
  <si>
    <t>수</t>
    <phoneticPr fontId="8" type="noConversion"/>
  </si>
  <si>
    <t>경기도 파주시 연다산동 46-2 ㈜토빅스 파주공장 오시경 생산팀장님 010-3286-6695</t>
    <phoneticPr fontId="8" type="noConversion"/>
  </si>
  <si>
    <t>12*12.5황</t>
    <phoneticPr fontId="8" type="noConversion"/>
  </si>
  <si>
    <t>가골식품</t>
    <phoneticPr fontId="8" type="noConversion"/>
  </si>
  <si>
    <t>38롤</t>
    <phoneticPr fontId="8" type="noConversion"/>
  </si>
  <si>
    <t>민건 이에이</t>
    <phoneticPr fontId="8" type="noConversion"/>
  </si>
  <si>
    <t>12*12황(0.85T)</t>
    <phoneticPr fontId="8" type="noConversion"/>
  </si>
  <si>
    <t>15*10황(0.8T)</t>
    <phoneticPr fontId="8" type="noConversion"/>
  </si>
  <si>
    <t>삼원산업</t>
    <phoneticPr fontId="8" type="noConversion"/>
  </si>
  <si>
    <t>철밴딩제품과 혼적</t>
    <phoneticPr fontId="8" type="noConversion"/>
  </si>
  <si>
    <t>20"(오후6시)</t>
    <phoneticPr fontId="8" type="noConversion"/>
  </si>
  <si>
    <t>수작업</t>
  </si>
  <si>
    <t>에이비엘</t>
  </si>
  <si>
    <t>2박스</t>
    <phoneticPr fontId="8" type="noConversion"/>
  </si>
  <si>
    <t>70박스</t>
    <phoneticPr fontId="8" type="noConversion"/>
  </si>
  <si>
    <t>28*2백(24kg)</t>
    <phoneticPr fontId="8" type="noConversion"/>
  </si>
  <si>
    <t>128롤</t>
    <phoneticPr fontId="8" type="noConversion"/>
  </si>
  <si>
    <t>6*10백(0.65T)</t>
    <phoneticPr fontId="8" type="noConversion"/>
  </si>
  <si>
    <t>지방합화차착불</t>
    <phoneticPr fontId="8" type="noConversion"/>
  </si>
  <si>
    <t>6*10백(0.6T)</t>
    <phoneticPr fontId="8" type="noConversion"/>
  </si>
  <si>
    <t>경인팩</t>
    <phoneticPr fontId="8" type="noConversion"/>
  </si>
  <si>
    <t>60롤</t>
    <phoneticPr fontId="8" type="noConversion"/>
  </si>
  <si>
    <t>7*10백(0.65T)</t>
    <phoneticPr fontId="8" type="noConversion"/>
  </si>
  <si>
    <t>PE50*5적</t>
    <phoneticPr fontId="8" type="noConversion"/>
  </si>
  <si>
    <t>25박스</t>
    <phoneticPr fontId="8" type="noConversion"/>
  </si>
  <si>
    <t>PE50*5백</t>
    <phoneticPr fontId="8" type="noConversion"/>
  </si>
  <si>
    <t>파코팩</t>
    <phoneticPr fontId="8" type="noConversion"/>
  </si>
  <si>
    <t>7박스</t>
    <phoneticPr fontId="8" type="noConversion"/>
  </si>
  <si>
    <t>45박스</t>
    <phoneticPr fontId="8" type="noConversion"/>
  </si>
  <si>
    <t>월</t>
    <phoneticPr fontId="8" type="noConversion"/>
  </si>
  <si>
    <t>15*12황</t>
    <phoneticPr fontId="8" type="noConversion"/>
  </si>
  <si>
    <t>토</t>
    <phoneticPr fontId="8" type="noConversion"/>
  </si>
  <si>
    <t>로젠택배 착불</t>
    <phoneticPr fontId="8" type="noConversion"/>
  </si>
  <si>
    <t>power박스</t>
    <phoneticPr fontId="8" type="noConversion"/>
  </si>
  <si>
    <t>제일패키지</t>
    <phoneticPr fontId="8" type="noConversion"/>
  </si>
  <si>
    <t>고성오</t>
    <phoneticPr fontId="8" type="noConversion"/>
  </si>
  <si>
    <t>KPP파레트 빨강</t>
    <phoneticPr fontId="8" type="noConversion"/>
  </si>
  <si>
    <t>대성씨앤씨</t>
    <phoneticPr fontId="8" type="noConversion"/>
  </si>
  <si>
    <t>우진에이씨티 대신화물 안성가천지점</t>
  </si>
  <si>
    <t>대신화물</t>
  </si>
  <si>
    <t>15,000개</t>
  </si>
  <si>
    <t>3박스</t>
  </si>
  <si>
    <t>플라스틱버클</t>
  </si>
  <si>
    <t>동원피앤아이</t>
    <phoneticPr fontId="8" type="noConversion"/>
  </si>
  <si>
    <t>44롤</t>
    <phoneticPr fontId="8" type="noConversion"/>
  </si>
  <si>
    <t>12*9.5황</t>
    <phoneticPr fontId="8" type="noConversion"/>
  </si>
  <si>
    <t>kic박스</t>
    <phoneticPr fontId="8" type="noConversion"/>
  </si>
  <si>
    <t>한남포장</t>
    <phoneticPr fontId="8" type="noConversion"/>
  </si>
  <si>
    <t>랩 20*500*350</t>
    <phoneticPr fontId="8" type="noConversion"/>
  </si>
  <si>
    <t>호성수출포장</t>
    <phoneticPr fontId="8" type="noConversion"/>
  </si>
  <si>
    <t>로젠택배착불</t>
  </si>
  <si>
    <t>kic박스</t>
  </si>
  <si>
    <t>10박스</t>
  </si>
  <si>
    <t>동서포장</t>
  </si>
  <si>
    <t>랩 400*500</t>
    <phoneticPr fontId="8" type="noConversion"/>
  </si>
  <si>
    <t>랩 400*2000</t>
    <phoneticPr fontId="8" type="noConversion"/>
  </si>
  <si>
    <t>대성씨앤씨</t>
    <phoneticPr fontId="8" type="noConversion"/>
  </si>
  <si>
    <t>랩 감지 말 것</t>
    <phoneticPr fontId="8" type="noConversion"/>
  </si>
  <si>
    <t>15*10황(0.65T)</t>
  </si>
  <si>
    <t>56롤</t>
    <phoneticPr fontId="8" type="noConversion"/>
  </si>
  <si>
    <t>12*10황(0.75T)</t>
    <phoneticPr fontId="8" type="noConversion"/>
  </si>
  <si>
    <t>경인산업</t>
    <phoneticPr fontId="8" type="noConversion"/>
  </si>
  <si>
    <t>64박스</t>
    <phoneticPr fontId="8" type="noConversion"/>
  </si>
  <si>
    <t>크린토피아</t>
    <phoneticPr fontId="8" type="noConversion"/>
  </si>
  <si>
    <t>50박스</t>
    <phoneticPr fontId="8" type="noConversion"/>
  </si>
  <si>
    <t>75박스</t>
    <phoneticPr fontId="8" type="noConversion"/>
  </si>
  <si>
    <t>제일산업안성</t>
    <phoneticPr fontId="8" type="noConversion"/>
  </si>
  <si>
    <t>109롤</t>
    <phoneticPr fontId="8" type="noConversion"/>
  </si>
  <si>
    <t>목</t>
    <phoneticPr fontId="8" type="noConversion"/>
  </si>
  <si>
    <t>전남 영광군 관산로297-21 엠제이씨푸드 010-2275-1934  발신 : 이천화학 010-4592-4099</t>
    <phoneticPr fontId="8" type="noConversion"/>
  </si>
  <si>
    <t>2롤</t>
    <phoneticPr fontId="8" type="noConversion"/>
  </si>
  <si>
    <t>대신화물 대구달성 화원지점 /  착불</t>
  </si>
  <si>
    <t>POWER</t>
  </si>
  <si>
    <t>20박스</t>
  </si>
  <si>
    <t>대원포장기계</t>
  </si>
  <si>
    <t>20롤</t>
    <phoneticPr fontId="8" type="noConversion"/>
  </si>
  <si>
    <t>대신택배</t>
    <phoneticPr fontId="8" type="noConversion"/>
  </si>
  <si>
    <t>20롤</t>
    <phoneticPr fontId="8" type="noConversion"/>
  </si>
  <si>
    <t>전주삼신산업</t>
    <phoneticPr fontId="8" type="noConversion"/>
  </si>
  <si>
    <t>5박스</t>
  </si>
  <si>
    <t>PE28*6백</t>
  </si>
  <si>
    <t>랩 감지 말 것</t>
    <phoneticPr fontId="8" type="noConversion"/>
  </si>
  <si>
    <t>25롤</t>
    <phoneticPr fontId="8" type="noConversion"/>
  </si>
  <si>
    <t>신광포장</t>
    <phoneticPr fontId="8" type="noConversion"/>
  </si>
  <si>
    <t>40박스</t>
    <phoneticPr fontId="8" type="noConversion"/>
  </si>
  <si>
    <t>12*10황(0.75T)</t>
    <phoneticPr fontId="8" type="noConversion"/>
  </si>
  <si>
    <t>15*13황</t>
    <phoneticPr fontId="8" type="noConversion"/>
  </si>
  <si>
    <t>30롤</t>
    <phoneticPr fontId="8" type="noConversion"/>
  </si>
  <si>
    <t>12*12.5투명</t>
    <phoneticPr fontId="8" type="noConversion"/>
  </si>
  <si>
    <t>오후</t>
    <phoneticPr fontId="8" type="noConversion"/>
  </si>
  <si>
    <t>220롤</t>
    <phoneticPr fontId="8" type="noConversion"/>
  </si>
  <si>
    <t>합동포장기계</t>
    <phoneticPr fontId="8" type="noConversion"/>
  </si>
  <si>
    <t>255롤</t>
    <phoneticPr fontId="8" type="noConversion"/>
  </si>
  <si>
    <t>신생테크놀러지</t>
    <phoneticPr fontId="8" type="noConversion"/>
  </si>
  <si>
    <t>4박스</t>
    <phoneticPr fontId="8" type="noConversion"/>
  </si>
  <si>
    <t>아이원팩</t>
    <phoneticPr fontId="8" type="noConversion"/>
  </si>
  <si>
    <t>9*10황</t>
    <phoneticPr fontId="8" type="noConversion"/>
  </si>
  <si>
    <t>80롤</t>
    <phoneticPr fontId="8" type="noConversion"/>
  </si>
  <si>
    <t>492롤</t>
    <phoneticPr fontId="8" type="noConversion"/>
  </si>
  <si>
    <t>아주 2, 계림농장 1, 양계장집3</t>
    <phoneticPr fontId="8" type="noConversion"/>
  </si>
  <si>
    <t>6박스</t>
    <phoneticPr fontId="8" type="noConversion"/>
  </si>
  <si>
    <t>파워엠팩</t>
    <phoneticPr fontId="8" type="noConversion"/>
  </si>
  <si>
    <t>한국삼공 익산공장 (전북 익산시 낭산면 산단구평길 125-22 (낭산면 구평리 1540)) / 010-4919-0006 -택배비 청구</t>
  </si>
  <si>
    <t>대신택배</t>
  </si>
  <si>
    <t>한국삼공</t>
  </si>
  <si>
    <t>48롤</t>
  </si>
  <si>
    <t>15*10투명(0.8T)</t>
  </si>
  <si>
    <t>신광포장</t>
  </si>
  <si>
    <t>삼성종합포장</t>
    <phoneticPr fontId="8" type="noConversion"/>
  </si>
  <si>
    <t>498롤</t>
    <phoneticPr fontId="8" type="noConversion"/>
  </si>
  <si>
    <t>경북 영천시 임고면 포은로 711  햇살영농조합법인 010 4356 7731</t>
  </si>
  <si>
    <t>2롤2묶음</t>
    <phoneticPr fontId="8" type="noConversion"/>
  </si>
  <si>
    <t>착불</t>
    <phoneticPr fontId="8" type="noConversion"/>
  </si>
  <si>
    <t>계룡대 용차</t>
    <phoneticPr fontId="8" type="noConversion"/>
  </si>
  <si>
    <t>120롤</t>
    <phoneticPr fontId="8" type="noConversion"/>
  </si>
  <si>
    <t>15*10황(0.73T)</t>
    <phoneticPr fontId="8" type="noConversion"/>
  </si>
  <si>
    <t>경인산업</t>
    <phoneticPr fontId="8" type="noConversion"/>
  </si>
  <si>
    <t>착불</t>
  </si>
  <si>
    <t>수출용박스</t>
  </si>
  <si>
    <t>대일상사</t>
  </si>
  <si>
    <t>285롤</t>
    <phoneticPr fontId="8" type="noConversion"/>
  </si>
  <si>
    <t>5톤</t>
    <phoneticPr fontId="8" type="noConversion"/>
  </si>
  <si>
    <t>160박스</t>
    <phoneticPr fontId="8" type="noConversion"/>
  </si>
  <si>
    <t>6박스 1묶음</t>
    <phoneticPr fontId="8" type="noConversion"/>
  </si>
  <si>
    <t>6박스</t>
    <phoneticPr fontId="8" type="noConversion"/>
  </si>
  <si>
    <t>피피클립</t>
  </si>
  <si>
    <t>디알젬</t>
  </si>
  <si>
    <t>김포납품</t>
  </si>
  <si>
    <t>30롤</t>
    <phoneticPr fontId="8" type="noConversion"/>
  </si>
  <si>
    <t>15*10황(0.75T)</t>
    <phoneticPr fontId="8" type="noConversion"/>
  </si>
  <si>
    <t>80롤</t>
    <phoneticPr fontId="8" type="noConversion"/>
  </si>
  <si>
    <t>민건이에이</t>
    <phoneticPr fontId="8" type="noConversion"/>
  </si>
  <si>
    <t>150롤</t>
    <phoneticPr fontId="8" type="noConversion"/>
  </si>
  <si>
    <t>12*10황</t>
    <phoneticPr fontId="8" type="noConversion"/>
  </si>
  <si>
    <t>전화</t>
    <phoneticPr fontId="8" type="noConversion"/>
  </si>
  <si>
    <t>50박스</t>
  </si>
  <si>
    <t>신한포장</t>
  </si>
  <si>
    <t>경북 영천시 임고면 포은로 711  햇살영농조합법인 010 4356 7731</t>
    <phoneticPr fontId="8" type="noConversion"/>
  </si>
  <si>
    <t>2롤3묶음</t>
    <phoneticPr fontId="8" type="noConversion"/>
  </si>
  <si>
    <t>6롤</t>
    <phoneticPr fontId="8" type="noConversion"/>
  </si>
  <si>
    <t>유진 제품</t>
    <phoneticPr fontId="8" type="noConversion"/>
  </si>
  <si>
    <t>경기도 평택시 통복동 66-1번지  나라유통 010-4855-5233</t>
    <phoneticPr fontId="8" type="noConversion"/>
  </si>
  <si>
    <t>김포납품</t>
    <phoneticPr fontId="8" type="noConversion"/>
  </si>
  <si>
    <t>3박스</t>
    <phoneticPr fontId="8" type="noConversion"/>
  </si>
  <si>
    <t>12*10황(0.65T)</t>
  </si>
  <si>
    <t>DHF 인쇄밴드</t>
    <phoneticPr fontId="8" type="noConversion"/>
  </si>
  <si>
    <t>15*10백(0.65T)</t>
  </si>
  <si>
    <t>금산포장</t>
  </si>
  <si>
    <t>경기도 파주시 월롱면 엘지로 386번길 116 피텍코리아 010-8840-4485</t>
    <phoneticPr fontId="8" type="noConversion"/>
  </si>
  <si>
    <t>10박스</t>
    <phoneticPr fontId="8" type="noConversion"/>
  </si>
  <si>
    <t>해성수출포장</t>
  </si>
  <si>
    <t>20"(오후7시)</t>
    <phoneticPr fontId="8" type="noConversion"/>
  </si>
  <si>
    <t>5.9톤</t>
    <phoneticPr fontId="8" type="noConversion"/>
  </si>
  <si>
    <t>고메리</t>
    <phoneticPr fontId="8" type="noConversion"/>
  </si>
  <si>
    <t>50롤</t>
    <phoneticPr fontId="8" type="noConversion"/>
  </si>
  <si>
    <t>10.5*10청</t>
    <phoneticPr fontId="8" type="noConversion"/>
  </si>
  <si>
    <t>용차</t>
    <phoneticPr fontId="8" type="noConversion"/>
  </si>
  <si>
    <t>128롤</t>
    <phoneticPr fontId="8" type="noConversion"/>
  </si>
  <si>
    <t>16박스</t>
    <phoneticPr fontId="8" type="noConversion"/>
  </si>
  <si>
    <t>일산</t>
    <phoneticPr fontId="8" type="noConversion"/>
  </si>
  <si>
    <t>12*12청</t>
    <phoneticPr fontId="8" type="noConversion"/>
  </si>
  <si>
    <t>128롤</t>
  </si>
  <si>
    <t>7*10 백(0.5T)</t>
  </si>
  <si>
    <t>금성칼라팩</t>
    <phoneticPr fontId="8" type="noConversion"/>
  </si>
  <si>
    <t>213롤</t>
    <phoneticPr fontId="8" type="noConversion"/>
  </si>
  <si>
    <t>2롤묶음</t>
    <phoneticPr fontId="8" type="noConversion"/>
  </si>
  <si>
    <t>12*3000투명</t>
    <phoneticPr fontId="8" type="noConversion"/>
  </si>
  <si>
    <t>비비시스템</t>
    <phoneticPr fontId="8" type="noConversion"/>
  </si>
  <si>
    <t>6*12.5백</t>
    <phoneticPr fontId="8" type="noConversion"/>
  </si>
  <si>
    <t>방문출고</t>
  </si>
  <si>
    <t>12*10연두</t>
    <phoneticPr fontId="8" type="noConversion"/>
  </si>
  <si>
    <t>445롤</t>
    <phoneticPr fontId="8" type="noConversion"/>
  </si>
  <si>
    <t>6*10황</t>
    <phoneticPr fontId="8" type="noConversion"/>
  </si>
  <si>
    <t>512롤</t>
    <phoneticPr fontId="8" type="noConversion"/>
  </si>
  <si>
    <t>방문출고</t>
    <phoneticPr fontId="8" type="noConversion"/>
  </si>
  <si>
    <t>20"(오후5시)</t>
    <phoneticPr fontId="8" type="noConversion"/>
  </si>
  <si>
    <t>팔레트</t>
    <phoneticPr fontId="8" type="noConversion"/>
  </si>
  <si>
    <t>10롤</t>
    <phoneticPr fontId="8" type="noConversion"/>
  </si>
  <si>
    <t>수입품</t>
    <phoneticPr fontId="8" type="noConversion"/>
  </si>
  <si>
    <t>9*11은회색</t>
    <phoneticPr fontId="8" type="noConversion"/>
  </si>
  <si>
    <t>다오</t>
    <phoneticPr fontId="8" type="noConversion"/>
  </si>
  <si>
    <t>13*11은회색</t>
    <phoneticPr fontId="8" type="noConversion"/>
  </si>
  <si>
    <t>해성수출포장</t>
    <phoneticPr fontId="8" type="noConversion"/>
  </si>
  <si>
    <t>52롤</t>
    <phoneticPr fontId="8" type="noConversion"/>
  </si>
  <si>
    <t>12*12.5적(0.8T)</t>
    <phoneticPr fontId="8" type="noConversion"/>
  </si>
  <si>
    <t>12*12.5청(0.8T)</t>
    <phoneticPr fontId="8" type="noConversion"/>
  </si>
  <si>
    <t>12*12.5백(0.8T)</t>
    <phoneticPr fontId="8" type="noConversion"/>
  </si>
  <si>
    <t>신대한판지</t>
    <phoneticPr fontId="8" type="noConversion"/>
  </si>
  <si>
    <t>10.5*10투명</t>
    <phoneticPr fontId="8" type="noConversion"/>
  </si>
  <si>
    <t>해성식품 강원도 속초시 농공단지1길 28-7 010 2203 1200</t>
  </si>
  <si>
    <t>해성식품</t>
    <phoneticPr fontId="8" type="noConversion"/>
  </si>
  <si>
    <t>48롤</t>
    <phoneticPr fontId="8" type="noConversion"/>
  </si>
  <si>
    <t>삼보팩</t>
    <phoneticPr fontId="8" type="noConversion"/>
  </si>
  <si>
    <t>12*10황(0.8T) 5롤 명세서</t>
    <phoneticPr fontId="8" type="noConversion"/>
  </si>
  <si>
    <t>12*10청(0.8~0.85T)</t>
    <phoneticPr fontId="8" type="noConversion"/>
  </si>
  <si>
    <t>12.10적</t>
    <phoneticPr fontId="8" type="noConversion"/>
  </si>
  <si>
    <t>10.5*10적</t>
    <phoneticPr fontId="8" type="noConversion"/>
  </si>
  <si>
    <t>10.5*10황(0.8T)</t>
    <phoneticPr fontId="8" type="noConversion"/>
  </si>
  <si>
    <t>경상남도 함안군 산인면 송산로 170 한일이에프 055-584-5131  010-3886-5131</t>
    <phoneticPr fontId="8" type="noConversion"/>
  </si>
  <si>
    <t>대신택배</t>
    <phoneticPr fontId="8" type="noConversion"/>
  </si>
  <si>
    <t>6*10백</t>
  </si>
  <si>
    <t>경기도 파주시 고봉로 721-75 (상지석동) (주)아주  여권진  010-3644-5412</t>
    <phoneticPr fontId="8" type="noConversion"/>
  </si>
  <si>
    <t>6*10백(0.65T)</t>
    <phoneticPr fontId="8" type="noConversion"/>
  </si>
  <si>
    <t>192롤</t>
    <phoneticPr fontId="8" type="noConversion"/>
  </si>
  <si>
    <t>밴드클립</t>
  </si>
  <si>
    <t>100롤</t>
  </si>
  <si>
    <t>424롤</t>
    <phoneticPr fontId="8" type="noConversion"/>
  </si>
  <si>
    <t>피피클립</t>
    <phoneticPr fontId="8" type="noConversion"/>
  </si>
  <si>
    <t>디알젬</t>
    <phoneticPr fontId="8" type="noConversion"/>
  </si>
  <si>
    <t>동서포장</t>
    <phoneticPr fontId="8" type="noConversion"/>
  </si>
  <si>
    <t>충북 청주시 흥덕구 2순환로 926(향정동) (주)리틀코리아 010-8844-8467</t>
  </si>
  <si>
    <t>리틀코리아</t>
    <phoneticPr fontId="8" type="noConversion"/>
  </si>
  <si>
    <t>14*10황</t>
    <phoneticPr fontId="8" type="noConversion"/>
  </si>
  <si>
    <t>청정원</t>
    <phoneticPr fontId="8" type="noConversion"/>
  </si>
  <si>
    <t>14*10백</t>
    <phoneticPr fontId="8" type="noConversion"/>
  </si>
  <si>
    <t>8,400원</t>
    <phoneticPr fontId="8" type="noConversion"/>
  </si>
  <si>
    <t>스피드랩에서 직납
(대복식품)</t>
    <phoneticPr fontId="8" type="noConversion"/>
  </si>
  <si>
    <t>48박스</t>
  </si>
  <si>
    <t>18*500*350</t>
  </si>
  <si>
    <t>신우교역</t>
  </si>
  <si>
    <t>64박스</t>
    <phoneticPr fontId="8" type="noConversion"/>
  </si>
  <si>
    <t>유일</t>
    <phoneticPr fontId="8" type="noConversion"/>
  </si>
  <si>
    <t>258롤</t>
    <phoneticPr fontId="8" type="noConversion"/>
  </si>
  <si>
    <t>8.2톤</t>
    <phoneticPr fontId="8" type="noConversion"/>
  </si>
  <si>
    <t>팔레트</t>
    <phoneticPr fontId="8" type="noConversion"/>
  </si>
  <si>
    <t>18톤</t>
    <phoneticPr fontId="8" type="noConversion"/>
  </si>
  <si>
    <t>경기도 남양주시 와부읍 석실로493 육일(계란창고)  김우택 010-5477-2016</t>
    <phoneticPr fontId="8" type="noConversion"/>
  </si>
  <si>
    <t>4박스</t>
    <phoneticPr fontId="8" type="noConversion"/>
  </si>
  <si>
    <t>인스트아이앤씨</t>
  </si>
  <si>
    <t>6*10청</t>
    <phoneticPr fontId="8" type="noConversion"/>
  </si>
  <si>
    <t>14*10갈색</t>
    <phoneticPr fontId="8" type="noConversion"/>
  </si>
  <si>
    <t>14*10초록</t>
    <phoneticPr fontId="8" type="noConversion"/>
  </si>
  <si>
    <t>14*10청</t>
    <phoneticPr fontId="8" type="noConversion"/>
  </si>
  <si>
    <t>18*10황(0.95~1T)</t>
    <phoneticPr fontId="8" type="noConversion"/>
  </si>
  <si>
    <t>미국수출박스</t>
  </si>
  <si>
    <t>김해시 한림면 김해대로 916번길 40-78 태화산업 / 010-3590-5377 
하차시간 꼭 협의 해야함(하차시 수작업)</t>
  </si>
  <si>
    <t>지방합화차</t>
  </si>
  <si>
    <t>PE28*2녹</t>
  </si>
  <si>
    <t>김해제일포장</t>
  </si>
  <si>
    <t>180롤</t>
    <phoneticPr fontId="8" type="noConversion"/>
  </si>
  <si>
    <t>18*21친환경</t>
    <phoneticPr fontId="8" type="noConversion"/>
  </si>
  <si>
    <t>40"(오전9시30분)</t>
    <phoneticPr fontId="8" type="noConversion"/>
  </si>
  <si>
    <t>강원도 속초시 농공단지1길 38-5  삼성덕장  양현도  010-3369-2399 / 010-3369-2399</t>
    <phoneticPr fontId="8" type="noConversion"/>
  </si>
  <si>
    <t>한국삼공</t>
    <phoneticPr fontId="8" type="noConversion"/>
  </si>
  <si>
    <t>15*10투명</t>
    <phoneticPr fontId="8" type="noConversion"/>
  </si>
  <si>
    <t>랩20*1400</t>
    <phoneticPr fontId="8" type="noConversion"/>
  </si>
  <si>
    <t>5*7000백</t>
    <phoneticPr fontId="8" type="noConversion"/>
  </si>
  <si>
    <t>42롤</t>
    <phoneticPr fontId="8" type="noConversion"/>
  </si>
  <si>
    <t>417롤</t>
    <phoneticPr fontId="8" type="noConversion"/>
  </si>
  <si>
    <t>동원화학 원료 수거</t>
    <phoneticPr fontId="8" type="noConversion"/>
  </si>
  <si>
    <t>오전용차</t>
    <phoneticPr fontId="8" type="noConversion"/>
  </si>
  <si>
    <t>6*10백</t>
    <phoneticPr fontId="8" type="noConversion"/>
  </si>
  <si>
    <t>제일산업안성</t>
  </si>
  <si>
    <t>168롤</t>
    <phoneticPr fontId="8" type="noConversion"/>
  </si>
  <si>
    <t>로젠택배</t>
    <phoneticPr fontId="8" type="noConversion"/>
  </si>
  <si>
    <t>무지박스</t>
    <phoneticPr fontId="8" type="noConversion"/>
  </si>
  <si>
    <t>14박스</t>
    <phoneticPr fontId="8" type="noConversion"/>
  </si>
  <si>
    <t>채신청</t>
    <phoneticPr fontId="8" type="noConversion"/>
  </si>
  <si>
    <t>21박스</t>
    <phoneticPr fontId="8" type="noConversion"/>
  </si>
  <si>
    <t>10.5*10투명(0.75T)</t>
    <phoneticPr fontId="8" type="noConversion"/>
  </si>
  <si>
    <t>336롤</t>
    <phoneticPr fontId="8" type="noConversion"/>
  </si>
  <si>
    <t>56박스</t>
    <phoneticPr fontId="8" type="noConversion"/>
  </si>
  <si>
    <t>충남 천안시 서북구 신당새터2길 71 (신당동)  010-7376-0133 &lt;다온앤팜&gt;</t>
    <phoneticPr fontId="8" type="noConversion"/>
  </si>
  <si>
    <t>10.5*10투명</t>
    <phoneticPr fontId="8" type="noConversion"/>
  </si>
  <si>
    <t>무지패드</t>
    <phoneticPr fontId="8" type="noConversion"/>
  </si>
  <si>
    <t>금산포장</t>
    <phoneticPr fontId="8" type="noConversion"/>
  </si>
  <si>
    <t>KPP빨강</t>
    <phoneticPr fontId="8" type="noConversion"/>
  </si>
  <si>
    <t>18*13황</t>
    <phoneticPr fontId="8" type="noConversion"/>
  </si>
  <si>
    <t>제이케이머티리얼즈</t>
    <phoneticPr fontId="8" type="noConversion"/>
  </si>
  <si>
    <t>광주천일포장</t>
    <phoneticPr fontId="8" type="noConversion"/>
  </si>
  <si>
    <t>64박스</t>
    <phoneticPr fontId="8" type="noConversion"/>
  </si>
  <si>
    <t>15박스</t>
    <phoneticPr fontId="8" type="noConversion"/>
  </si>
  <si>
    <t>40박스</t>
  </si>
  <si>
    <t>30롤</t>
  </si>
  <si>
    <t>15*13황</t>
  </si>
  <si>
    <t>150롤</t>
  </si>
  <si>
    <t>12*12.5황</t>
  </si>
  <si>
    <t>12*10백(0.75T)</t>
  </si>
  <si>
    <t>50롤</t>
  </si>
  <si>
    <t>12*10황(0.75T)</t>
  </si>
  <si>
    <t>합동포장기계</t>
  </si>
  <si>
    <t>12*9.5황</t>
    <phoneticPr fontId="8" type="noConversion"/>
  </si>
  <si>
    <t>토</t>
    <phoneticPr fontId="8" type="noConversion"/>
  </si>
  <si>
    <t>16*10황(자동엠보)</t>
    <phoneticPr fontId="8" type="noConversion"/>
  </si>
  <si>
    <t>경북 포항시 남구 철강로41번길 52-3 안강육통상회 010-8578-9260</t>
    <phoneticPr fontId="8" type="noConversion"/>
  </si>
  <si>
    <t>PP클립</t>
    <phoneticPr fontId="8" type="noConversion"/>
  </si>
  <si>
    <t>348롤</t>
    <phoneticPr fontId="8" type="noConversion"/>
  </si>
  <si>
    <t>8롤</t>
    <phoneticPr fontId="8" type="noConversion"/>
  </si>
  <si>
    <t>8.6톤</t>
    <phoneticPr fontId="8" type="noConversion"/>
  </si>
  <si>
    <t>탐스텍</t>
    <phoneticPr fontId="8" type="noConversion"/>
  </si>
  <si>
    <t>5000개</t>
    <phoneticPr fontId="8" type="noConversion"/>
  </si>
  <si>
    <t>동원피앤아이</t>
  </si>
  <si>
    <t>용차</t>
    <phoneticPr fontId="8" type="noConversion"/>
  </si>
  <si>
    <t>100롤</t>
    <phoneticPr fontId="8" type="noConversion"/>
  </si>
  <si>
    <t>12*12황</t>
    <phoneticPr fontId="8" type="noConversion"/>
  </si>
  <si>
    <t>에이원코리아</t>
    <phoneticPr fontId="8" type="noConversion"/>
  </si>
  <si>
    <t>46롤</t>
    <phoneticPr fontId="8" type="noConversion"/>
  </si>
  <si>
    <t>12*10백(0.75T)</t>
    <phoneticPr fontId="8" type="noConversion"/>
  </si>
  <si>
    <t>빨간밴딩 / 패드갈이</t>
    <phoneticPr fontId="8" type="noConversion"/>
  </si>
  <si>
    <t>12*10황</t>
    <phoneticPr fontId="8" type="noConversion"/>
  </si>
  <si>
    <t>선불 2200/kg</t>
    <phoneticPr fontId="8" type="noConversion"/>
  </si>
  <si>
    <t>1롤 맞교환</t>
    <phoneticPr fontId="8" type="noConversion"/>
  </si>
  <si>
    <t>신한포장</t>
    <phoneticPr fontId="8" type="noConversion"/>
  </si>
  <si>
    <t>20.8톤</t>
    <phoneticPr fontId="8" type="noConversion"/>
  </si>
  <si>
    <t>하이게이트</t>
    <phoneticPr fontId="8" type="noConversion"/>
  </si>
  <si>
    <t>28박스</t>
    <phoneticPr fontId="8" type="noConversion"/>
  </si>
  <si>
    <t>PE28*2백(24kg)</t>
    <phoneticPr fontId="8" type="noConversion"/>
  </si>
  <si>
    <t>패드갈이</t>
    <phoneticPr fontId="8" type="noConversion"/>
  </si>
  <si>
    <t>127롤</t>
    <phoneticPr fontId="8" type="noConversion"/>
  </si>
  <si>
    <t>300롤</t>
    <phoneticPr fontId="8" type="noConversion"/>
  </si>
  <si>
    <t>강원농협</t>
    <phoneticPr fontId="8" type="noConversion"/>
  </si>
  <si>
    <t>금산포장</t>
    <phoneticPr fontId="8" type="noConversion"/>
  </si>
  <si>
    <t>PE50*5황</t>
    <phoneticPr fontId="8" type="noConversion"/>
  </si>
  <si>
    <t>KPP빨강</t>
    <phoneticPr fontId="8" type="noConversion"/>
  </si>
  <si>
    <t>100박스</t>
    <phoneticPr fontId="8" type="noConversion"/>
  </si>
  <si>
    <t>적색은 담주</t>
    <phoneticPr fontId="8" type="noConversion"/>
  </si>
  <si>
    <t>12*12투명</t>
    <phoneticPr fontId="8" type="noConversion"/>
  </si>
  <si>
    <t>40롤 3월, 40롤 4월</t>
    <phoneticPr fontId="8" type="noConversion"/>
  </si>
  <si>
    <t>합동포장</t>
    <phoneticPr fontId="8" type="noConversion"/>
  </si>
  <si>
    <t>40"(오후4시)</t>
    <phoneticPr fontId="8" type="noConversion"/>
  </si>
  <si>
    <t>11톤</t>
    <phoneticPr fontId="8" type="noConversion"/>
  </si>
  <si>
    <t>팔레트</t>
  </si>
  <si>
    <t>노스쇼아</t>
  </si>
  <si>
    <t>경상남도 김해시 한림면 명동로 123번길 42-18 태영포장산업 010-2641-4529</t>
  </si>
  <si>
    <t>24박스</t>
  </si>
  <si>
    <t>오전</t>
    <phoneticPr fontId="8" type="noConversion"/>
  </si>
  <si>
    <t>112롤</t>
    <phoneticPr fontId="8" type="noConversion"/>
  </si>
  <si>
    <t>42롤 반품 명세서 보내기</t>
    <phoneticPr fontId="8" type="noConversion"/>
  </si>
  <si>
    <t>96박스</t>
    <phoneticPr fontId="8" type="noConversion"/>
  </si>
  <si>
    <t>강원 평창군 대관령면 대관령로 135-12 (횡계리 310-1) 강희철 033-336-3007 / 010-9500-7551</t>
    <phoneticPr fontId="8" type="noConversion"/>
  </si>
  <si>
    <t>2롤5묶음</t>
    <phoneticPr fontId="8" type="noConversion"/>
  </si>
  <si>
    <t>10롤(0.8t)</t>
    <phoneticPr fontId="8" type="noConversion"/>
  </si>
  <si>
    <t>power</t>
    <phoneticPr fontId="8" type="noConversion"/>
  </si>
  <si>
    <t>162롤</t>
    <phoneticPr fontId="8" type="noConversion"/>
  </si>
  <si>
    <t>20"(오후2시)</t>
    <phoneticPr fontId="8" type="noConversion"/>
  </si>
  <si>
    <t>5.9톤</t>
    <phoneticPr fontId="8" type="noConversion"/>
  </si>
  <si>
    <t xml:space="preserve">대구광역시 서구 달서천로61안길 35-4 (비산동) 2층 사무실 이상훈 0503-6952-5309    </t>
    <phoneticPr fontId="8" type="noConversion"/>
  </si>
  <si>
    <t>1박스</t>
  </si>
  <si>
    <t>아주파렛트반납</t>
    <phoneticPr fontId="8" type="noConversion"/>
  </si>
  <si>
    <t>랩 20*500*1400</t>
    <phoneticPr fontId="8" type="noConversion"/>
  </si>
  <si>
    <t>대성씨엔씨</t>
    <phoneticPr fontId="8" type="noConversion"/>
  </si>
  <si>
    <t>63롤</t>
    <phoneticPr fontId="8" type="noConversion"/>
  </si>
  <si>
    <t>6*10 백</t>
    <phoneticPr fontId="8" type="noConversion"/>
  </si>
  <si>
    <t>201롤</t>
    <phoneticPr fontId="8" type="noConversion"/>
  </si>
  <si>
    <t>12*10 검정(0.73t)</t>
    <phoneticPr fontId="8" type="noConversion"/>
  </si>
  <si>
    <t>384롤</t>
    <phoneticPr fontId="8" type="noConversion"/>
  </si>
  <si>
    <t>9*10황</t>
    <phoneticPr fontId="8" type="noConversion"/>
  </si>
  <si>
    <t>pe 28*6(백)</t>
    <phoneticPr fontId="8" type="noConversion"/>
  </si>
  <si>
    <t>15*10황(0.65)</t>
    <phoneticPr fontId="8" type="noConversion"/>
  </si>
  <si>
    <t>16*10 황(수동엠보)</t>
    <phoneticPr fontId="8" type="noConversion"/>
  </si>
  <si>
    <t>민건 이에이</t>
    <phoneticPr fontId="8" type="noConversion"/>
  </si>
  <si>
    <t>토</t>
    <phoneticPr fontId="8" type="noConversion"/>
  </si>
  <si>
    <t>12.7톤</t>
    <phoneticPr fontId="8" type="noConversion"/>
  </si>
  <si>
    <t>40"(오전10시)</t>
    <phoneticPr fontId="8" type="noConversion"/>
  </si>
  <si>
    <t>13톤</t>
    <phoneticPr fontId="8" type="noConversion"/>
  </si>
  <si>
    <t>충청남도 천안시 동남구 풍세면 봉강천로 107-5 (풍세면, 천금농장) 한성농장 김난영 010-4450-4045</t>
    <phoneticPr fontId="8" type="noConversion"/>
  </si>
  <si>
    <t>빨간밴딩</t>
    <phoneticPr fontId="8" type="noConversion"/>
  </si>
  <si>
    <t>12*10황(0.65T)</t>
    <phoneticPr fontId="8" type="noConversion"/>
  </si>
  <si>
    <t>한남포장</t>
  </si>
  <si>
    <t>12*10황(0.65t)</t>
    <phoneticPr fontId="8" type="noConversion"/>
  </si>
  <si>
    <t>동방포장기계</t>
    <phoneticPr fontId="8" type="noConversion"/>
  </si>
  <si>
    <t>평판지하A판</t>
    <phoneticPr fontId="8" type="noConversion"/>
  </si>
  <si>
    <t>12*10백</t>
    <phoneticPr fontId="8" type="noConversion"/>
  </si>
  <si>
    <t>평판지하B판</t>
    <phoneticPr fontId="8" type="noConversion"/>
  </si>
  <si>
    <t>경기도 파주시 광탄면 보광로 1336-15 (광탄면) 원흥피앤피 김혜선 010-4982-7932</t>
    <phoneticPr fontId="8" type="noConversion"/>
  </si>
  <si>
    <t>10롤</t>
  </si>
  <si>
    <t>7*10백(0.65T)</t>
  </si>
  <si>
    <t>시몬사</t>
    <phoneticPr fontId="8" type="noConversion"/>
  </si>
  <si>
    <t>513롤</t>
    <phoneticPr fontId="8" type="noConversion"/>
  </si>
  <si>
    <t>2롤 2묶음</t>
    <phoneticPr fontId="8" type="noConversion"/>
  </si>
  <si>
    <t>경기도 포천시 호국로929번길 68 (선단동) A1 Industry  이석중 010-8107-3871</t>
    <phoneticPr fontId="8" type="noConversion"/>
  </si>
  <si>
    <t>범영산업(익산)</t>
    <phoneticPr fontId="8" type="noConversion"/>
  </si>
  <si>
    <t>영림유통 직납</t>
  </si>
  <si>
    <t>300롤</t>
  </si>
  <si>
    <t>6*10황</t>
  </si>
  <si>
    <t>113롤</t>
  </si>
  <si>
    <t>충남 천안시 동남구 배울2길 7 (구룡동) 수도권유통 041-576-0362 / 010-5311-5452</t>
    <phoneticPr fontId="8" type="noConversion"/>
  </si>
  <si>
    <t>바오</t>
    <phoneticPr fontId="8" type="noConversion"/>
  </si>
  <si>
    <t>우선산업</t>
    <phoneticPr fontId="8" type="noConversion"/>
  </si>
  <si>
    <t>12*10황(0.65t)</t>
    <phoneticPr fontId="8" type="noConversion"/>
  </si>
  <si>
    <t>17롤</t>
    <phoneticPr fontId="8" type="noConversion"/>
  </si>
  <si>
    <t>12*10청(0.65T)</t>
    <phoneticPr fontId="8" type="noConversion"/>
  </si>
  <si>
    <t>24롤</t>
    <phoneticPr fontId="8" type="noConversion"/>
  </si>
  <si>
    <t>오전 용차</t>
    <phoneticPr fontId="8" type="noConversion"/>
  </si>
  <si>
    <t>나무파레트</t>
    <phoneticPr fontId="8" type="noConversion"/>
  </si>
  <si>
    <t>502롤</t>
    <phoneticPr fontId="8" type="noConversion"/>
  </si>
  <si>
    <t>경기 안양시 동안구 관양동 1591-2 안양우편집중국   031-389-9400</t>
    <phoneticPr fontId="8" type="noConversion"/>
  </si>
  <si>
    <t>무지박스</t>
    <phoneticPr fontId="8" type="noConversion"/>
  </si>
  <si>
    <t>우정사업본부</t>
    <phoneticPr fontId="8" type="noConversion"/>
  </si>
  <si>
    <t>35롤</t>
    <phoneticPr fontId="8" type="noConversion"/>
  </si>
  <si>
    <t>15*10은색</t>
    <phoneticPr fontId="8" type="noConversion"/>
  </si>
  <si>
    <t>23롤</t>
    <phoneticPr fontId="8" type="noConversion"/>
  </si>
  <si>
    <t>9*10투명(0.75T)</t>
    <phoneticPr fontId="8" type="noConversion"/>
  </si>
  <si>
    <t>12*10황</t>
    <phoneticPr fontId="8" type="noConversion"/>
  </si>
  <si>
    <t>청정원순창</t>
    <phoneticPr fontId="8" type="noConversion"/>
  </si>
  <si>
    <t>86롤</t>
    <phoneticPr fontId="8" type="noConversion"/>
  </si>
  <si>
    <t>14*10적</t>
    <phoneticPr fontId="8" type="noConversion"/>
  </si>
  <si>
    <t>지방합화차</t>
    <phoneticPr fontId="8" type="noConversion"/>
  </si>
  <si>
    <t>14*10보라</t>
    <phoneticPr fontId="8" type="noConversion"/>
  </si>
  <si>
    <t>영림유통 직납</t>
    <phoneticPr fontId="8" type="noConversion"/>
  </si>
  <si>
    <t>300롤</t>
    <phoneticPr fontId="8" type="noConversion"/>
  </si>
  <si>
    <t>인천광역시 계양구 인향로 338-1 (선주지동) 2층 (주)정원피앤씨 010-6743-2402</t>
    <phoneticPr fontId="8" type="noConversion"/>
  </si>
  <si>
    <t>power박스(유진 제품)</t>
    <phoneticPr fontId="8" type="noConversion"/>
  </si>
  <si>
    <t>PE50*5백</t>
    <phoneticPr fontId="8" type="noConversion"/>
  </si>
  <si>
    <t>광주 남구 화장동 386-2 영양 062-655-7396 / 010-3642-7396</t>
    <phoneticPr fontId="8" type="noConversion"/>
  </si>
  <si>
    <t xml:space="preserve">8t*186 지관3개 </t>
    <phoneticPr fontId="8" type="noConversion"/>
  </si>
  <si>
    <t>직납</t>
    <phoneticPr fontId="8" type="noConversion"/>
  </si>
  <si>
    <t>9*11은회색</t>
    <phoneticPr fontId="8" type="noConversion"/>
  </si>
  <si>
    <t>170롤</t>
    <phoneticPr fontId="8" type="noConversion"/>
  </si>
  <si>
    <t>40"(오후1시)</t>
    <phoneticPr fontId="8" type="noConversion"/>
  </si>
  <si>
    <t>15.9톤</t>
    <phoneticPr fontId="8" type="noConversion"/>
  </si>
  <si>
    <t>알엘비</t>
    <phoneticPr fontId="8" type="noConversion"/>
  </si>
  <si>
    <t>6.4톤</t>
    <phoneticPr fontId="8" type="noConversion"/>
  </si>
  <si>
    <t>팔레트</t>
    <phoneticPr fontId="8" type="noConversion"/>
  </si>
  <si>
    <t>파라마운트</t>
    <phoneticPr fontId="8" type="noConversion"/>
  </si>
  <si>
    <t>서윤상사</t>
    <phoneticPr fontId="8" type="noConversion"/>
  </si>
  <si>
    <t>경남 양산시 상북면 상북중앙로 210 두레축산 010-8208-1120</t>
    <phoneticPr fontId="8" type="noConversion"/>
  </si>
  <si>
    <t>9*10황(0.75t)</t>
    <phoneticPr fontId="8" type="noConversion"/>
  </si>
  <si>
    <t>46박스</t>
    <phoneticPr fontId="8" type="noConversion"/>
  </si>
  <si>
    <t>한국스미더스</t>
    <phoneticPr fontId="8" type="noConversion"/>
  </si>
  <si>
    <t>신우교역</t>
    <phoneticPr fontId="8" type="noConversion"/>
  </si>
  <si>
    <t>PE28*2백(24kg)</t>
    <phoneticPr fontId="8" type="noConversion"/>
  </si>
  <si>
    <t>6*10백(0.6~0.65T)</t>
    <phoneticPr fontId="8" type="noConversion"/>
  </si>
  <si>
    <t>15*13황</t>
    <phoneticPr fontId="8" type="noConversion"/>
  </si>
  <si>
    <t>9*10황(0.75t)</t>
    <phoneticPr fontId="8" type="noConversion"/>
  </si>
  <si>
    <t>35박스</t>
    <phoneticPr fontId="8" type="noConversion"/>
  </si>
  <si>
    <t>pe28*2백</t>
    <phoneticPr fontId="8" type="noConversion"/>
  </si>
  <si>
    <t>신대한용 9mm 1롤</t>
    <phoneticPr fontId="8" type="noConversion"/>
  </si>
  <si>
    <t>대통령 선거</t>
    <phoneticPr fontId="8" type="noConversion"/>
  </si>
  <si>
    <t>20"(저녁7시)</t>
    <phoneticPr fontId="8" type="noConversion"/>
  </si>
  <si>
    <t>7.5톤</t>
    <phoneticPr fontId="8" type="noConversion"/>
  </si>
  <si>
    <t>콘즈</t>
    <phoneticPr fontId="8" type="noConversion"/>
  </si>
  <si>
    <t>경기도 고양시 일산동구 공릉천로 124(사리현동)  주시회사 하이얀컴퍼니 010-8795-7480</t>
    <phoneticPr fontId="8" type="noConversion"/>
  </si>
  <si>
    <t>반만 청구</t>
    <phoneticPr fontId="8" type="noConversion"/>
  </si>
  <si>
    <t>PP클립</t>
  </si>
  <si>
    <t>213롤</t>
    <phoneticPr fontId="8" type="noConversion"/>
  </si>
  <si>
    <t>12롤</t>
    <phoneticPr fontId="8" type="noConversion"/>
  </si>
  <si>
    <t>충청북도 진천군 덕산면 신척산단5로 196 (덕산면, (주)견지포장) 견지포장 김법준 010-4555-0979</t>
    <phoneticPr fontId="8" type="noConversion"/>
  </si>
  <si>
    <t>주신산업</t>
    <phoneticPr fontId="8" type="noConversion"/>
  </si>
  <si>
    <t>427롤</t>
    <phoneticPr fontId="8" type="noConversion"/>
  </si>
  <si>
    <t>power박스(유진 제품)</t>
    <phoneticPr fontId="8" type="noConversion"/>
  </si>
  <si>
    <t>BS프린팅</t>
    <phoneticPr fontId="8" type="noConversion"/>
  </si>
  <si>
    <t>로젠택배 착불</t>
    <phoneticPr fontId="8" type="noConversion"/>
  </si>
  <si>
    <t>현진인쇄</t>
    <phoneticPr fontId="8" type="noConversion"/>
  </si>
  <si>
    <t>15*10황(0.8t)</t>
    <phoneticPr fontId="8" type="noConversion"/>
  </si>
  <si>
    <t>강원도 원주시 동부순환로 389-5(봉산동)  (주)서신 033-764-5635  010-8969-6221</t>
    <phoneticPr fontId="8" type="noConversion"/>
  </si>
  <si>
    <t>선불후 청구</t>
    <phoneticPr fontId="8" type="noConversion"/>
  </si>
  <si>
    <t>32박스</t>
    <phoneticPr fontId="8" type="noConversion"/>
  </si>
  <si>
    <t>온라인패키지</t>
    <phoneticPr fontId="8" type="noConversion"/>
  </si>
  <si>
    <t>15롤</t>
    <phoneticPr fontId="8" type="noConversion"/>
  </si>
  <si>
    <t>합동포장</t>
    <phoneticPr fontId="8" type="noConversion"/>
  </si>
  <si>
    <t>22롤</t>
    <phoneticPr fontId="8" type="noConversion"/>
  </si>
  <si>
    <t>나무파레트</t>
    <phoneticPr fontId="8" type="noConversion"/>
  </si>
  <si>
    <t>12*10황(0.8t)</t>
    <phoneticPr fontId="8" type="noConversion"/>
  </si>
  <si>
    <t>20톤</t>
    <phoneticPr fontId="8" type="noConversion"/>
  </si>
  <si>
    <t>타이거팩</t>
    <phoneticPr fontId="8" type="noConversion"/>
  </si>
  <si>
    <t>교원성수</t>
  </si>
  <si>
    <t>60롤</t>
  </si>
  <si>
    <t>12*10백(0.8T+0.75T)</t>
  </si>
  <si>
    <t>파워엠팩</t>
  </si>
  <si>
    <t>493롤</t>
    <phoneticPr fontId="8" type="noConversion"/>
  </si>
  <si>
    <t>한차에 8파레트 적재가능</t>
  </si>
  <si>
    <t>8롤이상만 파렛트로</t>
  </si>
  <si>
    <t>1빠 32~36롤</t>
  </si>
  <si>
    <r>
      <t>3</t>
    </r>
    <r>
      <rPr>
        <sz val="11"/>
        <color rgb="FF000000"/>
        <rFont val="맑은 고딕"/>
        <family val="3"/>
        <charset val="129"/>
      </rPr>
      <t>6*16=576</t>
    </r>
    <phoneticPr fontId="8" type="noConversion"/>
  </si>
  <si>
    <t>날짜1주일전</t>
  </si>
  <si>
    <r>
      <t xml:space="preserve"> </t>
    </r>
    <r>
      <rPr>
        <sz val="11"/>
        <color rgb="FF000000"/>
        <rFont val="맑은 고딕"/>
        <family val="3"/>
        <charset val="129"/>
      </rPr>
      <t>36*8=288</t>
    </r>
    <phoneticPr fontId="8" type="noConversion"/>
  </si>
  <si>
    <t>파렛트수</t>
  </si>
  <si>
    <t>부족수량</t>
  </si>
  <si>
    <t>계</t>
  </si>
  <si>
    <t>합계</t>
    <phoneticPr fontId="8" type="noConversion"/>
  </si>
  <si>
    <t>낱개</t>
    <phoneticPr fontId="8" type="noConversion"/>
  </si>
  <si>
    <t>수량</t>
    <phoneticPr fontId="8" type="noConversion"/>
  </si>
  <si>
    <t>18*21무엠보</t>
    <phoneticPr fontId="8" type="noConversion"/>
  </si>
  <si>
    <t>18*21황
(1)</t>
    <phoneticPr fontId="8" type="noConversion"/>
  </si>
  <si>
    <t>18*15투명
(3)</t>
    <phoneticPr fontId="8" type="noConversion"/>
  </si>
  <si>
    <t>18*21친환경
(421)</t>
    <phoneticPr fontId="8" type="noConversion"/>
  </si>
  <si>
    <t>18*21투명
(13)</t>
    <phoneticPr fontId="8" type="noConversion"/>
  </si>
  <si>
    <t>납품예정</t>
  </si>
  <si>
    <t>포장수량</t>
    <phoneticPr fontId="8" type="noConversion"/>
  </si>
  <si>
    <t>재고</t>
    <phoneticPr fontId="8" type="noConversion"/>
  </si>
  <si>
    <t>유진산업</t>
    <phoneticPr fontId="8" type="noConversion"/>
  </si>
  <si>
    <t>경인팩 박스</t>
    <phoneticPr fontId="8" type="noConversion"/>
  </si>
  <si>
    <t>업체명</t>
    <phoneticPr fontId="8" type="noConversion"/>
  </si>
  <si>
    <t>날짜</t>
    <phoneticPr fontId="8" type="noConversion"/>
  </si>
  <si>
    <t>동원팩 제외</t>
    <phoneticPr fontId="8" type="noConversion"/>
  </si>
  <si>
    <t>PE28*2백</t>
    <phoneticPr fontId="8" type="noConversion"/>
  </si>
  <si>
    <t>마도종합상사</t>
    <phoneticPr fontId="8" type="noConversion"/>
  </si>
  <si>
    <t>전주삼신</t>
    <phoneticPr fontId="8" type="noConversion"/>
  </si>
  <si>
    <t>서윤상사</t>
    <phoneticPr fontId="8" type="noConversion"/>
  </si>
  <si>
    <t>한가람농산</t>
    <phoneticPr fontId="8" type="noConversion"/>
  </si>
  <si>
    <t>그린포장</t>
    <phoneticPr fontId="8" type="noConversion"/>
  </si>
  <si>
    <t>수입</t>
    <phoneticPr fontId="8" type="noConversion"/>
  </si>
  <si>
    <t>익월말초</t>
    <phoneticPr fontId="8" type="noConversion"/>
  </si>
  <si>
    <t>호성수출포장</t>
    <phoneticPr fontId="8" type="noConversion"/>
  </si>
  <si>
    <t>익월말</t>
    <phoneticPr fontId="8" type="noConversion"/>
  </si>
  <si>
    <t>에이스팩</t>
    <phoneticPr fontId="8" type="noConversion"/>
  </si>
  <si>
    <t>라바인터</t>
    <phoneticPr fontId="8" type="noConversion"/>
  </si>
  <si>
    <t>한서포장</t>
    <phoneticPr fontId="8" type="noConversion"/>
  </si>
  <si>
    <t>프럼파스트</t>
    <phoneticPr fontId="8" type="noConversion"/>
  </si>
  <si>
    <t>자강</t>
    <phoneticPr fontId="8" type="noConversion"/>
  </si>
  <si>
    <t>제일포장(김해)</t>
    <phoneticPr fontId="8" type="noConversion"/>
  </si>
  <si>
    <t>유일포장</t>
    <phoneticPr fontId="8" type="noConversion"/>
  </si>
  <si>
    <t>엘로이산업</t>
    <phoneticPr fontId="8" type="noConversion"/>
  </si>
  <si>
    <t>아이마켓</t>
    <phoneticPr fontId="8" type="noConversion"/>
  </si>
  <si>
    <t>신우교역</t>
    <phoneticPr fontId="8" type="noConversion"/>
  </si>
  <si>
    <t>성은지관</t>
    <phoneticPr fontId="8" type="noConversion"/>
  </si>
  <si>
    <t>대영포장</t>
    <phoneticPr fontId="8" type="noConversion"/>
  </si>
  <si>
    <t>광림파워팩</t>
    <phoneticPr fontId="8" type="noConversion"/>
  </si>
  <si>
    <t>건건이</t>
    <phoneticPr fontId="8" type="noConversion"/>
  </si>
  <si>
    <t>한국유니콤</t>
    <phoneticPr fontId="8" type="noConversion"/>
  </si>
  <si>
    <t>90일</t>
    <phoneticPr fontId="8" type="noConversion"/>
  </si>
  <si>
    <t>제일산업(안성)</t>
    <phoneticPr fontId="8" type="noConversion"/>
  </si>
  <si>
    <t>삼신</t>
    <phoneticPr fontId="8" type="noConversion"/>
  </si>
  <si>
    <t>70일</t>
    <phoneticPr fontId="8" type="noConversion"/>
  </si>
  <si>
    <t>60일</t>
    <phoneticPr fontId="8" type="noConversion"/>
  </si>
  <si>
    <t>에이펙스</t>
    <phoneticPr fontId="8" type="noConversion"/>
  </si>
  <si>
    <t>45일</t>
    <phoneticPr fontId="8" type="noConversion"/>
  </si>
  <si>
    <t>40일</t>
    <phoneticPr fontId="8" type="noConversion"/>
  </si>
  <si>
    <t>어음</t>
    <phoneticPr fontId="8" type="noConversion"/>
  </si>
  <si>
    <t>미수 정리-6월말</t>
    <phoneticPr fontId="8" type="noConversion"/>
  </si>
  <si>
    <t>`</t>
    <phoneticPr fontId="8" type="noConversion"/>
  </si>
  <si>
    <t>남은금액</t>
    <phoneticPr fontId="8" type="noConversion"/>
  </si>
  <si>
    <t>입금된 금액</t>
    <phoneticPr fontId="8" type="noConversion"/>
  </si>
  <si>
    <t>금액</t>
    <phoneticPr fontId="8" type="noConversion"/>
  </si>
  <si>
    <t>결제일</t>
    <phoneticPr fontId="8" type="noConversion"/>
  </si>
  <si>
    <t>번호</t>
    <phoneticPr fontId="8" type="noConversion"/>
  </si>
  <si>
    <t>6월말 결제예정 업체</t>
    <phoneticPr fontId="8" type="noConversion"/>
  </si>
  <si>
    <t>*팔레트 작업은 12롤이상 부터 가능함</t>
    <phoneticPr fontId="8" type="noConversion"/>
  </si>
  <si>
    <r>
      <t xml:space="preserve">무조건 </t>
    </r>
    <r>
      <rPr>
        <sz val="11"/>
        <color rgb="FF000000"/>
        <rFont val="맑은 고딕"/>
        <family val="3"/>
        <charset val="129"/>
      </rPr>
      <t>4개씩 쌓음</t>
    </r>
    <phoneticPr fontId="8" type="noConversion"/>
  </si>
  <si>
    <t>제품 높이 : 롤당 200</t>
    <phoneticPr fontId="8" type="noConversion"/>
  </si>
  <si>
    <r>
      <t>1</t>
    </r>
    <r>
      <rPr>
        <sz val="11"/>
        <color rgb="FF000000"/>
        <rFont val="맑은 고딕"/>
        <family val="3"/>
        <charset val="129"/>
      </rPr>
      <t>100*1100*120(파레트사이즈)</t>
    </r>
    <phoneticPr fontId="8" type="noConversion"/>
  </si>
  <si>
    <t>높이(MM)</t>
    <phoneticPr fontId="8" type="noConversion"/>
  </si>
  <si>
    <t>세로(MM)</t>
    <phoneticPr fontId="8" type="noConversion"/>
  </si>
  <si>
    <t>가로(MM)</t>
    <phoneticPr fontId="8" type="noConversion"/>
  </si>
  <si>
    <t>롤 수</t>
    <phoneticPr fontId="8" type="noConversion"/>
  </si>
  <si>
    <t>팔레트 사이즈</t>
    <phoneticPr fontId="8" type="noConversion"/>
  </si>
  <si>
    <t>010-8795-7480</t>
  </si>
  <si>
    <t xml:space="preserve">공릉천로 124(사리현동)  </t>
    <phoneticPr fontId="8" type="noConversion"/>
  </si>
  <si>
    <t xml:space="preserve">경기도 고양시 일산동구 </t>
    <phoneticPr fontId="8" type="noConversion"/>
  </si>
  <si>
    <t>010-5378-4108  </t>
    <phoneticPr fontId="8" type="noConversion"/>
  </si>
  <si>
    <t>031-908-1372  </t>
    <phoneticPr fontId="8" type="noConversion"/>
  </si>
  <si>
    <t>낙원포장</t>
    <phoneticPr fontId="8" type="noConversion"/>
  </si>
  <si>
    <t>1동(산남동)</t>
  </si>
  <si>
    <t xml:space="preserve">경기도 파주시 산남로127, </t>
    <phoneticPr fontId="8" type="noConversion"/>
  </si>
  <si>
    <t>010-8840-4485</t>
  </si>
  <si>
    <t xml:space="preserve">피텍코리아 </t>
    <phoneticPr fontId="8" type="noConversion"/>
  </si>
  <si>
    <t>운임 착불</t>
  </si>
  <si>
    <t xml:space="preserve">엘지로 386번길 116 </t>
    <phoneticPr fontId="8" type="noConversion"/>
  </si>
  <si>
    <t xml:space="preserve">경기도 파주시 월롱면 </t>
    <phoneticPr fontId="8" type="noConversion"/>
  </si>
  <si>
    <t>삼보팩</t>
  </si>
  <si>
    <t>28번길 120(정왕동,1마101,102)</t>
  </si>
  <si>
    <t xml:space="preserve">경기도 시흥시 공단1대로 </t>
  </si>
  <si>
    <t>010-9224-0268</t>
  </si>
  <si>
    <t xml:space="preserve">한미팜  </t>
    <phoneticPr fontId="8" type="noConversion"/>
  </si>
  <si>
    <t xml:space="preserve">서미로 452-56  </t>
    <phoneticPr fontId="8" type="noConversion"/>
  </si>
  <si>
    <t>경기도 안성시 미양면</t>
    <phoneticPr fontId="8" type="noConversion"/>
  </si>
  <si>
    <t xml:space="preserve">신당새터2길 71 (신당동)  </t>
    <phoneticPr fontId="8" type="noConversion"/>
  </si>
  <si>
    <t xml:space="preserve">충남 천안시 서북구 </t>
    <phoneticPr fontId="8" type="noConversion"/>
  </si>
  <si>
    <t>031-766-2101</t>
  </si>
  <si>
    <t xml:space="preserve">알찬영농  </t>
    <phoneticPr fontId="8" type="noConversion"/>
  </si>
  <si>
    <t xml:space="preserve">매산리 629-28  </t>
    <phoneticPr fontId="8" type="noConversion"/>
  </si>
  <si>
    <t>010-3286-6695</t>
  </si>
  <si>
    <t xml:space="preserve">경기 광주 오포읍 </t>
    <phoneticPr fontId="8" type="noConversion"/>
  </si>
  <si>
    <t xml:space="preserve">오시경 생산팀장님 </t>
    <phoneticPr fontId="8" type="noConversion"/>
  </si>
  <si>
    <t xml:space="preserve">㈜토빅스 파주공장 </t>
    <phoneticPr fontId="8" type="noConversion"/>
  </si>
  <si>
    <t>02-2664-3010</t>
    <phoneticPr fontId="8" type="noConversion"/>
  </si>
  <si>
    <t>경기도 파주시 연다산동 46-2</t>
    <phoneticPr fontId="8" type="noConversion"/>
  </si>
  <si>
    <t>010-3574-4999</t>
    <phoneticPr fontId="8" type="noConversion"/>
  </si>
  <si>
    <t>받는분:태형 최정득사장님</t>
    <phoneticPr fontId="8" type="noConversion"/>
  </si>
  <si>
    <t>경동택배</t>
    <phoneticPr fontId="8" type="noConversion"/>
  </si>
  <si>
    <t>010-8786-7336</t>
    <phoneticPr fontId="8" type="noConversion"/>
  </si>
  <si>
    <t xml:space="preserve">울산시 북구 진장동 </t>
    <phoneticPr fontId="8" type="noConversion"/>
  </si>
  <si>
    <t>한결유통</t>
    <phoneticPr fontId="8" type="noConversion"/>
  </si>
  <si>
    <t>가학로 97-11 (가학동)</t>
    <phoneticPr fontId="8" type="noConversion"/>
  </si>
  <si>
    <t>032-505-7376</t>
    <phoneticPr fontId="8" type="noConversion"/>
  </si>
  <si>
    <t xml:space="preserve">경기도 광명시 </t>
    <phoneticPr fontId="8" type="noConversion"/>
  </si>
  <si>
    <t>에그나누리</t>
    <phoneticPr fontId="8" type="noConversion"/>
  </si>
  <si>
    <t xml:space="preserve">(수산동 203-6) </t>
    <phoneticPr fontId="8" type="noConversion"/>
  </si>
  <si>
    <t>031-983-4283</t>
    <phoneticPr fontId="8" type="noConversion"/>
  </si>
  <si>
    <t>호구포로625번길5, 8</t>
  </si>
  <si>
    <t>유일화학</t>
    <phoneticPr fontId="8" type="noConversion"/>
  </si>
  <si>
    <t xml:space="preserve">인천광역시 남동구  </t>
    <phoneticPr fontId="8" type="noConversion"/>
  </si>
  <si>
    <t>김포대로2004번길 48</t>
  </si>
  <si>
    <t xml:space="preserve">경기도 김포시 통진읍 </t>
    <phoneticPr fontId="8" type="noConversion"/>
  </si>
  <si>
    <t>031-351-5610</t>
    <phoneticPr fontId="8" type="noConversion"/>
  </si>
  <si>
    <t>PP6mm - 112롤 (2팔레트)</t>
    <phoneticPr fontId="8" type="noConversion"/>
  </si>
  <si>
    <t>파코팩(PACO PACK)</t>
  </si>
  <si>
    <t>은성영농조합법인 은성축산</t>
    <phoneticPr fontId="8" type="noConversion"/>
  </si>
  <si>
    <t>쌍봉로382-6</t>
  </si>
  <si>
    <t xml:space="preserve">항쟁로139 </t>
    <phoneticPr fontId="8" type="noConversion"/>
  </si>
  <si>
    <t xml:space="preserve">경기도 화성시 우정읍 </t>
    <phoneticPr fontId="8" type="noConversion"/>
  </si>
  <si>
    <t xml:space="preserve">전북 익산시 오산면 </t>
    <phoneticPr fontId="8" type="noConversion"/>
  </si>
  <si>
    <t>010-8811-7208</t>
  </si>
  <si>
    <t>서순석 대리님</t>
    <phoneticPr fontId="8" type="noConversion"/>
  </si>
  <si>
    <t xml:space="preserve">한국스미더스 오아시스 </t>
    <phoneticPr fontId="8" type="noConversion"/>
  </si>
  <si>
    <t xml:space="preserve">용정리 196-4 </t>
    <phoneticPr fontId="8" type="noConversion"/>
  </si>
  <si>
    <t>033-764-6605</t>
  </si>
  <si>
    <t xml:space="preserve">충남 천안시 입장면 </t>
    <phoneticPr fontId="8" type="noConversion"/>
  </si>
  <si>
    <t>서신(주)</t>
  </si>
  <si>
    <t>동부순환로 389-5(봉산동)</t>
  </si>
  <si>
    <t>010-3729-8258</t>
  </si>
  <si>
    <t xml:space="preserve">강원도 원주시 </t>
    <phoneticPr fontId="8" type="noConversion"/>
  </si>
  <si>
    <t xml:space="preserve">경복계란 </t>
    <phoneticPr fontId="8" type="noConversion"/>
  </si>
  <si>
    <t>인천 남동구 앵고개로 523(고잔동)</t>
  </si>
  <si>
    <t>070-8884-7389</t>
  </si>
  <si>
    <t>대성2농장</t>
  </si>
  <si>
    <t>010-3223-6620</t>
  </si>
  <si>
    <t>고양시 일산서구 가좌로14-11</t>
    <phoneticPr fontId="8" type="noConversion"/>
  </si>
  <si>
    <t xml:space="preserve">광명산업 </t>
    <phoneticPr fontId="8" type="noConversion"/>
  </si>
  <si>
    <t xml:space="preserve">인천 남동구 논현동 434-10 </t>
    <phoneticPr fontId="8" type="noConversion"/>
  </si>
  <si>
    <t>찬란유통</t>
    <phoneticPr fontId="8" type="noConversion"/>
  </si>
  <si>
    <t>회안대로 77-35</t>
    <phoneticPr fontId="8" type="noConversion"/>
  </si>
  <si>
    <t>010-8998-6740</t>
    <phoneticPr fontId="8" type="noConversion"/>
  </si>
  <si>
    <t>경기도 광주시 오포읍</t>
    <phoneticPr fontId="8" type="noConversion"/>
  </si>
  <si>
    <t>성우세탁</t>
  </si>
  <si>
    <t xml:space="preserve">봉우순환로 23-10 </t>
    <phoneticPr fontId="8" type="noConversion"/>
  </si>
  <si>
    <t>031-867-8870</t>
  </si>
  <si>
    <t xml:space="preserve">경기 시흥시 정왕동 </t>
    <phoneticPr fontId="8" type="noConversion"/>
  </si>
  <si>
    <t xml:space="preserve">크린토피아 031-658-4443 </t>
    <phoneticPr fontId="8" type="noConversion"/>
  </si>
  <si>
    <t>기업단지로 122-31</t>
  </si>
  <si>
    <t>㈜토빅스 파주공장</t>
    <phoneticPr fontId="8" type="noConversion"/>
  </si>
  <si>
    <t xml:space="preserve">경기도 안성시 공도읍 </t>
    <phoneticPr fontId="8" type="noConversion"/>
  </si>
  <si>
    <t>031-721-1113</t>
  </si>
  <si>
    <t>010-4425-5892</t>
  </si>
  <si>
    <t>장정은 대표님</t>
    <phoneticPr fontId="8" type="noConversion"/>
  </si>
  <si>
    <t>드림</t>
    <phoneticPr fontId="8" type="noConversion"/>
  </si>
  <si>
    <t xml:space="preserve">라바인터네셔널 </t>
  </si>
  <si>
    <t xml:space="preserve">용인시 처인구 백암면 가좌리96 </t>
    <phoneticPr fontId="8" type="noConversion"/>
  </si>
  <si>
    <t xml:space="preserve">경기 광주시 곤지암읍 삼합리 447-1 </t>
  </si>
  <si>
    <t>010-3919-5020</t>
  </si>
  <si>
    <t>031-906-8531</t>
    <phoneticPr fontId="8" type="noConversion"/>
  </si>
  <si>
    <t>한국포장기계</t>
    <phoneticPr fontId="8" type="noConversion"/>
  </si>
  <si>
    <t xml:space="preserve">월드피에이디 </t>
    <phoneticPr fontId="8" type="noConversion"/>
  </si>
  <si>
    <t>세천리 1603-10</t>
    <phoneticPr fontId="8" type="noConversion"/>
  </si>
  <si>
    <t xml:space="preserve">대구 달성군 다사읍 </t>
    <phoneticPr fontId="8" type="noConversion"/>
  </si>
  <si>
    <t xml:space="preserve">경기도 고양시 일산동구 </t>
    <phoneticPr fontId="8" type="noConversion"/>
  </si>
  <si>
    <t>※ 하차시간 꼭 협의</t>
    <phoneticPr fontId="8" type="noConversion"/>
  </si>
  <si>
    <t>010-3590-5377</t>
    <phoneticPr fontId="8" type="noConversion"/>
  </si>
  <si>
    <t>(병동리 996-4) 태화산업</t>
    <phoneticPr fontId="8" type="noConversion"/>
  </si>
  <si>
    <t>062-956-1154</t>
    <phoneticPr fontId="8" type="noConversion"/>
  </si>
  <si>
    <t>김해대로 916번길 40-78</t>
    <phoneticPr fontId="8" type="noConversion"/>
  </si>
  <si>
    <t>2층 (비아동)  천일포장</t>
    <phoneticPr fontId="8" type="noConversion"/>
  </si>
  <si>
    <t xml:space="preserve">김해시 한림면 </t>
    <phoneticPr fontId="8" type="noConversion"/>
  </si>
  <si>
    <t>광주시 광산구 비아로 151</t>
    <phoneticPr fontId="8" type="noConversion"/>
  </si>
  <si>
    <t>수</t>
    <phoneticPr fontId="8" type="noConversion"/>
  </si>
  <si>
    <t>삼성</t>
    <phoneticPr fontId="8" type="noConversion"/>
  </si>
  <si>
    <t>18*21</t>
    <phoneticPr fontId="8" type="noConversion"/>
  </si>
  <si>
    <t>2롤</t>
    <phoneticPr fontId="8" type="noConversion"/>
  </si>
  <si>
    <t>18*21친환경</t>
    <phoneticPr fontId="8" type="noConversion"/>
  </si>
  <si>
    <t>174롤</t>
    <phoneticPr fontId="8" type="noConversion"/>
  </si>
  <si>
    <t>한남포장</t>
    <phoneticPr fontId="8" type="noConversion"/>
  </si>
  <si>
    <t>12*9.5황</t>
    <phoneticPr fontId="8" type="noConversion"/>
  </si>
  <si>
    <t>50롤</t>
    <phoneticPr fontId="8" type="noConversion"/>
  </si>
  <si>
    <t>광림포장기계</t>
    <phoneticPr fontId="8" type="noConversion"/>
  </si>
  <si>
    <t>9*10황</t>
    <phoneticPr fontId="8" type="noConversion"/>
  </si>
  <si>
    <t>128롤</t>
    <phoneticPr fontId="8" type="noConversion"/>
  </si>
  <si>
    <t>12*10황</t>
    <phoneticPr fontId="8" type="noConversion"/>
  </si>
  <si>
    <t>64롤</t>
    <phoneticPr fontId="8" type="noConversion"/>
  </si>
  <si>
    <t>12*12.5투명</t>
    <phoneticPr fontId="8" type="noConversion"/>
  </si>
  <si>
    <t>40롤</t>
    <phoneticPr fontId="8" type="noConversion"/>
  </si>
  <si>
    <t>12*12.5황</t>
    <phoneticPr fontId="8" type="noConversion"/>
  </si>
  <si>
    <t>15*10황</t>
    <phoneticPr fontId="8" type="noConversion"/>
  </si>
  <si>
    <t>서울포장</t>
    <phoneticPr fontId="8" type="noConversion"/>
  </si>
  <si>
    <t>12*10백(0.65t)</t>
    <phoneticPr fontId="8" type="noConversion"/>
  </si>
  <si>
    <t>김규현</t>
    <phoneticPr fontId="8" type="noConversion"/>
  </si>
  <si>
    <t>12*10황(0.65t)</t>
    <phoneticPr fontId="8" type="noConversion"/>
  </si>
  <si>
    <t>15*10황(0.65T)</t>
    <phoneticPr fontId="8" type="noConversion"/>
  </si>
  <si>
    <t>30롤</t>
    <phoneticPr fontId="8" type="noConversion"/>
  </si>
  <si>
    <t>파워엠팩</t>
    <phoneticPr fontId="8" type="noConversion"/>
  </si>
  <si>
    <t>10.5*12투명</t>
    <phoneticPr fontId="8" type="noConversion"/>
  </si>
  <si>
    <t>100롤</t>
    <phoneticPr fontId="8" type="noConversion"/>
  </si>
  <si>
    <t>경주법주</t>
    <phoneticPr fontId="8" type="noConversion"/>
  </si>
  <si>
    <t>지방합화차</t>
    <phoneticPr fontId="8" type="noConversion"/>
  </si>
  <si>
    <t>합동포장</t>
    <phoneticPr fontId="8" type="noConversion"/>
  </si>
  <si>
    <t>5박스</t>
    <phoneticPr fontId="8" type="noConversion"/>
  </si>
  <si>
    <t>kic박스</t>
    <phoneticPr fontId="8" type="noConversion"/>
  </si>
  <si>
    <t>로젠택배</t>
    <phoneticPr fontId="8" type="noConversion"/>
  </si>
  <si>
    <t>바오</t>
    <phoneticPr fontId="8" type="noConversion"/>
  </si>
  <si>
    <t>2박스</t>
    <phoneticPr fontId="8" type="noConversion"/>
  </si>
  <si>
    <t>동원팩</t>
    <phoneticPr fontId="8" type="noConversion"/>
  </si>
  <si>
    <t>12*10항(0.8t)</t>
    <phoneticPr fontId="8" type="noConversion"/>
  </si>
  <si>
    <t>10롤</t>
    <phoneticPr fontId="8" type="noConversion"/>
  </si>
  <si>
    <t>2롤묶음</t>
    <phoneticPr fontId="8" type="noConversion"/>
  </si>
  <si>
    <t>대신택배</t>
    <phoneticPr fontId="8" type="noConversion"/>
  </si>
  <si>
    <t>1박스</t>
    <phoneticPr fontId="8" type="noConversion"/>
  </si>
  <si>
    <t>power박스</t>
    <phoneticPr fontId="8" type="noConversion"/>
  </si>
  <si>
    <t>12*10황(0.65T)</t>
    <phoneticPr fontId="8" type="noConversion"/>
  </si>
  <si>
    <t>17롤</t>
    <phoneticPr fontId="8" type="noConversion"/>
  </si>
  <si>
    <t>방문출고</t>
    <phoneticPr fontId="8" type="noConversion"/>
  </si>
  <si>
    <t>15롤</t>
    <phoneticPr fontId="8" type="noConversion"/>
  </si>
  <si>
    <t>PE28*2백</t>
    <phoneticPr fontId="8" type="noConversion"/>
  </si>
  <si>
    <t>10박스</t>
    <phoneticPr fontId="8" type="noConversion"/>
  </si>
  <si>
    <t>고메리</t>
    <phoneticPr fontId="8" type="noConversion"/>
  </si>
  <si>
    <t>수작업</t>
    <phoneticPr fontId="8" type="noConversion"/>
  </si>
  <si>
    <t>5.8톤</t>
    <phoneticPr fontId="8" type="noConversion"/>
  </si>
  <si>
    <t>20"(저녁7시)</t>
    <phoneticPr fontId="8" type="noConversion"/>
  </si>
  <si>
    <t>목</t>
    <phoneticPr fontId="8" type="noConversion"/>
  </si>
  <si>
    <t>60롤</t>
    <phoneticPr fontId="8" type="noConversion"/>
  </si>
  <si>
    <t>(브레이크스프링5개)</t>
  </si>
  <si>
    <t>348롤</t>
    <phoneticPr fontId="8" type="noConversion"/>
  </si>
  <si>
    <t>6*10백</t>
    <phoneticPr fontId="8" type="noConversion"/>
  </si>
  <si>
    <t>12*10항(0.8t)</t>
  </si>
  <si>
    <t>경인팩</t>
    <phoneticPr fontId="8" type="noConversion"/>
  </si>
  <si>
    <t>224롤</t>
    <phoneticPr fontId="8" type="noConversion"/>
  </si>
  <si>
    <t>용차</t>
    <phoneticPr fontId="8" type="noConversion"/>
  </si>
  <si>
    <t>다음부터 인상</t>
    <phoneticPr fontId="8" type="noConversion"/>
  </si>
  <si>
    <t>PE28*6백</t>
    <phoneticPr fontId="8" type="noConversion"/>
  </si>
  <si>
    <t>28박스</t>
    <phoneticPr fontId="8" type="noConversion"/>
  </si>
  <si>
    <t>32박스</t>
    <phoneticPr fontId="8" type="noConversion"/>
  </si>
  <si>
    <t>56롤</t>
    <phoneticPr fontId="8" type="noConversion"/>
  </si>
  <si>
    <t>전원팜</t>
    <phoneticPr fontId="8" type="noConversion"/>
  </si>
  <si>
    <t>남양주시 오남읍 오남리 622-1(믿음제일교회 옆) 전원팜  031-575-0887</t>
    <phoneticPr fontId="8" type="noConversion"/>
  </si>
  <si>
    <t>제일양계</t>
    <phoneticPr fontId="8" type="noConversion"/>
  </si>
  <si>
    <t>강원도 춘천시 동내면 고은리 450-1 제일양계 033-261-5306 / 010-6373-5309</t>
    <phoneticPr fontId="8" type="noConversion"/>
  </si>
  <si>
    <t>해성수출포장</t>
    <phoneticPr fontId="8" type="noConversion"/>
  </si>
  <si>
    <t>4박스</t>
    <phoneticPr fontId="8" type="noConversion"/>
  </si>
  <si>
    <t>올리브디앤피 청구</t>
    <phoneticPr fontId="8" type="noConversion"/>
  </si>
  <si>
    <t>15*10황(0.8T)</t>
    <phoneticPr fontId="8" type="noConversion"/>
  </si>
  <si>
    <t>12*10황(0.8T)</t>
    <phoneticPr fontId="8" type="noConversion"/>
  </si>
  <si>
    <t>10.5*10투명</t>
    <phoneticPr fontId="8" type="noConversion"/>
  </si>
  <si>
    <t>6롤</t>
    <phoneticPr fontId="8" type="noConversion"/>
  </si>
  <si>
    <t>k2</t>
    <phoneticPr fontId="8" type="noConversion"/>
  </si>
  <si>
    <t>우선산업</t>
    <phoneticPr fontId="8" type="noConversion"/>
  </si>
  <si>
    <t>PE50*5백</t>
    <phoneticPr fontId="8" type="noConversion"/>
  </si>
  <si>
    <t>50박스</t>
    <phoneticPr fontId="8" type="noConversion"/>
  </si>
  <si>
    <t>금</t>
    <phoneticPr fontId="8" type="noConversion"/>
  </si>
  <si>
    <t>제일산업 안성</t>
    <phoneticPr fontId="8" type="noConversion"/>
  </si>
  <si>
    <t>75박스</t>
    <phoneticPr fontId="8" type="noConversion"/>
  </si>
  <si>
    <t>서흥포장</t>
    <phoneticPr fontId="8" type="noConversion"/>
  </si>
  <si>
    <t>자동밴딩기</t>
    <phoneticPr fontId="8" type="noConversion"/>
  </si>
  <si>
    <t>1대</t>
    <phoneticPr fontId="8" type="noConversion"/>
  </si>
  <si>
    <t>고성오</t>
    <phoneticPr fontId="8" type="noConversion"/>
  </si>
  <si>
    <t>삼화인쇄</t>
  </si>
  <si>
    <t>로젠택배 선불</t>
    <phoneticPr fontId="8" type="noConversion"/>
  </si>
  <si>
    <t>토</t>
    <phoneticPr fontId="8" type="noConversion"/>
  </si>
  <si>
    <t>월</t>
    <phoneticPr fontId="8" type="noConversion"/>
  </si>
  <si>
    <t>230롤</t>
    <phoneticPr fontId="8" type="noConversion"/>
  </si>
  <si>
    <t>15*13황</t>
    <phoneticPr fontId="8" type="noConversion"/>
  </si>
  <si>
    <t>20롤</t>
    <phoneticPr fontId="8" type="noConversion"/>
  </si>
  <si>
    <t>12*10황(0.75t)</t>
    <phoneticPr fontId="8" type="noConversion"/>
  </si>
  <si>
    <t>40박스</t>
    <phoneticPr fontId="8" type="noConversion"/>
  </si>
  <si>
    <t>대성씨앤씨</t>
    <phoneticPr fontId="8" type="noConversion"/>
  </si>
  <si>
    <t>5*7000백</t>
    <phoneticPr fontId="8" type="noConversion"/>
  </si>
  <si>
    <t>광주천일포장</t>
    <phoneticPr fontId="8" type="noConversion"/>
  </si>
  <si>
    <t>3PA</t>
    <phoneticPr fontId="8" type="noConversion"/>
  </si>
  <si>
    <t>명세서 49롤</t>
    <phoneticPr fontId="8" type="noConversion"/>
  </si>
  <si>
    <t>화</t>
    <phoneticPr fontId="8" type="noConversion"/>
  </si>
  <si>
    <t>낙원포장</t>
    <phoneticPr fontId="8" type="noConversion"/>
  </si>
  <si>
    <t>6*10적</t>
    <phoneticPr fontId="8" type="noConversion"/>
  </si>
  <si>
    <t>무지패드</t>
    <phoneticPr fontId="8" type="noConversion"/>
  </si>
  <si>
    <t>6*10청</t>
    <phoneticPr fontId="8" type="noConversion"/>
  </si>
  <si>
    <t>30박스</t>
    <phoneticPr fontId="8" type="noConversion"/>
  </si>
  <si>
    <t>한국양계농협</t>
    <phoneticPr fontId="8" type="noConversion"/>
  </si>
  <si>
    <t>경북 영주시 장수면 장안로 151-23  한국양계농협 영주센터  054-633-7401</t>
    <phoneticPr fontId="8" type="noConversion"/>
  </si>
  <si>
    <t>171롤</t>
    <phoneticPr fontId="8" type="noConversion"/>
  </si>
  <si>
    <t>금산포장</t>
    <phoneticPr fontId="8" type="noConversion"/>
  </si>
  <si>
    <t>power박스</t>
  </si>
  <si>
    <t>경인산업</t>
    <phoneticPr fontId="8" type="noConversion"/>
  </si>
  <si>
    <t>12*10백(0.75t)</t>
    <phoneticPr fontId="8" type="noConversion"/>
  </si>
  <si>
    <t>한국유니콤</t>
  </si>
  <si>
    <t>15*10황(0.8T)</t>
  </si>
  <si>
    <t>단가 2,100원/kg</t>
    <phoneticPr fontId="8" type="noConversion"/>
  </si>
  <si>
    <t>12*10황(0.75T)</t>
    <phoneticPr fontId="8" type="noConversion"/>
  </si>
  <si>
    <t>80롤</t>
    <phoneticPr fontId="8" type="noConversion"/>
  </si>
  <si>
    <t>진송팩</t>
    <phoneticPr fontId="8" type="noConversion"/>
  </si>
  <si>
    <t>경남 양산시 상북면 석계산단3길 19  영진종합상사 055-385-4088</t>
    <phoneticPr fontId="8" type="noConversion"/>
  </si>
  <si>
    <t>파코팩</t>
    <phoneticPr fontId="8" type="noConversion"/>
  </si>
  <si>
    <t>2개씩포장</t>
    <phoneticPr fontId="8" type="noConversion"/>
  </si>
  <si>
    <t>대신화물</t>
    <phoneticPr fontId="8" type="noConversion"/>
  </si>
  <si>
    <t>대신화물 주곡지점 선불</t>
    <phoneticPr fontId="8" type="noConversion"/>
  </si>
  <si>
    <t>228롤</t>
    <phoneticPr fontId="8" type="noConversion"/>
  </si>
  <si>
    <t>보우팩</t>
    <phoneticPr fontId="8" type="noConversion"/>
  </si>
  <si>
    <t>48박스</t>
    <phoneticPr fontId="8" type="noConversion"/>
  </si>
  <si>
    <t>용차 착불</t>
    <phoneticPr fontId="8" type="noConversion"/>
  </si>
  <si>
    <t>우선산업</t>
  </si>
  <si>
    <t>12*11은회색</t>
    <phoneticPr fontId="8" type="noConversion"/>
  </si>
  <si>
    <t>다오</t>
    <phoneticPr fontId="8" type="noConversion"/>
  </si>
  <si>
    <t>9*11은회색</t>
    <phoneticPr fontId="8" type="noConversion"/>
  </si>
  <si>
    <t>오전 방문출고</t>
    <phoneticPr fontId="8" type="noConversion"/>
  </si>
  <si>
    <t>오후 방문출고</t>
    <phoneticPr fontId="8" type="noConversion"/>
  </si>
  <si>
    <t>2100원/kg</t>
    <phoneticPr fontId="8" type="noConversion"/>
  </si>
  <si>
    <t>20박스</t>
    <phoneticPr fontId="8" type="noConversion"/>
  </si>
  <si>
    <t>하이게이트</t>
    <phoneticPr fontId="8" type="noConversion"/>
  </si>
  <si>
    <t>21톤</t>
    <phoneticPr fontId="8" type="noConversion"/>
  </si>
  <si>
    <t>20"(오전9시30분)</t>
    <phoneticPr fontId="8" type="noConversion"/>
  </si>
  <si>
    <t>221롤</t>
    <phoneticPr fontId="8" type="noConversion"/>
  </si>
  <si>
    <t>신광포장</t>
    <phoneticPr fontId="8" type="noConversion"/>
  </si>
  <si>
    <t>PE28*2황</t>
    <phoneticPr fontId="8" type="noConversion"/>
  </si>
  <si>
    <t>power박스</t>
    <phoneticPr fontId="8" type="noConversion"/>
  </si>
  <si>
    <t>점심먹고 출발</t>
    <phoneticPr fontId="8" type="noConversion"/>
  </si>
  <si>
    <t>25박스</t>
    <phoneticPr fontId="8" type="noConversion"/>
  </si>
  <si>
    <t>전주삼신산업</t>
    <phoneticPr fontId="8" type="noConversion"/>
  </si>
  <si>
    <t>13박스</t>
    <phoneticPr fontId="8" type="noConversion"/>
  </si>
  <si>
    <t>3박스</t>
    <phoneticPr fontId="8" type="noConversion"/>
  </si>
  <si>
    <t>12*10황(0.65)</t>
    <phoneticPr fontId="8" type="noConversion"/>
  </si>
  <si>
    <t>5롤</t>
    <phoneticPr fontId="8" type="noConversion"/>
  </si>
  <si>
    <t>18*21황</t>
    <phoneticPr fontId="8" type="noConversion"/>
  </si>
  <si>
    <t>233롤</t>
    <phoneticPr fontId="8" type="noConversion"/>
  </si>
  <si>
    <t>28*2백</t>
    <phoneticPr fontId="8" type="noConversion"/>
  </si>
  <si>
    <t>96박스</t>
    <phoneticPr fontId="8" type="noConversion"/>
  </si>
  <si>
    <t>15*10적</t>
    <phoneticPr fontId="8" type="noConversion"/>
  </si>
  <si>
    <t>타이거팩</t>
    <phoneticPr fontId="8" type="noConversion"/>
  </si>
  <si>
    <t>21.1톤</t>
    <phoneticPr fontId="8" type="noConversion"/>
  </si>
  <si>
    <t>40"(오후1시))</t>
    <phoneticPr fontId="8" type="noConversion"/>
  </si>
  <si>
    <t>비와이패키지</t>
    <phoneticPr fontId="8" type="noConversion"/>
  </si>
  <si>
    <t>7*10백(0.5T)</t>
    <phoneticPr fontId="8" type="noConversion"/>
  </si>
  <si>
    <t>양주</t>
    <phoneticPr fontId="8" type="noConversion"/>
  </si>
  <si>
    <t>대상산업</t>
    <phoneticPr fontId="8" type="noConversion"/>
  </si>
  <si>
    <t>PE28*2황(24kg)</t>
    <phoneticPr fontId="8" type="noConversion"/>
  </si>
  <si>
    <t>싸이클롭</t>
    <phoneticPr fontId="8" type="noConversion"/>
  </si>
  <si>
    <t>팔레트</t>
    <phoneticPr fontId="8" type="noConversion"/>
  </si>
  <si>
    <t>18.5톤</t>
    <phoneticPr fontId="8" type="noConversion"/>
  </si>
  <si>
    <t>40"(오후2시)</t>
    <phoneticPr fontId="8" type="noConversion"/>
  </si>
  <si>
    <t>16*10황</t>
    <phoneticPr fontId="8" type="noConversion"/>
  </si>
  <si>
    <t>15*12황</t>
    <phoneticPr fontId="8" type="noConversion"/>
  </si>
  <si>
    <t>9*10황(0.75T)</t>
    <phoneticPr fontId="8" type="noConversion"/>
  </si>
  <si>
    <t>광현페이퍼</t>
    <phoneticPr fontId="8" type="noConversion"/>
  </si>
  <si>
    <t>PE28*2적</t>
    <phoneticPr fontId="8" type="noConversion"/>
  </si>
  <si>
    <t>15박스</t>
    <phoneticPr fontId="8" type="noConversion"/>
  </si>
  <si>
    <t>동방포장기자재</t>
    <phoneticPr fontId="8" type="noConversion"/>
  </si>
  <si>
    <t>12*12청</t>
    <phoneticPr fontId="8" type="noConversion"/>
  </si>
  <si>
    <t>나눔푸드</t>
  </si>
  <si>
    <t>2롤씩 5묶음</t>
    <phoneticPr fontId="8" type="noConversion"/>
  </si>
  <si>
    <t>대신택배 착불</t>
    <phoneticPr fontId="8" type="noConversion"/>
  </si>
  <si>
    <t>오전방문출고</t>
    <phoneticPr fontId="8" type="noConversion"/>
  </si>
  <si>
    <t>한남포장</t>
    <phoneticPr fontId="8" type="noConversion"/>
  </si>
  <si>
    <t>12*9.5황(0.65T)</t>
    <phoneticPr fontId="8" type="noConversion"/>
  </si>
  <si>
    <t>오후 김규현</t>
    <phoneticPr fontId="8" type="noConversion"/>
  </si>
  <si>
    <t>279롤</t>
    <phoneticPr fontId="8" type="noConversion"/>
  </si>
  <si>
    <t>신대한판지</t>
    <phoneticPr fontId="8" type="noConversion"/>
  </si>
  <si>
    <t>12*12.5녹(0.8T)</t>
    <phoneticPr fontId="8" type="noConversion"/>
  </si>
  <si>
    <t>9*9.5백</t>
    <phoneticPr fontId="8" type="noConversion"/>
  </si>
  <si>
    <t>63롤</t>
    <phoneticPr fontId="8" type="noConversion"/>
  </si>
  <si>
    <t>경기도 파주시 광탄면 창만리 492-13 원흥피앤피 유리문쪽  김혜미  010-8567-3285</t>
    <phoneticPr fontId="8" type="noConversion"/>
  </si>
  <si>
    <t>인선</t>
    <phoneticPr fontId="8" type="noConversion"/>
  </si>
  <si>
    <t>40"(오후1시)</t>
    <phoneticPr fontId="8" type="noConversion"/>
  </si>
  <si>
    <t>40"(오후3시30분)</t>
    <phoneticPr fontId="8" type="noConversion"/>
  </si>
  <si>
    <t>2층</t>
    <phoneticPr fontId="8" type="noConversion"/>
  </si>
  <si>
    <t>12*3000투명</t>
    <phoneticPr fontId="8" type="noConversion"/>
  </si>
  <si>
    <t>타이거팩 재고</t>
    <phoneticPr fontId="8" type="noConversion"/>
  </si>
  <si>
    <t>32롤</t>
    <phoneticPr fontId="8" type="noConversion"/>
  </si>
  <si>
    <t>10.5*10청</t>
    <phoneticPr fontId="8" type="noConversion"/>
  </si>
  <si>
    <t>7박스</t>
    <phoneticPr fontId="8" type="noConversion"/>
  </si>
  <si>
    <t>6*12.5백</t>
    <phoneticPr fontId="8" type="noConversion"/>
  </si>
  <si>
    <t>640롤</t>
    <phoneticPr fontId="8" type="noConversion"/>
  </si>
  <si>
    <t>10.5*10투명(0.8T)</t>
    <phoneticPr fontId="8" type="noConversion"/>
  </si>
  <si>
    <t>한일이에프</t>
    <phoneticPr fontId="8" type="noConversion"/>
  </si>
  <si>
    <t>경상남도 함안군 산인면 송산로 170  [한일이에프]  055-584-5131 / 010-3866-5131</t>
    <phoneticPr fontId="8" type="noConversion"/>
  </si>
  <si>
    <t>제주런드리</t>
    <phoneticPr fontId="8" type="noConversion"/>
  </si>
  <si>
    <t>대신택배착불</t>
    <phoneticPr fontId="8" type="noConversion"/>
  </si>
  <si>
    <t>아주파레트 반납</t>
    <phoneticPr fontId="8" type="noConversion"/>
  </si>
  <si>
    <t>주신산업</t>
    <phoneticPr fontId="8" type="noConversion"/>
  </si>
  <si>
    <t>보우팩</t>
  </si>
  <si>
    <t>200롤</t>
    <phoneticPr fontId="8" type="noConversion"/>
  </si>
  <si>
    <t>파란밴딩</t>
  </si>
  <si>
    <t>파코팩</t>
    <phoneticPr fontId="8" type="noConversion"/>
  </si>
  <si>
    <t>PE50*5적</t>
    <phoneticPr fontId="8" type="noConversion"/>
  </si>
  <si>
    <t>성신목재</t>
  </si>
  <si>
    <t>마대자루</t>
  </si>
  <si>
    <t>50장</t>
  </si>
  <si>
    <t>12*10백(0.8T)</t>
    <phoneticPr fontId="8" type="noConversion"/>
  </si>
  <si>
    <t>60롤</t>
    <phoneticPr fontId="8" type="noConversion"/>
  </si>
  <si>
    <t>PE28*2백(24kg)</t>
    <phoneticPr fontId="8" type="noConversion"/>
  </si>
  <si>
    <t>105박스</t>
    <phoneticPr fontId="8" type="noConversion"/>
  </si>
  <si>
    <t>대구한국포장</t>
    <phoneticPr fontId="8" type="noConversion"/>
  </si>
  <si>
    <t>지방합화차 착불</t>
    <phoneticPr fontId="8" type="noConversion"/>
  </si>
  <si>
    <t>6pa</t>
    <phoneticPr fontId="8" type="noConversion"/>
  </si>
  <si>
    <t>6*10백(일반)</t>
    <phoneticPr fontId="8" type="noConversion"/>
  </si>
  <si>
    <t>3시</t>
    <phoneticPr fontId="8" type="noConversion"/>
  </si>
  <si>
    <t>6*10백(0.65T)</t>
    <phoneticPr fontId="8" type="noConversion"/>
  </si>
  <si>
    <t>72롤</t>
    <phoneticPr fontId="8" type="noConversion"/>
  </si>
  <si>
    <t>신한포장기계</t>
    <phoneticPr fontId="8" type="noConversion"/>
  </si>
  <si>
    <t>2롤 맞교환</t>
    <phoneticPr fontId="8" type="noConversion"/>
  </si>
  <si>
    <t>경인두채영농</t>
    <phoneticPr fontId="8" type="noConversion"/>
  </si>
  <si>
    <t>세.계 바로</t>
    <phoneticPr fontId="8" type="noConversion"/>
  </si>
  <si>
    <t>POWER박스</t>
    <phoneticPr fontId="8" type="noConversion"/>
  </si>
  <si>
    <t>대신택배선불</t>
    <phoneticPr fontId="8" type="noConversion"/>
  </si>
  <si>
    <t>한국양계축산업협동조합무안유통  전라남도 무안군청계면 청계공단1길55-15  061 454 8715</t>
    <phoneticPr fontId="8" type="noConversion"/>
  </si>
  <si>
    <t>경동화물 착불</t>
    <phoneticPr fontId="8" type="noConversion"/>
  </si>
  <si>
    <t xml:space="preserve">울산시 북구 진장동 경동택배  태형 최정득사장님 010-3574-4999 </t>
    <phoneticPr fontId="8" type="noConversion"/>
  </si>
  <si>
    <t>20"(오후1시)</t>
    <phoneticPr fontId="8" type="noConversion"/>
  </si>
  <si>
    <t>12*10연두(0.75T)</t>
    <phoneticPr fontId="8" type="noConversion"/>
  </si>
  <si>
    <t>PE50*5적</t>
    <phoneticPr fontId="8" type="noConversion"/>
  </si>
  <si>
    <t>7*10백(0.65T)</t>
    <phoneticPr fontId="8" type="noConversion"/>
  </si>
  <si>
    <t>70롤</t>
    <phoneticPr fontId="8" type="noConversion"/>
  </si>
  <si>
    <t>1500/kg</t>
    <phoneticPr fontId="8" type="noConversion"/>
  </si>
  <si>
    <t>한제피앤에스</t>
    <phoneticPr fontId="8" type="noConversion"/>
  </si>
  <si>
    <t>20톤</t>
    <phoneticPr fontId="8" type="noConversion"/>
  </si>
  <si>
    <t>40"(오전9시30분)</t>
    <phoneticPr fontId="8" type="noConversion"/>
  </si>
  <si>
    <t>파워팩</t>
    <phoneticPr fontId="8" type="noConversion"/>
  </si>
  <si>
    <t>8톤</t>
    <phoneticPr fontId="8" type="noConversion"/>
  </si>
  <si>
    <t>20"(오후2시)</t>
    <phoneticPr fontId="8" type="noConversion"/>
  </si>
  <si>
    <t>전표45롤</t>
    <phoneticPr fontId="8" type="noConversion"/>
  </si>
  <si>
    <t>12박스</t>
    <phoneticPr fontId="8" type="noConversion"/>
  </si>
  <si>
    <t>1시넘어서 출발</t>
    <phoneticPr fontId="8" type="noConversion"/>
  </si>
  <si>
    <t>경기도 파주시 파평면 술이홀로 1976-13 (파평면) 덕일농장 1층  010-9283-7599</t>
    <phoneticPr fontId="8" type="noConversion"/>
  </si>
  <si>
    <t>6톤</t>
    <phoneticPr fontId="8" type="noConversion"/>
  </si>
  <si>
    <t>20"(오후7시)</t>
    <phoneticPr fontId="8" type="noConversion"/>
  </si>
  <si>
    <t>인재플러스</t>
    <phoneticPr fontId="8" type="noConversion"/>
  </si>
  <si>
    <t>12*9황</t>
    <phoneticPr fontId="8" type="noConversion"/>
  </si>
  <si>
    <t>150롤</t>
    <phoneticPr fontId="8" type="noConversion"/>
  </si>
  <si>
    <t>18*500*350</t>
    <phoneticPr fontId="8" type="noConversion"/>
  </si>
  <si>
    <t>100박스</t>
    <phoneticPr fontId="8" type="noConversion"/>
  </si>
  <si>
    <t>112롤</t>
    <phoneticPr fontId="8" type="noConversion"/>
  </si>
  <si>
    <t>PE28*2청</t>
    <phoneticPr fontId="8" type="noConversion"/>
  </si>
  <si>
    <t>20박스</t>
    <phoneticPr fontId="8" type="noConversion"/>
  </si>
  <si>
    <t>PE28*2적</t>
    <phoneticPr fontId="8" type="noConversion"/>
  </si>
  <si>
    <t>10박스</t>
    <phoneticPr fontId="8" type="noConversion"/>
  </si>
  <si>
    <t>POWER박스</t>
    <phoneticPr fontId="8" type="noConversion"/>
  </si>
  <si>
    <t>6*10백</t>
    <phoneticPr fontId="8" type="noConversion"/>
  </si>
  <si>
    <t>56롤</t>
    <phoneticPr fontId="8" type="noConversion"/>
  </si>
  <si>
    <t>서신</t>
    <phoneticPr fontId="8" type="noConversion"/>
  </si>
  <si>
    <t>대신택배선불</t>
    <phoneticPr fontId="8" type="noConversion"/>
  </si>
  <si>
    <t>강원도 원주시 동부순환로 389-5(봉산동) &lt;주식회사 서신&gt;033-764-6605 010-8969-6221</t>
    <phoneticPr fontId="8" type="noConversion"/>
  </si>
  <si>
    <t>6*10황</t>
    <phoneticPr fontId="8" type="noConversion"/>
  </si>
  <si>
    <t>48롤</t>
    <phoneticPr fontId="8" type="noConversion"/>
  </si>
  <si>
    <t>대전충남양계농협</t>
    <phoneticPr fontId="8" type="noConversion"/>
  </si>
  <si>
    <t>충청남도 천안시 동남구 목천읍 천정1길 209 &lt;대전충남양게 농협&gt;041-555-7742</t>
    <phoneticPr fontId="8" type="noConversion"/>
  </si>
  <si>
    <t>서흥포장</t>
    <phoneticPr fontId="8" type="noConversion"/>
  </si>
  <si>
    <t>민건이에이</t>
    <phoneticPr fontId="8" type="noConversion"/>
  </si>
  <si>
    <t>12*12.5투명</t>
    <phoneticPr fontId="8" type="noConversion"/>
  </si>
  <si>
    <t>60롤</t>
    <phoneticPr fontId="8" type="noConversion"/>
  </si>
  <si>
    <t>1시경 출발</t>
    <phoneticPr fontId="8" type="noConversion"/>
  </si>
  <si>
    <t>수</t>
    <phoneticPr fontId="8" type="noConversion"/>
  </si>
  <si>
    <t>용차</t>
    <phoneticPr fontId="8" type="noConversion"/>
  </si>
  <si>
    <t>대성씨앤씨</t>
    <phoneticPr fontId="8" type="noConversion"/>
  </si>
  <si>
    <t>랩 20*1400</t>
    <phoneticPr fontId="8" type="noConversion"/>
  </si>
  <si>
    <t>50박스</t>
    <phoneticPr fontId="8" type="noConversion"/>
  </si>
  <si>
    <t>1층</t>
    <phoneticPr fontId="8" type="noConversion"/>
  </si>
  <si>
    <t>삼보팩</t>
    <phoneticPr fontId="8" type="noConversion"/>
  </si>
  <si>
    <t>12*10황(0.8T)</t>
    <phoneticPr fontId="8" type="noConversion"/>
  </si>
  <si>
    <t>일산</t>
    <phoneticPr fontId="8" type="noConversion"/>
  </si>
  <si>
    <t>월드피에이디</t>
    <phoneticPr fontId="8" type="noConversion"/>
  </si>
  <si>
    <t>제이케이머티리얼즈</t>
    <phoneticPr fontId="8" type="noConversion"/>
  </si>
  <si>
    <t>18*10황</t>
    <phoneticPr fontId="8" type="noConversion"/>
  </si>
  <si>
    <t>128롤</t>
    <phoneticPr fontId="8" type="noConversion"/>
  </si>
  <si>
    <t>오전용차</t>
    <phoneticPr fontId="8" type="noConversion"/>
  </si>
  <si>
    <t>출근해서 바로</t>
    <phoneticPr fontId="8" type="noConversion"/>
  </si>
  <si>
    <t>전주삼신산업</t>
    <phoneticPr fontId="8" type="noConversion"/>
  </si>
  <si>
    <t>9*10황</t>
    <phoneticPr fontId="8" type="noConversion"/>
  </si>
  <si>
    <t>대신택배</t>
    <phoneticPr fontId="8" type="noConversion"/>
  </si>
  <si>
    <t>7*10백(0.65T)</t>
    <phoneticPr fontId="8" type="noConversion"/>
  </si>
  <si>
    <t>10롤</t>
    <phoneticPr fontId="8" type="noConversion"/>
  </si>
  <si>
    <t>15롤</t>
    <phoneticPr fontId="8" type="noConversion"/>
  </si>
  <si>
    <t>12*10황(0.65T)</t>
    <phoneticPr fontId="8" type="noConversion"/>
  </si>
  <si>
    <t>5롤</t>
    <phoneticPr fontId="8" type="noConversion"/>
  </si>
  <si>
    <t>5박스</t>
    <phoneticPr fontId="8" type="noConversion"/>
  </si>
  <si>
    <t>목</t>
    <phoneticPr fontId="8" type="noConversion"/>
  </si>
  <si>
    <t>광림포장기계</t>
    <phoneticPr fontId="8" type="noConversion"/>
  </si>
  <si>
    <t>15*13황</t>
    <phoneticPr fontId="8" type="noConversion"/>
  </si>
  <si>
    <t>40롤</t>
    <phoneticPr fontId="8" type="noConversion"/>
  </si>
  <si>
    <t>빨간밴딩</t>
    <phoneticPr fontId="8" type="noConversion"/>
  </si>
  <si>
    <t>9*10투명</t>
    <phoneticPr fontId="8" type="noConversion"/>
  </si>
  <si>
    <t>15*10황</t>
    <phoneticPr fontId="8" type="noConversion"/>
  </si>
  <si>
    <t>64롤</t>
    <phoneticPr fontId="8" type="noConversion"/>
  </si>
  <si>
    <t>PE28*2적</t>
  </si>
  <si>
    <t>15박스</t>
    <phoneticPr fontId="8" type="noConversion"/>
  </si>
  <si>
    <t>4박스</t>
    <phoneticPr fontId="8" type="noConversion"/>
  </si>
  <si>
    <t>석종수출포장</t>
    <phoneticPr fontId="8" type="noConversion"/>
  </si>
  <si>
    <t>7*10백(0.5T)</t>
    <phoneticPr fontId="8" type="noConversion"/>
  </si>
  <si>
    <t>50롤</t>
    <phoneticPr fontId="8" type="noConversion"/>
  </si>
  <si>
    <t>2300원/kg</t>
    <phoneticPr fontId="8" type="noConversion"/>
  </si>
  <si>
    <t>파워엠팩</t>
    <phoneticPr fontId="8" type="noConversion"/>
  </si>
  <si>
    <t>10*11은회색</t>
    <phoneticPr fontId="8" type="noConversion"/>
  </si>
  <si>
    <t>46롤</t>
    <phoneticPr fontId="8" type="noConversion"/>
  </si>
  <si>
    <t>지방합화차</t>
    <phoneticPr fontId="8" type="noConversion"/>
  </si>
  <si>
    <t>9*11은회색</t>
    <phoneticPr fontId="8" type="noConversion"/>
  </si>
  <si>
    <t>PE28*6백</t>
    <phoneticPr fontId="8" type="noConversion"/>
  </si>
  <si>
    <t>30박스</t>
    <phoneticPr fontId="8" type="noConversion"/>
  </si>
  <si>
    <t>1월 매출</t>
    <phoneticPr fontId="8" type="noConversion"/>
  </si>
  <si>
    <t>엠피아이</t>
    <phoneticPr fontId="8" type="noConversion"/>
  </si>
  <si>
    <t>경북 경산시 와촌면 갈발길177 송현포장자재 / 010-9494-2446 (2박스만) (3박스는 엠피아이)</t>
    <phoneticPr fontId="8" type="noConversion"/>
  </si>
  <si>
    <t>청아판지팩</t>
    <phoneticPr fontId="8" type="noConversion"/>
  </si>
  <si>
    <t>kic박스</t>
    <phoneticPr fontId="8" type="noConversion"/>
  </si>
  <si>
    <t>용차착불</t>
    <phoneticPr fontId="8" type="noConversion"/>
  </si>
  <si>
    <t>앤더슨</t>
    <phoneticPr fontId="8" type="noConversion"/>
  </si>
  <si>
    <t>수작업</t>
    <phoneticPr fontId="8" type="noConversion"/>
  </si>
  <si>
    <t>40"(오전9시30분)</t>
    <phoneticPr fontId="8" type="noConversion"/>
  </si>
  <si>
    <t>싸이클롭</t>
    <phoneticPr fontId="8" type="noConversion"/>
  </si>
  <si>
    <t>20.6톤</t>
    <phoneticPr fontId="8" type="noConversion"/>
  </si>
  <si>
    <t>40"(오후2시)</t>
    <phoneticPr fontId="8" type="noConversion"/>
  </si>
  <si>
    <t>금</t>
    <phoneticPr fontId="8" type="noConversion"/>
  </si>
  <si>
    <t>한남포장</t>
    <phoneticPr fontId="3" type="noConversion"/>
  </si>
  <si>
    <t>경인팩</t>
    <phoneticPr fontId="8" type="noConversion"/>
  </si>
  <si>
    <t>6*10백</t>
    <phoneticPr fontId="3" type="noConversion"/>
  </si>
  <si>
    <t>56롤</t>
    <phoneticPr fontId="3" type="noConversion"/>
  </si>
  <si>
    <t>텃골푸드</t>
    <phoneticPr fontId="3" type="noConversion"/>
  </si>
  <si>
    <t>용차</t>
    <phoneticPr fontId="3" type="noConversion"/>
  </si>
  <si>
    <t>남양주시 진건읍 사릉로 달음2길2 텃골푸드  031-527-8263 010-3774-8263</t>
    <phoneticPr fontId="3" type="noConversion"/>
  </si>
  <si>
    <t xml:space="preserve">031-527-8263 </t>
    <phoneticPr fontId="3" type="noConversion"/>
  </si>
  <si>
    <t>010-3774-8263</t>
  </si>
  <si>
    <t xml:space="preserve">남양주시 진건읍 사릉로 </t>
    <phoneticPr fontId="3" type="noConversion"/>
  </si>
  <si>
    <t xml:space="preserve">달음2길2 텃골푸드 </t>
    <phoneticPr fontId="3" type="noConversion"/>
  </si>
  <si>
    <t>동오정밀</t>
    <phoneticPr fontId="8" type="noConversion"/>
  </si>
  <si>
    <t>신광포장</t>
    <phoneticPr fontId="8" type="noConversion"/>
  </si>
  <si>
    <t>10박스</t>
    <phoneticPr fontId="3" type="noConversion"/>
  </si>
  <si>
    <t>9*11은회색</t>
    <phoneticPr fontId="8" type="noConversion"/>
  </si>
  <si>
    <t>64롤</t>
    <phoneticPr fontId="3" type="noConversion"/>
  </si>
  <si>
    <t>13*11은회색</t>
    <phoneticPr fontId="3" type="noConversion"/>
  </si>
  <si>
    <t>50롤</t>
    <phoneticPr fontId="3" type="noConversion"/>
  </si>
  <si>
    <t>지방합화차</t>
    <phoneticPr fontId="3" type="noConversion"/>
  </si>
  <si>
    <t>다오</t>
    <phoneticPr fontId="3" type="noConversion"/>
  </si>
  <si>
    <t>80롤</t>
    <phoneticPr fontId="8" type="noConversion"/>
  </si>
  <si>
    <t>100롤 생산요청</t>
    <phoneticPr fontId="3" type="noConversion"/>
  </si>
  <si>
    <t>경인산업</t>
    <phoneticPr fontId="3" type="noConversion"/>
  </si>
  <si>
    <t>12*10황(0.75T)</t>
    <phoneticPr fontId="3" type="noConversion"/>
  </si>
  <si>
    <t>56롤</t>
    <phoneticPr fontId="3" type="noConversion"/>
  </si>
  <si>
    <t>15*12황(0.65T)</t>
    <phoneticPr fontId="3" type="noConversion"/>
  </si>
  <si>
    <t>50롤</t>
    <phoneticPr fontId="3" type="noConversion"/>
  </si>
  <si>
    <t>김규현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</si>
  <si>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</si>
  <si>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</si>
  <si>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</si>
  <si>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제이케이머티리얼즈</t>
    <phoneticPr fontId="3" type="noConversion"/>
  </si>
  <si>
    <t>주신산업</t>
    <phoneticPr fontId="3" type="noConversion"/>
  </si>
  <si>
    <t>대구광역시 달서구 용산로 186 (용산동) 1층 남경계란  이경호  010-6305-2752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</si>
  <si>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</si>
  <si>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</si>
  <si>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</si>
  <si>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10롤</t>
    <phoneticPr fontId="3" type="noConversion"/>
  </si>
  <si>
    <t>12*10황(0.8T)</t>
    <phoneticPr fontId="3" type="noConversion"/>
  </si>
  <si>
    <t>신대한판지</t>
    <phoneticPr fontId="3" type="noConversion"/>
  </si>
  <si>
    <t>12*12.5녹색(0.8T)</t>
    <phoneticPr fontId="3" type="noConversion"/>
  </si>
  <si>
    <t>12*12.5적색(0.8T)</t>
    <phoneticPr fontId="3" type="noConversion"/>
  </si>
  <si>
    <t>9*9.5백</t>
    <phoneticPr fontId="3" type="noConversion"/>
  </si>
  <si>
    <t>50롤</t>
    <phoneticPr fontId="3" type="noConversion"/>
  </si>
  <si>
    <t>경인팩</t>
    <phoneticPr fontId="3" type="noConversion"/>
  </si>
  <si>
    <t>6*10백</t>
    <phoneticPr fontId="3" type="noConversion"/>
  </si>
  <si>
    <t>256롤</t>
    <phoneticPr fontId="3" type="noConversion"/>
  </si>
  <si>
    <t>지방합화차 착불</t>
    <phoneticPr fontId="3" type="noConversion"/>
  </si>
  <si>
    <t>kic박스</t>
    <phoneticPr fontId="3" type="noConversion"/>
  </si>
  <si>
    <t>20박스</t>
    <phoneticPr fontId="3" type="noConversion"/>
  </si>
  <si>
    <t>10롤</t>
    <phoneticPr fontId="3" type="noConversion"/>
  </si>
  <si>
    <t>10롤</t>
    <phoneticPr fontId="3" type="noConversion"/>
  </si>
  <si>
    <t>9*10황</t>
    <phoneticPr fontId="3" type="noConversion"/>
  </si>
  <si>
    <t>대신택배</t>
    <phoneticPr fontId="3" type="noConversion"/>
  </si>
  <si>
    <t>엔지세이프티</t>
    <phoneticPr fontId="3" type="noConversion"/>
  </si>
  <si>
    <t>팔레트</t>
    <phoneticPr fontId="8" type="noConversion"/>
  </si>
  <si>
    <t>8톤</t>
    <phoneticPr fontId="3" type="noConversion"/>
  </si>
  <si>
    <t>17.9톤</t>
    <phoneticPr fontId="8" type="noConversion"/>
  </si>
  <si>
    <t>* 운임 착불*</t>
    <phoneticPr fontId="8" type="noConversion"/>
  </si>
  <si>
    <t>가골식품</t>
  </si>
  <si>
    <t>20롤</t>
  </si>
  <si>
    <t>랩15*500*400</t>
  </si>
  <si>
    <t>12*10연두</t>
  </si>
  <si>
    <t>경인팩</t>
    <phoneticPr fontId="3" type="noConversion"/>
  </si>
  <si>
    <t>6*10백</t>
    <phoneticPr fontId="3" type="noConversion"/>
  </si>
  <si>
    <t>56롤</t>
    <phoneticPr fontId="3" type="noConversion"/>
  </si>
  <si>
    <t>민희에그드림</t>
    <phoneticPr fontId="3" type="noConversion"/>
  </si>
  <si>
    <t>대신택배</t>
    <phoneticPr fontId="3" type="noConversion"/>
  </si>
  <si>
    <t>경상남도 함안군 가야읍 함안대로 751  민희에그드림 055-585-1088</t>
    <phoneticPr fontId="3" type="noConversion"/>
  </si>
  <si>
    <t>6*10백</t>
    <phoneticPr fontId="3" type="noConversion"/>
  </si>
  <si>
    <t>알찬영농</t>
    <phoneticPr fontId="3" type="noConversion"/>
  </si>
  <si>
    <t>용차</t>
    <phoneticPr fontId="3" type="noConversion"/>
  </si>
  <si>
    <t>경기 광주 오포읍 매산리 629-28 알찬영농  031-766-2101</t>
    <phoneticPr fontId="3" type="noConversion"/>
  </si>
  <si>
    <t>삼성</t>
    <phoneticPr fontId="3" type="noConversion"/>
  </si>
  <si>
    <t>18*21친환경</t>
    <phoneticPr fontId="3" type="noConversion"/>
  </si>
  <si>
    <t>173롤</t>
    <phoneticPr fontId="3" type="noConversion"/>
  </si>
  <si>
    <t>오비아이</t>
  </si>
  <si>
    <t>512롤</t>
    <phoneticPr fontId="3" type="noConversion"/>
  </si>
  <si>
    <t>223롤</t>
    <phoneticPr fontId="3" type="noConversion"/>
  </si>
  <si>
    <t>200롤</t>
    <phoneticPr fontId="3" type="noConversion"/>
  </si>
  <si>
    <t>18*21황</t>
    <phoneticPr fontId="3" type="noConversion"/>
  </si>
  <si>
    <t>520롤</t>
    <phoneticPr fontId="3" type="noConversion"/>
  </si>
  <si>
    <t>18*21투명</t>
    <phoneticPr fontId="3" type="noConversion"/>
  </si>
  <si>
    <t>1롤</t>
    <phoneticPr fontId="3" type="noConversion"/>
  </si>
  <si>
    <t>에이스팩</t>
    <phoneticPr fontId="3" type="noConversion"/>
  </si>
  <si>
    <t>20롤</t>
    <phoneticPr fontId="3" type="noConversion"/>
  </si>
  <si>
    <t>코미팜</t>
    <phoneticPr fontId="3" type="noConversion"/>
  </si>
  <si>
    <t>경기도 시흥시 경제로17</t>
    <phoneticPr fontId="3" type="noConversion"/>
  </si>
  <si>
    <t>(정왕동)</t>
    <phoneticPr fontId="3" type="noConversion"/>
  </si>
  <si>
    <t>코미팜</t>
    <phoneticPr fontId="3" type="noConversion"/>
  </si>
  <si>
    <t>이현욱님</t>
    <phoneticPr fontId="3" type="noConversion"/>
  </si>
  <si>
    <t>010-6760-2896</t>
    <phoneticPr fontId="3" type="noConversion"/>
  </si>
  <si>
    <t>15*10황(0.8T)</t>
    <phoneticPr fontId="3" type="noConversion"/>
  </si>
  <si>
    <t>경기도 시흥시 경제로17 (정왕동) 코미팜</t>
    <phoneticPr fontId="3" type="noConversion"/>
  </si>
  <si>
    <t>삼원산업</t>
    <phoneticPr fontId="3" type="noConversion"/>
  </si>
  <si>
    <t>15*10적(0.8t)</t>
    <phoneticPr fontId="3" type="noConversion"/>
  </si>
  <si>
    <t>50롤</t>
    <phoneticPr fontId="3" type="noConversion"/>
  </si>
  <si>
    <t>12*10황(0.85t)</t>
    <phoneticPr fontId="3" type="noConversion"/>
  </si>
  <si>
    <t>100롤</t>
    <phoneticPr fontId="3" type="noConversion"/>
  </si>
  <si>
    <t>경인팩</t>
    <phoneticPr fontId="3" type="noConversion"/>
  </si>
  <si>
    <t>PE28*2백</t>
    <phoneticPr fontId="3" type="noConversion"/>
  </si>
  <si>
    <t>30박스</t>
    <phoneticPr fontId="3" type="noConversion"/>
  </si>
  <si>
    <t>112롤</t>
    <phoneticPr fontId="3" type="noConversion"/>
  </si>
  <si>
    <t>20롤</t>
    <phoneticPr fontId="3" type="noConversion"/>
  </si>
  <si>
    <t>PE28*6백</t>
    <phoneticPr fontId="3" type="noConversion"/>
  </si>
  <si>
    <t>PE50*6백</t>
    <phoneticPr fontId="3" type="noConversion"/>
  </si>
  <si>
    <t>6*10백</t>
    <phoneticPr fontId="3" type="noConversion"/>
  </si>
  <si>
    <t>12*10백(0.65T)</t>
    <phoneticPr fontId="3" type="noConversion"/>
  </si>
  <si>
    <t>용차</t>
    <phoneticPr fontId="3" type="noConversion"/>
  </si>
  <si>
    <t>합동포장</t>
    <phoneticPr fontId="3" type="noConversion"/>
  </si>
  <si>
    <t>12*12.5황</t>
    <phoneticPr fontId="3" type="noConversion"/>
  </si>
  <si>
    <t>220롤</t>
    <phoneticPr fontId="3" type="noConversion"/>
  </si>
  <si>
    <t>12*12.5투명</t>
    <phoneticPr fontId="3" type="noConversion"/>
  </si>
  <si>
    <t>20롤</t>
    <phoneticPr fontId="3" type="noConversion"/>
  </si>
  <si>
    <t>10롤</t>
    <phoneticPr fontId="3" type="noConversion"/>
  </si>
  <si>
    <t>15*13황</t>
    <phoneticPr fontId="3" type="noConversion"/>
  </si>
  <si>
    <t>10롤</t>
    <phoneticPr fontId="3" type="noConversion"/>
  </si>
  <si>
    <t>30롤</t>
    <phoneticPr fontId="3" type="noConversion"/>
  </si>
  <si>
    <t>50박스</t>
    <phoneticPr fontId="3" type="noConversion"/>
  </si>
  <si>
    <t>15*10청(0.65T)</t>
    <phoneticPr fontId="3" type="noConversion"/>
  </si>
  <si>
    <t>영화수출포장</t>
    <phoneticPr fontId="3" type="noConversion"/>
  </si>
  <si>
    <t>PE50*5백</t>
    <phoneticPr fontId="3" type="noConversion"/>
  </si>
  <si>
    <t>PE28*6적</t>
    <phoneticPr fontId="3" type="noConversion"/>
  </si>
  <si>
    <t>5박스</t>
    <phoneticPr fontId="3" type="noConversion"/>
  </si>
  <si>
    <t>010-7448-5446</t>
    <phoneticPr fontId="3" type="noConversion"/>
  </si>
  <si>
    <t>배지병 이사님</t>
    <phoneticPr fontId="3" type="noConversion"/>
  </si>
  <si>
    <t xml:space="preserve">인천광역시 남동구 </t>
    <phoneticPr fontId="3" type="noConversion"/>
  </si>
  <si>
    <t>남동서로113번길 31</t>
  </si>
  <si>
    <t>76박스</t>
    <phoneticPr fontId="3" type="noConversion"/>
  </si>
  <si>
    <t>24박스</t>
    <phoneticPr fontId="3" type="noConversion"/>
  </si>
  <si>
    <t>대성씨앤씨</t>
    <phoneticPr fontId="3" type="noConversion"/>
  </si>
  <si>
    <t>12*10황(0.8T)</t>
    <phoneticPr fontId="3" type="noConversion"/>
  </si>
  <si>
    <t>50롤</t>
    <phoneticPr fontId="3" type="noConversion"/>
  </si>
  <si>
    <t>KPP빨강</t>
    <phoneticPr fontId="3" type="noConversion"/>
  </si>
  <si>
    <t>102롤</t>
    <phoneticPr fontId="3" type="noConversion"/>
  </si>
  <si>
    <t>동원팩</t>
    <phoneticPr fontId="3" type="noConversion"/>
  </si>
  <si>
    <t>PE28*2청</t>
    <phoneticPr fontId="3" type="noConversion"/>
  </si>
  <si>
    <t>1박스</t>
    <phoneticPr fontId="3" type="noConversion"/>
  </si>
  <si>
    <t>5박스</t>
    <phoneticPr fontId="3" type="noConversion"/>
  </si>
  <si>
    <t>상현축산</t>
    <phoneticPr fontId="3" type="noConversion"/>
  </si>
  <si>
    <t>로젠택배</t>
    <phoneticPr fontId="3" type="noConversion"/>
  </si>
  <si>
    <t>제주웰빙</t>
    <phoneticPr fontId="3" type="noConversion"/>
  </si>
  <si>
    <t>로젠택배착불</t>
    <phoneticPr fontId="3" type="noConversion"/>
  </si>
  <si>
    <t>신광포장</t>
    <phoneticPr fontId="3" type="noConversion"/>
  </si>
  <si>
    <t>김해제일포장</t>
    <phoneticPr fontId="3" type="noConversion"/>
  </si>
  <si>
    <t>PE28*2백</t>
    <phoneticPr fontId="3" type="noConversion"/>
  </si>
  <si>
    <t>100박스</t>
    <phoneticPr fontId="3" type="noConversion"/>
  </si>
  <si>
    <t>PE28*2녹</t>
    <phoneticPr fontId="3" type="noConversion"/>
  </si>
  <si>
    <t>10박스</t>
    <phoneticPr fontId="3" type="noConversion"/>
  </si>
  <si>
    <t>파코팩</t>
  </si>
  <si>
    <t>power박스</t>
    <phoneticPr fontId="3" type="noConversion"/>
  </si>
  <si>
    <t>30박스</t>
    <phoneticPr fontId="3" type="noConversion"/>
  </si>
  <si>
    <t>경인산업</t>
    <phoneticPr fontId="3" type="noConversion"/>
  </si>
  <si>
    <t>12*10백(0.75T)</t>
    <phoneticPr fontId="3" type="noConversion"/>
  </si>
  <si>
    <t>15*10황(0.65T)</t>
    <phoneticPr fontId="3" type="noConversion"/>
  </si>
  <si>
    <t>100롤</t>
    <phoneticPr fontId="3" type="noConversion"/>
  </si>
  <si>
    <t>10박스</t>
    <phoneticPr fontId="3" type="noConversion"/>
  </si>
  <si>
    <t>PE28*6백</t>
    <phoneticPr fontId="3" type="noConversion"/>
  </si>
  <si>
    <t>12*10(0.65t)</t>
    <phoneticPr fontId="3" type="noConversion"/>
  </si>
  <si>
    <t>10롤</t>
    <phoneticPr fontId="3" type="noConversion"/>
  </si>
  <si>
    <t>진송팩</t>
    <phoneticPr fontId="3" type="noConversion"/>
  </si>
  <si>
    <t>50박스</t>
    <phoneticPr fontId="3" type="noConversion"/>
  </si>
  <si>
    <t>484롤</t>
    <phoneticPr fontId="3" type="noConversion"/>
  </si>
  <si>
    <t>삼성</t>
    <phoneticPr fontId="3" type="noConversion"/>
  </si>
  <si>
    <t>18*21친환경</t>
    <phoneticPr fontId="3" type="noConversion"/>
  </si>
  <si>
    <t>18*21투명</t>
    <phoneticPr fontId="3" type="noConversion"/>
  </si>
  <si>
    <t>1롤</t>
    <phoneticPr fontId="3" type="noConversion"/>
  </si>
  <si>
    <t>399롤</t>
    <phoneticPr fontId="3" type="noConversion"/>
  </si>
  <si>
    <t>18*21황</t>
    <phoneticPr fontId="3" type="noConversion"/>
  </si>
  <si>
    <t>100롤</t>
    <phoneticPr fontId="3" type="noConversion"/>
  </si>
  <si>
    <t>155롤</t>
    <phoneticPr fontId="3" type="noConversion"/>
  </si>
  <si>
    <t>70롤</t>
    <phoneticPr fontId="3" type="noConversion"/>
  </si>
  <si>
    <t>그린포장</t>
    <phoneticPr fontId="3" type="noConversion"/>
  </si>
  <si>
    <t>PE28*2황</t>
    <phoneticPr fontId="3" type="noConversion"/>
  </si>
  <si>
    <t>20박스</t>
    <phoneticPr fontId="3" type="noConversion"/>
  </si>
  <si>
    <t>PE28*2백</t>
    <phoneticPr fontId="3" type="noConversion"/>
  </si>
  <si>
    <t>5박스</t>
    <phoneticPr fontId="3" type="noConversion"/>
  </si>
  <si>
    <t>6*10백</t>
    <phoneticPr fontId="3" type="noConversion"/>
  </si>
  <si>
    <t>64롤</t>
    <phoneticPr fontId="3" type="noConversion"/>
  </si>
  <si>
    <t>용차</t>
    <phoneticPr fontId="3" type="noConversion"/>
  </si>
  <si>
    <t>경기도 광명시 가학로 97-11(가학동) 한결유통 010-8786-7336</t>
    <phoneticPr fontId="3" type="noConversion"/>
  </si>
  <si>
    <t xml:space="preserve">경기도 광명시 </t>
    <phoneticPr fontId="3" type="noConversion"/>
  </si>
  <si>
    <t xml:space="preserve">가학로 97-11(가학동) </t>
    <phoneticPr fontId="3" type="noConversion"/>
  </si>
  <si>
    <t xml:space="preserve">한결유통 </t>
    <phoneticPr fontId="3" type="noConversion"/>
  </si>
  <si>
    <t>010-8786-7336</t>
  </si>
  <si>
    <t>128롤</t>
    <phoneticPr fontId="3" type="noConversion"/>
  </si>
  <si>
    <t>경기도 광주시 오포읍 희안대로77-35 찬란유통 031-766-9938</t>
    <phoneticPr fontId="3" type="noConversion"/>
  </si>
  <si>
    <t>팔레트</t>
    <phoneticPr fontId="3" type="noConversion"/>
  </si>
  <si>
    <t>8.5톤</t>
    <phoneticPr fontId="3" type="noConversion"/>
  </si>
  <si>
    <t>20"(오후1시)</t>
    <phoneticPr fontId="3" type="noConversion"/>
  </si>
  <si>
    <t>청아판지팩</t>
    <phoneticPr fontId="8" type="noConversion"/>
  </si>
  <si>
    <t>PE28*2백</t>
    <phoneticPr fontId="8" type="noConversion"/>
  </si>
  <si>
    <t>kic박스</t>
    <phoneticPr fontId="8" type="noConversion"/>
  </si>
  <si>
    <t>8박스</t>
    <phoneticPr fontId="8" type="noConversion"/>
  </si>
  <si>
    <t>광림포장기계</t>
    <phoneticPr fontId="3" type="noConversion"/>
  </si>
  <si>
    <t>12*12.5황</t>
    <phoneticPr fontId="3" type="noConversion"/>
  </si>
  <si>
    <t>120롤</t>
    <phoneticPr fontId="3" type="noConversion"/>
  </si>
  <si>
    <t>용차</t>
    <phoneticPr fontId="3" type="noConversion"/>
  </si>
  <si>
    <t>경인팩</t>
    <phoneticPr fontId="3" type="noConversion"/>
  </si>
  <si>
    <t>PE28*2백</t>
    <phoneticPr fontId="3" type="noConversion"/>
  </si>
  <si>
    <t>삼화인쇄</t>
    <phoneticPr fontId="3" type="noConversion"/>
  </si>
  <si>
    <t>10.5*10투명</t>
    <phoneticPr fontId="3" type="noConversion"/>
  </si>
  <si>
    <t>평판지하B판</t>
    <phoneticPr fontId="3" type="noConversion"/>
  </si>
  <si>
    <t>제책4층</t>
    <phoneticPr fontId="3" type="noConversion"/>
  </si>
  <si>
    <t>12*10백</t>
    <phoneticPr fontId="3" type="noConversion"/>
  </si>
  <si>
    <t>제책3층</t>
    <phoneticPr fontId="3" type="noConversion"/>
  </si>
  <si>
    <t>50롤</t>
    <phoneticPr fontId="3" type="noConversion"/>
  </si>
  <si>
    <t>쇼핑팩(1층)</t>
    <phoneticPr fontId="3" type="noConversion"/>
  </si>
  <si>
    <t>PE28*2백</t>
    <phoneticPr fontId="3" type="noConversion"/>
  </si>
  <si>
    <t>신광포장</t>
    <phoneticPr fontId="3" type="noConversion"/>
  </si>
  <si>
    <t>10롤</t>
    <phoneticPr fontId="3" type="noConversion"/>
  </si>
  <si>
    <t>15롤</t>
    <phoneticPr fontId="3" type="noConversion"/>
  </si>
  <si>
    <t>방문출고</t>
    <phoneticPr fontId="3" type="noConversion"/>
  </si>
  <si>
    <t>12*10황(0.65T)</t>
    <phoneticPr fontId="3" type="noConversion"/>
  </si>
  <si>
    <t>12*10백(0.65T)</t>
    <phoneticPr fontId="3" type="noConversion"/>
  </si>
  <si>
    <t>주신산업</t>
    <phoneticPr fontId="3" type="noConversion"/>
  </si>
  <si>
    <t>경기도 포천시 영중면 호국로2616번길 28-9 (영중면) 주식회사 정담  박희철  010-4769-3101</t>
    <phoneticPr fontId="3" type="noConversion"/>
  </si>
  <si>
    <t>동원팩</t>
    <phoneticPr fontId="3" type="noConversion"/>
  </si>
  <si>
    <t>6*10백</t>
    <phoneticPr fontId="3" type="noConversion"/>
  </si>
  <si>
    <t>48롤</t>
    <phoneticPr fontId="3" type="noConversion"/>
  </si>
  <si>
    <t>대신택배</t>
    <phoneticPr fontId="3" type="noConversion"/>
  </si>
  <si>
    <t>서흥포장</t>
    <phoneticPr fontId="3" type="noConversion"/>
  </si>
  <si>
    <t>7*10백(0.55T)</t>
    <phoneticPr fontId="3" type="noConversion"/>
  </si>
  <si>
    <t>30롤</t>
    <phoneticPr fontId="3" type="noConversion"/>
  </si>
  <si>
    <t>12*10황(0.8T)</t>
    <phoneticPr fontId="3" type="noConversion"/>
  </si>
  <si>
    <t>10롤</t>
    <phoneticPr fontId="3" type="noConversion"/>
  </si>
  <si>
    <t>랩15*500*400</t>
    <phoneticPr fontId="3" type="noConversion"/>
  </si>
  <si>
    <t>20박스</t>
    <phoneticPr fontId="3" type="noConversion"/>
  </si>
  <si>
    <t>PE28*6백</t>
    <phoneticPr fontId="3" type="noConversion"/>
  </si>
  <si>
    <t>12*12.5투명</t>
    <phoneticPr fontId="3" type="noConversion"/>
  </si>
  <si>
    <t>동방포장</t>
    <phoneticPr fontId="3" type="noConversion"/>
  </si>
  <si>
    <t>150롤</t>
    <phoneticPr fontId="3" type="noConversion"/>
  </si>
  <si>
    <t>12*12청(0.63T)</t>
    <phoneticPr fontId="3" type="noConversion"/>
  </si>
  <si>
    <t>낙원포장</t>
    <phoneticPr fontId="3" type="noConversion"/>
  </si>
  <si>
    <t>6*12.5백</t>
    <phoneticPr fontId="3" type="noConversion"/>
  </si>
  <si>
    <t>640롤</t>
    <phoneticPr fontId="3" type="noConversion"/>
  </si>
  <si>
    <t>6*10황</t>
    <phoneticPr fontId="3" type="noConversion"/>
  </si>
  <si>
    <t>경북 문경시 산양면 불암3길15 산양농장 새아침계란 010-5238-3771</t>
    <phoneticPr fontId="3" type="noConversion"/>
  </si>
  <si>
    <t>12*10황(0.75T)</t>
    <phoneticPr fontId="3" type="noConversion"/>
  </si>
  <si>
    <t>보우팩</t>
    <phoneticPr fontId="3" type="noConversion"/>
  </si>
  <si>
    <t>12*12.5황</t>
    <phoneticPr fontId="3" type="noConversion"/>
  </si>
  <si>
    <t>80롤</t>
    <phoneticPr fontId="3" type="noConversion"/>
  </si>
  <si>
    <t>15*10황(0.8T)</t>
    <phoneticPr fontId="3" type="noConversion"/>
  </si>
  <si>
    <t>금산포장</t>
    <phoneticPr fontId="3" type="noConversion"/>
  </si>
  <si>
    <t>오후</t>
    <phoneticPr fontId="3" type="noConversion"/>
  </si>
  <si>
    <t>광림포장기계</t>
    <phoneticPr fontId="3" type="noConversion"/>
  </si>
  <si>
    <t>한남포장</t>
    <phoneticPr fontId="3" type="noConversion"/>
  </si>
  <si>
    <t>30박스</t>
    <phoneticPr fontId="3" type="noConversion"/>
  </si>
  <si>
    <t>12*9.5황</t>
    <phoneticPr fontId="3" type="noConversion"/>
  </si>
  <si>
    <t>50롤</t>
    <phoneticPr fontId="3" type="noConversion"/>
  </si>
  <si>
    <t>오전1착</t>
    <phoneticPr fontId="3" type="noConversion"/>
  </si>
  <si>
    <t>오전2착</t>
    <phoneticPr fontId="3" type="noConversion"/>
  </si>
  <si>
    <t>12*10황</t>
    <phoneticPr fontId="3" type="noConversion"/>
  </si>
  <si>
    <t>64롤</t>
    <phoneticPr fontId="3" type="noConversion"/>
  </si>
  <si>
    <t>경인팩</t>
    <phoneticPr fontId="3" type="noConversion"/>
  </si>
  <si>
    <t>PE28*6백</t>
    <phoneticPr fontId="3" type="noConversion"/>
  </si>
  <si>
    <t>10박스</t>
    <phoneticPr fontId="3" type="noConversion"/>
  </si>
  <si>
    <t>용차</t>
    <phoneticPr fontId="3" type="noConversion"/>
  </si>
  <si>
    <t>경기도 파주시 조리읍 능안로 265번길 25-15  하이얀이엔피  010-3684-8812</t>
    <phoneticPr fontId="3" type="noConversion"/>
  </si>
  <si>
    <t xml:space="preserve">하이얀이엔피  </t>
    <phoneticPr fontId="3" type="noConversion"/>
  </si>
  <si>
    <t xml:space="preserve">경기도 파주시 조리읍 </t>
    <phoneticPr fontId="3" type="noConversion"/>
  </si>
  <si>
    <t>능안로 265번길 25-15</t>
  </si>
  <si>
    <t>12*10황(0.65T)</t>
    <phoneticPr fontId="3" type="noConversion"/>
  </si>
  <si>
    <t>50롤</t>
    <phoneticPr fontId="3" type="noConversion"/>
  </si>
  <si>
    <t>50롤</t>
    <phoneticPr fontId="3" type="noConversion"/>
  </si>
  <si>
    <t>동원팩</t>
    <phoneticPr fontId="3" type="noConversion"/>
  </si>
  <si>
    <t>6*10백</t>
    <phoneticPr fontId="3" type="noConversion"/>
  </si>
  <si>
    <t>100롤</t>
    <phoneticPr fontId="3" type="noConversion"/>
  </si>
  <si>
    <t>PE28*6백</t>
    <phoneticPr fontId="3" type="noConversion"/>
  </si>
  <si>
    <t>5박스</t>
    <phoneticPr fontId="3" type="noConversion"/>
  </si>
  <si>
    <t>김규현</t>
    <phoneticPr fontId="3" type="noConversion"/>
  </si>
  <si>
    <t>15*10백(0.65T)</t>
    <phoneticPr fontId="3" type="noConversion"/>
  </si>
  <si>
    <t>35박스</t>
    <phoneticPr fontId="3" type="noConversion"/>
  </si>
  <si>
    <t>PE28*2황</t>
    <phoneticPr fontId="3" type="noConversion"/>
  </si>
  <si>
    <t>5박스</t>
    <phoneticPr fontId="3" type="noConversion"/>
  </si>
  <si>
    <t>40박스</t>
    <phoneticPr fontId="3" type="noConversion"/>
  </si>
  <si>
    <t>파워엠팩</t>
    <phoneticPr fontId="3" type="noConversion"/>
  </si>
  <si>
    <t>15*12황(0.65T)</t>
    <phoneticPr fontId="3" type="noConversion"/>
  </si>
  <si>
    <t>대신택배</t>
    <phoneticPr fontId="3" type="noConversion"/>
  </si>
  <si>
    <t>50롤</t>
    <phoneticPr fontId="3" type="noConversion"/>
  </si>
  <si>
    <t>경상남도 창원시 성산구 남면로113번길 20 주식회사동아 070-7709-4063</t>
    <phoneticPr fontId="3" type="noConversion"/>
  </si>
  <si>
    <t>kic박스 / KPP빨강</t>
  </si>
  <si>
    <t>PE28*2황</t>
    <phoneticPr fontId="3" type="noConversion"/>
  </si>
  <si>
    <t>3박스</t>
    <phoneticPr fontId="3" type="noConversion"/>
  </si>
  <si>
    <t>20"(오전10시)</t>
    <phoneticPr fontId="3" type="noConversion"/>
  </si>
  <si>
    <t>120박스</t>
    <phoneticPr fontId="3" type="noConversion"/>
  </si>
  <si>
    <t>PE28*6백</t>
    <phoneticPr fontId="3" type="noConversion"/>
  </si>
  <si>
    <t>28박스</t>
    <phoneticPr fontId="3" type="noConversion"/>
  </si>
  <si>
    <t>6*10백</t>
    <phoneticPr fontId="3" type="noConversion"/>
  </si>
  <si>
    <t>100롤</t>
    <phoneticPr fontId="3" type="noConversion"/>
  </si>
  <si>
    <t>18*21투명</t>
    <phoneticPr fontId="3" type="noConversion"/>
  </si>
  <si>
    <t>1롤</t>
    <phoneticPr fontId="3" type="noConversion"/>
  </si>
  <si>
    <t>금성칼라팩</t>
    <phoneticPr fontId="3" type="noConversion"/>
  </si>
  <si>
    <t>7*10백</t>
    <phoneticPr fontId="3" type="noConversion"/>
  </si>
  <si>
    <t>128롤</t>
    <phoneticPr fontId="3" type="noConversion"/>
  </si>
  <si>
    <t>주신산업</t>
    <phoneticPr fontId="3" type="noConversion"/>
  </si>
  <si>
    <t>동서포장</t>
    <phoneticPr fontId="3" type="noConversion"/>
  </si>
  <si>
    <t>1박스</t>
    <phoneticPr fontId="3" type="noConversion"/>
  </si>
  <si>
    <t>3박스</t>
    <phoneticPr fontId="3" type="noConversion"/>
  </si>
  <si>
    <t>kic박스</t>
    <phoneticPr fontId="3" type="noConversion"/>
  </si>
  <si>
    <t>로젠택배</t>
    <phoneticPr fontId="3" type="noConversion"/>
  </si>
  <si>
    <t>로젠택배 착불</t>
    <phoneticPr fontId="3" type="noConversion"/>
  </si>
  <si>
    <t>경기도 이천시 호법면 이섭대천로 607 (호법면) 은성프린터스 2공장  010-8764-4647</t>
    <phoneticPr fontId="3" type="noConversion"/>
  </si>
  <si>
    <t>인천광역시 계양구 인향로 338-1 (선주지동) 2층  (주)정원피앤씨 010-6743-2402</t>
    <phoneticPr fontId="3" type="noConversion"/>
  </si>
  <si>
    <t>부산신광포장</t>
    <phoneticPr fontId="3" type="noConversion"/>
  </si>
  <si>
    <t>PE28*2백(24kg)</t>
    <phoneticPr fontId="3" type="noConversion"/>
  </si>
  <si>
    <t>5박스</t>
    <phoneticPr fontId="3" type="noConversion"/>
  </si>
  <si>
    <t>로젠택배</t>
    <phoneticPr fontId="3" type="noConversion"/>
  </si>
  <si>
    <t>겅북 경주시 외동읍 모화남1길 67 황금농장집하장 010-4717-9087</t>
    <phoneticPr fontId="3" type="noConversion"/>
  </si>
  <si>
    <t>PE28*2청</t>
    <phoneticPr fontId="3" type="noConversion"/>
  </si>
  <si>
    <t>파워팩</t>
    <phoneticPr fontId="3" type="noConversion"/>
  </si>
  <si>
    <t>19.5톤</t>
    <phoneticPr fontId="3" type="noConversion"/>
  </si>
  <si>
    <t>전주삼신</t>
    <phoneticPr fontId="3" type="noConversion"/>
  </si>
  <si>
    <t>충청북도 진천군 덕산면 신척산단5로 196 (덕산면, (주)견지포장) 견지포장 김법준 010-4555-0979</t>
    <phoneticPr fontId="3" type="noConversion"/>
  </si>
  <si>
    <t>15*10투명(0.8t)</t>
    <phoneticPr fontId="3" type="noConversion"/>
  </si>
  <si>
    <t>신광포장</t>
    <phoneticPr fontId="3" type="noConversion"/>
  </si>
  <si>
    <t>40"(오후5시)</t>
    <phoneticPr fontId="8" type="noConversion"/>
  </si>
  <si>
    <t>15*10황</t>
    <phoneticPr fontId="3" type="noConversion"/>
  </si>
  <si>
    <t>64롤</t>
    <phoneticPr fontId="3" type="noConversion"/>
  </si>
  <si>
    <t>40롤</t>
    <phoneticPr fontId="3" type="noConversion"/>
  </si>
  <si>
    <t>32박스</t>
    <phoneticPr fontId="3" type="noConversion"/>
  </si>
  <si>
    <t>15*10황(0.65T)</t>
    <phoneticPr fontId="3" type="noConversion"/>
  </si>
  <si>
    <t>50롤</t>
    <phoneticPr fontId="3" type="noConversion"/>
  </si>
  <si>
    <t>10박스</t>
    <phoneticPr fontId="3" type="noConversion"/>
  </si>
  <si>
    <t>김규현</t>
    <phoneticPr fontId="3" type="noConversion"/>
  </si>
  <si>
    <t>kic박스</t>
    <phoneticPr fontId="3" type="noConversion"/>
  </si>
  <si>
    <t>12*10황(0.75T)</t>
    <phoneticPr fontId="3" type="noConversion"/>
  </si>
  <si>
    <t>100롤</t>
    <phoneticPr fontId="3" type="noConversion"/>
  </si>
  <si>
    <t>kic박스</t>
    <phoneticPr fontId="3" type="noConversion"/>
  </si>
  <si>
    <t>기존단가</t>
    <phoneticPr fontId="3" type="noConversion"/>
  </si>
  <si>
    <t>9*10황</t>
    <phoneticPr fontId="3" type="noConversion"/>
  </si>
  <si>
    <t>10롤</t>
    <phoneticPr fontId="3" type="noConversion"/>
  </si>
  <si>
    <t>20롤</t>
    <phoneticPr fontId="3" type="noConversion"/>
  </si>
  <si>
    <t>10롤</t>
    <phoneticPr fontId="3" type="noConversion"/>
  </si>
  <si>
    <t>10롤</t>
    <phoneticPr fontId="3" type="noConversion"/>
  </si>
  <si>
    <t>7*10백(0.55T)</t>
    <phoneticPr fontId="3" type="noConversion"/>
  </si>
  <si>
    <t>패드갈이</t>
    <phoneticPr fontId="3" type="noConversion"/>
  </si>
  <si>
    <t>6*10백</t>
    <phoneticPr fontId="3" type="noConversion"/>
  </si>
  <si>
    <t>가론종합상사</t>
    <phoneticPr fontId="3" type="noConversion"/>
  </si>
  <si>
    <t>3박스</t>
    <phoneticPr fontId="3" type="noConversion"/>
  </si>
  <si>
    <t>용차</t>
    <phoneticPr fontId="3" type="noConversion"/>
  </si>
  <si>
    <t>네이처휴먼지피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</si>
  <si>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</si>
  <si>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</si>
  <si>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</si>
  <si>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전원농장</t>
  </si>
  <si>
    <t>전원농장</t>
    <phoneticPr fontId="3" type="noConversion"/>
  </si>
  <si>
    <t>경기도 화성시 마도면</t>
    <phoneticPr fontId="3" type="noConversion"/>
  </si>
  <si>
    <t>송정동길 38-24</t>
    <phoneticPr fontId="3" type="noConversion"/>
  </si>
  <si>
    <t>㈜네이쳐앤휴먼지피</t>
    <phoneticPr fontId="3" type="noConversion"/>
  </si>
  <si>
    <t>010-5490-1926</t>
    <phoneticPr fontId="3" type="noConversion"/>
  </si>
  <si>
    <t>권수길 공장장님</t>
    <phoneticPr fontId="3" type="noConversion"/>
  </si>
  <si>
    <t>남양주시 진접읍 경복대로198번길14-7 전원농장  031-529-3885</t>
    <phoneticPr fontId="3" type="noConversion"/>
  </si>
  <si>
    <t>남양주시 진접읍</t>
  </si>
  <si>
    <t>경복대로198번길14-7</t>
  </si>
  <si>
    <t>031-529-3885</t>
  </si>
  <si>
    <t>동원팩</t>
    <phoneticPr fontId="3" type="noConversion"/>
  </si>
  <si>
    <t>50롤</t>
    <phoneticPr fontId="3" type="noConversion"/>
  </si>
  <si>
    <t>3박스</t>
    <phoneticPr fontId="3" type="noConversion"/>
  </si>
  <si>
    <t>PE28*6백</t>
    <phoneticPr fontId="3" type="noConversion"/>
  </si>
  <si>
    <t>PE28*2녹</t>
    <phoneticPr fontId="3" type="noConversion"/>
  </si>
  <si>
    <t>방문출고</t>
    <phoneticPr fontId="3" type="noConversion"/>
  </si>
  <si>
    <t>PE28*2백</t>
    <phoneticPr fontId="3" type="noConversion"/>
  </si>
  <si>
    <t>3박스</t>
    <phoneticPr fontId="3" type="noConversion"/>
  </si>
  <si>
    <t>로젠택배착불</t>
    <phoneticPr fontId="3" type="noConversion"/>
  </si>
  <si>
    <t>power박스</t>
    <phoneticPr fontId="3" type="noConversion"/>
  </si>
  <si>
    <t>충북 충주시 매남이길 283 충주오알농장 오세정팀장님 043-852-2473 / 010-5485-2473</t>
    <phoneticPr fontId="3" type="noConversion"/>
  </si>
  <si>
    <t>삼원포장산업</t>
    <phoneticPr fontId="3" type="noConversion"/>
  </si>
  <si>
    <t>로젠택배선불후 청구</t>
    <phoneticPr fontId="3" type="noConversion"/>
  </si>
  <si>
    <t>1박스</t>
    <phoneticPr fontId="3" type="noConversion"/>
  </si>
  <si>
    <t>대성씨앤씨</t>
    <phoneticPr fontId="3" type="noConversion"/>
  </si>
  <si>
    <t>7*10백</t>
    <phoneticPr fontId="3" type="noConversion"/>
  </si>
  <si>
    <t>24롤</t>
    <phoneticPr fontId="3" type="noConversion"/>
  </si>
  <si>
    <t>9*9.5백</t>
    <phoneticPr fontId="3" type="noConversion"/>
  </si>
  <si>
    <t>49롤</t>
    <phoneticPr fontId="3" type="noConversion"/>
  </si>
  <si>
    <t>랩20*500*1400</t>
    <phoneticPr fontId="3" type="noConversion"/>
  </si>
  <si>
    <t>50박스</t>
    <phoneticPr fontId="3" type="noConversion"/>
  </si>
  <si>
    <t>김규현</t>
    <phoneticPr fontId="3" type="noConversion"/>
  </si>
  <si>
    <t>대신택배 5시</t>
    <phoneticPr fontId="3" type="noConversion"/>
  </si>
  <si>
    <t>15*10황(0.8T)</t>
    <phoneticPr fontId="3" type="noConversion"/>
  </si>
  <si>
    <t>12박스</t>
    <phoneticPr fontId="3" type="noConversion"/>
  </si>
  <si>
    <t>파워엠팩</t>
    <phoneticPr fontId="3" type="noConversion"/>
  </si>
  <si>
    <t>6*10백</t>
    <phoneticPr fontId="3" type="noConversion"/>
  </si>
  <si>
    <t>144롤</t>
    <phoneticPr fontId="3" type="noConversion"/>
  </si>
  <si>
    <t>14*10주황색</t>
    <phoneticPr fontId="3" type="noConversion"/>
  </si>
  <si>
    <t>100롤</t>
    <phoneticPr fontId="3" type="noConversion"/>
  </si>
  <si>
    <t>14*10황</t>
    <phoneticPr fontId="3" type="noConversion"/>
  </si>
  <si>
    <t>파워엠팩</t>
    <phoneticPr fontId="3" type="noConversion"/>
  </si>
  <si>
    <t>오후2시이후 용차</t>
    <phoneticPr fontId="3" type="noConversion"/>
  </si>
  <si>
    <t>kic박스</t>
    <phoneticPr fontId="3" type="noConversion"/>
  </si>
  <si>
    <t>대신택배착불</t>
    <phoneticPr fontId="3" type="noConversion"/>
  </si>
  <si>
    <t>112롤</t>
    <phoneticPr fontId="3" type="noConversion"/>
  </si>
  <si>
    <t>경인팩</t>
    <phoneticPr fontId="3" type="noConversion"/>
  </si>
  <si>
    <t>PE28*2백</t>
    <phoneticPr fontId="3" type="noConversion"/>
  </si>
  <si>
    <t>96박스</t>
    <phoneticPr fontId="3" type="noConversion"/>
  </si>
  <si>
    <t>PE28*6백</t>
    <phoneticPr fontId="3" type="noConversion"/>
  </si>
  <si>
    <t>20박스</t>
    <phoneticPr fontId="3" type="noConversion"/>
  </si>
  <si>
    <t>6*10백</t>
    <phoneticPr fontId="3" type="noConversion"/>
  </si>
  <si>
    <t>168롤</t>
    <phoneticPr fontId="3" type="noConversion"/>
  </si>
  <si>
    <t>300롤</t>
    <phoneticPr fontId="3" type="noConversion"/>
  </si>
  <si>
    <t>12*12.5황</t>
    <phoneticPr fontId="3" type="noConversion"/>
  </si>
  <si>
    <t>인상</t>
    <phoneticPr fontId="3" type="noConversion"/>
  </si>
  <si>
    <t>기존</t>
    <phoneticPr fontId="3" type="noConversion"/>
  </si>
  <si>
    <t>기존</t>
    <phoneticPr fontId="3" type="noConversion"/>
  </si>
  <si>
    <t>인상</t>
    <phoneticPr fontId="3" type="noConversion"/>
  </si>
  <si>
    <t>제주도 합화차</t>
    <phoneticPr fontId="3" type="noConversion"/>
  </si>
  <si>
    <t>순창 합화차</t>
    <phoneticPr fontId="3" type="noConversion"/>
  </si>
  <si>
    <t>6*10백(0.6~0.65T)</t>
    <phoneticPr fontId="3" type="noConversion"/>
  </si>
  <si>
    <t>41롤</t>
    <phoneticPr fontId="3" type="noConversion"/>
  </si>
  <si>
    <t>14*10적</t>
    <phoneticPr fontId="3" type="noConversion"/>
  </si>
  <si>
    <t>51롤</t>
    <phoneticPr fontId="3" type="noConversion"/>
  </si>
  <si>
    <t>경동택배</t>
    <phoneticPr fontId="3" type="noConversion"/>
  </si>
  <si>
    <t>에이스팩</t>
    <phoneticPr fontId="3" type="noConversion"/>
  </si>
  <si>
    <t>랩25*500*1400</t>
    <phoneticPr fontId="3" type="noConversion"/>
  </si>
  <si>
    <t>30박스</t>
    <phoneticPr fontId="3" type="noConversion"/>
  </si>
  <si>
    <t>대신택배</t>
    <phoneticPr fontId="3" type="noConversion"/>
  </si>
  <si>
    <t>파워엠팩</t>
    <phoneticPr fontId="3" type="noConversion"/>
  </si>
  <si>
    <t>9*13투명</t>
    <phoneticPr fontId="3" type="noConversion"/>
  </si>
  <si>
    <t>51롤</t>
    <phoneticPr fontId="3" type="noConversion"/>
  </si>
  <si>
    <t>지방합화차</t>
    <phoneticPr fontId="3" type="noConversion"/>
  </si>
  <si>
    <t>동원피앤아이</t>
    <phoneticPr fontId="3" type="noConversion"/>
  </si>
  <si>
    <t>대신화물착불</t>
    <phoneticPr fontId="3" type="noConversion"/>
  </si>
  <si>
    <t>에이원코리아</t>
    <phoneticPr fontId="3" type="noConversion"/>
  </si>
  <si>
    <t>12*12황</t>
    <phoneticPr fontId="3" type="noConversion"/>
  </si>
  <si>
    <t>150롤</t>
    <phoneticPr fontId="3" type="noConversion"/>
  </si>
  <si>
    <t>서울특별시 송파구 가락로 39  알마트  010-7907-6780 / 010-4159-1917</t>
    <phoneticPr fontId="3" type="noConversion"/>
  </si>
  <si>
    <t xml:space="preserve">서울특별시 송파구 </t>
    <phoneticPr fontId="3" type="noConversion"/>
  </si>
  <si>
    <t xml:space="preserve">가락로 39  </t>
    <phoneticPr fontId="3" type="noConversion"/>
  </si>
  <si>
    <t xml:space="preserve">알마트  </t>
    <phoneticPr fontId="3" type="noConversion"/>
  </si>
  <si>
    <t>010-7907-6780</t>
    <phoneticPr fontId="3" type="noConversion"/>
  </si>
  <si>
    <t>발송 : 경인팩</t>
    <phoneticPr fontId="3" type="noConversion"/>
  </si>
  <si>
    <t>48롤</t>
    <phoneticPr fontId="3" type="noConversion"/>
  </si>
  <si>
    <t>해성식품</t>
  </si>
  <si>
    <t>14*10황</t>
  </si>
  <si>
    <t>오산용차</t>
  </si>
  <si>
    <t>경상북도 구미시 1공단로5길 36-4 (공단동) 성광지기  010-3265-1040 / 054-462-3771</t>
    <phoneticPr fontId="3" type="noConversion"/>
  </si>
  <si>
    <t>PE28*2백</t>
    <phoneticPr fontId="3" type="noConversion"/>
  </si>
  <si>
    <t>경기도 파주시 고봉로 721-75 (상지석동) (주)아주 여권진 010-3644-5412</t>
    <phoneticPr fontId="3" type="noConversion"/>
  </si>
  <si>
    <t>24박스</t>
    <phoneticPr fontId="3" type="noConversion"/>
  </si>
  <si>
    <t>제주도</t>
    <phoneticPr fontId="3" type="noConversion"/>
  </si>
  <si>
    <t>대신택배 착불</t>
    <phoneticPr fontId="3" type="noConversion"/>
  </si>
  <si>
    <t>광림포장기계</t>
  </si>
  <si>
    <t>9*10황(0.75T)</t>
  </si>
  <si>
    <t>384롤</t>
  </si>
  <si>
    <t>40롤</t>
  </si>
  <si>
    <t>아주파레트 반납</t>
    <phoneticPr fontId="3" type="noConversion"/>
  </si>
  <si>
    <t>고메리</t>
    <phoneticPr fontId="3" type="noConversion"/>
  </si>
  <si>
    <t>수작업</t>
    <phoneticPr fontId="8" type="noConversion"/>
  </si>
  <si>
    <t>6톤</t>
    <phoneticPr fontId="3" type="noConversion"/>
  </si>
  <si>
    <t>20"</t>
    <phoneticPr fontId="3" type="noConversion"/>
  </si>
  <si>
    <t>1박스</t>
    <phoneticPr fontId="8" type="noConversion"/>
  </si>
  <si>
    <t>20롤</t>
    <phoneticPr fontId="3" type="noConversion"/>
  </si>
  <si>
    <t>40박스</t>
    <phoneticPr fontId="3" type="noConversion"/>
  </si>
  <si>
    <t>동원팩</t>
    <phoneticPr fontId="3" type="noConversion"/>
  </si>
  <si>
    <t>방문출고</t>
    <phoneticPr fontId="3" type="noConversion"/>
  </si>
  <si>
    <t>동원팩</t>
    <phoneticPr fontId="3" type="noConversion"/>
  </si>
  <si>
    <t>PE28*2백</t>
    <phoneticPr fontId="3" type="noConversion"/>
  </si>
  <si>
    <t>40박스</t>
    <phoneticPr fontId="3" type="noConversion"/>
  </si>
  <si>
    <t>12*10황(0.8T)</t>
    <phoneticPr fontId="3" type="noConversion"/>
  </si>
  <si>
    <t>6*10백</t>
    <phoneticPr fontId="3" type="noConversion"/>
  </si>
  <si>
    <t>12*9.5황</t>
    <phoneticPr fontId="3" type="noConversion"/>
  </si>
  <si>
    <t>100롤</t>
    <phoneticPr fontId="3" type="noConversion"/>
  </si>
  <si>
    <t>오전1착</t>
    <phoneticPr fontId="3" type="noConversion"/>
  </si>
  <si>
    <t>2착</t>
    <phoneticPr fontId="3" type="noConversion"/>
  </si>
  <si>
    <t>파란밴딩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</si>
  <si>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</si>
  <si>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</si>
  <si>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</si>
  <si>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전남 순천시 가곡동 고지4길 15-22 영광푸드 010-4104-7344</t>
    <phoneticPr fontId="3" type="noConversion"/>
  </si>
  <si>
    <t>1박스</t>
    <phoneticPr fontId="3" type="noConversion"/>
  </si>
  <si>
    <t>로젠택배착불</t>
    <phoneticPr fontId="3" type="noConversion"/>
  </si>
  <si>
    <t>동원팩</t>
    <phoneticPr fontId="3" type="noConversion"/>
  </si>
  <si>
    <t>파워엠팩</t>
    <phoneticPr fontId="3" type="noConversion"/>
  </si>
  <si>
    <t>10.5*12투명</t>
    <phoneticPr fontId="3" type="noConversion"/>
  </si>
  <si>
    <t>100롤</t>
    <phoneticPr fontId="3" type="noConversion"/>
  </si>
  <si>
    <t>경주지방합화차</t>
  </si>
  <si>
    <t>9*11은회색</t>
    <phoneticPr fontId="3" type="noConversion"/>
  </si>
  <si>
    <t>64롤</t>
    <phoneticPr fontId="3" type="noConversion"/>
  </si>
  <si>
    <t>대구지방합화차</t>
    <phoneticPr fontId="3" type="noConversion"/>
  </si>
  <si>
    <t>12*10황(0.8T)</t>
  </si>
  <si>
    <t>40롤</t>
    <phoneticPr fontId="3" type="noConversion"/>
  </si>
  <si>
    <t>발송 : 한남포장</t>
    <phoneticPr fontId="8" type="noConversion"/>
  </si>
  <si>
    <t>발송 : 경인팩</t>
  </si>
  <si>
    <t>발송 : 경인팩</t>
    <phoneticPr fontId="8" type="noConversion"/>
  </si>
  <si>
    <t>발송 : 경인팩</t>
    <phoneticPr fontId="8" type="noConversion"/>
  </si>
  <si>
    <t>발송 : 진송팩</t>
  </si>
  <si>
    <t>발송 : 진송팩</t>
    <phoneticPr fontId="8" type="noConversion"/>
  </si>
  <si>
    <t>발송 : 신우교역</t>
    <phoneticPr fontId="8" type="noConversion"/>
  </si>
  <si>
    <t>발송 : 진송팩</t>
    <phoneticPr fontId="8" type="noConversion"/>
  </si>
  <si>
    <t>발송 : 진송팩</t>
    <phoneticPr fontId="8" type="noConversion"/>
  </si>
  <si>
    <t>발송 : 경인팩</t>
    <phoneticPr fontId="8" type="noConversion"/>
  </si>
  <si>
    <t>발송 : 경인팩</t>
    <phoneticPr fontId="8" type="noConversion"/>
  </si>
  <si>
    <t>발송 : 해성수출포장</t>
  </si>
  <si>
    <t>발송 : 에이스팩</t>
  </si>
  <si>
    <t>발송 : 가론종합상사</t>
  </si>
  <si>
    <t>다오</t>
    <phoneticPr fontId="3" type="noConversion"/>
  </si>
  <si>
    <t>경주법주</t>
    <phoneticPr fontId="3" type="noConversion"/>
  </si>
  <si>
    <t>6*10백</t>
    <phoneticPr fontId="3" type="noConversion"/>
  </si>
  <si>
    <t>30롤</t>
    <phoneticPr fontId="3" type="noConversion"/>
  </si>
  <si>
    <t>주신산업</t>
    <phoneticPr fontId="3" type="noConversion"/>
  </si>
  <si>
    <t>경기도 고양시 일산서구 덕산로189번길 39 (가좌동) 계란물류창고 박윤찬 010-5205-3688</t>
    <phoneticPr fontId="3" type="noConversion"/>
  </si>
  <si>
    <t>32박스</t>
    <phoneticPr fontId="3" type="noConversion"/>
  </si>
  <si>
    <t>전주대일상사 출고 확인 10박스</t>
    <phoneticPr fontId="3" type="noConversion"/>
  </si>
  <si>
    <t>용차</t>
    <phoneticPr fontId="3" type="noConversion"/>
  </si>
  <si>
    <t>9*10황(0.75T)</t>
    <phoneticPr fontId="3" type="noConversion"/>
  </si>
  <si>
    <t>인상</t>
    <phoneticPr fontId="3" type="noConversion"/>
  </si>
  <si>
    <t>민건 이에이</t>
  </si>
  <si>
    <t>스마트쉴드</t>
  </si>
  <si>
    <t>12.1톤</t>
    <phoneticPr fontId="3" type="noConversion"/>
  </si>
  <si>
    <t>10.5*10청(0.8~0.85T)</t>
    <phoneticPr fontId="3" type="noConversion"/>
  </si>
  <si>
    <t>64롤</t>
    <phoneticPr fontId="3" type="noConversion"/>
  </si>
  <si>
    <t>삼화인쇄</t>
    <phoneticPr fontId="3" type="noConversion"/>
  </si>
  <si>
    <t>경인팩</t>
    <phoneticPr fontId="3" type="noConversion"/>
  </si>
  <si>
    <t>24박스</t>
    <phoneticPr fontId="3" type="noConversion"/>
  </si>
  <si>
    <t>PE28*2백</t>
    <phoneticPr fontId="3" type="noConversion"/>
  </si>
  <si>
    <t>64박스</t>
    <phoneticPr fontId="3" type="noConversion"/>
  </si>
  <si>
    <t>대원포장기계</t>
    <phoneticPr fontId="3" type="noConversion"/>
  </si>
  <si>
    <t>1박스</t>
    <phoneticPr fontId="3" type="noConversion"/>
  </si>
  <si>
    <t>로젠택배착불</t>
    <phoneticPr fontId="3" type="noConversion"/>
  </si>
  <si>
    <t>대일상사(전주)</t>
    <phoneticPr fontId="3" type="noConversion"/>
  </si>
  <si>
    <t>10박스</t>
    <phoneticPr fontId="3" type="noConversion"/>
  </si>
  <si>
    <t>로젠택배착불</t>
    <phoneticPr fontId="3" type="noConversion"/>
  </si>
  <si>
    <t>경인산업</t>
    <phoneticPr fontId="3" type="noConversion"/>
  </si>
  <si>
    <t>12*10황(0.75T)</t>
    <phoneticPr fontId="3" type="noConversion"/>
  </si>
  <si>
    <t>56롤</t>
    <phoneticPr fontId="3" type="noConversion"/>
  </si>
  <si>
    <t>인상</t>
    <phoneticPr fontId="3" type="noConversion"/>
  </si>
  <si>
    <t>10.5*10투명(0.75T)</t>
    <phoneticPr fontId="3" type="noConversion"/>
  </si>
  <si>
    <t>100롤</t>
    <phoneticPr fontId="3" type="noConversion"/>
  </si>
  <si>
    <t>기존</t>
    <phoneticPr fontId="3" type="noConversion"/>
  </si>
  <si>
    <t>192롤</t>
    <phoneticPr fontId="3" type="noConversion"/>
  </si>
  <si>
    <t>대구한국포장</t>
    <phoneticPr fontId="3" type="noConversion"/>
  </si>
  <si>
    <t>6*10백(0.6T)</t>
    <phoneticPr fontId="3" type="noConversion"/>
  </si>
  <si>
    <t>6*10백(0.65T)</t>
    <phoneticPr fontId="3" type="noConversion"/>
  </si>
  <si>
    <t>은색밴딩</t>
    <phoneticPr fontId="3" type="noConversion"/>
  </si>
  <si>
    <t>기존</t>
    <phoneticPr fontId="3" type="noConversion"/>
  </si>
  <si>
    <t>동원팩</t>
    <phoneticPr fontId="3" type="noConversion"/>
  </si>
  <si>
    <t>로젠택배</t>
    <phoneticPr fontId="3" type="noConversion"/>
  </si>
  <si>
    <t>전남 장성군 장성읍 청운4길-4번 평화계란유통  010-9443-6301</t>
    <phoneticPr fontId="3" type="noConversion"/>
  </si>
  <si>
    <t>미국박스</t>
    <phoneticPr fontId="3" type="noConversion"/>
  </si>
  <si>
    <t>35박스</t>
    <phoneticPr fontId="3" type="noConversion"/>
  </si>
  <si>
    <t>6*10백</t>
    <phoneticPr fontId="3" type="noConversion"/>
  </si>
  <si>
    <t>56롤</t>
    <phoneticPr fontId="3" type="noConversion"/>
  </si>
  <si>
    <t>강원도 원주시 동부순환로 389-5(봉산동) 서신 033-764-6605  010-8969-6221</t>
    <phoneticPr fontId="3" type="noConversion"/>
  </si>
  <si>
    <t>대신택배</t>
    <phoneticPr fontId="3" type="noConversion"/>
  </si>
  <si>
    <t>용인시 처인구 모현읍 갈담리 274-52 대일계란 031-253-2261 / 010-3725-2261</t>
    <phoneticPr fontId="3" type="noConversion"/>
  </si>
  <si>
    <t>용차 선불</t>
    <phoneticPr fontId="3" type="noConversion"/>
  </si>
  <si>
    <t xml:space="preserve">모현읍 갈담리 274-52 </t>
    <phoneticPr fontId="3" type="noConversion"/>
  </si>
  <si>
    <t xml:space="preserve">대일계란 </t>
    <phoneticPr fontId="3" type="noConversion"/>
  </si>
  <si>
    <t>신광포장</t>
    <phoneticPr fontId="3" type="noConversion"/>
  </si>
  <si>
    <t>50롤</t>
    <phoneticPr fontId="3" type="noConversion"/>
  </si>
  <si>
    <t>POWER박스</t>
    <phoneticPr fontId="3" type="noConversion"/>
  </si>
  <si>
    <t>충북 음성군 원남면</t>
    <phoneticPr fontId="3" type="noConversion"/>
  </si>
  <si>
    <t>상경로 424-28</t>
    <phoneticPr fontId="3" type="noConversion"/>
  </si>
  <si>
    <t>대진첨단소재㈜</t>
    <phoneticPr fontId="3" type="noConversion"/>
  </si>
  <si>
    <t>010-6374-4909</t>
    <phoneticPr fontId="3" type="noConversion"/>
  </si>
  <si>
    <t>발송 : 라이커스</t>
    <phoneticPr fontId="3" type="noConversion"/>
  </si>
  <si>
    <t>100롤</t>
    <phoneticPr fontId="3" type="noConversion"/>
  </si>
  <si>
    <t>12*10백(0.75T)</t>
    <phoneticPr fontId="3" type="noConversion"/>
  </si>
  <si>
    <t>10롤</t>
    <phoneticPr fontId="3" type="noConversion"/>
  </si>
  <si>
    <t>오전1착</t>
    <phoneticPr fontId="3" type="noConversion"/>
  </si>
  <si>
    <t>기존</t>
    <phoneticPr fontId="3" type="noConversion"/>
  </si>
  <si>
    <t>PE28*6백</t>
    <phoneticPr fontId="3" type="noConversion"/>
  </si>
  <si>
    <t>30박스</t>
    <phoneticPr fontId="3" type="noConversion"/>
  </si>
  <si>
    <t>6*10백</t>
    <phoneticPr fontId="3" type="noConversion"/>
  </si>
  <si>
    <t>50롤</t>
    <phoneticPr fontId="3" type="noConversion"/>
  </si>
  <si>
    <t>동원팩</t>
    <phoneticPr fontId="3" type="noConversion"/>
  </si>
  <si>
    <t>동원팩</t>
    <phoneticPr fontId="3" type="noConversion"/>
  </si>
  <si>
    <t>12*10황(0.8t)</t>
    <phoneticPr fontId="3" type="noConversion"/>
  </si>
  <si>
    <t>70롤</t>
    <phoneticPr fontId="3" type="noConversion"/>
  </si>
  <si>
    <t>10박스</t>
    <phoneticPr fontId="3" type="noConversion"/>
  </si>
  <si>
    <t>PE28*2백</t>
    <phoneticPr fontId="3" type="noConversion"/>
  </si>
  <si>
    <t>6*10청</t>
    <phoneticPr fontId="3" type="noConversion"/>
  </si>
  <si>
    <t>지방합화차</t>
    <phoneticPr fontId="3" type="noConversion"/>
  </si>
  <si>
    <t xml:space="preserve">전남 나주시 문평면 </t>
    <phoneticPr fontId="3" type="noConversion"/>
  </si>
  <si>
    <t>체암로499-38</t>
  </si>
  <si>
    <t xml:space="preserve">나산농장  </t>
    <phoneticPr fontId="3" type="noConversion"/>
  </si>
  <si>
    <t>010-9789-7569</t>
  </si>
  <si>
    <t>랩20*500*1400</t>
  </si>
  <si>
    <t>2층</t>
    <phoneticPr fontId="3" type="noConversion"/>
  </si>
  <si>
    <t>기존</t>
    <phoneticPr fontId="3" type="noConversion"/>
  </si>
  <si>
    <t>인쇄밴드</t>
  </si>
  <si>
    <t>목</t>
    <phoneticPr fontId="3" type="noConversion"/>
  </si>
  <si>
    <t>5*7000백</t>
    <phoneticPr fontId="3" type="noConversion"/>
  </si>
  <si>
    <t>100롤</t>
    <phoneticPr fontId="3" type="noConversion"/>
  </si>
  <si>
    <t>태광피앤에스</t>
  </si>
  <si>
    <t>36롤</t>
  </si>
  <si>
    <t>전남 나주시 문평면 제참로 499-38 나산농장 010-9789-7569</t>
    <phoneticPr fontId="3" type="noConversion"/>
  </si>
  <si>
    <t>256롤</t>
  </si>
  <si>
    <t>10박스</t>
    <phoneticPr fontId="3" type="noConversion"/>
  </si>
  <si>
    <t>40"(오후3시)</t>
    <phoneticPr fontId="3" type="noConversion"/>
  </si>
  <si>
    <t>15*10황(0.65T)</t>
    <phoneticPr fontId="3" type="noConversion"/>
  </si>
  <si>
    <t>2롤</t>
    <phoneticPr fontId="3" type="noConversion"/>
  </si>
  <si>
    <t>대신택배</t>
    <phoneticPr fontId="3" type="noConversion"/>
  </si>
  <si>
    <t>PE28*2황</t>
    <phoneticPr fontId="3" type="noConversion"/>
  </si>
  <si>
    <t>7박스</t>
    <phoneticPr fontId="3" type="noConversion"/>
  </si>
  <si>
    <t>광주천일포장</t>
    <phoneticPr fontId="3" type="noConversion"/>
  </si>
  <si>
    <t>삼성</t>
    <phoneticPr fontId="3" type="noConversion"/>
  </si>
  <si>
    <t>18*21친환경</t>
    <phoneticPr fontId="3" type="noConversion"/>
  </si>
  <si>
    <t>115롤</t>
    <phoneticPr fontId="3" type="noConversion"/>
  </si>
  <si>
    <t>18*21황</t>
    <phoneticPr fontId="3" type="noConversion"/>
  </si>
  <si>
    <t>100롤</t>
    <phoneticPr fontId="3" type="noConversion"/>
  </si>
  <si>
    <t>18*21친환경</t>
    <phoneticPr fontId="3" type="noConversion"/>
  </si>
  <si>
    <t>422롤</t>
    <phoneticPr fontId="3" type="noConversion"/>
  </si>
  <si>
    <t>18*21황</t>
    <phoneticPr fontId="3" type="noConversion"/>
  </si>
  <si>
    <t>100롤</t>
    <phoneticPr fontId="3" type="noConversion"/>
  </si>
  <si>
    <t>100박스</t>
  </si>
  <si>
    <t>삼성</t>
    <phoneticPr fontId="3" type="noConversion"/>
  </si>
  <si>
    <t>18*21친환경</t>
    <phoneticPr fontId="3" type="noConversion"/>
  </si>
  <si>
    <t>219롤</t>
    <phoneticPr fontId="3" type="noConversion"/>
  </si>
  <si>
    <t>삼성</t>
    <phoneticPr fontId="3" type="noConversion"/>
  </si>
  <si>
    <t>삼성</t>
    <phoneticPr fontId="3" type="noConversion"/>
  </si>
  <si>
    <t>앤더슨</t>
    <phoneticPr fontId="3" type="noConversion"/>
  </si>
  <si>
    <t>수작업</t>
    <phoneticPr fontId="3" type="noConversion"/>
  </si>
  <si>
    <t>20.4톤</t>
    <phoneticPr fontId="3" type="noConversion"/>
  </si>
  <si>
    <t>40"(오후1시30분)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</si>
  <si>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</si>
  <si>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</si>
  <si>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</si>
  <si>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충남 아산시 도고면 온천대로 541 계림농장 041-544-7603</t>
    <phoneticPr fontId="3" type="noConversion"/>
  </si>
  <si>
    <t>진송팩</t>
  </si>
  <si>
    <t>72박스</t>
  </si>
  <si>
    <t>대한에프앤에프</t>
  </si>
  <si>
    <t>히터 2개</t>
  </si>
  <si>
    <t>15*10황(0.65T)</t>
    <phoneticPr fontId="3" type="noConversion"/>
  </si>
  <si>
    <t>50롤</t>
    <phoneticPr fontId="3" type="noConversion"/>
  </si>
  <si>
    <t>12*10황(0.8t)</t>
    <phoneticPr fontId="3" type="noConversion"/>
  </si>
  <si>
    <t>9*10황</t>
    <phoneticPr fontId="3" type="noConversion"/>
  </si>
  <si>
    <t>1롤</t>
    <phoneticPr fontId="3" type="noConversion"/>
  </si>
  <si>
    <t>1롤</t>
    <phoneticPr fontId="3" type="noConversion"/>
  </si>
  <si>
    <t>유림상사</t>
    <phoneticPr fontId="3" type="noConversion"/>
  </si>
  <si>
    <t>로젠택배</t>
    <phoneticPr fontId="3" type="noConversion"/>
  </si>
  <si>
    <t>비와이패키지</t>
    <phoneticPr fontId="3" type="noConversion"/>
  </si>
  <si>
    <t>2롤1박스</t>
    <phoneticPr fontId="3" type="noConversion"/>
  </si>
  <si>
    <t>40롤</t>
    <phoneticPr fontId="3" type="noConversion"/>
  </si>
  <si>
    <t>합동포장</t>
    <phoneticPr fontId="3" type="noConversion"/>
  </si>
  <si>
    <t>크린토피아</t>
    <phoneticPr fontId="3" type="noConversion"/>
  </si>
  <si>
    <t>용차</t>
    <phoneticPr fontId="3" type="noConversion"/>
  </si>
  <si>
    <t>발송 : 진송팩</t>
    <phoneticPr fontId="8" type="noConversion"/>
  </si>
  <si>
    <t>크린토피아</t>
    <phoneticPr fontId="8" type="noConversion"/>
  </si>
  <si>
    <t xml:space="preserve">백문교팀장님 </t>
    <phoneticPr fontId="3" type="noConversion"/>
  </si>
  <si>
    <t>010-8912-2026</t>
  </si>
  <si>
    <t>결속기용PE끈</t>
    <phoneticPr fontId="3" type="noConversion"/>
  </si>
  <si>
    <t>28mm*6kg 백색</t>
    <phoneticPr fontId="3" type="noConversion"/>
  </si>
  <si>
    <t>기업단지로 122-31(용두리453-5)</t>
    <phoneticPr fontId="3" type="noConversion"/>
  </si>
  <si>
    <t>되살림패키지</t>
    <phoneticPr fontId="3" type="noConversion"/>
  </si>
  <si>
    <t>자동밴딩기</t>
    <phoneticPr fontId="3" type="noConversion"/>
  </si>
  <si>
    <t>1대</t>
    <phoneticPr fontId="3" type="noConversion"/>
  </si>
  <si>
    <t>12*10백(0.65T)</t>
    <phoneticPr fontId="3" type="noConversion"/>
  </si>
  <si>
    <t>32롤</t>
    <phoneticPr fontId="3" type="noConversion"/>
  </si>
  <si>
    <t>싸이클롭</t>
    <phoneticPr fontId="3" type="noConversion"/>
  </si>
  <si>
    <t>21톤</t>
    <phoneticPr fontId="3" type="noConversion"/>
  </si>
  <si>
    <t>경인팩</t>
    <phoneticPr fontId="3" type="noConversion"/>
  </si>
  <si>
    <t>64박스</t>
    <phoneticPr fontId="3" type="noConversion"/>
  </si>
  <si>
    <t>6*10백</t>
    <phoneticPr fontId="3" type="noConversion"/>
  </si>
  <si>
    <t>6*10청</t>
    <phoneticPr fontId="3" type="noConversion"/>
  </si>
  <si>
    <t>59롤</t>
    <phoneticPr fontId="3" type="noConversion"/>
  </si>
  <si>
    <t>동강목재</t>
    <phoneticPr fontId="3" type="noConversion"/>
  </si>
  <si>
    <t>반자동밴딩기</t>
    <phoneticPr fontId="3" type="noConversion"/>
  </si>
  <si>
    <t>1대</t>
    <phoneticPr fontId="3" type="noConversion"/>
  </si>
  <si>
    <t>세화종합상사</t>
    <phoneticPr fontId="3" type="noConversion"/>
  </si>
  <si>
    <t>PE28*2백</t>
    <phoneticPr fontId="3" type="noConversion"/>
  </si>
  <si>
    <t>2박스</t>
    <phoneticPr fontId="3" type="noConversion"/>
  </si>
  <si>
    <t>POWER박스</t>
    <phoneticPr fontId="3" type="noConversion"/>
  </si>
  <si>
    <t>대신화물착불</t>
    <phoneticPr fontId="3" type="noConversion"/>
  </si>
  <si>
    <t>12*10황(0.65T)</t>
    <phoneticPr fontId="3" type="noConversion"/>
  </si>
  <si>
    <t>50롤</t>
    <phoneticPr fontId="3" type="noConversion"/>
  </si>
  <si>
    <t>PE28*2백</t>
    <phoneticPr fontId="3" type="noConversion"/>
  </si>
  <si>
    <t>10박스</t>
    <phoneticPr fontId="3" type="noConversion"/>
  </si>
  <si>
    <t>300원 인상</t>
    <phoneticPr fontId="3" type="noConversion"/>
  </si>
  <si>
    <t>KIC박스</t>
    <phoneticPr fontId="3" type="noConversion"/>
  </si>
  <si>
    <t>12*12.5황</t>
    <phoneticPr fontId="3" type="noConversion"/>
  </si>
  <si>
    <t>200롤</t>
    <phoneticPr fontId="3" type="noConversion"/>
  </si>
  <si>
    <t>12*10황</t>
    <phoneticPr fontId="3" type="noConversion"/>
  </si>
  <si>
    <t>50롤</t>
    <phoneticPr fontId="3" type="noConversion"/>
  </si>
  <si>
    <t>50박스</t>
    <phoneticPr fontId="3" type="noConversion"/>
  </si>
  <si>
    <t>6*10백</t>
    <phoneticPr fontId="3" type="noConversion"/>
  </si>
  <si>
    <t>방문출고</t>
    <phoneticPr fontId="3" type="noConversion"/>
  </si>
  <si>
    <t>파워엠팩</t>
    <phoneticPr fontId="3" type="noConversion"/>
  </si>
  <si>
    <t>기존 마지막</t>
    <phoneticPr fontId="3" type="noConversion"/>
  </si>
  <si>
    <t>기존</t>
    <phoneticPr fontId="3" type="noConversion"/>
  </si>
  <si>
    <t>기존</t>
    <phoneticPr fontId="3" type="noConversion"/>
  </si>
  <si>
    <t>7*10백(0.5T)</t>
    <phoneticPr fontId="3" type="noConversion"/>
  </si>
  <si>
    <t>10박스</t>
    <phoneticPr fontId="3" type="noConversion"/>
  </si>
  <si>
    <t>세탁공작소</t>
    <phoneticPr fontId="3" type="noConversion"/>
  </si>
  <si>
    <t>경기도 파주시 조리읍 능안로 290-9, A, B동  세탁공작소 파주지점  010-6272-5433</t>
    <phoneticPr fontId="3" type="noConversion"/>
  </si>
  <si>
    <t>용차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</si>
  <si>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</si>
  <si>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</si>
  <si>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</si>
  <si>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전라북도 군산시 서수면 화등길 79-66 (서수면, 양계장) 화등리 949-3   010-4781-6266 최진배</t>
    <phoneticPr fontId="3" type="noConversion"/>
  </si>
  <si>
    <t>10박스</t>
    <phoneticPr fontId="3" type="noConversion"/>
  </si>
  <si>
    <t>주신산업</t>
    <phoneticPr fontId="3" type="noConversion"/>
  </si>
  <si>
    <t>2박스</t>
    <phoneticPr fontId="3" type="noConversion"/>
  </si>
  <si>
    <t>경기도 평택시 통복동 66-1번지  나라유통  010-4855-5233</t>
    <phoneticPr fontId="3" type="noConversion"/>
  </si>
  <si>
    <t xml:space="preserve">세탁공작소 파주지점  </t>
    <phoneticPr fontId="3" type="noConversion"/>
  </si>
  <si>
    <t>010-6272-5433</t>
  </si>
  <si>
    <t xml:space="preserve">능안로 290-9, A, B동  </t>
    <phoneticPr fontId="3" type="noConversion"/>
  </si>
  <si>
    <t xml:space="preserve">경기도 파주시 조리읍 </t>
    <phoneticPr fontId="3" type="noConversion"/>
  </si>
  <si>
    <t>발송 : 경인팩</t>
    <phoneticPr fontId="8" type="noConversion"/>
  </si>
  <si>
    <t>255롤</t>
  </si>
  <si>
    <t>18*21투명</t>
    <phoneticPr fontId="3" type="noConversion"/>
  </si>
  <si>
    <t>부영판지</t>
    <phoneticPr fontId="3" type="noConversion"/>
  </si>
  <si>
    <t>14롤</t>
    <phoneticPr fontId="3" type="noConversion"/>
  </si>
  <si>
    <t>용차</t>
    <phoneticPr fontId="3" type="noConversion"/>
  </si>
  <si>
    <t>10*10.5투명</t>
    <phoneticPr fontId="3" type="noConversion"/>
  </si>
  <si>
    <t>50롤</t>
    <phoneticPr fontId="3" type="noConversion"/>
  </si>
  <si>
    <t>100롤</t>
    <phoneticPr fontId="3" type="noConversion"/>
  </si>
  <si>
    <t>인상</t>
    <phoneticPr fontId="3" type="noConversion"/>
  </si>
  <si>
    <t>인상</t>
    <phoneticPr fontId="3" type="noConversion"/>
  </si>
  <si>
    <t>대신택배</t>
    <phoneticPr fontId="3" type="noConversion"/>
  </si>
  <si>
    <t>경상남도 창녕군 계성면 계성리 1107 솔밭양계 010-3864-3394</t>
    <phoneticPr fontId="3" type="noConversion"/>
  </si>
  <si>
    <t>27롤교환</t>
    <phoneticPr fontId="3" type="noConversion"/>
  </si>
  <si>
    <t>40"(오전8시)</t>
    <phoneticPr fontId="3" type="noConversion"/>
  </si>
  <si>
    <t>제이엠</t>
    <phoneticPr fontId="3" type="noConversion"/>
  </si>
  <si>
    <t>12*10황(0.8T)</t>
    <phoneticPr fontId="3" type="noConversion"/>
  </si>
  <si>
    <t>6롤</t>
    <phoneticPr fontId="3" type="noConversion"/>
  </si>
  <si>
    <t>2롤씩3묶음</t>
    <phoneticPr fontId="3" type="noConversion"/>
  </si>
  <si>
    <t>경기도 파주시 월롱면 누현길 92-2 (월롱면) 티메카공구상가 F동 105호 제일축산(이용락) 010-5415-4594</t>
    <phoneticPr fontId="3" type="noConversion"/>
  </si>
  <si>
    <t>동원팩</t>
  </si>
  <si>
    <t>15*10황</t>
    <phoneticPr fontId="3" type="noConversion"/>
  </si>
  <si>
    <t>64롤</t>
    <phoneticPr fontId="3" type="noConversion"/>
  </si>
  <si>
    <t>15*13황</t>
    <phoneticPr fontId="3" type="noConversion"/>
  </si>
  <si>
    <t>목</t>
    <phoneticPr fontId="8" type="noConversion"/>
  </si>
  <si>
    <t>신광포장</t>
    <phoneticPr fontId="3" type="noConversion"/>
  </si>
  <si>
    <t>15*10백0.65T)</t>
    <phoneticPr fontId="3" type="noConversion"/>
  </si>
  <si>
    <t>50롤</t>
    <phoneticPr fontId="3" type="noConversion"/>
  </si>
  <si>
    <t>15*10황(0.65T)</t>
    <phoneticPr fontId="3" type="noConversion"/>
  </si>
  <si>
    <t>50롤</t>
    <phoneticPr fontId="3" type="noConversion"/>
  </si>
  <si>
    <t>10박스</t>
    <phoneticPr fontId="3" type="noConversion"/>
  </si>
  <si>
    <t>kic박스</t>
    <phoneticPr fontId="3" type="noConversion"/>
  </si>
  <si>
    <t>기존</t>
    <phoneticPr fontId="3" type="noConversion"/>
  </si>
  <si>
    <t>상일교역</t>
    <phoneticPr fontId="3" type="noConversion"/>
  </si>
  <si>
    <t>15.2톤</t>
    <phoneticPr fontId="3" type="noConversion"/>
  </si>
  <si>
    <t>고메리</t>
    <phoneticPr fontId="3" type="noConversion"/>
  </si>
  <si>
    <t>수작업</t>
    <phoneticPr fontId="3" type="noConversion"/>
  </si>
  <si>
    <t>6톤</t>
    <phoneticPr fontId="3" type="noConversion"/>
  </si>
  <si>
    <t>탐스텍</t>
    <phoneticPr fontId="3" type="noConversion"/>
  </si>
  <si>
    <t>팔레트</t>
    <phoneticPr fontId="3" type="noConversion"/>
  </si>
  <si>
    <t>2.7톤</t>
    <phoneticPr fontId="3" type="noConversion"/>
  </si>
  <si>
    <t>LCL</t>
    <phoneticPr fontId="3" type="noConversion"/>
  </si>
  <si>
    <t>3박스</t>
    <phoneticPr fontId="3" type="noConversion"/>
  </si>
  <si>
    <t>인천광역시 강화군 불은면 삼동암길 168 (불은면, 뉴스타관광차고지) 양계장집 최광헌 010-3104-1423</t>
    <phoneticPr fontId="3" type="noConversion"/>
  </si>
  <si>
    <t>인천광역시 계양구 인향로 338-1 (선주지동) 2층 주)정원피앤씨 010-6743-2402</t>
    <phoneticPr fontId="3" type="noConversion"/>
  </si>
  <si>
    <t>비와이패키지</t>
  </si>
  <si>
    <t>7*10백(0.5T)</t>
  </si>
  <si>
    <t>인상</t>
    <phoneticPr fontId="3" type="noConversion"/>
  </si>
  <si>
    <t>태양지대</t>
  </si>
  <si>
    <t>9*10황(0.75T)</t>
    <phoneticPr fontId="3" type="noConversion"/>
  </si>
  <si>
    <t>10롤</t>
    <phoneticPr fontId="3" type="noConversion"/>
  </si>
  <si>
    <t>8*10백</t>
    <phoneticPr fontId="3" type="noConversion"/>
  </si>
  <si>
    <t>2롤</t>
    <phoneticPr fontId="3" type="noConversion"/>
  </si>
  <si>
    <t>2롤1묶음</t>
    <phoneticPr fontId="3" type="noConversion"/>
  </si>
  <si>
    <t>대신택배</t>
    <phoneticPr fontId="3" type="noConversion"/>
  </si>
  <si>
    <t>고림포장</t>
    <phoneticPr fontId="3" type="noConversion"/>
  </si>
  <si>
    <t>2550원</t>
    <phoneticPr fontId="3" type="noConversion"/>
  </si>
  <si>
    <t>대성씨엔씨</t>
    <phoneticPr fontId="3" type="noConversion"/>
  </si>
  <si>
    <t>1층</t>
    <phoneticPr fontId="3" type="noConversion"/>
  </si>
  <si>
    <t>50박스</t>
    <phoneticPr fontId="3" type="noConversion"/>
  </si>
  <si>
    <t>랩20*500*1400</t>
    <phoneticPr fontId="3" type="noConversion"/>
  </si>
  <si>
    <t>파워엠팩</t>
    <phoneticPr fontId="3" type="noConversion"/>
  </si>
  <si>
    <t>7*11은회색</t>
    <phoneticPr fontId="3" type="noConversion"/>
  </si>
  <si>
    <t>52롤</t>
    <phoneticPr fontId="3" type="noConversion"/>
  </si>
  <si>
    <t>10*11은회색</t>
    <phoneticPr fontId="3" type="noConversion"/>
  </si>
  <si>
    <t>51롤</t>
    <phoneticPr fontId="3" type="noConversion"/>
  </si>
  <si>
    <t>9*11은회색</t>
    <phoneticPr fontId="3" type="noConversion"/>
  </si>
  <si>
    <t>128롤</t>
    <phoneticPr fontId="3" type="noConversion"/>
  </si>
  <si>
    <t>지방합화차</t>
    <phoneticPr fontId="3" type="noConversion"/>
  </si>
  <si>
    <t>인상</t>
    <phoneticPr fontId="3" type="noConversion"/>
  </si>
  <si>
    <t>경인산업</t>
    <phoneticPr fontId="3" type="noConversion"/>
  </si>
  <si>
    <t>12*10황(0.75T)</t>
    <phoneticPr fontId="3" type="noConversion"/>
  </si>
  <si>
    <t>56롤</t>
    <phoneticPr fontId="3" type="noConversion"/>
  </si>
  <si>
    <t>파워엠팩</t>
    <phoneticPr fontId="3" type="noConversion"/>
  </si>
  <si>
    <t>6*10백</t>
    <phoneticPr fontId="3" type="noConversion"/>
  </si>
  <si>
    <t>8롤</t>
    <phoneticPr fontId="3" type="noConversion"/>
  </si>
  <si>
    <t>방문출고</t>
    <phoneticPr fontId="3" type="noConversion"/>
  </si>
  <si>
    <t>동양프린팅</t>
    <phoneticPr fontId="3" type="noConversion"/>
  </si>
  <si>
    <t>기존</t>
    <phoneticPr fontId="3" type="noConversion"/>
  </si>
  <si>
    <t>대상산업</t>
    <phoneticPr fontId="3" type="noConversion"/>
  </si>
  <si>
    <t>PE28*2백(24K)</t>
    <phoneticPr fontId="3" type="noConversion"/>
  </si>
  <si>
    <t>20박스</t>
    <phoneticPr fontId="3" type="noConversion"/>
  </si>
  <si>
    <t>우진씨앤티</t>
    <phoneticPr fontId="3" type="noConversion"/>
  </si>
  <si>
    <t>랩15*500*350</t>
    <phoneticPr fontId="3" type="noConversion"/>
  </si>
  <si>
    <t>40박스</t>
    <phoneticPr fontId="3" type="noConversion"/>
  </si>
  <si>
    <t>스피드랩직납</t>
    <phoneticPr fontId="3" type="noConversion"/>
  </si>
  <si>
    <t>7800원/박스</t>
    <phoneticPr fontId="3" type="noConversion"/>
  </si>
  <si>
    <t>PE28*6백</t>
    <phoneticPr fontId="3" type="noConversion"/>
  </si>
  <si>
    <t>128박스</t>
  </si>
  <si>
    <t>크린토피아</t>
  </si>
  <si>
    <t>수입품</t>
    <phoneticPr fontId="3" type="noConversion"/>
  </si>
  <si>
    <t>우선산업</t>
    <phoneticPr fontId="3" type="noConversion"/>
  </si>
  <si>
    <t>PE50*5백</t>
    <phoneticPr fontId="3" type="noConversion"/>
  </si>
  <si>
    <t>50박스</t>
    <phoneticPr fontId="3" type="noConversion"/>
  </si>
  <si>
    <t>방문출고</t>
    <phoneticPr fontId="3" type="noConversion"/>
  </si>
  <si>
    <t>12*10황(0.8T)</t>
    <phoneticPr fontId="3" type="noConversion"/>
  </si>
  <si>
    <t>10롤</t>
    <phoneticPr fontId="3" type="noConversion"/>
  </si>
  <si>
    <t>기존</t>
    <phoneticPr fontId="3" type="noConversion"/>
  </si>
  <si>
    <t>아주파레트 반납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</si>
  <si>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</si>
  <si>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</si>
  <si>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</si>
  <si>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</si>
  <si>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인상</t>
    <phoneticPr fontId="3" type="noConversion"/>
  </si>
  <si>
    <t>경인팩</t>
    <phoneticPr fontId="3" type="noConversion"/>
  </si>
  <si>
    <t>56롤</t>
    <phoneticPr fontId="3" type="noConversion"/>
  </si>
  <si>
    <t>한국양계</t>
    <phoneticPr fontId="3" type="noConversion"/>
  </si>
  <si>
    <t>대신택배</t>
    <phoneticPr fontId="3" type="noConversion"/>
  </si>
  <si>
    <t>12박스</t>
    <phoneticPr fontId="3" type="noConversion"/>
  </si>
  <si>
    <t>담양실업</t>
    <phoneticPr fontId="3" type="noConversion"/>
  </si>
  <si>
    <t>경북 영주시 장수면 장안로 151-23 한국양계 영주유통센터  054-633-7401</t>
    <phoneticPr fontId="3" type="noConversion"/>
  </si>
  <si>
    <t>경인팩</t>
    <phoneticPr fontId="3" type="noConversion"/>
  </si>
  <si>
    <t>6*10백</t>
    <phoneticPr fontId="3" type="noConversion"/>
  </si>
  <si>
    <t>PE28*2백</t>
    <phoneticPr fontId="3" type="noConversion"/>
  </si>
  <si>
    <t>96박스</t>
    <phoneticPr fontId="3" type="noConversion"/>
  </si>
  <si>
    <t>동원팩</t>
    <phoneticPr fontId="3" type="noConversion"/>
  </si>
  <si>
    <t>2박스</t>
    <phoneticPr fontId="3" type="noConversion"/>
  </si>
  <si>
    <t>6박스</t>
    <phoneticPr fontId="3" type="noConversion"/>
  </si>
  <si>
    <t>로젠택배착불</t>
    <phoneticPr fontId="3" type="noConversion"/>
  </si>
  <si>
    <t>강원 강릉시 구정면 학산리 35-27 강릉왕도매유통 010-5363-1590</t>
    <phoneticPr fontId="3" type="noConversion"/>
  </si>
  <si>
    <t>남양주시 화도읍 답내리 94-2 상현축산 010-6366-4614</t>
    <phoneticPr fontId="3" type="noConversion"/>
  </si>
  <si>
    <t>로젠택배선불</t>
    <phoneticPr fontId="3" type="noConversion"/>
  </si>
  <si>
    <t>1박스</t>
    <phoneticPr fontId="3" type="noConversion"/>
  </si>
  <si>
    <t>삼성종합포장</t>
    <phoneticPr fontId="3" type="noConversion"/>
  </si>
  <si>
    <t>20박스</t>
    <phoneticPr fontId="3" type="noConversion"/>
  </si>
  <si>
    <t>kic박스</t>
    <phoneticPr fontId="3" type="noConversion"/>
  </si>
  <si>
    <t>인상</t>
    <phoneticPr fontId="3" type="noConversion"/>
  </si>
  <si>
    <t>대신택배</t>
    <phoneticPr fontId="3" type="noConversion"/>
  </si>
  <si>
    <t>POWER박스</t>
    <phoneticPr fontId="3" type="noConversion"/>
  </si>
  <si>
    <t>진송팩</t>
    <phoneticPr fontId="3" type="noConversion"/>
  </si>
  <si>
    <t>6*10백</t>
    <phoneticPr fontId="3" type="noConversion"/>
  </si>
  <si>
    <t>50롤</t>
    <phoneticPr fontId="3" type="noConversion"/>
  </si>
  <si>
    <t>경기도 김포시 흥도평로 81-45(걸포동)</t>
    <phoneticPr fontId="3" type="noConversion"/>
  </si>
  <si>
    <t>김포계란알마니㈜</t>
    <phoneticPr fontId="3" type="noConversion"/>
  </si>
  <si>
    <t>010-3294-0052</t>
    <phoneticPr fontId="3" type="noConversion"/>
  </si>
  <si>
    <t>PP밴드</t>
    <phoneticPr fontId="3" type="noConversion"/>
  </si>
  <si>
    <t xml:space="preserve">6mm*10kg 백색 </t>
    <phoneticPr fontId="3" type="noConversion"/>
  </si>
  <si>
    <t>6*10백</t>
    <phoneticPr fontId="3" type="noConversion"/>
  </si>
  <si>
    <t>신광포장</t>
    <phoneticPr fontId="3" type="noConversion"/>
  </si>
  <si>
    <t>10롤</t>
    <phoneticPr fontId="3" type="noConversion"/>
  </si>
  <si>
    <t>방문출고</t>
    <phoneticPr fontId="3" type="noConversion"/>
  </si>
  <si>
    <t>한국스미더스</t>
  </si>
  <si>
    <t>용차</t>
  </si>
  <si>
    <t>20박스 더 기존단가</t>
    <phoneticPr fontId="3" type="noConversion"/>
  </si>
  <si>
    <t>6박스</t>
    <phoneticPr fontId="3" type="noConversion"/>
  </si>
  <si>
    <t>고림포장</t>
  </si>
  <si>
    <t>금산포장</t>
    <phoneticPr fontId="3" type="noConversion"/>
  </si>
  <si>
    <t>344롤</t>
    <phoneticPr fontId="3" type="noConversion"/>
  </si>
  <si>
    <t>파워엠팩</t>
    <phoneticPr fontId="3" type="noConversion"/>
  </si>
  <si>
    <t>6*10백</t>
    <phoneticPr fontId="3" type="noConversion"/>
  </si>
  <si>
    <t>100롤</t>
    <phoneticPr fontId="3" type="noConversion"/>
  </si>
  <si>
    <t>방문출고</t>
    <phoneticPr fontId="3" type="noConversion"/>
  </si>
  <si>
    <t>6*10황</t>
    <phoneticPr fontId="3" type="noConversion"/>
  </si>
  <si>
    <t>64박스</t>
    <phoneticPr fontId="3" type="noConversion"/>
  </si>
  <si>
    <t>무지박스</t>
    <phoneticPr fontId="3" type="noConversion"/>
  </si>
  <si>
    <t>유일</t>
    <phoneticPr fontId="3" type="noConversion"/>
  </si>
  <si>
    <t>동원팩</t>
    <phoneticPr fontId="3" type="noConversion"/>
  </si>
  <si>
    <t>20박스</t>
    <phoneticPr fontId="3" type="noConversion"/>
  </si>
  <si>
    <t>POWER박스</t>
    <phoneticPr fontId="3" type="noConversion"/>
  </si>
  <si>
    <t>기존 마지막</t>
    <phoneticPr fontId="3" type="noConversion"/>
  </si>
  <si>
    <t>다음출고 3,050원</t>
    <phoneticPr fontId="3" type="noConversion"/>
  </si>
  <si>
    <t>3,750원/kg</t>
    <phoneticPr fontId="3" type="noConversion"/>
  </si>
  <si>
    <t>16박스</t>
    <phoneticPr fontId="3" type="noConversion"/>
  </si>
  <si>
    <t>대신택배</t>
    <phoneticPr fontId="3" type="noConversion"/>
  </si>
  <si>
    <t>에그홈</t>
    <phoneticPr fontId="3" type="noConversion"/>
  </si>
  <si>
    <t>전남 담양군 금성면 새덕굴길 66 담양실업 061-381-2267 / 
010-5621-1676</t>
    <phoneticPr fontId="3" type="noConversion"/>
  </si>
  <si>
    <t>더담패키지</t>
    <phoneticPr fontId="3" type="noConversion"/>
  </si>
  <si>
    <t>인상</t>
    <phoneticPr fontId="3" type="noConversion"/>
  </si>
  <si>
    <t>20박스</t>
    <phoneticPr fontId="3" type="noConversion"/>
  </si>
  <si>
    <t>기존</t>
    <phoneticPr fontId="3" type="noConversion"/>
  </si>
  <si>
    <t>기존</t>
    <phoneticPr fontId="3" type="noConversion"/>
  </si>
  <si>
    <t>제이엔제이</t>
    <phoneticPr fontId="3" type="noConversion"/>
  </si>
  <si>
    <t>6롤</t>
    <phoneticPr fontId="3" type="noConversion"/>
  </si>
  <si>
    <t>2롤 3묶음</t>
    <phoneticPr fontId="3" type="noConversion"/>
  </si>
  <si>
    <t>대신택배</t>
    <phoneticPr fontId="3" type="noConversion"/>
  </si>
  <si>
    <t>충북 진천군 이월면 월촌2길  64  (주) 제이엠 박승규 과장 010 4479 2588</t>
    <phoneticPr fontId="3" type="noConversion"/>
  </si>
  <si>
    <t>신광포장</t>
    <phoneticPr fontId="3" type="noConversion"/>
  </si>
  <si>
    <t>10박스</t>
    <phoneticPr fontId="3" type="noConversion"/>
  </si>
  <si>
    <t>5박스</t>
    <phoneticPr fontId="3" type="noConversion"/>
  </si>
  <si>
    <t>방문출고</t>
    <phoneticPr fontId="3" type="noConversion"/>
  </si>
  <si>
    <t>3박스</t>
    <phoneticPr fontId="3" type="noConversion"/>
  </si>
  <si>
    <t>47박스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</si>
  <si>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</si>
  <si>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</si>
  <si>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</si>
  <si>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부산광역시 사하구 장평로 224 (신평동) (부광건물내) 제이제이패키지 0507-1996-5534</t>
    <phoneticPr fontId="3" type="noConversion"/>
  </si>
  <si>
    <t>224롤</t>
    <phoneticPr fontId="3" type="noConversion"/>
  </si>
  <si>
    <t>신대한판지</t>
    <phoneticPr fontId="3" type="noConversion"/>
  </si>
  <si>
    <t>파레트밴딩기</t>
    <phoneticPr fontId="3" type="noConversion"/>
  </si>
  <si>
    <t>대신택배</t>
    <phoneticPr fontId="3" type="noConversion"/>
  </si>
  <si>
    <t>인상</t>
    <phoneticPr fontId="3" type="noConversion"/>
  </si>
  <si>
    <t>인상</t>
    <phoneticPr fontId="3" type="noConversion"/>
  </si>
  <si>
    <t>김규현</t>
    <phoneticPr fontId="3" type="noConversion"/>
  </si>
  <si>
    <t>100롤</t>
    <phoneticPr fontId="3" type="noConversion"/>
  </si>
  <si>
    <t xml:space="preserve">12mm*10kg 황색 </t>
    <phoneticPr fontId="3" type="noConversion"/>
  </si>
  <si>
    <t>9*9.5청</t>
    <phoneticPr fontId="3" type="noConversion"/>
  </si>
  <si>
    <t>27롤</t>
    <phoneticPr fontId="3" type="noConversion"/>
  </si>
  <si>
    <t>경인팩</t>
    <phoneticPr fontId="3" type="noConversion"/>
  </si>
  <si>
    <t>지방합화차 착불</t>
    <phoneticPr fontId="3" type="noConversion"/>
  </si>
  <si>
    <t>신광포장</t>
    <phoneticPr fontId="3" type="noConversion"/>
  </si>
  <si>
    <t>15*12황(0.65T)</t>
    <phoneticPr fontId="3" type="noConversion"/>
  </si>
  <si>
    <t>50롤</t>
    <phoneticPr fontId="3" type="noConversion"/>
  </si>
  <si>
    <t>20박스</t>
    <phoneticPr fontId="3" type="noConversion"/>
  </si>
  <si>
    <t>kic박스</t>
    <phoneticPr fontId="3" type="noConversion"/>
  </si>
  <si>
    <t>수입품</t>
    <phoneticPr fontId="3" type="noConversion"/>
  </si>
  <si>
    <t>서울특별시 은평구 진관1로 21-10 (진관동, 은평뉴타운 박석고개) 118동 504호 김혜선 010-3131-7932</t>
    <phoneticPr fontId="3" type="noConversion"/>
  </si>
  <si>
    <t>20"(오후2시)</t>
    <phoneticPr fontId="3" type="noConversion"/>
  </si>
  <si>
    <t>라바인터네셔널</t>
    <phoneticPr fontId="3" type="noConversion"/>
  </si>
  <si>
    <t>12*10황(0.8T)</t>
    <phoneticPr fontId="3" type="noConversion"/>
  </si>
  <si>
    <t>2,050원/kg</t>
    <phoneticPr fontId="3" type="noConversion"/>
  </si>
  <si>
    <t xml:space="preserve">경기도 광주시 초월읍 </t>
    <phoneticPr fontId="3" type="noConversion"/>
  </si>
  <si>
    <t xml:space="preserve">도평리50  </t>
    <phoneticPr fontId="3" type="noConversion"/>
  </si>
  <si>
    <t xml:space="preserve">마베스코리아 </t>
    <phoneticPr fontId="3" type="noConversion"/>
  </si>
  <si>
    <t>010-6437-7406</t>
  </si>
  <si>
    <t>12mm*10kg 황색(0.8T)</t>
    <phoneticPr fontId="3" type="noConversion"/>
  </si>
  <si>
    <t>발송 : 라바인터내셔널</t>
    <phoneticPr fontId="3" type="noConversion"/>
  </si>
  <si>
    <t>12*12.5투명</t>
    <phoneticPr fontId="3" type="noConversion"/>
  </si>
  <si>
    <t>경기도 광주시 초월읍 도평리50  마베스코리아 010-6437-7406</t>
    <phoneticPr fontId="3" type="noConversion"/>
  </si>
  <si>
    <t>신광포장</t>
    <phoneticPr fontId="3" type="noConversion"/>
  </si>
  <si>
    <t>파워엠팩</t>
    <phoneticPr fontId="3" type="noConversion"/>
  </si>
  <si>
    <t>12*10청(0.75T)</t>
    <phoneticPr fontId="3" type="noConversion"/>
  </si>
  <si>
    <t>100롤</t>
    <phoneticPr fontId="3" type="noConversion"/>
  </si>
  <si>
    <t>방문출고</t>
    <phoneticPr fontId="3" type="noConversion"/>
  </si>
  <si>
    <t>15*10투명</t>
    <phoneticPr fontId="3" type="noConversion"/>
  </si>
  <si>
    <t>50롤</t>
    <phoneticPr fontId="3" type="noConversion"/>
  </si>
  <si>
    <t>60롤</t>
    <phoneticPr fontId="3" type="noConversion"/>
  </si>
  <si>
    <t>60롤</t>
    <phoneticPr fontId="3" type="noConversion"/>
  </si>
  <si>
    <t>6*10황</t>
    <phoneticPr fontId="3" type="noConversion"/>
  </si>
  <si>
    <t>56롤</t>
    <phoneticPr fontId="3" type="noConversion"/>
  </si>
  <si>
    <t>대신택배</t>
    <phoneticPr fontId="3" type="noConversion"/>
  </si>
  <si>
    <t>충청남도 천안시 동남구 목천읍 천정1길 209  대전충남양계농협  041-555-9359</t>
    <phoneticPr fontId="3" type="noConversion"/>
  </si>
  <si>
    <t>동원팩</t>
    <phoneticPr fontId="3" type="noConversion"/>
  </si>
  <si>
    <t>6*10백</t>
    <phoneticPr fontId="3" type="noConversion"/>
  </si>
  <si>
    <t>150롤</t>
    <phoneticPr fontId="3" type="noConversion"/>
  </si>
  <si>
    <t>경인팩</t>
    <phoneticPr fontId="3" type="noConversion"/>
  </si>
  <si>
    <t>삼신</t>
    <phoneticPr fontId="3" type="noConversion"/>
  </si>
  <si>
    <t>100박스</t>
    <phoneticPr fontId="3" type="noConversion"/>
  </si>
  <si>
    <t>수출용미국박스</t>
    <phoneticPr fontId="3" type="noConversion"/>
  </si>
  <si>
    <t>수입품</t>
  </si>
  <si>
    <t>경기도 양주시 남면 감악산로295번길 72-5 (남면) 양정원 010-8935-6362</t>
    <phoneticPr fontId="3" type="noConversion"/>
  </si>
  <si>
    <t>대창하드웨어</t>
    <phoneticPr fontId="3" type="noConversion"/>
  </si>
  <si>
    <t>15*10황(0.8T)</t>
    <phoneticPr fontId="3" type="noConversion"/>
  </si>
  <si>
    <t>15롤</t>
    <phoneticPr fontId="3" type="noConversion"/>
  </si>
  <si>
    <t>충청북도 진천군 덕산면 신척산단5로 196 (덕산면, (주)견지포장) 김법준 010-4555-0979</t>
    <phoneticPr fontId="3" type="noConversion"/>
  </si>
  <si>
    <t>40"(오후3시)</t>
    <phoneticPr fontId="3" type="noConversion"/>
  </si>
  <si>
    <t>경기도 포천시 영중면 호국로2616번길 28-9 (영중면) 주식회사 정담 박희철 010-4769-3101</t>
    <phoneticPr fontId="3" type="noConversion"/>
  </si>
  <si>
    <t>9*10투명</t>
    <phoneticPr fontId="3" type="noConversion"/>
  </si>
  <si>
    <t>88롤</t>
    <phoneticPr fontId="3" type="noConversion"/>
  </si>
  <si>
    <t>온누리유통</t>
    <phoneticPr fontId="3" type="noConversion"/>
  </si>
  <si>
    <t>2박스</t>
    <phoneticPr fontId="3" type="noConversion"/>
  </si>
  <si>
    <t>kic박스</t>
    <phoneticPr fontId="3" type="noConversion"/>
  </si>
  <si>
    <t>3,200원/kg</t>
    <phoneticPr fontId="3" type="noConversion"/>
  </si>
  <si>
    <t>제이케이머티릴얼즈</t>
    <phoneticPr fontId="3" type="noConversion"/>
  </si>
  <si>
    <t>18*10황</t>
    <phoneticPr fontId="3" type="noConversion"/>
  </si>
  <si>
    <t>128롤</t>
    <phoneticPr fontId="3" type="noConversion"/>
  </si>
  <si>
    <t>낙원포장</t>
    <phoneticPr fontId="3" type="noConversion"/>
  </si>
  <si>
    <t>6*12.5백</t>
    <phoneticPr fontId="3" type="noConversion"/>
  </si>
  <si>
    <t>640롤</t>
    <phoneticPr fontId="3" type="noConversion"/>
  </si>
  <si>
    <t>전주삼신</t>
    <phoneticPr fontId="3" type="noConversion"/>
  </si>
  <si>
    <t>PE28*2백</t>
    <phoneticPr fontId="3" type="noConversion"/>
  </si>
  <si>
    <t>수입품</t>
    <phoneticPr fontId="3" type="noConversion"/>
  </si>
  <si>
    <t>대신택배</t>
    <phoneticPr fontId="3" type="noConversion"/>
  </si>
  <si>
    <t>인상</t>
    <phoneticPr fontId="3" type="noConversion"/>
  </si>
  <si>
    <t>6*10백</t>
    <phoneticPr fontId="3" type="noConversion"/>
  </si>
  <si>
    <t>기존</t>
    <phoneticPr fontId="3" type="noConversion"/>
  </si>
  <si>
    <t>100롤</t>
    <phoneticPr fontId="3" type="noConversion"/>
  </si>
  <si>
    <t>인천시 남동구 호구포로50</t>
    <phoneticPr fontId="3" type="noConversion"/>
  </si>
  <si>
    <t>엘아이센터 702호</t>
    <phoneticPr fontId="3" type="noConversion"/>
  </si>
  <si>
    <t>010-5326-9525</t>
    <phoneticPr fontId="3" type="noConversion"/>
  </si>
  <si>
    <t>보우팩</t>
    <phoneticPr fontId="3" type="noConversion"/>
  </si>
  <si>
    <t>6*10적</t>
    <phoneticPr fontId="3" type="noConversion"/>
  </si>
  <si>
    <t>6*10백</t>
    <phoneticPr fontId="3" type="noConversion"/>
  </si>
  <si>
    <t>200롤</t>
    <phoneticPr fontId="3" type="noConversion"/>
  </si>
  <si>
    <t>파란밴딩</t>
    <phoneticPr fontId="3" type="noConversion"/>
  </si>
  <si>
    <t>PE28*2백</t>
    <phoneticPr fontId="3" type="noConversion"/>
  </si>
  <si>
    <t>5박스</t>
    <phoneticPr fontId="3" type="noConversion"/>
  </si>
  <si>
    <t>수입품</t>
    <phoneticPr fontId="3" type="noConversion"/>
  </si>
  <si>
    <t>방문출고</t>
    <phoneticPr fontId="3" type="noConversion"/>
  </si>
  <si>
    <t>3,050원</t>
    <phoneticPr fontId="3" type="noConversion"/>
  </si>
  <si>
    <t>15*10(0.65T)백</t>
    <phoneticPr fontId="3" type="noConversion"/>
  </si>
  <si>
    <t>DHF인쇄밴드</t>
    <phoneticPr fontId="3" type="noConversion"/>
  </si>
  <si>
    <t>강원농협</t>
    <phoneticPr fontId="3" type="noConversion"/>
  </si>
  <si>
    <t>12*12.5(황)</t>
    <phoneticPr fontId="3" type="noConversion"/>
  </si>
  <si>
    <t>300롤</t>
    <phoneticPr fontId="3" type="noConversion"/>
  </si>
  <si>
    <t>동횡성농협</t>
    <phoneticPr fontId="3" type="noConversion"/>
  </si>
  <si>
    <t>12*10황(0.8T)</t>
    <phoneticPr fontId="3" type="noConversion"/>
  </si>
  <si>
    <t>10롤</t>
    <phoneticPr fontId="3" type="noConversion"/>
  </si>
  <si>
    <t>인상</t>
    <phoneticPr fontId="3" type="noConversion"/>
  </si>
  <si>
    <t>파워엠팩</t>
    <phoneticPr fontId="3" type="noConversion"/>
  </si>
  <si>
    <t>14*10백</t>
    <phoneticPr fontId="3" type="noConversion"/>
  </si>
  <si>
    <t>청정원</t>
    <phoneticPr fontId="3" type="noConversion"/>
  </si>
  <si>
    <t>지방합화차</t>
    <phoneticPr fontId="3" type="noConversion"/>
  </si>
  <si>
    <t>2400원</t>
    <phoneticPr fontId="3" type="noConversion"/>
  </si>
  <si>
    <t>28박스</t>
    <phoneticPr fontId="3" type="noConversion"/>
  </si>
  <si>
    <t>40롤</t>
    <phoneticPr fontId="3" type="noConversion"/>
  </si>
  <si>
    <t>pp재생원료(og)</t>
    <phoneticPr fontId="3" type="noConversion"/>
  </si>
  <si>
    <t>운송비</t>
    <phoneticPr fontId="3" type="noConversion"/>
  </si>
  <si>
    <t>단가</t>
    <phoneticPr fontId="3" type="noConversion"/>
  </si>
  <si>
    <t>수량</t>
    <phoneticPr fontId="3" type="noConversion"/>
  </si>
  <si>
    <t>공급가액</t>
    <phoneticPr fontId="3" type="noConversion"/>
  </si>
  <si>
    <t>세액</t>
    <phoneticPr fontId="3" type="noConversion"/>
  </si>
  <si>
    <t>합계금액</t>
    <phoneticPr fontId="3" type="noConversion"/>
  </si>
  <si>
    <t>동원팩</t>
    <phoneticPr fontId="3" type="noConversion"/>
  </si>
  <si>
    <t>pe28*6 백</t>
    <phoneticPr fontId="3" type="noConversion"/>
  </si>
  <si>
    <t>10박스</t>
    <phoneticPr fontId="3" type="noConversion"/>
  </si>
  <si>
    <t>2박스</t>
    <phoneticPr fontId="3" type="noConversion"/>
  </si>
  <si>
    <t>pe28*2청</t>
    <phoneticPr fontId="3" type="noConversion"/>
  </si>
  <si>
    <t>POWER박스</t>
    <phoneticPr fontId="3" type="noConversion"/>
  </si>
  <si>
    <t>방문출고</t>
    <phoneticPr fontId="3" type="noConversion"/>
  </si>
  <si>
    <t>대상산업</t>
    <phoneticPr fontId="3" type="noConversion"/>
  </si>
  <si>
    <t>pe28*2백(24k)</t>
    <phoneticPr fontId="3" type="noConversion"/>
  </si>
  <si>
    <t>15박스</t>
    <phoneticPr fontId="3" type="noConversion"/>
  </si>
  <si>
    <t>pe50*6백</t>
    <phoneticPr fontId="3" type="noConversion"/>
  </si>
  <si>
    <t>10박스</t>
    <phoneticPr fontId="3" type="noConversion"/>
  </si>
  <si>
    <t>동원팩</t>
    <phoneticPr fontId="3" type="noConversion"/>
  </si>
  <si>
    <t>1박스</t>
    <phoneticPr fontId="3" type="noConversion"/>
  </si>
  <si>
    <t>로젠택배</t>
    <phoneticPr fontId="3" type="noConversion"/>
  </si>
  <si>
    <t>한남포장</t>
    <phoneticPr fontId="3" type="noConversion"/>
  </si>
  <si>
    <t>12*9.5(황)</t>
    <phoneticPr fontId="3" type="noConversion"/>
  </si>
  <si>
    <t>100롤</t>
    <phoneticPr fontId="3" type="noConversion"/>
  </si>
  <si>
    <t>일산</t>
    <phoneticPr fontId="3" type="noConversion"/>
  </si>
  <si>
    <t>대성씨엔씨</t>
    <phoneticPr fontId="3" type="noConversion"/>
  </si>
  <si>
    <t>20mic*1400m</t>
    <phoneticPr fontId="3" type="noConversion"/>
  </si>
  <si>
    <t>50박스</t>
    <phoneticPr fontId="3" type="noConversion"/>
  </si>
  <si>
    <t>10.5*10투명</t>
    <phoneticPr fontId="3" type="noConversion"/>
  </si>
  <si>
    <t>50롤</t>
    <phoneticPr fontId="3" type="noConversion"/>
  </si>
  <si>
    <t>방문출고</t>
    <phoneticPr fontId="3" type="noConversion"/>
  </si>
  <si>
    <t>수입품</t>
    <phoneticPr fontId="3" type="noConversion"/>
  </si>
  <si>
    <t>28*2백(24k)</t>
    <phoneticPr fontId="3" type="noConversion"/>
  </si>
  <si>
    <t>10박스</t>
    <phoneticPr fontId="3" type="noConversion"/>
  </si>
  <si>
    <t>28*2황(24k)</t>
    <phoneticPr fontId="3" type="noConversion"/>
  </si>
  <si>
    <t>28*6백</t>
    <phoneticPr fontId="3" type="noConversion"/>
  </si>
  <si>
    <t>5박스</t>
    <phoneticPr fontId="3" type="noConversion"/>
  </si>
  <si>
    <t>20박스</t>
    <phoneticPr fontId="3" type="noConversion"/>
  </si>
  <si>
    <t>동원팩</t>
    <phoneticPr fontId="3" type="noConversion"/>
  </si>
  <si>
    <t>6*10백</t>
    <phoneticPr fontId="3" type="noConversion"/>
  </si>
  <si>
    <t>60롤</t>
    <phoneticPr fontId="3" type="noConversion"/>
  </si>
  <si>
    <t>베스테크</t>
    <phoneticPr fontId="3" type="noConversion"/>
  </si>
  <si>
    <t>기계 가져오기</t>
    <phoneticPr fontId="3" type="noConversion"/>
  </si>
  <si>
    <t>어드밴스</t>
    <phoneticPr fontId="3" type="noConversion"/>
  </si>
  <si>
    <t>12*3000(투명b품)</t>
    <phoneticPr fontId="3" type="noConversion"/>
  </si>
  <si>
    <t>6롤</t>
    <phoneticPr fontId="3" type="noConversion"/>
  </si>
  <si>
    <t>2개씩 묶음</t>
    <phoneticPr fontId="3" type="noConversion"/>
  </si>
  <si>
    <t>300원 인상</t>
    <phoneticPr fontId="3" type="noConversion"/>
  </si>
  <si>
    <t>경인팩</t>
    <phoneticPr fontId="3" type="noConversion"/>
  </si>
  <si>
    <t>pe28*6백</t>
    <phoneticPr fontId="3" type="noConversion"/>
  </si>
  <si>
    <t>대신택배</t>
    <phoneticPr fontId="3" type="noConversion"/>
  </si>
  <si>
    <t>대신택배</t>
    <phoneticPr fontId="3" type="noConversion"/>
  </si>
  <si>
    <t>16박스</t>
    <phoneticPr fontId="3" type="noConversion"/>
  </si>
  <si>
    <t>충북 음성군 대소면 대금로 653-20 스카이세븐 043-883-7077 /010-7297-7622</t>
    <phoneticPr fontId="3" type="noConversion"/>
  </si>
  <si>
    <t>에이스팩</t>
    <phoneticPr fontId="3" type="noConversion"/>
  </si>
  <si>
    <t>25박스</t>
    <phoneticPr fontId="3" type="noConversion"/>
  </si>
  <si>
    <t>스피드랩직납</t>
    <phoneticPr fontId="3" type="noConversion"/>
  </si>
  <si>
    <t>랩25*500*300</t>
    <phoneticPr fontId="3" type="noConversion"/>
  </si>
  <si>
    <t>12*12.5황</t>
    <phoneticPr fontId="3" type="noConversion"/>
  </si>
  <si>
    <t>220롤</t>
    <phoneticPr fontId="3" type="noConversion"/>
  </si>
  <si>
    <t>15*13황</t>
    <phoneticPr fontId="3" type="noConversion"/>
  </si>
  <si>
    <t>20롤</t>
    <phoneticPr fontId="3" type="noConversion"/>
  </si>
  <si>
    <t>12*12.5투명</t>
    <phoneticPr fontId="3" type="noConversion"/>
  </si>
  <si>
    <t>20롤</t>
    <phoneticPr fontId="3" type="noConversion"/>
  </si>
  <si>
    <t>10롤</t>
    <phoneticPr fontId="3" type="noConversion"/>
  </si>
  <si>
    <t>40박스</t>
    <phoneticPr fontId="3" type="noConversion"/>
  </si>
  <si>
    <t xml:space="preserve">경기도 안산시 상록구 </t>
    <phoneticPr fontId="3" type="noConversion"/>
  </si>
  <si>
    <t>장하동 63-1</t>
  </si>
  <si>
    <t>010-9053-1278 </t>
  </si>
  <si>
    <t>6mm*10kg 백색</t>
    <phoneticPr fontId="3" type="noConversion"/>
  </si>
  <si>
    <t>10롤</t>
    <phoneticPr fontId="3" type="noConversion"/>
  </si>
  <si>
    <t>삼성</t>
    <phoneticPr fontId="3" type="noConversion"/>
  </si>
  <si>
    <t>18*21 친환경</t>
    <phoneticPr fontId="3" type="noConversion"/>
  </si>
  <si>
    <t>384롤</t>
    <phoneticPr fontId="3" type="noConversion"/>
  </si>
  <si>
    <t>18*21황</t>
    <phoneticPr fontId="3" type="noConversion"/>
  </si>
  <si>
    <t>100롤</t>
    <phoneticPr fontId="3" type="noConversion"/>
  </si>
  <si>
    <t>18*21 친환경 (300M)</t>
    <phoneticPr fontId="3" type="noConversion"/>
  </si>
  <si>
    <t>8롤</t>
    <phoneticPr fontId="3" type="noConversion"/>
  </si>
  <si>
    <t>내수</t>
    <phoneticPr fontId="3" type="noConversion"/>
  </si>
  <si>
    <t>삼성</t>
    <phoneticPr fontId="3" type="noConversion"/>
  </si>
  <si>
    <t>18*21투명</t>
    <phoneticPr fontId="3" type="noConversion"/>
  </si>
  <si>
    <t>18*21친환경</t>
    <phoneticPr fontId="3" type="noConversion"/>
  </si>
  <si>
    <t>파코팩</t>
    <phoneticPr fontId="3" type="noConversion"/>
  </si>
  <si>
    <t>PE28*2백</t>
    <phoneticPr fontId="3" type="noConversion"/>
  </si>
  <si>
    <t>32박스</t>
    <phoneticPr fontId="3" type="noConversion"/>
  </si>
  <si>
    <t>수입품</t>
    <phoneticPr fontId="3" type="noConversion"/>
  </si>
  <si>
    <t>방문출고</t>
    <phoneticPr fontId="3" type="noConversion"/>
  </si>
  <si>
    <t>신광포장</t>
    <phoneticPr fontId="3" type="noConversion"/>
  </si>
  <si>
    <t>15*10황(0.8T)</t>
    <phoneticPr fontId="3" type="noConversion"/>
  </si>
  <si>
    <t>10롤</t>
    <phoneticPr fontId="3" type="noConversion"/>
  </si>
  <si>
    <t>인천 남동구 고잔동 730-3 피앤알 032-815-1587</t>
    <phoneticPr fontId="3" type="noConversion"/>
  </si>
  <si>
    <t>용차</t>
    <phoneticPr fontId="3" type="noConversion"/>
  </si>
  <si>
    <t xml:space="preserve">피앤알 </t>
    <phoneticPr fontId="3" type="noConversion"/>
  </si>
  <si>
    <t>032-815-1587</t>
  </si>
  <si>
    <t>15mm*10kg 황색</t>
    <phoneticPr fontId="3" type="noConversion"/>
  </si>
  <si>
    <t xml:space="preserve">인천 남동구 고잔동 730-3 </t>
    <phoneticPr fontId="3" type="noConversion"/>
  </si>
  <si>
    <t>경인두채</t>
    <phoneticPr fontId="3" type="noConversion"/>
  </si>
  <si>
    <t>12*10황(0.8T)</t>
    <phoneticPr fontId="3" type="noConversion"/>
  </si>
  <si>
    <t>56롤</t>
    <phoneticPr fontId="3" type="noConversion"/>
  </si>
  <si>
    <t>경인팩</t>
    <phoneticPr fontId="3" type="noConversion"/>
  </si>
  <si>
    <t>20박스</t>
    <phoneticPr fontId="3" type="noConversion"/>
  </si>
  <si>
    <t>대신택배</t>
    <phoneticPr fontId="3" type="noConversion"/>
  </si>
  <si>
    <t>파워엠팩</t>
    <phoneticPr fontId="3" type="noConversion"/>
  </si>
  <si>
    <t>10.5*10청</t>
    <phoneticPr fontId="3" type="noConversion"/>
  </si>
  <si>
    <t>50롤</t>
    <phoneticPr fontId="3" type="noConversion"/>
  </si>
  <si>
    <t>방문출고</t>
    <phoneticPr fontId="3" type="noConversion"/>
  </si>
  <si>
    <t>신광포장</t>
    <phoneticPr fontId="3" type="noConversion"/>
  </si>
  <si>
    <t>15*10황(0.65T)</t>
    <phoneticPr fontId="3" type="noConversion"/>
  </si>
  <si>
    <t>20롤</t>
    <phoneticPr fontId="3" type="noConversion"/>
  </si>
  <si>
    <t>15*10황(0.65T)</t>
    <phoneticPr fontId="3" type="noConversion"/>
  </si>
  <si>
    <t>25박스</t>
    <phoneticPr fontId="3" type="noConversion"/>
  </si>
  <si>
    <t>kic박스</t>
    <phoneticPr fontId="3" type="noConversion"/>
  </si>
  <si>
    <t>PE28*6백</t>
    <phoneticPr fontId="3" type="noConversion"/>
  </si>
  <si>
    <t>5박스</t>
    <phoneticPr fontId="3" type="noConversion"/>
  </si>
  <si>
    <t>김규현</t>
    <phoneticPr fontId="3" type="noConversion"/>
  </si>
  <si>
    <t>진송팩</t>
    <phoneticPr fontId="3" type="noConversion"/>
  </si>
  <si>
    <t>PE28*2청</t>
    <phoneticPr fontId="3" type="noConversion"/>
  </si>
  <si>
    <t>20박스</t>
    <phoneticPr fontId="3" type="noConversion"/>
  </si>
  <si>
    <t>토빅스</t>
    <phoneticPr fontId="3" type="noConversion"/>
  </si>
  <si>
    <t>결속기용 PE끈</t>
    <phoneticPr fontId="3" type="noConversion"/>
  </si>
  <si>
    <t>28mm*20kg 청색</t>
    <phoneticPr fontId="3" type="noConversion"/>
  </si>
  <si>
    <t>발송 : 진송팩</t>
    <phoneticPr fontId="8" type="noConversion"/>
  </si>
  <si>
    <t>용차</t>
    <phoneticPr fontId="3" type="noConversion"/>
  </si>
  <si>
    <t>PE28*2백</t>
    <phoneticPr fontId="3" type="noConversion"/>
  </si>
  <si>
    <t>72박스</t>
    <phoneticPr fontId="3" type="noConversion"/>
  </si>
  <si>
    <t>PE28*6백</t>
    <phoneticPr fontId="3" type="noConversion"/>
  </si>
  <si>
    <t>46박스</t>
    <phoneticPr fontId="3" type="noConversion"/>
  </si>
  <si>
    <t>6*10백</t>
    <phoneticPr fontId="3" type="noConversion"/>
  </si>
  <si>
    <t>224롤</t>
    <phoneticPr fontId="3" type="noConversion"/>
  </si>
  <si>
    <t>PE28*2적</t>
    <phoneticPr fontId="3" type="noConversion"/>
  </si>
  <si>
    <t>PE28*2황</t>
    <phoneticPr fontId="3" type="noConversion"/>
  </si>
  <si>
    <t>10박스</t>
    <phoneticPr fontId="3" type="noConversion"/>
  </si>
  <si>
    <t>10박스</t>
    <phoneticPr fontId="3" type="noConversion"/>
  </si>
  <si>
    <t>경인팩</t>
    <phoneticPr fontId="3" type="noConversion"/>
  </si>
  <si>
    <t>10박스</t>
    <phoneticPr fontId="3" type="noConversion"/>
  </si>
  <si>
    <t>청아판지팩</t>
  </si>
  <si>
    <t>8박스</t>
  </si>
  <si>
    <t>전주삼신산업</t>
    <phoneticPr fontId="3" type="noConversion"/>
  </si>
  <si>
    <t>PE28*2백</t>
    <phoneticPr fontId="3" type="noConversion"/>
  </si>
  <si>
    <t>20박스</t>
    <phoneticPr fontId="3" type="noConversion"/>
  </si>
  <si>
    <t>9*10황</t>
    <phoneticPr fontId="3" type="noConversion"/>
  </si>
  <si>
    <t>10롤</t>
    <phoneticPr fontId="3" type="noConversion"/>
  </si>
  <si>
    <t>7*10백(0.55T)</t>
    <phoneticPr fontId="3" type="noConversion"/>
  </si>
  <si>
    <t>대신택배</t>
    <phoneticPr fontId="3" type="noConversion"/>
  </si>
  <si>
    <t>수입품</t>
    <phoneticPr fontId="3" type="noConversion"/>
  </si>
  <si>
    <t>수</t>
    <phoneticPr fontId="3" type="noConversion"/>
  </si>
  <si>
    <t>61롤</t>
    <phoneticPr fontId="3" type="noConversion"/>
  </si>
  <si>
    <t>93롤</t>
    <phoneticPr fontId="3" type="noConversion"/>
  </si>
  <si>
    <t xml:space="preserve">하이얀컴퍼니 </t>
    <phoneticPr fontId="8" type="noConversion"/>
  </si>
  <si>
    <t>PE(6kg*4roll)-10박스</t>
  </si>
  <si>
    <t>낙원포장</t>
    <phoneticPr fontId="3" type="noConversion"/>
  </si>
  <si>
    <t>6*10황</t>
    <phoneticPr fontId="3" type="noConversion"/>
  </si>
  <si>
    <t>128롤</t>
    <phoneticPr fontId="3" type="noConversion"/>
  </si>
  <si>
    <t>삼원산업</t>
    <phoneticPr fontId="3" type="noConversion"/>
  </si>
  <si>
    <t>200롤</t>
    <phoneticPr fontId="3" type="noConversion"/>
  </si>
  <si>
    <t>50롤</t>
    <phoneticPr fontId="3" type="noConversion"/>
  </si>
  <si>
    <t>PE28*2백</t>
    <phoneticPr fontId="3" type="noConversion"/>
  </si>
  <si>
    <t>10박스</t>
    <phoneticPr fontId="3" type="noConversion"/>
  </si>
  <si>
    <t>12*12황(075T)</t>
    <phoneticPr fontId="3" type="noConversion"/>
  </si>
  <si>
    <t>광림포장기계</t>
    <phoneticPr fontId="3" type="noConversion"/>
  </si>
  <si>
    <t>12*12.5황</t>
    <phoneticPr fontId="3" type="noConversion"/>
  </si>
  <si>
    <t>40롤</t>
    <phoneticPr fontId="3" type="noConversion"/>
  </si>
  <si>
    <t>12*10황</t>
    <phoneticPr fontId="3" type="noConversion"/>
  </si>
  <si>
    <t>64롤</t>
    <phoneticPr fontId="3" type="noConversion"/>
  </si>
  <si>
    <t>15*13황</t>
    <phoneticPr fontId="3" type="noConversion"/>
  </si>
  <si>
    <t>40롤</t>
    <phoneticPr fontId="3" type="noConversion"/>
  </si>
  <si>
    <t>9*10황(0.75T)</t>
    <phoneticPr fontId="3" type="noConversion"/>
  </si>
  <si>
    <t>15*10황</t>
    <phoneticPr fontId="3" type="noConversion"/>
  </si>
  <si>
    <t>64롤</t>
    <phoneticPr fontId="3" type="noConversion"/>
  </si>
  <si>
    <t>12*10대흥</t>
    <phoneticPr fontId="3" type="noConversion"/>
  </si>
  <si>
    <t>용차</t>
    <phoneticPr fontId="3" type="noConversion"/>
  </si>
  <si>
    <t>한남포장</t>
    <phoneticPr fontId="3" type="noConversion"/>
  </si>
  <si>
    <t>30박스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</si>
  <si>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</si>
  <si>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</si>
  <si>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</si>
  <si>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홍영</t>
    <phoneticPr fontId="3" type="noConversion"/>
  </si>
  <si>
    <t>20박스</t>
    <phoneticPr fontId="3" type="noConversion"/>
  </si>
  <si>
    <t>신광포장</t>
    <phoneticPr fontId="3" type="noConversion"/>
  </si>
  <si>
    <t>15*10황(0.65T)</t>
    <phoneticPr fontId="3" type="noConversion"/>
  </si>
  <si>
    <t>50롤</t>
    <phoneticPr fontId="3" type="noConversion"/>
  </si>
  <si>
    <t>12*10황(0.65T)</t>
    <phoneticPr fontId="3" type="noConversion"/>
  </si>
  <si>
    <t>50롤</t>
    <phoneticPr fontId="3" type="noConversion"/>
  </si>
  <si>
    <t>15*12황(0.65T)</t>
    <phoneticPr fontId="3" type="noConversion"/>
  </si>
  <si>
    <t>50롤</t>
    <phoneticPr fontId="3" type="noConversion"/>
  </si>
  <si>
    <t>영화수출포장</t>
    <phoneticPr fontId="3" type="noConversion"/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</si>
  <si>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</si>
  <si>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</si>
  <si>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</si>
  <si>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100롤</t>
    <phoneticPr fontId="3" type="noConversion"/>
  </si>
  <si>
    <t>PP클립</t>
    <phoneticPr fontId="3" type="noConversion"/>
  </si>
  <si>
    <t>1박스</t>
    <phoneticPr fontId="3" type="noConversion"/>
  </si>
  <si>
    <t>596롤</t>
    <phoneticPr fontId="3" type="noConversion"/>
  </si>
  <si>
    <t>경인팩</t>
  </si>
  <si>
    <t>64박스</t>
  </si>
  <si>
    <t>광주천일포장</t>
  </si>
  <si>
    <t>호성수출포장</t>
    <phoneticPr fontId="3" type="noConversion"/>
  </si>
  <si>
    <t>PE28*2백</t>
    <phoneticPr fontId="3" type="noConversion"/>
  </si>
  <si>
    <t>20박스</t>
    <phoneticPr fontId="3" type="noConversion"/>
  </si>
  <si>
    <t>랩 20*500*350</t>
    <phoneticPr fontId="3" type="noConversion"/>
  </si>
  <si>
    <t>10박스</t>
    <phoneticPr fontId="3" type="noConversion"/>
  </si>
  <si>
    <t>인상</t>
    <phoneticPr fontId="3" type="noConversion"/>
  </si>
  <si>
    <t>인상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</si>
  <si>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</si>
  <si>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</si>
  <si>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</si>
  <si>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경기도 고양시 덕양구 통일로 140 삼송테크노밸리 B동 1층 125호 김완기 010-2412-6772</t>
    <phoneticPr fontId="3" type="noConversion"/>
  </si>
  <si>
    <t>대성씨앤씨</t>
    <phoneticPr fontId="3" type="noConversion"/>
  </si>
  <si>
    <t>50롤</t>
    <phoneticPr fontId="3" type="noConversion"/>
  </si>
  <si>
    <t>kpp빨강</t>
    <phoneticPr fontId="3" type="noConversion"/>
  </si>
  <si>
    <t>수입품</t>
    <phoneticPr fontId="3" type="noConversion"/>
  </si>
  <si>
    <t>14*10보라</t>
    <phoneticPr fontId="3" type="noConversion"/>
  </si>
  <si>
    <t>80롤</t>
    <phoneticPr fontId="3" type="noConversion"/>
  </si>
  <si>
    <t>14*10빨강</t>
    <phoneticPr fontId="3" type="noConversion"/>
  </si>
  <si>
    <t>60롤</t>
    <phoneticPr fontId="3" type="noConversion"/>
  </si>
  <si>
    <t>지방합화차</t>
    <phoneticPr fontId="3" type="noConversion"/>
  </si>
  <si>
    <t>청정원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</si>
  <si>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</si>
  <si>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</si>
  <si>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</si>
  <si>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</si>
  <si>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남양주시 오남읍 오남리 622-1(믿음제일교회 옆) 전원팜   031-575-0887</t>
    <phoneticPr fontId="3" type="noConversion"/>
  </si>
  <si>
    <t>56롤</t>
    <phoneticPr fontId="3" type="noConversion"/>
  </si>
  <si>
    <t>(믿음제일교회 옆)</t>
  </si>
  <si>
    <t xml:space="preserve">전원팜   </t>
    <phoneticPr fontId="3" type="noConversion"/>
  </si>
  <si>
    <t>031-575-0887</t>
  </si>
  <si>
    <t>남양주시 오남읍 오남리 622-1</t>
    <phoneticPr fontId="3" type="noConversion"/>
  </si>
  <si>
    <t>6*10백</t>
    <phoneticPr fontId="3" type="noConversion"/>
  </si>
  <si>
    <t>168롤</t>
    <phoneticPr fontId="3" type="noConversion"/>
  </si>
  <si>
    <t>서윤상사</t>
    <phoneticPr fontId="3" type="noConversion"/>
  </si>
  <si>
    <t>24박스</t>
    <phoneticPr fontId="3" type="noConversion"/>
  </si>
  <si>
    <t>제주도</t>
    <phoneticPr fontId="3" type="noConversion"/>
  </si>
  <si>
    <t>대신택배</t>
    <phoneticPr fontId="3" type="noConversion"/>
  </si>
  <si>
    <t>50박스</t>
    <phoneticPr fontId="3" type="noConversion"/>
  </si>
  <si>
    <t>1공장</t>
    <phoneticPr fontId="3" type="noConversion"/>
  </si>
  <si>
    <t>오전</t>
    <phoneticPr fontId="3" type="noConversion"/>
  </si>
  <si>
    <t>제주특별시 제주시 한경면 배낭골길 80   배진표 010 8653 8595</t>
    <phoneticPr fontId="3" type="noConversion"/>
  </si>
  <si>
    <t>28박스</t>
  </si>
  <si>
    <t>동원팩</t>
    <phoneticPr fontId="3" type="noConversion"/>
  </si>
  <si>
    <t>동원팩</t>
    <phoneticPr fontId="3" type="noConversion"/>
  </si>
  <si>
    <t>3박스</t>
    <phoneticPr fontId="3" type="noConversion"/>
  </si>
  <si>
    <t>로젠택배 착불</t>
    <phoneticPr fontId="3" type="noConversion"/>
  </si>
  <si>
    <t>충북 충주시 매남이길 283 충주오알농장 오세정팀장님 010-5485-2473</t>
    <phoneticPr fontId="3" type="noConversion"/>
  </si>
  <si>
    <t>싸이클롭</t>
    <phoneticPr fontId="3" type="noConversion"/>
  </si>
  <si>
    <t>수작업</t>
    <phoneticPr fontId="3" type="noConversion"/>
  </si>
  <si>
    <t>20.6톤</t>
    <phoneticPr fontId="3" type="noConversion"/>
  </si>
  <si>
    <t>40"(오후1시)</t>
    <phoneticPr fontId="3" type="noConversion"/>
  </si>
  <si>
    <t>20박스</t>
    <phoneticPr fontId="3" type="noConversion"/>
  </si>
  <si>
    <t>PE28*6백</t>
    <phoneticPr fontId="3" type="noConversion"/>
  </si>
  <si>
    <t>PE28*2청</t>
    <phoneticPr fontId="3" type="noConversion"/>
  </si>
  <si>
    <t>1박스</t>
    <phoneticPr fontId="3" type="noConversion"/>
  </si>
  <si>
    <t>PE28*2황</t>
    <phoneticPr fontId="3" type="noConversion"/>
  </si>
  <si>
    <t>1박스</t>
    <phoneticPr fontId="3" type="noConversion"/>
  </si>
  <si>
    <t>6*10백</t>
    <phoneticPr fontId="3" type="noConversion"/>
  </si>
  <si>
    <t>50롤</t>
    <phoneticPr fontId="3" type="noConversion"/>
  </si>
  <si>
    <t>10시 출발</t>
    <phoneticPr fontId="3" type="noConversion"/>
  </si>
  <si>
    <t>삼성</t>
    <phoneticPr fontId="3" type="noConversion"/>
  </si>
  <si>
    <t>18*15투명</t>
    <phoneticPr fontId="3" type="noConversion"/>
  </si>
  <si>
    <t>28롤</t>
    <phoneticPr fontId="3" type="noConversion"/>
  </si>
  <si>
    <t>랩20*500*1400</t>
    <phoneticPr fontId="3" type="noConversion"/>
  </si>
  <si>
    <t>서흥포장</t>
    <phoneticPr fontId="3" type="noConversion"/>
  </si>
  <si>
    <t>12*10황(0.8T)</t>
    <phoneticPr fontId="3" type="noConversion"/>
  </si>
  <si>
    <t>20롤</t>
    <phoneticPr fontId="3" type="noConversion"/>
  </si>
  <si>
    <t>64박스</t>
    <phoneticPr fontId="3" type="noConversion"/>
  </si>
  <si>
    <t>14*10청</t>
    <phoneticPr fontId="3" type="noConversion"/>
  </si>
  <si>
    <t>3롤</t>
    <phoneticPr fontId="3" type="noConversion"/>
  </si>
  <si>
    <t>14*10녹</t>
    <phoneticPr fontId="3" type="noConversion"/>
  </si>
  <si>
    <t>3롤</t>
    <phoneticPr fontId="3" type="noConversion"/>
  </si>
  <si>
    <t>대신택배</t>
    <phoneticPr fontId="3" type="noConversion"/>
  </si>
  <si>
    <t>15MM보다 100원 싸게</t>
    <phoneticPr fontId="3" type="noConversion"/>
  </si>
  <si>
    <t>경기도 안성시 모개면 내방리 253  안성예성예술원 010-9495-3032</t>
    <phoneticPr fontId="3" type="noConversion"/>
  </si>
  <si>
    <t>2롤3묶음
청정원규격</t>
    <phoneticPr fontId="3" type="noConversion"/>
  </si>
  <si>
    <t>3750원</t>
    <phoneticPr fontId="3" type="noConversion"/>
  </si>
  <si>
    <t>승일제대</t>
    <phoneticPr fontId="3" type="noConversion"/>
  </si>
  <si>
    <t>2박스</t>
    <phoneticPr fontId="3" type="noConversion"/>
  </si>
  <si>
    <t>로젠택배</t>
    <phoneticPr fontId="3" type="noConversion"/>
  </si>
  <si>
    <t>선불청구</t>
    <phoneticPr fontId="3" type="noConversion"/>
  </si>
  <si>
    <t>15롤</t>
    <phoneticPr fontId="3" type="noConversion"/>
  </si>
  <si>
    <t>12*10황(0.8T)</t>
    <phoneticPr fontId="3" type="noConversion"/>
  </si>
  <si>
    <t>경인팩</t>
    <phoneticPr fontId="3" type="noConversion"/>
  </si>
  <si>
    <t>PE50*6백</t>
    <phoneticPr fontId="3" type="noConversion"/>
  </si>
  <si>
    <t>50박스</t>
    <phoneticPr fontId="3" type="noConversion"/>
  </si>
  <si>
    <t>경성포장</t>
    <phoneticPr fontId="3" type="noConversion"/>
  </si>
  <si>
    <t>인천시 남동구 앵고개로490번길 151(고잔동) 경성포장 032-578-6053</t>
    <phoneticPr fontId="3" type="noConversion"/>
  </si>
  <si>
    <t xml:space="preserve">인천시 남동구 </t>
    <phoneticPr fontId="3" type="noConversion"/>
  </si>
  <si>
    <t xml:space="preserve">앵고개로490번길 151(고잔동) </t>
    <phoneticPr fontId="3" type="noConversion"/>
  </si>
  <si>
    <t>경성포장 032-578-6053</t>
  </si>
  <si>
    <t>50mm*6kg 백색</t>
    <phoneticPr fontId="3" type="noConversion"/>
  </si>
  <si>
    <t>50박스</t>
    <phoneticPr fontId="3" type="noConversion"/>
  </si>
  <si>
    <t>12*10검정(0.75T)</t>
    <phoneticPr fontId="3" type="noConversion"/>
  </si>
  <si>
    <t>200롤</t>
    <phoneticPr fontId="3" type="noConversion"/>
  </si>
  <si>
    <t>남창</t>
    <phoneticPr fontId="3" type="noConversion"/>
  </si>
  <si>
    <t>지방합화차</t>
    <phoneticPr fontId="3" type="noConversion"/>
  </si>
  <si>
    <t>9*11은회색</t>
    <phoneticPr fontId="3" type="noConversion"/>
  </si>
  <si>
    <t>128롤</t>
    <phoneticPr fontId="3" type="noConversion"/>
  </si>
  <si>
    <t>지방합화차</t>
    <phoneticPr fontId="3" type="noConversion"/>
  </si>
  <si>
    <t>파워엠팩</t>
    <phoneticPr fontId="3" type="noConversion"/>
  </si>
  <si>
    <t>다오</t>
    <phoneticPr fontId="3" type="noConversion"/>
  </si>
  <si>
    <t>알엘비</t>
    <phoneticPr fontId="3" type="noConversion"/>
  </si>
  <si>
    <t>팔레트</t>
    <phoneticPr fontId="3" type="noConversion"/>
  </si>
  <si>
    <t>8.6톤</t>
    <phoneticPr fontId="3" type="noConversion"/>
  </si>
  <si>
    <t>20"(오후4시)</t>
    <phoneticPr fontId="3" type="noConversion"/>
  </si>
  <si>
    <t>팔레트</t>
    <phoneticPr fontId="3" type="noConversion"/>
  </si>
  <si>
    <t>8.6톤</t>
    <phoneticPr fontId="3" type="noConversion"/>
  </si>
  <si>
    <t>20"(오후1시)</t>
    <phoneticPr fontId="3" type="noConversion"/>
  </si>
  <si>
    <t>한남포장</t>
    <phoneticPr fontId="3" type="noConversion"/>
  </si>
  <si>
    <t>12*9.5(황)</t>
    <phoneticPr fontId="3" type="noConversion"/>
  </si>
  <si>
    <t>100롤</t>
    <phoneticPr fontId="3" type="noConversion"/>
  </si>
  <si>
    <t>일산/오전</t>
    <phoneticPr fontId="3" type="noConversion"/>
  </si>
  <si>
    <t>전주삼신산업</t>
    <phoneticPr fontId="3" type="noConversion"/>
  </si>
  <si>
    <t>15*10(황 0.65T)</t>
    <phoneticPr fontId="3" type="noConversion"/>
  </si>
  <si>
    <t>56롤</t>
    <phoneticPr fontId="3" type="noConversion"/>
  </si>
  <si>
    <t>대신택배</t>
    <phoneticPr fontId="3" type="noConversion"/>
  </si>
  <si>
    <t>로젠택배</t>
    <phoneticPr fontId="3" type="noConversion"/>
  </si>
  <si>
    <t>12*10황</t>
  </si>
  <si>
    <t>패드갈이</t>
  </si>
  <si>
    <t>민건 이에이</t>
    <phoneticPr fontId="3" type="noConversion"/>
  </si>
  <si>
    <t>12*10백(0.8T)</t>
    <phoneticPr fontId="3" type="noConversion"/>
  </si>
  <si>
    <t>최치원 / 정원피앤씨</t>
    <phoneticPr fontId="3" type="noConversion"/>
  </si>
  <si>
    <t>2박스</t>
    <phoneticPr fontId="3" type="noConversion"/>
  </si>
  <si>
    <t>바오</t>
  </si>
  <si>
    <t>동원팩</t>
    <phoneticPr fontId="3" type="noConversion"/>
  </si>
  <si>
    <t>6*10백</t>
    <phoneticPr fontId="3" type="noConversion"/>
  </si>
  <si>
    <t>30롤</t>
    <phoneticPr fontId="3" type="noConversion"/>
  </si>
  <si>
    <t>PE28*2황</t>
  </si>
  <si>
    <t>1박스</t>
    <phoneticPr fontId="3" type="noConversion"/>
  </si>
  <si>
    <t>1박스</t>
    <phoneticPr fontId="3" type="noConversion"/>
  </si>
  <si>
    <t>대전광역시 대덕구 오정동 58ㅡ20 형제젓갈상회 최용진 010-4409-6725 042-621-6725</t>
    <phoneticPr fontId="3" type="noConversion"/>
  </si>
  <si>
    <t>용차</t>
    <phoneticPr fontId="3" type="noConversion"/>
  </si>
  <si>
    <t>전주삼신산업</t>
    <phoneticPr fontId="3" type="noConversion"/>
  </si>
  <si>
    <t>20박스</t>
    <phoneticPr fontId="3" type="noConversion"/>
  </si>
  <si>
    <t>대신택배</t>
    <phoneticPr fontId="3" type="noConversion"/>
  </si>
  <si>
    <t>경인팩</t>
    <phoneticPr fontId="3" type="noConversion"/>
  </si>
  <si>
    <t>6*10백(0.60t)</t>
    <phoneticPr fontId="3" type="noConversion"/>
  </si>
  <si>
    <t>6*10백(0.65t)</t>
    <phoneticPr fontId="3" type="noConversion"/>
  </si>
  <si>
    <t>금산포장</t>
    <phoneticPr fontId="3" type="noConversion"/>
  </si>
  <si>
    <t>PE28*2백</t>
    <phoneticPr fontId="3" type="noConversion"/>
  </si>
  <si>
    <t>30박스</t>
    <phoneticPr fontId="3" type="noConversion"/>
  </si>
  <si>
    <t>60롤</t>
    <phoneticPr fontId="3" type="noConversion"/>
  </si>
  <si>
    <t>파워엠팩</t>
    <phoneticPr fontId="3" type="noConversion"/>
  </si>
  <si>
    <t>교원성수</t>
    <phoneticPr fontId="3" type="noConversion"/>
  </si>
  <si>
    <t>12*10백(0.8T)</t>
    <phoneticPr fontId="3" type="noConversion"/>
  </si>
  <si>
    <t>6*10백</t>
    <phoneticPr fontId="3" type="noConversion"/>
  </si>
  <si>
    <t>100롤</t>
    <phoneticPr fontId="3" type="noConversion"/>
  </si>
  <si>
    <t>방문출고</t>
    <phoneticPr fontId="3" type="noConversion"/>
  </si>
  <si>
    <t>109롤</t>
    <phoneticPr fontId="3" type="noConversion"/>
  </si>
  <si>
    <t>246롤</t>
    <phoneticPr fontId="3" type="noConversion"/>
  </si>
  <si>
    <t>동원팩</t>
    <phoneticPr fontId="3" type="noConversion"/>
  </si>
  <si>
    <t>6*10백</t>
    <phoneticPr fontId="3" type="noConversion"/>
  </si>
  <si>
    <t>30롤</t>
    <phoneticPr fontId="3" type="noConversion"/>
  </si>
  <si>
    <t>30박스</t>
    <phoneticPr fontId="3" type="noConversion"/>
  </si>
  <si>
    <t>PE28*2황</t>
    <phoneticPr fontId="3" type="noConversion"/>
  </si>
  <si>
    <t>5박스</t>
    <phoneticPr fontId="3" type="noConversion"/>
  </si>
  <si>
    <t>PE28*2백</t>
    <phoneticPr fontId="3" type="noConversion"/>
  </si>
  <si>
    <t>17.4톤</t>
    <phoneticPr fontId="3" type="noConversion"/>
  </si>
  <si>
    <t>40"(오후1시)</t>
    <phoneticPr fontId="3" type="noConversion"/>
  </si>
  <si>
    <t>신광포장</t>
    <phoneticPr fontId="3" type="noConversion"/>
  </si>
  <si>
    <t>15*10황(0.65T)</t>
    <phoneticPr fontId="3" type="noConversion"/>
  </si>
  <si>
    <t>48롤</t>
    <phoneticPr fontId="3" type="noConversion"/>
  </si>
  <si>
    <t>해성식품</t>
    <phoneticPr fontId="3" type="noConversion"/>
  </si>
  <si>
    <t>12*10백(0.65T)</t>
    <phoneticPr fontId="3" type="noConversion"/>
  </si>
  <si>
    <t>10롤</t>
    <phoneticPr fontId="3" type="noConversion"/>
  </si>
  <si>
    <t>대신택배착불</t>
    <phoneticPr fontId="3" type="noConversion"/>
  </si>
  <si>
    <t>15*10황(0.8T)</t>
    <phoneticPr fontId="3" type="noConversion"/>
  </si>
  <si>
    <t>5롤</t>
    <phoneticPr fontId="3" type="noConversion"/>
  </si>
  <si>
    <t>대신택배</t>
    <phoneticPr fontId="3" type="noConversion"/>
  </si>
  <si>
    <t>경기도 의정부시 산단로98번길11 아카데미과학 공영미대리님 031-850-8577</t>
    <phoneticPr fontId="3" type="noConversion"/>
  </si>
  <si>
    <t>울산광역시 울주군 삼남읍 방기리 46번지 오뚜기 삼남물류센터 고영건님 010-7407-1145</t>
    <phoneticPr fontId="3" type="noConversion"/>
  </si>
  <si>
    <t>2롤5묶음</t>
    <phoneticPr fontId="3" type="noConversion"/>
  </si>
  <si>
    <t>2롤2묶음</t>
    <phoneticPr fontId="3" type="noConversion"/>
  </si>
  <si>
    <t>14박스</t>
    <phoneticPr fontId="3" type="noConversion"/>
  </si>
  <si>
    <t>진송팩</t>
    <phoneticPr fontId="3" type="noConversion"/>
  </si>
  <si>
    <t>PE28*2백</t>
    <phoneticPr fontId="3" type="noConversion"/>
  </si>
  <si>
    <t>24박스</t>
    <phoneticPr fontId="3" type="noConversion"/>
  </si>
  <si>
    <t>대신택배착불</t>
  </si>
  <si>
    <t>경상남도 김해시 한림면 퇴래리 630-1 태영포장산업 010-2641-4529</t>
    <phoneticPr fontId="3" type="noConversion"/>
  </si>
  <si>
    <t>주신산업</t>
    <phoneticPr fontId="3" type="noConversion"/>
  </si>
  <si>
    <t>2박스</t>
    <phoneticPr fontId="3" type="noConversion"/>
  </si>
  <si>
    <t>대구광역시 달성군 논공읍 삼리3길 40 (논공읍) 지원영농조합 박성근 010-2995-2722</t>
    <phoneticPr fontId="3" type="noConversion"/>
  </si>
  <si>
    <t>로젠택배</t>
    <phoneticPr fontId="3" type="noConversion"/>
  </si>
  <si>
    <t>대성씨앤씨</t>
    <phoneticPr fontId="3" type="noConversion"/>
  </si>
  <si>
    <t>12*10황(0.8T)</t>
    <phoneticPr fontId="3" type="noConversion"/>
  </si>
  <si>
    <t>50롤</t>
    <phoneticPr fontId="3" type="noConversion"/>
  </si>
  <si>
    <t>kpp빨강</t>
    <phoneticPr fontId="3" type="noConversion"/>
  </si>
  <si>
    <t>2층</t>
    <phoneticPr fontId="3" type="noConversion"/>
  </si>
  <si>
    <t>1롤</t>
    <phoneticPr fontId="3" type="noConversion"/>
  </si>
  <si>
    <t>대신화물착불</t>
  </si>
  <si>
    <t>대신화물착불</t>
    <phoneticPr fontId="3" type="noConversion"/>
  </si>
  <si>
    <t>파코팩</t>
    <phoneticPr fontId="3" type="noConversion"/>
  </si>
  <si>
    <t>샘플</t>
    <phoneticPr fontId="3" type="noConversion"/>
  </si>
  <si>
    <t>12*3000투명(3.3g)</t>
    <phoneticPr fontId="3" type="noConversion"/>
  </si>
  <si>
    <t>PE28*2청</t>
    <phoneticPr fontId="3" type="noConversion"/>
  </si>
  <si>
    <t>PE28*6백</t>
    <phoneticPr fontId="3" type="noConversion"/>
  </si>
  <si>
    <t>6*10백</t>
    <phoneticPr fontId="3" type="noConversion"/>
  </si>
  <si>
    <t>6*10청</t>
    <phoneticPr fontId="3" type="noConversion"/>
  </si>
  <si>
    <t>64박스</t>
    <phoneticPr fontId="3" type="noConversion"/>
  </si>
  <si>
    <t>56박스</t>
    <phoneticPr fontId="3" type="noConversion"/>
  </si>
  <si>
    <t>280롤</t>
    <phoneticPr fontId="3" type="noConversion"/>
  </si>
  <si>
    <t>56롤</t>
    <phoneticPr fontId="3" type="noConversion"/>
  </si>
  <si>
    <t>명세서</t>
    <phoneticPr fontId="3" type="noConversion"/>
  </si>
  <si>
    <t>랩 15*500*400</t>
    <phoneticPr fontId="3" type="noConversion"/>
  </si>
  <si>
    <t>40박스</t>
    <phoneticPr fontId="3" type="noConversion"/>
  </si>
  <si>
    <t>롤당 9,600원</t>
    <phoneticPr fontId="3" type="noConversion"/>
  </si>
  <si>
    <t>18*21황</t>
    <phoneticPr fontId="3" type="noConversion"/>
  </si>
  <si>
    <t>동횡성농협</t>
    <phoneticPr fontId="3" type="noConversion"/>
  </si>
  <si>
    <t>자동밴딩기</t>
    <phoneticPr fontId="3" type="noConversion"/>
  </si>
  <si>
    <t>1대</t>
    <phoneticPr fontId="3" type="noConversion"/>
  </si>
  <si>
    <t>4박스</t>
    <phoneticPr fontId="3" type="noConversion"/>
  </si>
  <si>
    <t>20,000개</t>
    <phoneticPr fontId="3" type="noConversion"/>
  </si>
  <si>
    <t>낙원포장</t>
    <phoneticPr fontId="3" type="noConversion"/>
  </si>
  <si>
    <t>4박스</t>
    <phoneticPr fontId="3" type="noConversion"/>
  </si>
  <si>
    <t>POWER박스</t>
    <phoneticPr fontId="3" type="noConversion"/>
  </si>
  <si>
    <t>로젠택배</t>
    <phoneticPr fontId="3" type="noConversion"/>
  </si>
  <si>
    <t>16롤 국내발주</t>
    <phoneticPr fontId="3" type="noConversion"/>
  </si>
  <si>
    <t>동방포장</t>
    <phoneticPr fontId="3" type="noConversion"/>
  </si>
  <si>
    <t>12*12적</t>
    <phoneticPr fontId="3" type="noConversion"/>
  </si>
  <si>
    <t>150롤</t>
    <phoneticPr fontId="3" type="noConversion"/>
  </si>
  <si>
    <t xml:space="preserve">아주파레트 </t>
    <phoneticPr fontId="3" type="noConversion"/>
  </si>
  <si>
    <t>50장</t>
    <phoneticPr fontId="3" type="noConversion"/>
  </si>
  <si>
    <t>가져오기</t>
    <phoneticPr fontId="3" type="noConversion"/>
  </si>
  <si>
    <t>온라인패키</t>
    <phoneticPr fontId="3" type="noConversion"/>
  </si>
  <si>
    <t>6*10백</t>
    <phoneticPr fontId="3" type="noConversion"/>
  </si>
  <si>
    <t>50롤</t>
    <phoneticPr fontId="3" type="noConversion"/>
  </si>
  <si>
    <t>32박스</t>
    <phoneticPr fontId="3" type="noConversion"/>
  </si>
  <si>
    <t>용차</t>
    <phoneticPr fontId="3" type="noConversion"/>
  </si>
  <si>
    <t>power박스</t>
    <phoneticPr fontId="3" type="noConversion"/>
  </si>
  <si>
    <t>도착지</t>
    <phoneticPr fontId="3" type="noConversion"/>
  </si>
  <si>
    <t>강원도 횡성군 우천면 하대길 25</t>
    <phoneticPr fontId="3" type="noConversion"/>
  </si>
  <si>
    <t>033-345-9007</t>
    <phoneticPr fontId="3" type="noConversion"/>
  </si>
  <si>
    <t>010-7346-3306</t>
    <phoneticPr fontId="3" type="noConversion"/>
  </si>
  <si>
    <t>정재용 과장대리님</t>
    <phoneticPr fontId="3" type="noConversion"/>
  </si>
  <si>
    <t>동횡성농협</t>
    <phoneticPr fontId="3" type="noConversion"/>
  </si>
  <si>
    <t>(우항리 679-2)</t>
    <phoneticPr fontId="3" type="noConversion"/>
  </si>
  <si>
    <t>합동포장기계</t>
    <phoneticPr fontId="3" type="noConversion"/>
  </si>
  <si>
    <t>12*12.5황</t>
    <phoneticPr fontId="3" type="noConversion"/>
  </si>
  <si>
    <t>200롤</t>
    <phoneticPr fontId="3" type="noConversion"/>
  </si>
  <si>
    <t>12*10황</t>
    <phoneticPr fontId="3" type="noConversion"/>
  </si>
  <si>
    <t>15*13황</t>
    <phoneticPr fontId="3" type="noConversion"/>
  </si>
  <si>
    <t>10롤</t>
    <phoneticPr fontId="3" type="noConversion"/>
  </si>
  <si>
    <t>PE28*2백</t>
    <phoneticPr fontId="3" type="noConversion"/>
  </si>
  <si>
    <t>40박스</t>
    <phoneticPr fontId="3" type="noConversion"/>
  </si>
  <si>
    <t>오후</t>
    <phoneticPr fontId="3" type="noConversion"/>
  </si>
  <si>
    <t>삼원산업</t>
    <phoneticPr fontId="3" type="noConversion"/>
  </si>
  <si>
    <t>200롤</t>
    <phoneticPr fontId="3" type="noConversion"/>
  </si>
  <si>
    <t>교환</t>
    <phoneticPr fontId="3" type="noConversion"/>
  </si>
  <si>
    <t>토</t>
    <phoneticPr fontId="8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</si>
  <si>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</si>
  <si>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</si>
  <si>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</si>
  <si>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오전</t>
    <phoneticPr fontId="3" type="noConversion"/>
  </si>
  <si>
    <t>신광포장기계</t>
    <phoneticPr fontId="3" type="noConversion"/>
  </si>
  <si>
    <t>15*10황(0.65T)</t>
    <phoneticPr fontId="3" type="noConversion"/>
  </si>
  <si>
    <t>50롤</t>
    <phoneticPr fontId="3" type="noConversion"/>
  </si>
  <si>
    <t>12*10황(0.65T)</t>
    <phoneticPr fontId="3" type="noConversion"/>
  </si>
  <si>
    <t>50롤</t>
    <phoneticPr fontId="3" type="noConversion"/>
  </si>
  <si>
    <t>15*10청(0.65T)</t>
    <phoneticPr fontId="3" type="noConversion"/>
  </si>
  <si>
    <t>20롤</t>
    <phoneticPr fontId="3" type="noConversion"/>
  </si>
  <si>
    <t>PE28*2백(24kg)</t>
    <phoneticPr fontId="3" type="noConversion"/>
  </si>
  <si>
    <t>PE28*2백</t>
    <phoneticPr fontId="3" type="noConversion"/>
  </si>
  <si>
    <t>25박스</t>
    <phoneticPr fontId="3" type="noConversion"/>
  </si>
  <si>
    <t>kic박스</t>
    <phoneticPr fontId="3" type="noConversion"/>
  </si>
  <si>
    <t>랩 20*500*350</t>
  </si>
  <si>
    <t>20박스</t>
    <phoneticPr fontId="3" type="noConversion"/>
  </si>
  <si>
    <t>15*10황(0.8T)</t>
    <phoneticPr fontId="3" type="noConversion"/>
  </si>
  <si>
    <t>20롤</t>
    <phoneticPr fontId="3" type="noConversion"/>
  </si>
  <si>
    <t>월</t>
    <phoneticPr fontId="3" type="noConversion"/>
  </si>
  <si>
    <t>그린포장</t>
    <phoneticPr fontId="3" type="noConversion"/>
  </si>
  <si>
    <t>20박스</t>
    <phoneticPr fontId="3" type="noConversion"/>
  </si>
  <si>
    <t>300원인상</t>
    <phoneticPr fontId="3" type="noConversion"/>
  </si>
  <si>
    <t>우선산업</t>
    <phoneticPr fontId="3" type="noConversion"/>
  </si>
  <si>
    <t>PE50*5백</t>
    <phoneticPr fontId="3" type="noConversion"/>
  </si>
  <si>
    <t>50박스</t>
    <phoneticPr fontId="3" type="noConversion"/>
  </si>
  <si>
    <t>200원인상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</si>
  <si>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</si>
  <si>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</si>
  <si>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</si>
  <si>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대구광역시 달서구 월곡로99길 32 (월성동) 민수현 010-9211-4441 / 053-630-2300</t>
    <phoneticPr fontId="3" type="noConversion"/>
  </si>
  <si>
    <t>경기도 남양주시 와부읍 석실로 493 (와부읍) 육일(계란창고) 김우택 010-5477-2016</t>
    <phoneticPr fontId="3" type="noConversion"/>
  </si>
  <si>
    <t>동원팩</t>
    <phoneticPr fontId="3" type="noConversion"/>
  </si>
  <si>
    <t>6*10백</t>
    <phoneticPr fontId="3" type="noConversion"/>
  </si>
  <si>
    <t>10롤</t>
    <phoneticPr fontId="3" type="noConversion"/>
  </si>
  <si>
    <t>15박스</t>
    <phoneticPr fontId="3" type="noConversion"/>
  </si>
  <si>
    <t>방문출고</t>
    <phoneticPr fontId="3" type="noConversion"/>
  </si>
  <si>
    <t>12*10황(0.8T)</t>
    <phoneticPr fontId="3" type="noConversion"/>
  </si>
  <si>
    <t>PE28*2백(24kg)</t>
    <phoneticPr fontId="3" type="noConversion"/>
  </si>
  <si>
    <t>1박스</t>
    <phoneticPr fontId="3" type="noConversion"/>
  </si>
  <si>
    <t>1박스</t>
    <phoneticPr fontId="3" type="noConversion"/>
  </si>
  <si>
    <t>로젠택배 착불</t>
    <phoneticPr fontId="3" type="noConversion"/>
  </si>
  <si>
    <t>세종시 장군면 산학리길 16-14 제일에그팜 010-2401-9809</t>
    <phoneticPr fontId="3" type="noConversion"/>
  </si>
  <si>
    <t>용인시 처인구 모현읍 월촌로 90 민호기 010-4310-3851</t>
    <phoneticPr fontId="3" type="noConversion"/>
  </si>
  <si>
    <t>전주삼신산업</t>
    <phoneticPr fontId="3" type="noConversion"/>
  </si>
  <si>
    <t>135롤</t>
    <phoneticPr fontId="3" type="noConversion"/>
  </si>
  <si>
    <t>50롤</t>
    <phoneticPr fontId="3" type="noConversion"/>
  </si>
  <si>
    <t>파워엠팩</t>
    <phoneticPr fontId="3" type="noConversion"/>
  </si>
  <si>
    <t>10.5*10청</t>
    <phoneticPr fontId="3" type="noConversion"/>
  </si>
  <si>
    <t>7*10백(0.55t)</t>
    <phoneticPr fontId="3" type="noConversion"/>
  </si>
  <si>
    <t>10롤</t>
    <phoneticPr fontId="3" type="noConversion"/>
  </si>
  <si>
    <t>대신택배</t>
    <phoneticPr fontId="3" type="noConversion"/>
  </si>
  <si>
    <t>15*10황</t>
  </si>
  <si>
    <t>솔표식품인쇄밴드</t>
  </si>
  <si>
    <t>호성수출포장</t>
  </si>
  <si>
    <t>에이스팩</t>
    <phoneticPr fontId="3" type="noConversion"/>
  </si>
  <si>
    <t>랩 25*500*1400</t>
    <phoneticPr fontId="3" type="noConversion"/>
  </si>
  <si>
    <t>20박스</t>
    <phoneticPr fontId="3" type="noConversion"/>
  </si>
  <si>
    <t>코미팜</t>
    <phoneticPr fontId="3" type="noConversion"/>
  </si>
  <si>
    <t>박스당49500원</t>
    <phoneticPr fontId="3" type="noConversion"/>
  </si>
  <si>
    <t>산업포장유통</t>
    <phoneticPr fontId="3" type="noConversion"/>
  </si>
  <si>
    <t>5박스</t>
    <phoneticPr fontId="3" type="noConversion"/>
  </si>
  <si>
    <t>무지박스</t>
    <phoneticPr fontId="3" type="noConversion"/>
  </si>
  <si>
    <t>3,100원</t>
    <phoneticPr fontId="3" type="noConversion"/>
  </si>
  <si>
    <t>경인팩</t>
    <phoneticPr fontId="3" type="noConversion"/>
  </si>
  <si>
    <t>6*10백</t>
    <phoneticPr fontId="3" type="noConversion"/>
  </si>
  <si>
    <t>112롤</t>
    <phoneticPr fontId="3" type="noConversion"/>
  </si>
  <si>
    <t>지방합화차</t>
    <phoneticPr fontId="3" type="noConversion"/>
  </si>
  <si>
    <t>대성씨앤씨</t>
    <phoneticPr fontId="3" type="noConversion"/>
  </si>
  <si>
    <t>12*10황(0.85T)</t>
    <phoneticPr fontId="3" type="noConversion"/>
  </si>
  <si>
    <t>50롤</t>
    <phoneticPr fontId="3" type="noConversion"/>
  </si>
  <si>
    <t>kpp빨강</t>
    <phoneticPr fontId="3" type="noConversion"/>
  </si>
  <si>
    <t>경상남도 함안군 가야읍 함안대로 751 민희에그드림 055-585-1088 / 010-8539-2446</t>
    <phoneticPr fontId="3" type="noConversion"/>
  </si>
  <si>
    <t>112롤</t>
    <phoneticPr fontId="3" type="noConversion"/>
  </si>
  <si>
    <t xml:space="preserve">경상남도 함안군 </t>
    <phoneticPr fontId="3" type="noConversion"/>
  </si>
  <si>
    <t>가야읍 함안대로 751</t>
  </si>
  <si>
    <t>055-585-1088</t>
  </si>
  <si>
    <t>010-8539-2446</t>
  </si>
  <si>
    <t>민희에그드림</t>
  </si>
  <si>
    <t>50박스</t>
    <phoneticPr fontId="3" type="noConversion"/>
  </si>
  <si>
    <t>오후 1층</t>
    <phoneticPr fontId="3" type="noConversion"/>
  </si>
  <si>
    <t>랩20*500*1400</t>
    <phoneticPr fontId="3" type="noConversion"/>
  </si>
  <si>
    <t>505롤</t>
    <phoneticPr fontId="3" type="noConversion"/>
  </si>
  <si>
    <t>6*10백</t>
    <phoneticPr fontId="3" type="noConversion"/>
  </si>
  <si>
    <t>100롤</t>
    <phoneticPr fontId="3" type="noConversion"/>
  </si>
  <si>
    <t>방문출고</t>
    <phoneticPr fontId="3" type="noConversion"/>
  </si>
  <si>
    <t>강원농협</t>
    <phoneticPr fontId="3" type="noConversion"/>
  </si>
  <si>
    <t>12*12.5황</t>
    <phoneticPr fontId="3" type="noConversion"/>
  </si>
  <si>
    <t>81롤</t>
    <phoneticPr fontId="3" type="noConversion"/>
  </si>
  <si>
    <t>6*10백(0.6~0.65T)</t>
    <phoneticPr fontId="3" type="noConversion"/>
  </si>
  <si>
    <t>12*12.5황</t>
    <phoneticPr fontId="3" type="noConversion"/>
  </si>
  <si>
    <t>40롤</t>
    <phoneticPr fontId="3" type="noConversion"/>
  </si>
  <si>
    <t>15*10황</t>
    <phoneticPr fontId="3" type="noConversion"/>
  </si>
  <si>
    <t>64롤</t>
    <phoneticPr fontId="3" type="noConversion"/>
  </si>
  <si>
    <t>50롤</t>
    <phoneticPr fontId="3" type="noConversion"/>
  </si>
  <si>
    <t>50롤</t>
    <phoneticPr fontId="3" type="noConversion"/>
  </si>
  <si>
    <t>15*10황(0.65T)</t>
    <phoneticPr fontId="3" type="noConversion"/>
  </si>
  <si>
    <t>15*12황(0.65T)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</si>
  <si>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</si>
  <si>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</si>
  <si>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</si>
  <si>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</si>
  <si>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한미팜</t>
    <phoneticPr fontId="3" type="noConversion"/>
  </si>
  <si>
    <t>30박스</t>
    <phoneticPr fontId="3" type="noConversion"/>
  </si>
  <si>
    <t>12*9.5황</t>
    <phoneticPr fontId="3" type="noConversion"/>
  </si>
  <si>
    <t>50롤</t>
    <phoneticPr fontId="3" type="noConversion"/>
  </si>
  <si>
    <t>대신택배</t>
    <phoneticPr fontId="3" type="noConversion"/>
  </si>
  <si>
    <t>경남 양산시 상북면 상북중앙로210 두레축산 010-8208-1120</t>
    <phoneticPr fontId="3" type="noConversion"/>
  </si>
  <si>
    <t>충청남도 홍성군 금마면</t>
    <phoneticPr fontId="3" type="noConversion"/>
  </si>
  <si>
    <t>금북로 39</t>
    <phoneticPr fontId="3" type="noConversion"/>
  </si>
  <si>
    <t>010-5022-4194</t>
    <phoneticPr fontId="3" type="noConversion"/>
  </si>
  <si>
    <t>발송 : 보우팩</t>
    <phoneticPr fontId="8" type="noConversion"/>
  </si>
  <si>
    <t xml:space="preserve">청송  </t>
    <phoneticPr fontId="3" type="noConversion"/>
  </si>
  <si>
    <t>동은경실장님</t>
  </si>
  <si>
    <t>싸이클롭</t>
    <phoneticPr fontId="3" type="noConversion"/>
  </si>
  <si>
    <t>수작업</t>
    <phoneticPr fontId="3" type="noConversion"/>
  </si>
  <si>
    <t>21.9톤</t>
    <phoneticPr fontId="3" type="noConversion"/>
  </si>
  <si>
    <t>40"(오후1시)</t>
    <phoneticPr fontId="3" type="noConversion"/>
  </si>
  <si>
    <t>앤더슨</t>
    <phoneticPr fontId="3" type="noConversion"/>
  </si>
  <si>
    <t>수작업</t>
    <phoneticPr fontId="3" type="noConversion"/>
  </si>
  <si>
    <t>20.6톤</t>
    <phoneticPr fontId="3" type="noConversion"/>
  </si>
  <si>
    <t>5.9톤</t>
    <phoneticPr fontId="3" type="noConversion"/>
  </si>
  <si>
    <t>싸이클롭</t>
    <phoneticPr fontId="3" type="noConversion"/>
  </si>
  <si>
    <t>20.5톤</t>
    <phoneticPr fontId="3" type="noConversion"/>
  </si>
  <si>
    <t>280롤</t>
  </si>
  <si>
    <t>한남포장</t>
    <phoneticPr fontId="3" type="noConversion"/>
  </si>
  <si>
    <t>64롤</t>
  </si>
  <si>
    <t>64롤</t>
    <phoneticPr fontId="3" type="noConversion"/>
  </si>
  <si>
    <t>광림포장기계</t>
    <phoneticPr fontId="3" type="noConversion"/>
  </si>
  <si>
    <t>12*10황</t>
    <phoneticPr fontId="3" type="noConversion"/>
  </si>
  <si>
    <t>9*10황(0.75t)</t>
  </si>
  <si>
    <t>64롤</t>
    <phoneticPr fontId="3" type="noConversion"/>
  </si>
  <si>
    <t>15*10황</t>
    <phoneticPr fontId="3" type="noConversion"/>
  </si>
  <si>
    <t>12*9.5황</t>
  </si>
  <si>
    <t>일산</t>
  </si>
  <si>
    <t>오전</t>
  </si>
  <si>
    <t>신광포장기계</t>
    <phoneticPr fontId="3" type="noConversion"/>
  </si>
  <si>
    <t>김규현</t>
    <phoneticPr fontId="3" type="noConversion"/>
  </si>
  <si>
    <t>광림포장기계</t>
    <phoneticPr fontId="3" type="noConversion"/>
  </si>
  <si>
    <t>15*10백(0.65T)</t>
    <phoneticPr fontId="3" type="noConversion"/>
  </si>
  <si>
    <t>그린포장</t>
    <phoneticPr fontId="3" type="noConversion"/>
  </si>
  <si>
    <t>PE28*2황</t>
    <phoneticPr fontId="3" type="noConversion"/>
  </si>
  <si>
    <t>20박스</t>
    <phoneticPr fontId="3" type="noConversion"/>
  </si>
  <si>
    <t>3250원</t>
    <phoneticPr fontId="3" type="noConversion"/>
  </si>
  <si>
    <t>20"(오전9시)</t>
    <phoneticPr fontId="3" type="noConversion"/>
  </si>
  <si>
    <t>삼보팩</t>
    <phoneticPr fontId="3" type="noConversion"/>
  </si>
  <si>
    <t>12*10황(0.8T)</t>
    <phoneticPr fontId="3" type="noConversion"/>
  </si>
  <si>
    <t>100롤</t>
    <phoneticPr fontId="3" type="noConversion"/>
  </si>
  <si>
    <t>15*10황(0.8T)</t>
    <phoneticPr fontId="3" type="noConversion"/>
  </si>
  <si>
    <t>50롤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</si>
  <si>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</si>
  <si>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</si>
  <si>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</si>
  <si>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경기도 남양주시 진접읍 장현리 554-3 이노비아 전종훈 010-9116-1303</t>
    <phoneticPr fontId="3" type="noConversion"/>
  </si>
  <si>
    <t>경인팩</t>
    <phoneticPr fontId="3" type="noConversion"/>
  </si>
  <si>
    <t>64박스</t>
    <phoneticPr fontId="3" type="noConversion"/>
  </si>
  <si>
    <t>광주천일포장</t>
    <phoneticPr fontId="3" type="noConversion"/>
  </si>
  <si>
    <t>지방합화차</t>
    <phoneticPr fontId="3" type="noConversion"/>
  </si>
  <si>
    <t>30롤</t>
    <phoneticPr fontId="3" type="noConversion"/>
  </si>
  <si>
    <t>20롤</t>
    <phoneticPr fontId="3" type="noConversion"/>
  </si>
  <si>
    <t>12*11은회색</t>
  </si>
  <si>
    <t>13*11은회색</t>
  </si>
  <si>
    <t>다오</t>
  </si>
  <si>
    <t>5*7000백</t>
    <phoneticPr fontId="3" type="noConversion"/>
  </si>
  <si>
    <t>20롤</t>
    <phoneticPr fontId="3" type="noConversion"/>
  </si>
  <si>
    <t>롤당34,000원</t>
    <phoneticPr fontId="3" type="noConversion"/>
  </si>
  <si>
    <t>14*10주황</t>
    <phoneticPr fontId="3" type="noConversion"/>
  </si>
  <si>
    <t>40롤</t>
    <phoneticPr fontId="3" type="noConversion"/>
  </si>
  <si>
    <t>대신택배</t>
    <phoneticPr fontId="3" type="noConversion"/>
  </si>
  <si>
    <t>100롤</t>
    <phoneticPr fontId="3" type="noConversion"/>
  </si>
  <si>
    <t>방문출고</t>
    <phoneticPr fontId="3" type="noConversion"/>
  </si>
  <si>
    <t>14*10황</t>
    <phoneticPr fontId="3" type="noConversion"/>
  </si>
  <si>
    <t>40롤</t>
    <phoneticPr fontId="3" type="noConversion"/>
  </si>
  <si>
    <t>14*10초록</t>
    <phoneticPr fontId="3" type="noConversion"/>
  </si>
  <si>
    <t>40롤</t>
    <phoneticPr fontId="3" type="noConversion"/>
  </si>
  <si>
    <t>14*10주황</t>
    <phoneticPr fontId="3" type="noConversion"/>
  </si>
  <si>
    <t>10롤</t>
    <phoneticPr fontId="3" type="noConversion"/>
  </si>
  <si>
    <t>12*10황(0.75T)</t>
    <phoneticPr fontId="3" type="noConversion"/>
  </si>
  <si>
    <t>대한종합포장</t>
    <phoneticPr fontId="3" type="noConversion"/>
  </si>
  <si>
    <t>청아판지팩</t>
    <phoneticPr fontId="3" type="noConversion"/>
  </si>
  <si>
    <t>8박스</t>
    <phoneticPr fontId="3" type="noConversion"/>
  </si>
  <si>
    <t>로젠택배착불</t>
    <phoneticPr fontId="3" type="noConversion"/>
  </si>
  <si>
    <t>신광포장기계</t>
    <phoneticPr fontId="3" type="noConversion"/>
  </si>
  <si>
    <t>50롤</t>
    <phoneticPr fontId="3" type="noConversion"/>
  </si>
  <si>
    <t>김규현</t>
    <phoneticPr fontId="3" type="noConversion"/>
  </si>
  <si>
    <t>010-8969-6221</t>
  </si>
  <si>
    <t>PP6mm - 112롤 (2팔레트)</t>
    <phoneticPr fontId="8" type="noConversion"/>
  </si>
  <si>
    <t>삼성</t>
    <phoneticPr fontId="3" type="noConversion"/>
  </si>
  <si>
    <t>18*21투명</t>
    <phoneticPr fontId="3" type="noConversion"/>
  </si>
  <si>
    <t>1롤</t>
    <phoneticPr fontId="3" type="noConversion"/>
  </si>
  <si>
    <t>18*21친환경</t>
    <phoneticPr fontId="3" type="noConversion"/>
  </si>
  <si>
    <t>108롤</t>
    <phoneticPr fontId="3" type="noConversion"/>
  </si>
  <si>
    <t>18*21황</t>
    <phoneticPr fontId="3" type="noConversion"/>
  </si>
  <si>
    <t>100롤</t>
    <phoneticPr fontId="3" type="noConversion"/>
  </si>
  <si>
    <t>삼성</t>
    <phoneticPr fontId="3" type="noConversion"/>
  </si>
  <si>
    <t>18*21황</t>
    <phoneticPr fontId="3" type="noConversion"/>
  </si>
  <si>
    <t>100롤</t>
    <phoneticPr fontId="3" type="noConversion"/>
  </si>
  <si>
    <t>삼성</t>
    <phoneticPr fontId="3" type="noConversion"/>
  </si>
  <si>
    <t>18*21친환경</t>
    <phoneticPr fontId="3" type="noConversion"/>
  </si>
  <si>
    <t>32박스</t>
  </si>
  <si>
    <t>신광포장기계</t>
    <phoneticPr fontId="3" type="noConversion"/>
  </si>
  <si>
    <t>15*10(투명 0.8T)</t>
    <phoneticPr fontId="3" type="noConversion"/>
  </si>
  <si>
    <t>15*10황(0.65T)</t>
    <phoneticPr fontId="3" type="noConversion"/>
  </si>
  <si>
    <t>48롤</t>
    <phoneticPr fontId="3" type="noConversion"/>
  </si>
  <si>
    <t>PE28*2백</t>
    <phoneticPr fontId="3" type="noConversion"/>
  </si>
  <si>
    <t>25박스</t>
    <phoneticPr fontId="3" type="noConversion"/>
  </si>
  <si>
    <t>랩핑기</t>
    <phoneticPr fontId="3" type="noConversion"/>
  </si>
  <si>
    <t>3000*1500</t>
    <phoneticPr fontId="3" type="noConversion"/>
  </si>
  <si>
    <t>1대</t>
    <phoneticPr fontId="3" type="noConversion"/>
  </si>
  <si>
    <t>김규현(화성)</t>
    <phoneticPr fontId="3" type="noConversion"/>
  </si>
  <si>
    <t>파워엠팩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</si>
  <si>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</si>
  <si>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</si>
  <si>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</si>
  <si>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동원팩</t>
    <phoneticPr fontId="3" type="noConversion"/>
  </si>
  <si>
    <t>12*10황(0.8T)</t>
    <phoneticPr fontId="3" type="noConversion"/>
  </si>
  <si>
    <t>6롤</t>
    <phoneticPr fontId="3" type="noConversion"/>
  </si>
  <si>
    <t>3묶음</t>
    <phoneticPr fontId="3" type="noConversion"/>
  </si>
  <si>
    <t>보우팩</t>
    <phoneticPr fontId="3" type="noConversion"/>
  </si>
  <si>
    <t>6*10백</t>
    <phoneticPr fontId="3" type="noConversion"/>
  </si>
  <si>
    <t>4롤</t>
    <phoneticPr fontId="3" type="noConversion"/>
  </si>
  <si>
    <t>2묶음</t>
    <phoneticPr fontId="3" type="noConversion"/>
  </si>
  <si>
    <t>동원팩</t>
    <phoneticPr fontId="3" type="noConversion"/>
  </si>
  <si>
    <t>70롤</t>
    <phoneticPr fontId="3" type="noConversion"/>
  </si>
  <si>
    <t>10롤</t>
    <phoneticPr fontId="3" type="noConversion"/>
  </si>
  <si>
    <t>POWER박스</t>
    <phoneticPr fontId="3" type="noConversion"/>
  </si>
  <si>
    <t>오전</t>
    <phoneticPr fontId="3" type="noConversion"/>
  </si>
  <si>
    <t>6*10백</t>
    <phoneticPr fontId="3" type="noConversion"/>
  </si>
  <si>
    <t>50롤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</si>
  <si>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</si>
  <si>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</si>
  <si>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</si>
  <si>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</si>
  <si>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원주시 동부순환로 389-5(봉산동) 서신 주식회사 033-764-6606 / 010-8969-6221</t>
    <phoneticPr fontId="3" type="noConversion"/>
  </si>
  <si>
    <t>아주파레트 반납</t>
    <phoneticPr fontId="3" type="noConversion"/>
  </si>
  <si>
    <t>50롤</t>
    <phoneticPr fontId="3" type="noConversion"/>
  </si>
  <si>
    <t>12*10황(0.65T)</t>
    <phoneticPr fontId="3" type="noConversion"/>
  </si>
  <si>
    <t>세화종합상사</t>
    <phoneticPr fontId="3" type="noConversion"/>
  </si>
  <si>
    <t>2박스</t>
    <phoneticPr fontId="3" type="noConversion"/>
  </si>
  <si>
    <t>382롤</t>
    <phoneticPr fontId="3" type="noConversion"/>
  </si>
  <si>
    <t>512롤</t>
    <phoneticPr fontId="3" type="noConversion"/>
  </si>
  <si>
    <t>전주삼신산업</t>
    <phoneticPr fontId="3" type="noConversion"/>
  </si>
  <si>
    <t>아주파레트</t>
    <phoneticPr fontId="3" type="noConversion"/>
  </si>
  <si>
    <t>10롤</t>
    <phoneticPr fontId="3" type="noConversion"/>
  </si>
  <si>
    <t>9*10황</t>
    <phoneticPr fontId="3" type="noConversion"/>
  </si>
  <si>
    <t>22박스</t>
    <phoneticPr fontId="3" type="noConversion"/>
  </si>
  <si>
    <t>대신택배</t>
    <phoneticPr fontId="3" type="noConversion"/>
  </si>
  <si>
    <t>보우팩</t>
    <phoneticPr fontId="3" type="noConversion"/>
  </si>
  <si>
    <t>6*10백</t>
    <phoneticPr fontId="3" type="noConversion"/>
  </si>
  <si>
    <t>파란밴딩</t>
    <phoneticPr fontId="3" type="noConversion"/>
  </si>
  <si>
    <t>엠피아이</t>
    <phoneticPr fontId="3" type="noConversion"/>
  </si>
  <si>
    <t>1박스</t>
    <phoneticPr fontId="3" type="noConversion"/>
  </si>
  <si>
    <t>로젠택배</t>
    <phoneticPr fontId="3" type="noConversion"/>
  </si>
  <si>
    <t>경상남도 거창군 남상면 일반산업길 160 거창군 장애인근로사업장 055-943-2345</t>
    <phoneticPr fontId="3" type="noConversion"/>
  </si>
  <si>
    <t>오익플라스틱</t>
    <phoneticPr fontId="3" type="noConversion"/>
  </si>
  <si>
    <t>12*12.5황</t>
    <phoneticPr fontId="3" type="noConversion"/>
  </si>
  <si>
    <t>40롤</t>
    <phoneticPr fontId="3" type="noConversion"/>
  </si>
  <si>
    <t>파워팩</t>
    <phoneticPr fontId="3" type="noConversion"/>
  </si>
  <si>
    <t>수작업</t>
    <phoneticPr fontId="3" type="noConversion"/>
  </si>
  <si>
    <t>21.6톤</t>
    <phoneticPr fontId="3" type="noConversion"/>
  </si>
  <si>
    <t>40"(오후1시)</t>
    <phoneticPr fontId="3" type="noConversion"/>
  </si>
  <si>
    <t>한제</t>
    <phoneticPr fontId="3" type="noConversion"/>
  </si>
  <si>
    <t>수작업</t>
    <phoneticPr fontId="3" type="noConversion"/>
  </si>
  <si>
    <t>8.7톤</t>
    <phoneticPr fontId="3" type="noConversion"/>
  </si>
  <si>
    <t>20"(오후2시)</t>
    <phoneticPr fontId="3" type="noConversion"/>
  </si>
  <si>
    <t>9*9.5백</t>
    <phoneticPr fontId="3" type="noConversion"/>
  </si>
  <si>
    <t>신대한판지</t>
    <phoneticPr fontId="3" type="noConversion"/>
  </si>
  <si>
    <t>한국유니콤</t>
    <phoneticPr fontId="3" type="noConversion"/>
  </si>
  <si>
    <t>25박스</t>
    <phoneticPr fontId="3" type="noConversion"/>
  </si>
  <si>
    <t>무지박스</t>
    <phoneticPr fontId="3" type="noConversion"/>
  </si>
  <si>
    <t>300원 인상</t>
    <phoneticPr fontId="3" type="noConversion"/>
  </si>
  <si>
    <t>26롤</t>
    <phoneticPr fontId="3" type="noConversion"/>
  </si>
  <si>
    <t>22롤</t>
    <phoneticPr fontId="3" type="noConversion"/>
  </si>
  <si>
    <t>서흥포장</t>
    <phoneticPr fontId="3" type="noConversion"/>
  </si>
  <si>
    <t>랩 15*500*400</t>
    <phoneticPr fontId="3" type="noConversion"/>
  </si>
  <si>
    <t>10박스</t>
    <phoneticPr fontId="3" type="noConversion"/>
  </si>
  <si>
    <t>9500원</t>
    <phoneticPr fontId="3" type="noConversion"/>
  </si>
  <si>
    <t>6*10백</t>
    <phoneticPr fontId="3" type="noConversion"/>
  </si>
  <si>
    <t>50롤</t>
    <phoneticPr fontId="3" type="noConversion"/>
  </si>
  <si>
    <t>PE28*2황</t>
    <phoneticPr fontId="3" type="noConversion"/>
  </si>
  <si>
    <t>동원팩</t>
    <phoneticPr fontId="3" type="noConversion"/>
  </si>
  <si>
    <t>오전</t>
    <phoneticPr fontId="3" type="noConversion"/>
  </si>
  <si>
    <t>1층</t>
    <phoneticPr fontId="3" type="noConversion"/>
  </si>
  <si>
    <t>알엘비</t>
    <phoneticPr fontId="3" type="noConversion"/>
  </si>
  <si>
    <t>팔레트</t>
    <phoneticPr fontId="3" type="noConversion"/>
  </si>
  <si>
    <t>15.5톤</t>
    <phoneticPr fontId="3" type="noConversion"/>
  </si>
  <si>
    <t>40"</t>
    <phoneticPr fontId="3" type="noConversion"/>
  </si>
  <si>
    <t>264롤</t>
    <phoneticPr fontId="3" type="noConversion"/>
  </si>
  <si>
    <t>광림포장기계</t>
    <phoneticPr fontId="3" type="noConversion"/>
  </si>
  <si>
    <t>12*10황(0.65T)</t>
    <phoneticPr fontId="3" type="noConversion"/>
  </si>
  <si>
    <t>50롤</t>
    <phoneticPr fontId="3" type="noConversion"/>
  </si>
  <si>
    <t>12*10황</t>
    <phoneticPr fontId="3" type="noConversion"/>
  </si>
  <si>
    <t>64롤</t>
    <phoneticPr fontId="3" type="noConversion"/>
  </si>
  <si>
    <t>6*10백(0.6~0.65T)</t>
    <phoneticPr fontId="3" type="noConversion"/>
  </si>
  <si>
    <t>패드갈이</t>
    <phoneticPr fontId="3" type="noConversion"/>
  </si>
  <si>
    <t>신광포장기계</t>
    <phoneticPr fontId="3" type="noConversion"/>
  </si>
  <si>
    <t>15*10청(0.65T)</t>
    <phoneticPr fontId="3" type="noConversion"/>
  </si>
  <si>
    <t>50롤</t>
    <phoneticPr fontId="3" type="noConversion"/>
  </si>
  <si>
    <t>방문출고</t>
    <phoneticPr fontId="3" type="noConversion"/>
  </si>
  <si>
    <t>파워엠팩</t>
    <phoneticPr fontId="3" type="noConversion"/>
  </si>
  <si>
    <t>10.5*10청</t>
    <phoneticPr fontId="3" type="noConversion"/>
  </si>
  <si>
    <t>50롤</t>
    <phoneticPr fontId="3" type="noConversion"/>
  </si>
  <si>
    <t>삼성</t>
    <phoneticPr fontId="3" type="noConversion"/>
  </si>
  <si>
    <t>18*21황</t>
    <phoneticPr fontId="3" type="noConversion"/>
  </si>
  <si>
    <t>삼성</t>
    <phoneticPr fontId="3" type="noConversion"/>
  </si>
  <si>
    <t>18*21투명</t>
    <phoneticPr fontId="3" type="noConversion"/>
  </si>
  <si>
    <t>국내발주</t>
    <phoneticPr fontId="3" type="noConversion"/>
  </si>
  <si>
    <t>동욱전자</t>
    <phoneticPr fontId="3" type="noConversion"/>
  </si>
  <si>
    <t>경인산업</t>
    <phoneticPr fontId="3" type="noConversion"/>
  </si>
  <si>
    <t>12*10황(0.75T)</t>
    <phoneticPr fontId="3" type="noConversion"/>
  </si>
  <si>
    <t>12*10백(0.75T)</t>
    <phoneticPr fontId="3" type="noConversion"/>
  </si>
  <si>
    <t>56롤</t>
    <phoneticPr fontId="3" type="noConversion"/>
  </si>
  <si>
    <t>172롤</t>
    <phoneticPr fontId="3" type="noConversion"/>
  </si>
  <si>
    <t>동원팩</t>
    <phoneticPr fontId="3" type="noConversion"/>
  </si>
  <si>
    <t>오전 / 김규현</t>
    <phoneticPr fontId="3" type="noConversion"/>
  </si>
  <si>
    <t>PE28*2백</t>
    <phoneticPr fontId="3" type="noConversion"/>
  </si>
  <si>
    <t>PE25*6백</t>
    <phoneticPr fontId="3" type="noConversion"/>
  </si>
  <si>
    <t>6*10백</t>
    <phoneticPr fontId="3" type="noConversion"/>
  </si>
  <si>
    <t>20박스</t>
    <phoneticPr fontId="3" type="noConversion"/>
  </si>
  <si>
    <t>25박스</t>
    <phoneticPr fontId="3" type="noConversion"/>
  </si>
  <si>
    <t>경인팩</t>
    <phoneticPr fontId="3" type="noConversion"/>
  </si>
  <si>
    <t>12*12.5황</t>
    <phoneticPr fontId="3" type="noConversion"/>
  </si>
  <si>
    <t>200롤</t>
    <phoneticPr fontId="3" type="noConversion"/>
  </si>
  <si>
    <t>12*12.5투명</t>
    <phoneticPr fontId="3" type="noConversion"/>
  </si>
  <si>
    <t>20롤</t>
    <phoneticPr fontId="3" type="noConversion"/>
  </si>
  <si>
    <t>12*10황(0.75T)</t>
    <phoneticPr fontId="3" type="noConversion"/>
  </si>
  <si>
    <t>30롤</t>
    <phoneticPr fontId="3" type="noConversion"/>
  </si>
  <si>
    <t>96박스</t>
    <phoneticPr fontId="3" type="noConversion"/>
  </si>
  <si>
    <t>28박스</t>
    <phoneticPr fontId="3" type="noConversion"/>
  </si>
  <si>
    <t>6*10백</t>
    <phoneticPr fontId="3" type="noConversion"/>
  </si>
  <si>
    <t>168롤</t>
    <phoneticPr fontId="3" type="noConversion"/>
  </si>
  <si>
    <t>12*10백(0.65T)</t>
    <phoneticPr fontId="3" type="noConversion"/>
  </si>
  <si>
    <t>20롤</t>
    <phoneticPr fontId="3" type="noConversion"/>
  </si>
  <si>
    <t>용차</t>
    <phoneticPr fontId="3" type="noConversion"/>
  </si>
  <si>
    <t>81롤</t>
    <phoneticPr fontId="3" type="noConversion"/>
  </si>
  <si>
    <t>299롤</t>
    <phoneticPr fontId="3" type="noConversion"/>
  </si>
  <si>
    <t>50롤</t>
    <phoneticPr fontId="3" type="noConversion"/>
  </si>
  <si>
    <t>20박스</t>
    <phoneticPr fontId="3" type="noConversion"/>
  </si>
  <si>
    <t>아이원팩</t>
    <phoneticPr fontId="3" type="noConversion"/>
  </si>
  <si>
    <t>4박스</t>
    <phoneticPr fontId="3" type="noConversion"/>
  </si>
  <si>
    <t>로젠택배</t>
    <phoneticPr fontId="3" type="noConversion"/>
  </si>
  <si>
    <t>전주삼신산업</t>
    <phoneticPr fontId="3" type="noConversion"/>
  </si>
  <si>
    <t>PE28*2황</t>
    <phoneticPr fontId="3" type="noConversion"/>
  </si>
  <si>
    <t>10롤</t>
    <phoneticPr fontId="3" type="noConversion"/>
  </si>
  <si>
    <t>5박스</t>
    <phoneticPr fontId="3" type="noConversion"/>
  </si>
  <si>
    <t>10박스</t>
    <phoneticPr fontId="3" type="noConversion"/>
  </si>
  <si>
    <t>아주파레트</t>
    <phoneticPr fontId="3" type="noConversion"/>
  </si>
  <si>
    <t>대신택배</t>
    <phoneticPr fontId="3" type="noConversion"/>
  </si>
  <si>
    <t>7*10백(0.55T)</t>
    <phoneticPr fontId="3" type="noConversion"/>
  </si>
  <si>
    <t>오전용차</t>
  </si>
  <si>
    <t>264롤</t>
    <phoneticPr fontId="3" type="noConversion"/>
  </si>
  <si>
    <t>796롤</t>
    <phoneticPr fontId="3" type="noConversion"/>
  </si>
  <si>
    <t>신광포장</t>
    <phoneticPr fontId="3" type="noConversion"/>
  </si>
  <si>
    <t>12*10황(0.65T)</t>
    <phoneticPr fontId="3" type="noConversion"/>
  </si>
  <si>
    <t>50롤</t>
    <phoneticPr fontId="3" type="noConversion"/>
  </si>
  <si>
    <t>15*10황(0.65T)</t>
    <phoneticPr fontId="3" type="noConversion"/>
  </si>
  <si>
    <t>50롤</t>
    <phoneticPr fontId="3" type="noConversion"/>
  </si>
  <si>
    <t>25박스</t>
    <phoneticPr fontId="3" type="noConversion"/>
  </si>
  <si>
    <t>5박스</t>
    <phoneticPr fontId="3" type="noConversion"/>
  </si>
  <si>
    <t>김규현</t>
    <phoneticPr fontId="3" type="noConversion"/>
  </si>
  <si>
    <t>삼보팩</t>
    <phoneticPr fontId="3" type="noConversion"/>
  </si>
  <si>
    <t>진송팩</t>
    <phoneticPr fontId="3" type="noConversion"/>
  </si>
  <si>
    <t>1박스</t>
    <phoneticPr fontId="3" type="noConversion"/>
  </si>
  <si>
    <t>대신화물착불</t>
    <phoneticPr fontId="3" type="noConversion"/>
  </si>
  <si>
    <t>워시스 / 울산 울주군 웅촌영업소 / 010-6212-6362</t>
    <phoneticPr fontId="3" type="noConversion"/>
  </si>
  <si>
    <t>10박스</t>
    <phoneticPr fontId="3" type="noConversion"/>
  </si>
  <si>
    <t>자동결속기</t>
    <phoneticPr fontId="3" type="noConversion"/>
  </si>
  <si>
    <t>1대</t>
    <phoneticPr fontId="3" type="noConversion"/>
  </si>
  <si>
    <t>오전 용차</t>
    <phoneticPr fontId="3" type="noConversion"/>
  </si>
  <si>
    <t>6*10백</t>
    <phoneticPr fontId="3" type="noConversion"/>
  </si>
  <si>
    <t>지방합화차</t>
    <phoneticPr fontId="3" type="noConversion"/>
  </si>
  <si>
    <t>삼성</t>
    <phoneticPr fontId="3" type="noConversion"/>
  </si>
  <si>
    <t>18*21친환경</t>
    <phoneticPr fontId="3" type="noConversion"/>
  </si>
  <si>
    <t>69롤</t>
    <phoneticPr fontId="3" type="noConversion"/>
  </si>
  <si>
    <t>18*21황</t>
    <phoneticPr fontId="3" type="noConversion"/>
  </si>
  <si>
    <t>200롤</t>
    <phoneticPr fontId="3" type="noConversion"/>
  </si>
  <si>
    <t>18*21친환경</t>
    <phoneticPr fontId="3" type="noConversion"/>
  </si>
  <si>
    <t>100롤</t>
    <phoneticPr fontId="3" type="noConversion"/>
  </si>
  <si>
    <t>삼성</t>
    <phoneticPr fontId="3" type="noConversion"/>
  </si>
  <si>
    <t>18*21친환경</t>
    <phoneticPr fontId="3" type="noConversion"/>
  </si>
  <si>
    <t>215롤</t>
    <phoneticPr fontId="3" type="noConversion"/>
  </si>
  <si>
    <t>삼성</t>
    <phoneticPr fontId="3" type="noConversion"/>
  </si>
  <si>
    <t>18*21친환경</t>
    <phoneticPr fontId="3" type="noConversion"/>
  </si>
  <si>
    <t>543롤</t>
    <phoneticPr fontId="3" type="noConversion"/>
  </si>
  <si>
    <t>삼성</t>
    <phoneticPr fontId="3" type="noConversion"/>
  </si>
  <si>
    <t>12mm*9.5kg 황색</t>
    <phoneticPr fontId="3" type="noConversion"/>
  </si>
  <si>
    <t>동원피앤아이</t>
    <phoneticPr fontId="3" type="noConversion"/>
  </si>
  <si>
    <t>1박스</t>
    <phoneticPr fontId="3" type="noConversion"/>
  </si>
  <si>
    <t>5,000개</t>
    <phoneticPr fontId="3" type="noConversion"/>
  </si>
  <si>
    <t>팔탄 구장지점 / 서진티에이씨 031-352-5586</t>
    <phoneticPr fontId="3" type="noConversion"/>
  </si>
  <si>
    <t>동원팩</t>
    <phoneticPr fontId="3" type="noConversion"/>
  </si>
  <si>
    <t>2박스</t>
    <phoneticPr fontId="3" type="noConversion"/>
  </si>
  <si>
    <t>로젠택배착불</t>
    <phoneticPr fontId="3" type="noConversion"/>
  </si>
  <si>
    <t>로젠택배</t>
    <phoneticPr fontId="3" type="noConversion"/>
  </si>
  <si>
    <t>1박스</t>
    <phoneticPr fontId="3" type="noConversion"/>
  </si>
  <si>
    <t>크로바양계</t>
    <phoneticPr fontId="3" type="noConversion"/>
  </si>
  <si>
    <t>신일계란</t>
    <phoneticPr fontId="3" type="noConversion"/>
  </si>
  <si>
    <t>133롤</t>
    <phoneticPr fontId="3" type="noConversion"/>
  </si>
  <si>
    <t>15*10적</t>
    <phoneticPr fontId="3" type="noConversion"/>
  </si>
  <si>
    <t>15*10적(B품)</t>
    <phoneticPr fontId="3" type="noConversion"/>
  </si>
  <si>
    <t>20롤</t>
    <phoneticPr fontId="3" type="noConversion"/>
  </si>
  <si>
    <t>18*10황</t>
    <phoneticPr fontId="3" type="noConversion"/>
  </si>
  <si>
    <t>50롤</t>
    <phoneticPr fontId="3" type="noConversion"/>
  </si>
  <si>
    <t>15*13황</t>
    <phoneticPr fontId="3" type="noConversion"/>
  </si>
  <si>
    <t>40롤</t>
    <phoneticPr fontId="3" type="noConversion"/>
  </si>
  <si>
    <t>64롤</t>
    <phoneticPr fontId="3" type="noConversion"/>
  </si>
  <si>
    <t>12*10황</t>
    <phoneticPr fontId="3" type="noConversion"/>
  </si>
  <si>
    <t>12*12.5투명</t>
    <phoneticPr fontId="3" type="noConversion"/>
  </si>
  <si>
    <t>30롤</t>
    <phoneticPr fontId="3" type="noConversion"/>
  </si>
  <si>
    <t>광림포장기계</t>
    <phoneticPr fontId="3" type="noConversion"/>
  </si>
  <si>
    <t>9*10황(0.75T)</t>
    <phoneticPr fontId="3" type="noConversion"/>
  </si>
  <si>
    <t>고메리</t>
    <phoneticPr fontId="3" type="noConversion"/>
  </si>
  <si>
    <t>수작업</t>
    <phoneticPr fontId="3" type="noConversion"/>
  </si>
  <si>
    <t>6톤</t>
    <phoneticPr fontId="3" type="noConversion"/>
  </si>
  <si>
    <t>오전</t>
    <phoneticPr fontId="3" type="noConversion"/>
  </si>
  <si>
    <t>256롤</t>
    <phoneticPr fontId="3" type="noConversion"/>
  </si>
  <si>
    <t>강원농협</t>
    <phoneticPr fontId="3" type="noConversion"/>
  </si>
  <si>
    <t>12*12.5황</t>
    <phoneticPr fontId="3" type="noConversion"/>
  </si>
  <si>
    <t>용차</t>
    <phoneticPr fontId="3" type="noConversion"/>
  </si>
  <si>
    <t>삼성</t>
    <phoneticPr fontId="3" type="noConversion"/>
  </si>
  <si>
    <t>강원농협</t>
    <phoneticPr fontId="3" type="noConversion"/>
  </si>
  <si>
    <t>12*12.5황</t>
    <phoneticPr fontId="3" type="noConversion"/>
  </si>
  <si>
    <t>경인팩</t>
    <phoneticPr fontId="3" type="noConversion"/>
  </si>
  <si>
    <t>PE28*2백</t>
    <phoneticPr fontId="3" type="noConversion"/>
  </si>
  <si>
    <t>36박스</t>
    <phoneticPr fontId="3" type="noConversion"/>
  </si>
  <si>
    <t>POWER박스</t>
    <phoneticPr fontId="3" type="noConversion"/>
  </si>
  <si>
    <t>PE28*2백(24KG)</t>
    <phoneticPr fontId="3" type="noConversion"/>
  </si>
  <si>
    <t>70박스</t>
    <phoneticPr fontId="3" type="noConversion"/>
  </si>
  <si>
    <t>64롤</t>
    <phoneticPr fontId="3" type="noConversion"/>
  </si>
  <si>
    <t>6*10백</t>
    <phoneticPr fontId="3" type="noConversion"/>
  </si>
  <si>
    <t>대구한국포장
지방합화차</t>
    <phoneticPr fontId="3" type="noConversion"/>
  </si>
  <si>
    <t>파워엠팩</t>
    <phoneticPr fontId="3" type="noConversion"/>
  </si>
  <si>
    <t>12*10청(0.75T)</t>
    <phoneticPr fontId="3" type="noConversion"/>
  </si>
  <si>
    <t>100롤</t>
    <phoneticPr fontId="3" type="noConversion"/>
  </si>
  <si>
    <t>방문출고</t>
    <phoneticPr fontId="3" type="noConversion"/>
  </si>
  <si>
    <t>12*10투명(0.7T)</t>
    <phoneticPr fontId="3" type="noConversion"/>
  </si>
  <si>
    <t>30박스</t>
    <phoneticPr fontId="3" type="noConversion"/>
  </si>
  <si>
    <t>금산포장</t>
    <phoneticPr fontId="3" type="noConversion"/>
  </si>
  <si>
    <t>50롤</t>
    <phoneticPr fontId="3" type="noConversion"/>
  </si>
  <si>
    <t>PE28*6백</t>
    <phoneticPr fontId="3" type="noConversion"/>
  </si>
  <si>
    <t>10박스</t>
    <phoneticPr fontId="3" type="noConversion"/>
  </si>
  <si>
    <t>용차</t>
    <phoneticPr fontId="3" type="noConversion"/>
  </si>
  <si>
    <t>경기도 파주시 조리읍 능안로 265번길 25-15  하이얀이엔피   010-3684-8812</t>
    <phoneticPr fontId="3" type="noConversion"/>
  </si>
  <si>
    <t>PE24kg(6kg*4roll)-10박스</t>
    <phoneticPr fontId="3" type="noConversion"/>
  </si>
  <si>
    <t>현대스마트용접기</t>
    <phoneticPr fontId="3" type="noConversion"/>
  </si>
  <si>
    <t>15*10황(0.65T)</t>
    <phoneticPr fontId="3" type="noConversion"/>
  </si>
  <si>
    <t>1롤</t>
    <phoneticPr fontId="3" type="noConversion"/>
  </si>
  <si>
    <t>발안지점</t>
    <phoneticPr fontId="3" type="noConversion"/>
  </si>
  <si>
    <t>대신화물착불</t>
    <phoneticPr fontId="3" type="noConversion"/>
  </si>
  <si>
    <t>콘즈</t>
    <phoneticPr fontId="3" type="noConversion"/>
  </si>
  <si>
    <t>수작업</t>
    <phoneticPr fontId="3" type="noConversion"/>
  </si>
  <si>
    <t>7.5톤</t>
    <phoneticPr fontId="3" type="noConversion"/>
  </si>
  <si>
    <t>20"(저녁7시)</t>
    <phoneticPr fontId="3" type="noConversion"/>
  </si>
  <si>
    <t>1400원</t>
    <phoneticPr fontId="3" type="noConversion"/>
  </si>
  <si>
    <t>15*12황(.65T)</t>
    <phoneticPr fontId="3" type="noConversion"/>
  </si>
  <si>
    <t>100롤</t>
    <phoneticPr fontId="3" type="noConversion"/>
  </si>
  <si>
    <t>20박스</t>
    <phoneticPr fontId="3" type="noConversion"/>
  </si>
  <si>
    <t>60롤</t>
    <phoneticPr fontId="3" type="noConversion"/>
  </si>
  <si>
    <t>87롤</t>
    <phoneticPr fontId="3" type="noConversion"/>
  </si>
  <si>
    <t xml:space="preserve">강원도 횡성군 우천면 </t>
    <phoneticPr fontId="3" type="noConversion"/>
  </si>
  <si>
    <t>수남로 266번길 26</t>
  </si>
  <si>
    <t>강원농협연합포장재가공사업소</t>
  </si>
  <si>
    <t>033-344-5121</t>
  </si>
  <si>
    <t>010-9425-4806</t>
  </si>
  <si>
    <t>87롤</t>
  </si>
  <si>
    <t>12mm*12.5kg 황색</t>
    <phoneticPr fontId="3" type="noConversion"/>
  </si>
  <si>
    <t>발송 : 케이아이씨</t>
    <phoneticPr fontId="8" type="noConversion"/>
  </si>
  <si>
    <t>삼성</t>
    <phoneticPr fontId="3" type="noConversion"/>
  </si>
  <si>
    <t>521롤</t>
    <phoneticPr fontId="3" type="noConversion"/>
  </si>
  <si>
    <t>삼성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</si>
  <si>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</si>
  <si>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</si>
  <si>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</si>
  <si>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</si>
  <si>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포천시 영북면 야미리 416-2  에그플러스  031-535-0300  010-4544-0877</t>
    <phoneticPr fontId="3" type="noConversion"/>
  </si>
  <si>
    <t>파워엠팩</t>
    <phoneticPr fontId="3" type="noConversion"/>
  </si>
  <si>
    <t>40롤</t>
    <phoneticPr fontId="3" type="noConversion"/>
  </si>
  <si>
    <t>대신택배</t>
    <phoneticPr fontId="3" type="noConversion"/>
  </si>
  <si>
    <t xml:space="preserve">포천시 영북면 야미리 416-2  </t>
    <phoneticPr fontId="3" type="noConversion"/>
  </si>
  <si>
    <t xml:space="preserve">에그플러스  </t>
    <phoneticPr fontId="3" type="noConversion"/>
  </si>
  <si>
    <t xml:space="preserve">031-535-0300  </t>
    <phoneticPr fontId="3" type="noConversion"/>
  </si>
  <si>
    <t>010-4544-0877</t>
  </si>
  <si>
    <t>동양프린팅</t>
  </si>
  <si>
    <t>동원팩</t>
    <phoneticPr fontId="3" type="noConversion"/>
  </si>
  <si>
    <t>30롤</t>
    <phoneticPr fontId="3" type="noConversion"/>
  </si>
  <si>
    <t>방문출고</t>
    <phoneticPr fontId="3" type="noConversion"/>
  </si>
  <si>
    <t>14*10초록</t>
    <phoneticPr fontId="3" type="noConversion"/>
  </si>
  <si>
    <t>12*10백(0.65T)</t>
    <phoneticPr fontId="3" type="noConversion"/>
  </si>
  <si>
    <t>오전 다마스</t>
    <phoneticPr fontId="3" type="noConversion"/>
  </si>
  <si>
    <t>신광포장</t>
    <phoneticPr fontId="3" type="noConversion"/>
  </si>
  <si>
    <t>50롤</t>
    <phoneticPr fontId="3" type="noConversion"/>
  </si>
  <si>
    <t>15*10백(0.65T)</t>
    <phoneticPr fontId="3" type="noConversion"/>
  </si>
  <si>
    <t>전주삼신산업</t>
    <phoneticPr fontId="3" type="noConversion"/>
  </si>
  <si>
    <t>PE28*2파랑</t>
    <phoneticPr fontId="3" type="noConversion"/>
  </si>
  <si>
    <t>10박스</t>
    <phoneticPr fontId="3" type="noConversion"/>
  </si>
  <si>
    <t>15*10황(0.65T)</t>
    <phoneticPr fontId="3" type="noConversion"/>
  </si>
  <si>
    <t>10롤</t>
    <phoneticPr fontId="3" type="noConversion"/>
  </si>
  <si>
    <t>12*10황(0.65T)</t>
    <phoneticPr fontId="3" type="noConversion"/>
  </si>
  <si>
    <t>10롤</t>
    <phoneticPr fontId="3" type="noConversion"/>
  </si>
  <si>
    <t>대신택배</t>
    <phoneticPr fontId="3" type="noConversion"/>
  </si>
  <si>
    <t>250000원중 운송료 제외하고 회사통장으로 입금</t>
    <phoneticPr fontId="3" type="noConversion"/>
  </si>
  <si>
    <t>12mm*10kg 백색 10롤</t>
    <phoneticPr fontId="3" type="noConversion"/>
  </si>
  <si>
    <t>발송 : 동원팩</t>
    <phoneticPr fontId="3" type="noConversion"/>
  </si>
  <si>
    <t>439롤</t>
    <phoneticPr fontId="3" type="noConversion"/>
  </si>
  <si>
    <t>경인팩</t>
    <phoneticPr fontId="3" type="noConversion"/>
  </si>
  <si>
    <t>6*10백</t>
    <phoneticPr fontId="3" type="noConversion"/>
  </si>
  <si>
    <t>224롤</t>
    <phoneticPr fontId="3" type="noConversion"/>
  </si>
  <si>
    <t>용차</t>
    <phoneticPr fontId="3" type="noConversion"/>
  </si>
  <si>
    <t>하이케이트</t>
    <phoneticPr fontId="3" type="noConversion"/>
  </si>
  <si>
    <t>20"(오후2시)</t>
    <phoneticPr fontId="3" type="noConversion"/>
  </si>
  <si>
    <t>파렛트(철밴딩)</t>
    <phoneticPr fontId="3" type="noConversion"/>
  </si>
  <si>
    <t>폴리펙</t>
    <phoneticPr fontId="3" type="noConversion"/>
  </si>
  <si>
    <t>수작업</t>
    <phoneticPr fontId="3" type="noConversion"/>
  </si>
  <si>
    <t>앤더슨</t>
    <phoneticPr fontId="3" type="noConversion"/>
  </si>
  <si>
    <t>수작업</t>
    <phoneticPr fontId="3" type="noConversion"/>
  </si>
  <si>
    <t>광림포장기계</t>
    <phoneticPr fontId="3" type="noConversion"/>
  </si>
  <si>
    <t>9*10(투명)</t>
    <phoneticPr fontId="3" type="noConversion"/>
  </si>
  <si>
    <t>9*10(황)</t>
    <phoneticPr fontId="3" type="noConversion"/>
  </si>
  <si>
    <t>64롤</t>
    <phoneticPr fontId="3" type="noConversion"/>
  </si>
  <si>
    <t>88롤</t>
    <phoneticPr fontId="3" type="noConversion"/>
  </si>
  <si>
    <t>용차</t>
    <phoneticPr fontId="3" type="noConversion"/>
  </si>
  <si>
    <t>용차와 함께</t>
    <phoneticPr fontId="3" type="noConversion"/>
  </si>
  <si>
    <t>18*21황</t>
    <phoneticPr fontId="3" type="noConversion"/>
  </si>
  <si>
    <t>632롤</t>
    <phoneticPr fontId="3" type="noConversion"/>
  </si>
  <si>
    <t>200롤</t>
    <phoneticPr fontId="3" type="noConversion"/>
  </si>
  <si>
    <t>광림포장기계</t>
    <phoneticPr fontId="3" type="noConversion"/>
  </si>
  <si>
    <t>12*12.5 투명</t>
    <phoneticPr fontId="3" type="noConversion"/>
  </si>
  <si>
    <t>100롤</t>
    <phoneticPr fontId="3" type="noConversion"/>
  </si>
  <si>
    <t>2파레트 나무파레트</t>
    <phoneticPr fontId="3" type="noConversion"/>
  </si>
  <si>
    <t>6*12.5 백</t>
    <phoneticPr fontId="3" type="noConversion"/>
  </si>
  <si>
    <t>640롤</t>
    <phoneticPr fontId="3" type="noConversion"/>
  </si>
  <si>
    <t>313롤</t>
    <phoneticPr fontId="3" type="noConversion"/>
  </si>
  <si>
    <t>명세서 400롤</t>
    <phoneticPr fontId="3" type="noConversion"/>
  </si>
  <si>
    <t>동원팩</t>
    <phoneticPr fontId="3" type="noConversion"/>
  </si>
  <si>
    <t>6*10 (백)</t>
    <phoneticPr fontId="3" type="noConversion"/>
  </si>
  <si>
    <t>80롤</t>
    <phoneticPr fontId="3" type="noConversion"/>
  </si>
  <si>
    <t>나무 파렛트</t>
    <phoneticPr fontId="3" type="noConversion"/>
  </si>
  <si>
    <t>제주 합화차</t>
    <phoneticPr fontId="3" type="noConversion"/>
  </si>
  <si>
    <t>동원팩</t>
    <phoneticPr fontId="3" type="noConversion"/>
  </si>
  <si>
    <t>30박스</t>
    <phoneticPr fontId="3" type="noConversion"/>
  </si>
  <si>
    <t>30박스</t>
    <phoneticPr fontId="3" type="noConversion"/>
  </si>
  <si>
    <t>아주파렛트</t>
    <phoneticPr fontId="3" type="noConversion"/>
  </si>
  <si>
    <t>PE28*2청</t>
    <phoneticPr fontId="3" type="noConversion"/>
  </si>
  <si>
    <t>10박스</t>
    <phoneticPr fontId="3" type="noConversion"/>
  </si>
  <si>
    <t>연두색 파렛트 50장 가져오기</t>
    <phoneticPr fontId="3" type="noConversion"/>
  </si>
  <si>
    <t>15*10(적색B급)</t>
    <phoneticPr fontId="3" type="noConversion"/>
  </si>
  <si>
    <t>28롤</t>
    <phoneticPr fontId="3" type="noConversion"/>
  </si>
  <si>
    <t>대성씨앤씨</t>
    <phoneticPr fontId="3" type="noConversion"/>
  </si>
  <si>
    <t>5*7000m 백색</t>
    <phoneticPr fontId="3" type="noConversion"/>
  </si>
  <si>
    <t>고성오</t>
    <phoneticPr fontId="3" type="noConversion"/>
  </si>
  <si>
    <t>60롤</t>
    <phoneticPr fontId="3" type="noConversion"/>
  </si>
  <si>
    <t>오전 10시 용차</t>
    <phoneticPr fontId="3" type="noConversion"/>
  </si>
  <si>
    <t>오전 용차</t>
    <phoneticPr fontId="3" type="noConversion"/>
  </si>
  <si>
    <t>10박스</t>
    <phoneticPr fontId="3" type="noConversion"/>
  </si>
  <si>
    <t>파워엠팩</t>
    <phoneticPr fontId="3" type="noConversion"/>
  </si>
  <si>
    <t>10.5*10(투명)</t>
    <phoneticPr fontId="3" type="noConversion"/>
  </si>
  <si>
    <t>100롤</t>
    <phoneticPr fontId="3" type="noConversion"/>
  </si>
  <si>
    <t>한남포장</t>
    <phoneticPr fontId="3" type="noConversion"/>
  </si>
  <si>
    <t>12*10(황)</t>
    <phoneticPr fontId="3" type="noConversion"/>
  </si>
  <si>
    <t>아주파레트 맞교환</t>
    <phoneticPr fontId="3" type="noConversion"/>
  </si>
  <si>
    <t>20"(오후2시)</t>
    <phoneticPr fontId="3" type="noConversion"/>
  </si>
  <si>
    <t>용차/출고 대기</t>
    <phoneticPr fontId="3" type="noConversion"/>
  </si>
  <si>
    <t>영신 주식회사</t>
    <phoneticPr fontId="3" type="noConversion"/>
  </si>
  <si>
    <t>PE28*2백</t>
    <phoneticPr fontId="3" type="noConversion"/>
  </si>
  <si>
    <t>1박스</t>
    <phoneticPr fontId="3" type="noConversion"/>
  </si>
  <si>
    <t>로젠택배</t>
    <phoneticPr fontId="3" type="noConversion"/>
  </si>
  <si>
    <t>착불</t>
    <phoneticPr fontId="3" type="noConversion"/>
  </si>
  <si>
    <t>대한포장</t>
    <phoneticPr fontId="3" type="noConversion"/>
  </si>
  <si>
    <t>랩 20mic*1400m</t>
    <phoneticPr fontId="3" type="noConversion"/>
  </si>
  <si>
    <t>20박스</t>
    <phoneticPr fontId="3" type="noConversion"/>
  </si>
  <si>
    <t>아주파레트 맞교환</t>
    <phoneticPr fontId="3" type="noConversion"/>
  </si>
  <si>
    <t>김규현</t>
    <phoneticPr fontId="3" type="noConversion"/>
  </si>
  <si>
    <t>12*10 황(0.8t)</t>
    <phoneticPr fontId="3" type="noConversion"/>
  </si>
  <si>
    <t>12*10 백(0.8t)</t>
    <phoneticPr fontId="3" type="noConversion"/>
  </si>
  <si>
    <t>대성씨앤씨</t>
    <phoneticPr fontId="3" type="noConversion"/>
  </si>
  <si>
    <t>50박스</t>
    <phoneticPr fontId="3" type="noConversion"/>
  </si>
  <si>
    <t>신대한판지</t>
    <phoneticPr fontId="3" type="noConversion"/>
  </si>
  <si>
    <t>12*10 백(0.8t)</t>
    <phoneticPr fontId="3" type="noConversion"/>
  </si>
  <si>
    <t>56롤</t>
    <phoneticPr fontId="3" type="noConversion"/>
  </si>
  <si>
    <t>9*9.5백</t>
    <phoneticPr fontId="3" type="noConversion"/>
  </si>
  <si>
    <t>63롤</t>
    <phoneticPr fontId="3" type="noConversion"/>
  </si>
  <si>
    <t>삼성과 같이 적재</t>
    <phoneticPr fontId="3" type="noConversion"/>
  </si>
  <si>
    <t>오전 /함께 적재</t>
    <phoneticPr fontId="3" type="noConversion"/>
  </si>
  <si>
    <t>경인팩</t>
    <phoneticPr fontId="3" type="noConversion"/>
  </si>
  <si>
    <t>PE28*6백</t>
    <phoneticPr fontId="3" type="noConversion"/>
  </si>
  <si>
    <t>10박스</t>
    <phoneticPr fontId="3" type="noConversion"/>
  </si>
  <si>
    <t>용차</t>
    <phoneticPr fontId="3" type="noConversion"/>
  </si>
  <si>
    <t xml:space="preserve">경기도 고양시 일산동구 공릉천로 124(사리현동) 하이얀컴퍼니 </t>
    <phoneticPr fontId="3" type="noConversion"/>
  </si>
  <si>
    <t>kic박스</t>
    <phoneticPr fontId="3" type="noConversion"/>
  </si>
  <si>
    <t>전주삼신산업</t>
    <phoneticPr fontId="3" type="noConversion"/>
  </si>
  <si>
    <t>6*10백</t>
    <phoneticPr fontId="3" type="noConversion"/>
  </si>
  <si>
    <t>48롤</t>
    <phoneticPr fontId="3" type="noConversion"/>
  </si>
  <si>
    <t>대신택배</t>
    <phoneticPr fontId="3" type="noConversion"/>
  </si>
  <si>
    <t>12*9.5</t>
    <phoneticPr fontId="3" type="noConversion"/>
  </si>
  <si>
    <t>대일상사</t>
    <phoneticPr fontId="3" type="noConversion"/>
  </si>
  <si>
    <t>4박스</t>
    <phoneticPr fontId="3" type="noConversion"/>
  </si>
  <si>
    <t>로젠택배착불</t>
    <phoneticPr fontId="3" type="noConversion"/>
  </si>
  <si>
    <t>민건 이에이</t>
    <phoneticPr fontId="3" type="noConversion"/>
  </si>
  <si>
    <t>미국박스</t>
    <phoneticPr fontId="3" type="noConversion"/>
  </si>
  <si>
    <t>12*10황(0.8T)</t>
    <phoneticPr fontId="3" type="noConversion"/>
  </si>
  <si>
    <t>50롤</t>
    <phoneticPr fontId="3" type="noConversion"/>
  </si>
  <si>
    <t>2층</t>
    <phoneticPr fontId="3" type="noConversion"/>
  </si>
  <si>
    <t>김규현</t>
    <phoneticPr fontId="3" type="noConversion"/>
  </si>
  <si>
    <t>2400원</t>
    <phoneticPr fontId="3" type="noConversion"/>
  </si>
  <si>
    <t>대성씨앤씨</t>
    <phoneticPr fontId="3" type="noConversion"/>
  </si>
  <si>
    <t>185롤</t>
    <phoneticPr fontId="3" type="noConversion"/>
  </si>
  <si>
    <t>100롤</t>
    <phoneticPr fontId="3" type="noConversion"/>
  </si>
  <si>
    <t>삼성</t>
    <phoneticPr fontId="3" type="noConversion"/>
  </si>
  <si>
    <t>18*21친환경</t>
    <phoneticPr fontId="3" type="noConversion"/>
  </si>
  <si>
    <t>512롤</t>
    <phoneticPr fontId="3" type="noConversion"/>
  </si>
  <si>
    <t>삼성</t>
    <phoneticPr fontId="3" type="noConversion"/>
  </si>
  <si>
    <t>18*21친환경</t>
    <phoneticPr fontId="3" type="noConversion"/>
  </si>
  <si>
    <t>삼성</t>
    <phoneticPr fontId="3" type="noConversion"/>
  </si>
  <si>
    <t>파워엠팩</t>
    <phoneticPr fontId="3" type="noConversion"/>
  </si>
  <si>
    <t>14*10초록</t>
    <phoneticPr fontId="3" type="noConversion"/>
  </si>
  <si>
    <t>14*10백</t>
    <phoneticPr fontId="3" type="noConversion"/>
  </si>
  <si>
    <t>56롤</t>
    <phoneticPr fontId="3" type="noConversion"/>
  </si>
  <si>
    <t>50롤</t>
    <phoneticPr fontId="3" type="noConversion"/>
  </si>
  <si>
    <t>지방합화차</t>
    <phoneticPr fontId="3" type="noConversion"/>
  </si>
  <si>
    <t>14*10백</t>
    <phoneticPr fontId="3" type="noConversion"/>
  </si>
  <si>
    <t>청정원</t>
    <phoneticPr fontId="3" type="noConversion"/>
  </si>
  <si>
    <t>경동택배선불</t>
    <phoneticPr fontId="3" type="noConversion"/>
  </si>
  <si>
    <t>청구</t>
    <phoneticPr fontId="3" type="noConversion"/>
  </si>
  <si>
    <t>경남 거창군 가조면 석강3길 127 대상주식회사 김규배 010-4082-2682 / 박이누 010-2062-2217</t>
    <phoneticPr fontId="3" type="noConversion"/>
  </si>
  <si>
    <t xml:space="preserve">경남 거창군 가조면 </t>
    <phoneticPr fontId="3" type="noConversion"/>
  </si>
  <si>
    <t>김규배 010-4082-2682</t>
    <phoneticPr fontId="3" type="noConversion"/>
  </si>
  <si>
    <t>박이누 010-2062-2217</t>
  </si>
  <si>
    <t>14mm*10kg 백색 56롤</t>
    <phoneticPr fontId="3" type="noConversion"/>
  </si>
  <si>
    <t>발송 : 파워엠팩</t>
    <phoneticPr fontId="3" type="noConversion"/>
  </si>
  <si>
    <t xml:space="preserve">석강3길 127 </t>
    <phoneticPr fontId="3" type="noConversion"/>
  </si>
  <si>
    <t xml:space="preserve">대상주식회사 </t>
  </si>
  <si>
    <t>8.1톤</t>
    <phoneticPr fontId="3" type="noConversion"/>
  </si>
  <si>
    <t>228롤</t>
    <phoneticPr fontId="3" type="noConversion"/>
  </si>
  <si>
    <t>광림포장기계</t>
    <phoneticPr fontId="3" type="noConversion"/>
  </si>
  <si>
    <t>12*10황</t>
    <phoneticPr fontId="3" type="noConversion"/>
  </si>
  <si>
    <t>12*12.5황</t>
    <phoneticPr fontId="3" type="noConversion"/>
  </si>
  <si>
    <t>15*10황</t>
    <phoneticPr fontId="3" type="noConversion"/>
  </si>
  <si>
    <t>64롤</t>
    <phoneticPr fontId="3" type="noConversion"/>
  </si>
  <si>
    <t>40롤</t>
    <phoneticPr fontId="3" type="noConversion"/>
  </si>
  <si>
    <t>64롤</t>
    <phoneticPr fontId="3" type="noConversion"/>
  </si>
  <si>
    <t>15*9.5적</t>
    <phoneticPr fontId="3" type="noConversion"/>
  </si>
  <si>
    <t>배추끈</t>
    <phoneticPr fontId="3" type="noConversion"/>
  </si>
  <si>
    <t>9pa</t>
    <phoneticPr fontId="3" type="noConversion"/>
  </si>
  <si>
    <t>50롤</t>
    <phoneticPr fontId="3" type="noConversion"/>
  </si>
  <si>
    <t>18*21황</t>
    <phoneticPr fontId="3" type="noConversion"/>
  </si>
  <si>
    <t>1롤</t>
    <phoneticPr fontId="3" type="noConversion"/>
  </si>
  <si>
    <t>결속기(60형)</t>
    <phoneticPr fontId="3" type="noConversion"/>
  </si>
  <si>
    <t>동원팩</t>
    <phoneticPr fontId="3" type="noConversion"/>
  </si>
  <si>
    <t>6*10백</t>
    <phoneticPr fontId="3" type="noConversion"/>
  </si>
  <si>
    <t>108롤</t>
    <phoneticPr fontId="3" type="noConversion"/>
  </si>
  <si>
    <t>PE28*6백</t>
    <phoneticPr fontId="3" type="noConversion"/>
  </si>
  <si>
    <t>PE28*2청</t>
    <phoneticPr fontId="3" type="noConversion"/>
  </si>
  <si>
    <t>12박스</t>
    <phoneticPr fontId="3" type="noConversion"/>
  </si>
  <si>
    <t>10박스</t>
    <phoneticPr fontId="3" type="noConversion"/>
  </si>
  <si>
    <t>2박스</t>
    <phoneticPr fontId="3" type="noConversion"/>
  </si>
  <si>
    <t>김규현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</si>
  <si>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</si>
  <si>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</si>
  <si>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</si>
  <si>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</si>
  <si>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고메리</t>
    <phoneticPr fontId="3" type="noConversion"/>
  </si>
  <si>
    <t>수작업</t>
    <phoneticPr fontId="3" type="noConversion"/>
  </si>
  <si>
    <t>6톤</t>
    <phoneticPr fontId="3" type="noConversion"/>
  </si>
  <si>
    <t>20"(오전10시)</t>
    <phoneticPr fontId="3" type="noConversion"/>
  </si>
  <si>
    <t>타이거팩</t>
    <phoneticPr fontId="3" type="noConversion"/>
  </si>
  <si>
    <t>20.5톤</t>
    <phoneticPr fontId="3" type="noConversion"/>
  </si>
  <si>
    <t>대원포장기계</t>
    <phoneticPr fontId="3" type="noConversion"/>
  </si>
  <si>
    <t>20박스</t>
    <phoneticPr fontId="3" type="noConversion"/>
  </si>
  <si>
    <t>대신화물착불</t>
    <phoneticPr fontId="3" type="noConversion"/>
  </si>
  <si>
    <t>대신화물대구달성 화원지점 착불</t>
    <phoneticPr fontId="3" type="noConversion"/>
  </si>
  <si>
    <t>105롤</t>
    <phoneticPr fontId="3" type="noConversion"/>
  </si>
  <si>
    <t>신화티에스</t>
    <phoneticPr fontId="3" type="noConversion"/>
  </si>
  <si>
    <t>50롤</t>
    <phoneticPr fontId="3" type="noConversion"/>
  </si>
  <si>
    <t>15*10황(0.8T)</t>
    <phoneticPr fontId="3" type="noConversion"/>
  </si>
  <si>
    <t>방문출고</t>
    <phoneticPr fontId="3" type="noConversion"/>
  </si>
  <si>
    <t>가골식품</t>
    <phoneticPr fontId="3" type="noConversion"/>
  </si>
  <si>
    <t>12*12.5황</t>
    <phoneticPr fontId="3" type="noConversion"/>
  </si>
  <si>
    <t>전표는 31박스</t>
    <phoneticPr fontId="3" type="noConversion"/>
  </si>
  <si>
    <t>서신</t>
    <phoneticPr fontId="3" type="noConversion"/>
  </si>
  <si>
    <t>9*11은회색</t>
    <phoneticPr fontId="3" type="noConversion"/>
  </si>
  <si>
    <t>128롤</t>
    <phoneticPr fontId="3" type="noConversion"/>
  </si>
  <si>
    <t>지방합화차</t>
    <phoneticPr fontId="3" type="noConversion"/>
  </si>
  <si>
    <t>9*10황(0.75T)</t>
    <phoneticPr fontId="3" type="noConversion"/>
  </si>
  <si>
    <t>64롤</t>
    <phoneticPr fontId="3" type="noConversion"/>
  </si>
  <si>
    <t>대한종합포장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</si>
  <si>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</si>
  <si>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</si>
  <si>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</si>
  <si>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경기도 파주시 광탄면 보광로 1336-15 (광탄면) 원흥피앤피 김혜선 010-4982-7932 / 유리문 안쪽에 넣어주세요</t>
    <phoneticPr fontId="3" type="noConversion"/>
  </si>
  <si>
    <t>신광포장</t>
    <phoneticPr fontId="3" type="noConversion"/>
  </si>
  <si>
    <t>PE28*6백</t>
    <phoneticPr fontId="3" type="noConversion"/>
  </si>
  <si>
    <t>8박스</t>
    <phoneticPr fontId="3" type="noConversion"/>
  </si>
  <si>
    <t>경기도 시흥시 경제로 17(정왕동) 코미팜 이현욱 010-6760-2896</t>
    <phoneticPr fontId="3" type="noConversion"/>
  </si>
  <si>
    <t>삼영피앤텍</t>
    <phoneticPr fontId="3" type="noConversion"/>
  </si>
  <si>
    <t>로젠택배</t>
    <phoneticPr fontId="3" type="noConversion"/>
  </si>
  <si>
    <t>kic박스</t>
    <phoneticPr fontId="3" type="noConversion"/>
  </si>
  <si>
    <t>합동포장</t>
    <phoneticPr fontId="3" type="noConversion"/>
  </si>
  <si>
    <t>10박스</t>
    <phoneticPr fontId="3" type="noConversion"/>
  </si>
  <si>
    <t>용차</t>
    <phoneticPr fontId="3" type="noConversion"/>
  </si>
  <si>
    <t>PE28*2황</t>
    <phoneticPr fontId="3" type="noConversion"/>
  </si>
  <si>
    <t>2박스</t>
    <phoneticPr fontId="3" type="noConversion"/>
  </si>
  <si>
    <t>토</t>
    <phoneticPr fontId="8" type="noConversion"/>
  </si>
  <si>
    <t>PE28*6백</t>
    <phoneticPr fontId="3" type="noConversion"/>
  </si>
  <si>
    <t>12박스</t>
    <phoneticPr fontId="3" type="noConversion"/>
  </si>
  <si>
    <t>20박스</t>
    <phoneticPr fontId="3" type="noConversion"/>
  </si>
  <si>
    <t>아주파레트 반납</t>
    <phoneticPr fontId="3" type="noConversion"/>
  </si>
  <si>
    <t>183롤</t>
    <phoneticPr fontId="3" type="noConversion"/>
  </si>
  <si>
    <t>삼성</t>
    <phoneticPr fontId="3" type="noConversion"/>
  </si>
  <si>
    <t>18*21친환경</t>
    <phoneticPr fontId="3" type="noConversion"/>
  </si>
  <si>
    <t>248롤</t>
    <phoneticPr fontId="3" type="noConversion"/>
  </si>
  <si>
    <t>PE28*2백</t>
    <phoneticPr fontId="3" type="noConversion"/>
  </si>
  <si>
    <t>20박스</t>
    <phoneticPr fontId="3" type="noConversion"/>
  </si>
  <si>
    <t>아주파레트</t>
    <phoneticPr fontId="3" type="noConversion"/>
  </si>
  <si>
    <t>대신택배</t>
    <phoneticPr fontId="3" type="noConversion"/>
  </si>
  <si>
    <t>15*10황(0.85T)</t>
    <phoneticPr fontId="3" type="noConversion"/>
  </si>
  <si>
    <t>18*21친환경</t>
    <phoneticPr fontId="3" type="noConversion"/>
  </si>
  <si>
    <t>삼신</t>
    <phoneticPr fontId="3" type="noConversion"/>
  </si>
  <si>
    <t>100박스</t>
    <phoneticPr fontId="3" type="noConversion"/>
  </si>
  <si>
    <t>10박스</t>
    <phoneticPr fontId="3" type="noConversion"/>
  </si>
  <si>
    <t xml:space="preserve">12mm 샘플 </t>
    <phoneticPr fontId="3" type="noConversion"/>
  </si>
  <si>
    <t>4롤</t>
    <phoneticPr fontId="3" type="noConversion"/>
  </si>
  <si>
    <t>김해제일포장</t>
    <phoneticPr fontId="3" type="noConversion"/>
  </si>
  <si>
    <t>PE28*2황</t>
    <phoneticPr fontId="3" type="noConversion"/>
  </si>
  <si>
    <t>1박스</t>
    <phoneticPr fontId="3" type="noConversion"/>
  </si>
  <si>
    <t>PE28*2적</t>
    <phoneticPr fontId="3" type="noConversion"/>
  </si>
  <si>
    <t>1박스</t>
    <phoneticPr fontId="3" type="noConversion"/>
  </si>
  <si>
    <t>PE28*2녹</t>
    <phoneticPr fontId="3" type="noConversion"/>
  </si>
  <si>
    <t>20박스</t>
    <phoneticPr fontId="3" type="noConversion"/>
  </si>
  <si>
    <t>PE28*2백</t>
    <phoneticPr fontId="3" type="noConversion"/>
  </si>
  <si>
    <t>50박스</t>
    <phoneticPr fontId="3" type="noConversion"/>
  </si>
  <si>
    <t>경남 김해시 한림면 김해대로 916번길 40-78 태화산업</t>
    <phoneticPr fontId="3" type="noConversion"/>
  </si>
  <si>
    <t>미국박스</t>
    <phoneticPr fontId="3" type="noConversion"/>
  </si>
  <si>
    <t>R4신청</t>
    <phoneticPr fontId="3" type="noConversion"/>
  </si>
  <si>
    <t>보우팩</t>
    <phoneticPr fontId="3" type="noConversion"/>
  </si>
  <si>
    <t>6*10백</t>
    <phoneticPr fontId="3" type="noConversion"/>
  </si>
  <si>
    <t>50롤</t>
    <phoneticPr fontId="3" type="noConversion"/>
  </si>
  <si>
    <t>파란밴딩</t>
    <phoneticPr fontId="3" type="noConversion"/>
  </si>
  <si>
    <t>인천 강화군 선원면 신정리 475-1</t>
  </si>
  <si>
    <t>아벨농장귀하</t>
  </si>
  <si>
    <t>032-934-9886</t>
  </si>
  <si>
    <t>010-2390-5509</t>
  </si>
  <si>
    <t>발송 : 보우팩</t>
    <phoneticPr fontId="8" type="noConversion"/>
  </si>
  <si>
    <t>강화 아벨농장</t>
    <phoneticPr fontId="3" type="noConversion"/>
  </si>
  <si>
    <t>랩15*500*400</t>
    <phoneticPr fontId="3" type="noConversion"/>
  </si>
  <si>
    <t>10박스</t>
    <phoneticPr fontId="3" type="noConversion"/>
  </si>
  <si>
    <t>KPP초록(1300)</t>
  </si>
  <si>
    <t>동원화학 원료 가져오기</t>
  </si>
  <si>
    <t>오전일찍</t>
  </si>
  <si>
    <t>PE50*4.7백</t>
  </si>
  <si>
    <t>무지패드</t>
  </si>
  <si>
    <t>6*10청</t>
  </si>
  <si>
    <t>45롤</t>
    <phoneticPr fontId="3" type="noConversion"/>
  </si>
  <si>
    <t>대한포장</t>
  </si>
  <si>
    <t>랩 20mic*1400m</t>
  </si>
  <si>
    <t>30박스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</si>
  <si>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</si>
  <si>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</si>
  <si>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</si>
  <si>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</si>
  <si>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20박스</t>
    <phoneticPr fontId="3" type="noConversion"/>
  </si>
  <si>
    <t>오전일찍</t>
    <phoneticPr fontId="3" type="noConversion"/>
  </si>
  <si>
    <t>합동포장</t>
    <phoneticPr fontId="3" type="noConversion"/>
  </si>
  <si>
    <t>12*12.5황</t>
    <phoneticPr fontId="3" type="noConversion"/>
  </si>
  <si>
    <t>180롤</t>
    <phoneticPr fontId="3" type="noConversion"/>
  </si>
  <si>
    <t>15*13황</t>
    <phoneticPr fontId="3" type="noConversion"/>
  </si>
  <si>
    <t>10롤</t>
    <phoneticPr fontId="3" type="noConversion"/>
  </si>
  <si>
    <t>12*10황(0.75T)</t>
    <phoneticPr fontId="3" type="noConversion"/>
  </si>
  <si>
    <t>30롤</t>
    <phoneticPr fontId="3" type="noConversion"/>
  </si>
  <si>
    <t>20롤</t>
    <phoneticPr fontId="3" type="noConversion"/>
  </si>
  <si>
    <t>12*10백(0.75T)</t>
    <phoneticPr fontId="3" type="noConversion"/>
  </si>
  <si>
    <t>45박스</t>
    <phoneticPr fontId="3" type="noConversion"/>
  </si>
  <si>
    <t>진로특수포장기계</t>
    <phoneticPr fontId="3" type="noConversion"/>
  </si>
  <si>
    <t>5박스</t>
    <phoneticPr fontId="3" type="noConversion"/>
  </si>
  <si>
    <t>방문출고</t>
    <phoneticPr fontId="3" type="noConversion"/>
  </si>
  <si>
    <t>3300원</t>
    <phoneticPr fontId="3" type="noConversion"/>
  </si>
  <si>
    <t>지방합화차</t>
    <phoneticPr fontId="3" type="noConversion"/>
  </si>
  <si>
    <t>노스쇼어</t>
    <phoneticPr fontId="3" type="noConversion"/>
  </si>
  <si>
    <t>팔레트</t>
    <phoneticPr fontId="3" type="noConversion"/>
  </si>
  <si>
    <t>7.9톤</t>
    <phoneticPr fontId="3" type="noConversion"/>
  </si>
  <si>
    <t>40"(오후1시)</t>
    <phoneticPr fontId="3" type="noConversion"/>
  </si>
  <si>
    <t>16.7톤</t>
    <phoneticPr fontId="3" type="noConversion"/>
  </si>
  <si>
    <t>경인산업</t>
    <phoneticPr fontId="3" type="noConversion"/>
  </si>
  <si>
    <t>56롤</t>
    <phoneticPr fontId="3" type="noConversion"/>
  </si>
  <si>
    <t>경인팩</t>
    <phoneticPr fontId="3" type="noConversion"/>
  </si>
  <si>
    <t>20롤</t>
    <phoneticPr fontId="3" type="noConversion"/>
  </si>
  <si>
    <t>경기도 김포시 양촌읍 학운산단2로 53-15 말표산업 032-811-6671</t>
    <phoneticPr fontId="3" type="noConversion"/>
  </si>
  <si>
    <t>용차</t>
    <phoneticPr fontId="3" type="noConversion"/>
  </si>
  <si>
    <t>10박스</t>
    <phoneticPr fontId="3" type="noConversion"/>
  </si>
  <si>
    <t>전표는 4박스만(여지껏 불량 이걸로 다 퉁)</t>
    <phoneticPr fontId="3" type="noConversion"/>
  </si>
  <si>
    <t>15*10황(0.8T)</t>
    <phoneticPr fontId="3" type="noConversion"/>
  </si>
  <si>
    <t xml:space="preserve">경기도 김포시 양촌읍 </t>
    <phoneticPr fontId="3" type="noConversion"/>
  </si>
  <si>
    <t xml:space="preserve">학운산단2로 53-15 </t>
    <phoneticPr fontId="3" type="noConversion"/>
  </si>
  <si>
    <t xml:space="preserve">말표산업 </t>
    <phoneticPr fontId="3" type="noConversion"/>
  </si>
  <si>
    <t>032-811-6671</t>
  </si>
  <si>
    <t>김규현</t>
    <phoneticPr fontId="3" type="noConversion"/>
  </si>
  <si>
    <t>신광포장</t>
    <phoneticPr fontId="3" type="noConversion"/>
  </si>
  <si>
    <t>12*10황(0.65T)</t>
    <phoneticPr fontId="3" type="noConversion"/>
  </si>
  <si>
    <t>100롤</t>
    <phoneticPr fontId="3" type="noConversion"/>
  </si>
  <si>
    <t>5박스</t>
    <phoneticPr fontId="3" type="noConversion"/>
  </si>
  <si>
    <t>제이케이머티리얼즈</t>
    <phoneticPr fontId="3" type="noConversion"/>
  </si>
  <si>
    <t>18*10황</t>
    <phoneticPr fontId="3" type="noConversion"/>
  </si>
  <si>
    <t>78롤</t>
    <phoneticPr fontId="3" type="noConversion"/>
  </si>
  <si>
    <t>KPP빨강</t>
    <phoneticPr fontId="3" type="noConversion"/>
  </si>
  <si>
    <t>용차</t>
    <phoneticPr fontId="3" type="noConversion"/>
  </si>
  <si>
    <t>신광포장(부산)</t>
    <phoneticPr fontId="3" type="noConversion"/>
  </si>
  <si>
    <t>PE28*2백(24KG)</t>
  </si>
  <si>
    <t>3박스</t>
    <phoneticPr fontId="3" type="noConversion"/>
  </si>
  <si>
    <t>5박스</t>
    <phoneticPr fontId="3" type="noConversion"/>
  </si>
  <si>
    <t>로젠택배</t>
    <phoneticPr fontId="3" type="noConversion"/>
  </si>
  <si>
    <t>신광포장</t>
    <phoneticPr fontId="3" type="noConversion"/>
  </si>
  <si>
    <t>경북 경주시 외동읍 모화남1길 67 황금농장집하장 010-4717-9087</t>
    <phoneticPr fontId="3" type="noConversion"/>
  </si>
  <si>
    <t>오비아이</t>
    <phoneticPr fontId="3" type="noConversion"/>
  </si>
  <si>
    <t>PE28*2백</t>
    <phoneticPr fontId="3" type="noConversion"/>
  </si>
  <si>
    <t>오비아이</t>
    <phoneticPr fontId="3" type="noConversion"/>
  </si>
  <si>
    <t>파렛트용 비닐 10개 가져오기</t>
    <phoneticPr fontId="3" type="noConversion"/>
  </si>
  <si>
    <t>44롤</t>
  </si>
  <si>
    <t>삼원산업</t>
  </si>
  <si>
    <t>12*12투명</t>
  </si>
  <si>
    <t>14*10황</t>
    <phoneticPr fontId="3" type="noConversion"/>
  </si>
  <si>
    <t>50롤</t>
    <phoneticPr fontId="3" type="noConversion"/>
  </si>
  <si>
    <t>경동택배</t>
    <phoneticPr fontId="3" type="noConversion"/>
  </si>
  <si>
    <t>10.5*10투명</t>
    <phoneticPr fontId="3" type="noConversion"/>
  </si>
  <si>
    <t>100롤</t>
    <phoneticPr fontId="3" type="noConversion"/>
  </si>
  <si>
    <t>방문출고</t>
    <phoneticPr fontId="3" type="noConversion"/>
  </si>
  <si>
    <t>파워엠팩</t>
    <phoneticPr fontId="3" type="noConversion"/>
  </si>
  <si>
    <t>3박스</t>
    <phoneticPr fontId="3" type="noConversion"/>
  </si>
  <si>
    <t>명세서는 25롤</t>
    <phoneticPr fontId="3" type="noConversion"/>
  </si>
  <si>
    <t>kic박스</t>
    <phoneticPr fontId="3" type="noConversion"/>
  </si>
  <si>
    <t>로젠택배착불</t>
    <phoneticPr fontId="3" type="noConversion"/>
  </si>
  <si>
    <t>바오</t>
    <phoneticPr fontId="3" type="noConversion"/>
  </si>
  <si>
    <t>kic박스 / KPP빨강</t>
    <phoneticPr fontId="3" type="noConversion"/>
  </si>
  <si>
    <t>삼성</t>
    <phoneticPr fontId="3" type="noConversion"/>
  </si>
  <si>
    <t>70롤</t>
    <phoneticPr fontId="3" type="noConversion"/>
  </si>
  <si>
    <t>18*21친환경</t>
    <phoneticPr fontId="3" type="noConversion"/>
  </si>
  <si>
    <t>더담패키지</t>
    <phoneticPr fontId="3" type="noConversion"/>
  </si>
  <si>
    <t>7*10백(0.5T)</t>
    <phoneticPr fontId="3" type="noConversion"/>
  </si>
  <si>
    <t>50롤</t>
    <phoneticPr fontId="3" type="noConversion"/>
  </si>
  <si>
    <t>발송 : 케이아이씨</t>
    <phoneticPr fontId="3" type="noConversion"/>
  </si>
  <si>
    <t>9*10황(0.75T)</t>
    <phoneticPr fontId="3" type="noConversion"/>
  </si>
  <si>
    <t>10롤</t>
    <phoneticPr fontId="3" type="noConversion"/>
  </si>
  <si>
    <t>PE28*2적</t>
    <phoneticPr fontId="3" type="noConversion"/>
  </si>
  <si>
    <t>1박스</t>
    <phoneticPr fontId="3" type="noConversion"/>
  </si>
  <si>
    <t>택배 선불</t>
    <phoneticPr fontId="3" type="noConversion"/>
  </si>
  <si>
    <t>14*10빨강</t>
    <phoneticPr fontId="3" type="noConversion"/>
  </si>
  <si>
    <t>올에이치</t>
    <phoneticPr fontId="3" type="noConversion"/>
  </si>
  <si>
    <t>128롤</t>
    <phoneticPr fontId="3" type="noConversion"/>
  </si>
  <si>
    <t>안양우체국</t>
    <phoneticPr fontId="3" type="noConversion"/>
  </si>
  <si>
    <t>PE28*2백</t>
    <phoneticPr fontId="3" type="noConversion"/>
  </si>
  <si>
    <t>동원팩</t>
    <phoneticPr fontId="3" type="noConversion"/>
  </si>
  <si>
    <t>12*10황(0.8T)</t>
    <phoneticPr fontId="3" type="noConversion"/>
  </si>
  <si>
    <t>6롤</t>
    <phoneticPr fontId="3" type="noConversion"/>
  </si>
  <si>
    <t>2롤 3묶음</t>
    <phoneticPr fontId="3" type="noConversion"/>
  </si>
  <si>
    <t>1박스</t>
    <phoneticPr fontId="3" type="noConversion"/>
  </si>
  <si>
    <t>대신택배</t>
    <phoneticPr fontId="3" type="noConversion"/>
  </si>
  <si>
    <t>강원 평창군 대관령면 대관령로 135-12  강희철 033-336-3007</t>
    <phoneticPr fontId="3" type="noConversion"/>
  </si>
  <si>
    <t>경인팩</t>
    <phoneticPr fontId="3" type="noConversion"/>
  </si>
  <si>
    <t>70박스</t>
    <phoneticPr fontId="3" type="noConversion"/>
  </si>
  <si>
    <t>아주파렛트</t>
    <phoneticPr fontId="3" type="noConversion"/>
  </si>
  <si>
    <t>6*10황</t>
    <phoneticPr fontId="3" type="noConversion"/>
  </si>
  <si>
    <t>20롤</t>
    <phoneticPr fontId="3" type="noConversion"/>
  </si>
  <si>
    <t>6*10백</t>
    <phoneticPr fontId="3" type="noConversion"/>
  </si>
  <si>
    <t>108롤</t>
    <phoneticPr fontId="3" type="noConversion"/>
  </si>
  <si>
    <t>2파레트로 만들기</t>
    <phoneticPr fontId="3" type="noConversion"/>
  </si>
  <si>
    <t>14*10파랑</t>
    <phoneticPr fontId="3" type="noConversion"/>
  </si>
  <si>
    <t>50롤</t>
    <phoneticPr fontId="3" type="noConversion"/>
  </si>
  <si>
    <t>50롤</t>
    <phoneticPr fontId="3" type="noConversion"/>
  </si>
  <si>
    <t>청정원 거창</t>
    <phoneticPr fontId="3" type="noConversion"/>
  </si>
  <si>
    <t>청정원 순창</t>
    <phoneticPr fontId="3" type="noConversion"/>
  </si>
  <si>
    <t>24박스</t>
    <phoneticPr fontId="3" type="noConversion"/>
  </si>
  <si>
    <t>전표는 23박스</t>
    <phoneticPr fontId="3" type="noConversion"/>
  </si>
  <si>
    <t>대구한국포장
지방합화차 착불</t>
    <phoneticPr fontId="3" type="noConversion"/>
  </si>
  <si>
    <t>석종수출포장</t>
  </si>
  <si>
    <t>2300원</t>
    <phoneticPr fontId="3" type="noConversion"/>
  </si>
  <si>
    <t>합동포장</t>
  </si>
  <si>
    <t>5*7000백</t>
  </si>
  <si>
    <t>용차</t>
    <phoneticPr fontId="3" type="noConversion"/>
  </si>
  <si>
    <t xml:space="preserve">오전9시까지 배차 </t>
    <phoneticPr fontId="3" type="noConversion"/>
  </si>
  <si>
    <t>청주시 서원구 현도면 죽암리 416</t>
  </si>
  <si>
    <t>474롤</t>
    <phoneticPr fontId="3" type="noConversion"/>
  </si>
  <si>
    <t>삼성</t>
    <phoneticPr fontId="3" type="noConversion"/>
  </si>
  <si>
    <t>18*21친환경</t>
    <phoneticPr fontId="3" type="noConversion"/>
  </si>
  <si>
    <t>133롤</t>
    <phoneticPr fontId="3" type="noConversion"/>
  </si>
  <si>
    <t>삼성</t>
    <phoneticPr fontId="3" type="noConversion"/>
  </si>
  <si>
    <t>18*21친환경</t>
    <phoneticPr fontId="3" type="noConversion"/>
  </si>
  <si>
    <t>010-9131-8449</t>
  </si>
  <si>
    <t>㈜올에이치</t>
    <phoneticPr fontId="3" type="noConversion"/>
  </si>
  <si>
    <t>15*10수축/투명</t>
  </si>
  <si>
    <t>15*10수축/투명</t>
    <phoneticPr fontId="3" type="noConversion"/>
  </si>
  <si>
    <t>128롤</t>
    <phoneticPr fontId="3" type="noConversion"/>
  </si>
  <si>
    <t>광림포장기계</t>
    <phoneticPr fontId="3" type="noConversion"/>
  </si>
  <si>
    <t>12*12.5황</t>
    <phoneticPr fontId="3" type="noConversion"/>
  </si>
  <si>
    <t>80롤</t>
    <phoneticPr fontId="3" type="noConversion"/>
  </si>
  <si>
    <t>15*13황</t>
    <phoneticPr fontId="3" type="noConversion"/>
  </si>
  <si>
    <t>31롤</t>
    <phoneticPr fontId="3" type="noConversion"/>
  </si>
  <si>
    <t>한남포장</t>
    <phoneticPr fontId="3" type="noConversion"/>
  </si>
  <si>
    <t>30박스</t>
    <phoneticPr fontId="3" type="noConversion"/>
  </si>
  <si>
    <t>kic박스</t>
    <phoneticPr fontId="3" type="noConversion"/>
  </si>
  <si>
    <t>12*9.5황</t>
    <phoneticPr fontId="3" type="noConversion"/>
  </si>
  <si>
    <t>50롤</t>
    <phoneticPr fontId="3" type="noConversion"/>
  </si>
  <si>
    <t>유경산업지대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</si>
  <si>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</si>
  <si>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</si>
  <si>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</si>
  <si>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하영종합상사</t>
    <phoneticPr fontId="3" type="noConversion"/>
  </si>
  <si>
    <t>5박스</t>
    <phoneticPr fontId="3" type="noConversion"/>
  </si>
  <si>
    <t>대신택배</t>
    <phoneticPr fontId="3" type="noConversion"/>
  </si>
  <si>
    <t>kic박스</t>
    <phoneticPr fontId="3" type="noConversion"/>
  </si>
  <si>
    <t>싸이클롭</t>
    <phoneticPr fontId="3" type="noConversion"/>
  </si>
  <si>
    <t>수작업</t>
    <phoneticPr fontId="3" type="noConversion"/>
  </si>
  <si>
    <t>20.2톤</t>
    <phoneticPr fontId="3" type="noConversion"/>
  </si>
  <si>
    <t>40"(오후1시)</t>
    <phoneticPr fontId="3" type="noConversion"/>
  </si>
  <si>
    <t>285롤</t>
    <phoneticPr fontId="3" type="noConversion"/>
  </si>
  <si>
    <t>삼성</t>
    <phoneticPr fontId="3" type="noConversion"/>
  </si>
  <si>
    <t>18*21투명</t>
    <phoneticPr fontId="3" type="noConversion"/>
  </si>
  <si>
    <t>1롤</t>
    <phoneticPr fontId="3" type="noConversion"/>
  </si>
  <si>
    <t>18*21친환경</t>
    <phoneticPr fontId="3" type="noConversion"/>
  </si>
  <si>
    <t>145롤</t>
    <phoneticPr fontId="3" type="noConversion"/>
  </si>
  <si>
    <t>18*21황</t>
    <phoneticPr fontId="3" type="noConversion"/>
  </si>
  <si>
    <t>100롤</t>
    <phoneticPr fontId="3" type="noConversion"/>
  </si>
  <si>
    <t>영화수출포장</t>
    <phoneticPr fontId="3" type="noConversion"/>
  </si>
  <si>
    <t>PE50*5백</t>
    <phoneticPr fontId="3" type="noConversion"/>
  </si>
  <si>
    <t>30박스</t>
    <phoneticPr fontId="3" type="noConversion"/>
  </si>
  <si>
    <t>대동금속</t>
    <phoneticPr fontId="3" type="noConversion"/>
  </si>
  <si>
    <t>대신화물</t>
    <phoneticPr fontId="3" type="noConversion"/>
  </si>
  <si>
    <t>김제 서암동지점</t>
    <phoneticPr fontId="3" type="noConversion"/>
  </si>
  <si>
    <t>대성씨앤씨</t>
    <phoneticPr fontId="3" type="noConversion"/>
  </si>
  <si>
    <t>랩20*1400</t>
    <phoneticPr fontId="3" type="noConversion"/>
  </si>
  <si>
    <t>50박스</t>
    <phoneticPr fontId="3" type="noConversion"/>
  </si>
  <si>
    <t>2층</t>
    <phoneticPr fontId="3" type="noConversion"/>
  </si>
  <si>
    <t>40"(오후7시)</t>
    <phoneticPr fontId="3" type="noConversion"/>
  </si>
  <si>
    <t>반자동밴딩기</t>
    <phoneticPr fontId="3" type="noConversion"/>
  </si>
  <si>
    <t>1대</t>
    <phoneticPr fontId="3" type="noConversion"/>
  </si>
  <si>
    <t>96박스</t>
    <phoneticPr fontId="3" type="noConversion"/>
  </si>
  <si>
    <t>PE28*6백</t>
    <phoneticPr fontId="3" type="noConversion"/>
  </si>
  <si>
    <t>56박스</t>
    <phoneticPr fontId="3" type="noConversion"/>
  </si>
  <si>
    <t>6*10백</t>
    <phoneticPr fontId="3" type="noConversion"/>
  </si>
  <si>
    <t>6*10청</t>
    <phoneticPr fontId="3" type="noConversion"/>
  </si>
  <si>
    <t>56롤</t>
    <phoneticPr fontId="3" type="noConversion"/>
  </si>
  <si>
    <t>12*12.5황</t>
    <phoneticPr fontId="3" type="noConversion"/>
  </si>
  <si>
    <t>20롤</t>
    <phoneticPr fontId="3" type="noConversion"/>
  </si>
  <si>
    <t>용차</t>
    <phoneticPr fontId="3" type="noConversion"/>
  </si>
  <si>
    <t>삼성</t>
    <phoneticPr fontId="3" type="noConversion"/>
  </si>
  <si>
    <t>18*21친환경</t>
    <phoneticPr fontId="3" type="noConversion"/>
  </si>
  <si>
    <t>7.2톤</t>
    <phoneticPr fontId="3" type="noConversion"/>
  </si>
  <si>
    <t>20"(오후1시)</t>
    <phoneticPr fontId="3" type="noConversion"/>
  </si>
  <si>
    <t>알엘비</t>
    <phoneticPr fontId="3" type="noConversion"/>
  </si>
  <si>
    <t>7.9톤</t>
    <phoneticPr fontId="3" type="noConversion"/>
  </si>
  <si>
    <t>동원팩</t>
    <phoneticPr fontId="3" type="noConversion"/>
  </si>
  <si>
    <t>신광포장</t>
    <phoneticPr fontId="3" type="noConversion"/>
  </si>
  <si>
    <t>50롤</t>
    <phoneticPr fontId="3" type="noConversion"/>
  </si>
  <si>
    <t>12*10황(0.65T)</t>
    <phoneticPr fontId="3" type="noConversion"/>
  </si>
  <si>
    <t>50롤</t>
    <phoneticPr fontId="3" type="noConversion"/>
  </si>
  <si>
    <t>25박스</t>
    <phoneticPr fontId="3" type="noConversion"/>
  </si>
  <si>
    <t>진송팩</t>
    <phoneticPr fontId="3" type="noConversion"/>
  </si>
  <si>
    <t>24박스</t>
    <phoneticPr fontId="3" type="noConversion"/>
  </si>
  <si>
    <t>경상남도 김해시 한림면 김해대로927번길 66-31 태영포장산업 010-2641-4529</t>
    <phoneticPr fontId="3" type="noConversion"/>
  </si>
  <si>
    <t>6*10백</t>
    <phoneticPr fontId="3" type="noConversion"/>
  </si>
  <si>
    <t>12*10황</t>
    <phoneticPr fontId="3" type="noConversion"/>
  </si>
  <si>
    <t>25롤</t>
    <phoneticPr fontId="3" type="noConversion"/>
  </si>
  <si>
    <t>30박스</t>
    <phoneticPr fontId="3" type="noConversion"/>
  </si>
  <si>
    <t>466롤</t>
    <phoneticPr fontId="3" type="noConversion"/>
  </si>
  <si>
    <t>15*12황(0.65T)</t>
    <phoneticPr fontId="3" type="noConversion"/>
  </si>
  <si>
    <t>대신화물대구달성 화원지점 착불</t>
  </si>
  <si>
    <t>민건이에이</t>
  </si>
  <si>
    <t>경기도 파주시 월롱면 엘지로 386번길 116 피텍코리아 010-8840-4485</t>
  </si>
  <si>
    <t>로젠택배</t>
    <phoneticPr fontId="3" type="noConversion"/>
  </si>
  <si>
    <t>삼성종합포장</t>
  </si>
  <si>
    <t>낙원포장</t>
    <phoneticPr fontId="3" type="noConversion"/>
  </si>
  <si>
    <t>6*12.5백</t>
    <phoneticPr fontId="3" type="noConversion"/>
  </si>
  <si>
    <t>640롤</t>
    <phoneticPr fontId="3" type="noConversion"/>
  </si>
  <si>
    <t>6*10황</t>
    <phoneticPr fontId="3" type="noConversion"/>
  </si>
  <si>
    <t>150롤</t>
    <phoneticPr fontId="3" type="noConversion"/>
  </si>
  <si>
    <t>무지패드/2파레트</t>
    <phoneticPr fontId="3" type="noConversion"/>
  </si>
  <si>
    <t>용차</t>
    <phoneticPr fontId="3" type="noConversion"/>
  </si>
  <si>
    <t>2박스</t>
    <phoneticPr fontId="3" type="noConversion"/>
  </si>
  <si>
    <t>아주파레트 반납</t>
    <phoneticPr fontId="3" type="noConversion"/>
  </si>
  <si>
    <t>파라마운트</t>
    <phoneticPr fontId="3" type="noConversion"/>
  </si>
  <si>
    <t>팔레트</t>
    <phoneticPr fontId="3" type="noConversion"/>
  </si>
  <si>
    <t>6.4톤</t>
    <phoneticPr fontId="3" type="noConversion"/>
  </si>
  <si>
    <t>20"(오후1시)</t>
    <phoneticPr fontId="3" type="noConversion"/>
  </si>
  <si>
    <t>15*13황</t>
    <phoneticPr fontId="3" type="noConversion"/>
  </si>
  <si>
    <t>60롤</t>
    <phoneticPr fontId="3" type="noConversion"/>
  </si>
  <si>
    <t>용차</t>
    <phoneticPr fontId="3" type="noConversion"/>
  </si>
  <si>
    <t>경기도 파주시 문산읍 운천리 81-33 ㈜미코 010-3773-0410</t>
    <phoneticPr fontId="3" type="noConversion"/>
  </si>
  <si>
    <t>나무파레트</t>
    <phoneticPr fontId="3" type="noConversion"/>
  </si>
  <si>
    <t>운송료 반반</t>
    <phoneticPr fontId="3" type="noConversion"/>
  </si>
  <si>
    <t xml:space="preserve">경기도 파주시 문산읍  </t>
    <phoneticPr fontId="3" type="noConversion"/>
  </si>
  <si>
    <t>010-3773-0410</t>
  </si>
  <si>
    <t xml:space="preserve">운천리 81-33 </t>
    <phoneticPr fontId="3" type="noConversion"/>
  </si>
  <si>
    <t>㈜미코</t>
  </si>
  <si>
    <t>발송 : 광림포장기계</t>
    <phoneticPr fontId="8" type="noConversion"/>
  </si>
  <si>
    <t>031-790-4141</t>
    <phoneticPr fontId="3" type="noConversion"/>
  </si>
  <si>
    <t>15mm*13kg 노랑  60롤</t>
    <phoneticPr fontId="3" type="noConversion"/>
  </si>
  <si>
    <t>신대한판지</t>
    <phoneticPr fontId="3" type="noConversion"/>
  </si>
  <si>
    <t>12*10검정</t>
    <phoneticPr fontId="3" type="noConversion"/>
  </si>
  <si>
    <t>kpp빨강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</si>
  <si>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</si>
  <si>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</si>
  <si>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</si>
  <si>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50롤</t>
    <phoneticPr fontId="3" type="noConversion"/>
  </si>
  <si>
    <t>금성칼라팩</t>
  </si>
  <si>
    <t>용차</t>
    <phoneticPr fontId="3" type="noConversion"/>
  </si>
  <si>
    <t>7*10백</t>
    <phoneticPr fontId="3" type="noConversion"/>
  </si>
  <si>
    <t>359롤</t>
    <phoneticPr fontId="3" type="noConversion"/>
  </si>
  <si>
    <t>진송팩</t>
    <phoneticPr fontId="3" type="noConversion"/>
  </si>
  <si>
    <t>PE28*2백</t>
    <phoneticPr fontId="3" type="noConversion"/>
  </si>
  <si>
    <t>POWER박스</t>
    <phoneticPr fontId="3" type="noConversion"/>
  </si>
  <si>
    <t>12*10백(0.8T)</t>
    <phoneticPr fontId="3" type="noConversion"/>
  </si>
  <si>
    <t>12*10황(0.8T)</t>
    <phoneticPr fontId="3" type="noConversion"/>
  </si>
  <si>
    <t>삼성</t>
    <phoneticPr fontId="3" type="noConversion"/>
  </si>
  <si>
    <t>18*21황</t>
    <phoneticPr fontId="3" type="noConversion"/>
  </si>
  <si>
    <t>410롤</t>
    <phoneticPr fontId="3" type="noConversion"/>
  </si>
  <si>
    <t>12*10황</t>
    <phoneticPr fontId="3" type="noConversion"/>
  </si>
  <si>
    <t>128롤</t>
    <phoneticPr fontId="3" type="noConversion"/>
  </si>
  <si>
    <t>12*12.5황</t>
    <phoneticPr fontId="3" type="noConversion"/>
  </si>
  <si>
    <t>120롤</t>
    <phoneticPr fontId="3" type="noConversion"/>
  </si>
  <si>
    <t>15*13황</t>
    <phoneticPr fontId="3" type="noConversion"/>
  </si>
  <si>
    <t>20롤</t>
    <phoneticPr fontId="3" type="noConversion"/>
  </si>
  <si>
    <t>14박스</t>
    <phoneticPr fontId="3" type="noConversion"/>
  </si>
  <si>
    <t>PE28*2백(24kg)</t>
    <phoneticPr fontId="3" type="noConversion"/>
  </si>
  <si>
    <t>kpp빨강</t>
    <phoneticPr fontId="3" type="noConversion"/>
  </si>
  <si>
    <t>신영글로벌</t>
    <phoneticPr fontId="3" type="noConversion"/>
  </si>
  <si>
    <t>30롤</t>
    <phoneticPr fontId="3" type="noConversion"/>
  </si>
  <si>
    <t>오전일찍</t>
    <phoneticPr fontId="3" type="noConversion"/>
  </si>
  <si>
    <t>건영기업</t>
    <phoneticPr fontId="3" type="noConversion"/>
  </si>
  <si>
    <t>15*10청(0.65T)</t>
    <phoneticPr fontId="3" type="noConversion"/>
  </si>
  <si>
    <t>2300원</t>
    <phoneticPr fontId="3" type="noConversion"/>
  </si>
  <si>
    <t>80롤</t>
    <phoneticPr fontId="3" type="noConversion"/>
  </si>
  <si>
    <t>명세서 70롤</t>
    <phoneticPr fontId="3" type="noConversion"/>
  </si>
  <si>
    <t>5톤장축</t>
    <phoneticPr fontId="3" type="noConversion"/>
  </si>
  <si>
    <t>12pa</t>
    <phoneticPr fontId="3" type="noConversion"/>
  </si>
  <si>
    <t>60박스</t>
    <phoneticPr fontId="3" type="noConversion"/>
  </si>
  <si>
    <t>19박스</t>
    <phoneticPr fontId="3" type="noConversion"/>
  </si>
  <si>
    <t>용차</t>
    <phoneticPr fontId="3" type="noConversion"/>
  </si>
  <si>
    <t>경기도 파주시 연다산동 46-2 ㈜토빅스 파주공장 010-5290-8143</t>
    <phoneticPr fontId="3" type="noConversion"/>
  </si>
  <si>
    <t>자재 담당자</t>
    <phoneticPr fontId="8" type="noConversion"/>
  </si>
  <si>
    <t>010-5290-8143</t>
    <phoneticPr fontId="8" type="noConversion"/>
  </si>
  <si>
    <t>타이거 2.8g</t>
    <phoneticPr fontId="3" type="noConversion"/>
  </si>
  <si>
    <t>롤당 18,000원</t>
    <phoneticPr fontId="3" type="noConversion"/>
  </si>
  <si>
    <t>신광포장</t>
    <phoneticPr fontId="3" type="noConversion"/>
  </si>
  <si>
    <t>12*10황(0.65T)</t>
    <phoneticPr fontId="3" type="noConversion"/>
  </si>
  <si>
    <t>20롤</t>
    <phoneticPr fontId="3" type="noConversion"/>
  </si>
  <si>
    <t>12*3000m투명</t>
    <phoneticPr fontId="3" type="noConversion"/>
  </si>
  <si>
    <t>20롤</t>
    <phoneticPr fontId="3" type="noConversion"/>
  </si>
  <si>
    <t>15*10(0.8T)</t>
    <phoneticPr fontId="3" type="noConversion"/>
  </si>
  <si>
    <t>19롤</t>
    <phoneticPr fontId="3" type="noConversion"/>
  </si>
  <si>
    <t>방문출고</t>
    <phoneticPr fontId="3" type="noConversion"/>
  </si>
  <si>
    <t>민건이에이</t>
    <phoneticPr fontId="3" type="noConversion"/>
  </si>
  <si>
    <t>80롤</t>
    <phoneticPr fontId="3" type="noConversion"/>
  </si>
  <si>
    <t>12*10백(0.8T)</t>
    <phoneticPr fontId="3" type="noConversion"/>
  </si>
  <si>
    <t>교환</t>
    <phoneticPr fontId="3" type="noConversion"/>
  </si>
  <si>
    <t>파워엠팩</t>
    <phoneticPr fontId="3" type="noConversion"/>
  </si>
  <si>
    <t>10.5*12투명</t>
    <phoneticPr fontId="3" type="noConversion"/>
  </si>
  <si>
    <t>112롤</t>
    <phoneticPr fontId="3" type="noConversion"/>
  </si>
  <si>
    <t>경주법주</t>
    <phoneticPr fontId="3" type="noConversion"/>
  </si>
  <si>
    <t>지방합화차</t>
    <phoneticPr fontId="3" type="noConversion"/>
  </si>
  <si>
    <t>40롤</t>
    <phoneticPr fontId="3" type="noConversion"/>
  </si>
  <si>
    <t>12*10황(0.75T)</t>
    <phoneticPr fontId="3" type="noConversion"/>
  </si>
  <si>
    <t>3롤</t>
    <phoneticPr fontId="3" type="noConversion"/>
  </si>
  <si>
    <t>방문출고</t>
    <phoneticPr fontId="3" type="noConversion"/>
  </si>
  <si>
    <t>전표 10/1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</si>
  <si>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</si>
  <si>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</si>
  <si>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</si>
  <si>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유일화학</t>
    <phoneticPr fontId="3" type="noConversion"/>
  </si>
  <si>
    <t>6*10적</t>
    <phoneticPr fontId="3" type="noConversion"/>
  </si>
  <si>
    <t>무지패드</t>
    <phoneticPr fontId="3" type="noConversion"/>
  </si>
  <si>
    <t>단가확인</t>
    <phoneticPr fontId="3" type="noConversion"/>
  </si>
  <si>
    <t>삼원산업</t>
    <phoneticPr fontId="3" type="noConversion"/>
  </si>
  <si>
    <t>15*10황(0.8T)</t>
    <phoneticPr fontId="3" type="noConversion"/>
  </si>
  <si>
    <t>50롤</t>
    <phoneticPr fontId="3" type="noConversion"/>
  </si>
  <si>
    <t>100롤</t>
    <phoneticPr fontId="3" type="noConversion"/>
  </si>
  <si>
    <t>12*10황(0.85T)</t>
    <phoneticPr fontId="3" type="noConversion"/>
  </si>
  <si>
    <t>12*12황(0.75T)</t>
    <phoneticPr fontId="3" type="noConversion"/>
  </si>
  <si>
    <t>10박스</t>
    <phoneticPr fontId="3" type="noConversion"/>
  </si>
  <si>
    <t>발송 : 한남포장</t>
    <phoneticPr fontId="8" type="noConversion"/>
  </si>
  <si>
    <t>PE28mm*2kg 청색</t>
    <phoneticPr fontId="3" type="noConversion"/>
  </si>
  <si>
    <t>JH글로벌</t>
    <phoneticPr fontId="3" type="noConversion"/>
  </si>
  <si>
    <t>15*11.5황</t>
    <phoneticPr fontId="3" type="noConversion"/>
  </si>
  <si>
    <t>300롤</t>
    <phoneticPr fontId="3" type="noConversion"/>
  </si>
  <si>
    <t>대성씨앤씨</t>
    <phoneticPr fontId="3" type="noConversion"/>
  </si>
  <si>
    <t>랩20*1400</t>
    <phoneticPr fontId="3" type="noConversion"/>
  </si>
  <si>
    <t>50박스</t>
    <phoneticPr fontId="3" type="noConversion"/>
  </si>
  <si>
    <t>1층</t>
    <phoneticPr fontId="3" type="noConversion"/>
  </si>
  <si>
    <t>대한종합포장</t>
  </si>
  <si>
    <t>5*7000m</t>
  </si>
  <si>
    <t>kpp빨강</t>
  </si>
  <si>
    <t>기계2대 수거</t>
  </si>
  <si>
    <t>서흥포장</t>
    <phoneticPr fontId="3" type="noConversion"/>
  </si>
  <si>
    <t>랩15*500*400</t>
    <phoneticPr fontId="3" type="noConversion"/>
  </si>
  <si>
    <t>4박스</t>
    <phoneticPr fontId="3" type="noConversion"/>
  </si>
  <si>
    <t>신광포장</t>
    <phoneticPr fontId="3" type="noConversion"/>
  </si>
  <si>
    <t>15박스</t>
    <phoneticPr fontId="3" type="noConversion"/>
  </si>
  <si>
    <t>방문출고</t>
    <phoneticPr fontId="3" type="noConversion"/>
  </si>
  <si>
    <t>전표는 10박스</t>
    <phoneticPr fontId="3" type="noConversion"/>
  </si>
  <si>
    <t>제이케이머티리얼즈</t>
    <phoneticPr fontId="3" type="noConversion"/>
  </si>
  <si>
    <t>18*10황</t>
  </si>
  <si>
    <t>128롤</t>
    <phoneticPr fontId="3" type="noConversion"/>
  </si>
  <si>
    <t>강원농협</t>
    <phoneticPr fontId="3" type="noConversion"/>
  </si>
  <si>
    <t>12*12.5황</t>
    <phoneticPr fontId="3" type="noConversion"/>
  </si>
  <si>
    <t>300롤</t>
    <phoneticPr fontId="3" type="noConversion"/>
  </si>
  <si>
    <t>용차</t>
    <phoneticPr fontId="3" type="noConversion"/>
  </si>
  <si>
    <t>KPP빨강</t>
    <phoneticPr fontId="3" type="noConversion"/>
  </si>
  <si>
    <t>32롤</t>
    <phoneticPr fontId="3" type="noConversion"/>
  </si>
  <si>
    <t>엔지세이프티</t>
    <phoneticPr fontId="3" type="noConversion"/>
  </si>
  <si>
    <t>팔레트</t>
    <phoneticPr fontId="3" type="noConversion"/>
  </si>
  <si>
    <t>7.5톤</t>
    <phoneticPr fontId="3" type="noConversion"/>
  </si>
  <si>
    <t>20"(오후1시)</t>
    <phoneticPr fontId="3" type="noConversion"/>
  </si>
  <si>
    <t>서울상사</t>
  </si>
  <si>
    <t>12*10황(0.8t)</t>
  </si>
  <si>
    <t>삼성</t>
    <phoneticPr fontId="3" type="noConversion"/>
  </si>
  <si>
    <t>18*21친환경</t>
    <phoneticPr fontId="3" type="noConversion"/>
  </si>
  <si>
    <t>255롤</t>
    <phoneticPr fontId="3" type="noConversion"/>
  </si>
  <si>
    <t>진송팩</t>
    <phoneticPr fontId="3" type="noConversion"/>
  </si>
  <si>
    <t>6*10백</t>
    <phoneticPr fontId="3" type="noConversion"/>
  </si>
  <si>
    <t>64롤</t>
    <phoneticPr fontId="3" type="noConversion"/>
  </si>
  <si>
    <t>1박스</t>
    <phoneticPr fontId="3" type="noConversion"/>
  </si>
  <si>
    <t>서윤상사</t>
    <phoneticPr fontId="3" type="noConversion"/>
  </si>
  <si>
    <t>24박스</t>
    <phoneticPr fontId="3" type="noConversion"/>
  </si>
  <si>
    <t>제주도</t>
    <phoneticPr fontId="3" type="noConversion"/>
  </si>
  <si>
    <t>대신택배</t>
    <phoneticPr fontId="3" type="noConversion"/>
  </si>
  <si>
    <t>삼성</t>
    <phoneticPr fontId="3" type="noConversion"/>
  </si>
  <si>
    <t>18*21투명</t>
    <phoneticPr fontId="3" type="noConversion"/>
  </si>
  <si>
    <t>1롤</t>
    <phoneticPr fontId="3" type="noConversion"/>
  </si>
  <si>
    <t>18*21친환경</t>
    <phoneticPr fontId="3" type="noConversion"/>
  </si>
  <si>
    <t>100롤</t>
    <phoneticPr fontId="3" type="noConversion"/>
  </si>
  <si>
    <t>18*21황</t>
    <phoneticPr fontId="3" type="noConversion"/>
  </si>
  <si>
    <t>18*21친환경</t>
    <phoneticPr fontId="3" type="noConversion"/>
  </si>
  <si>
    <t>452롤</t>
    <phoneticPr fontId="3" type="noConversion"/>
  </si>
  <si>
    <t>오전10시용차</t>
    <phoneticPr fontId="3" type="noConversion"/>
  </si>
  <si>
    <t>오후</t>
    <phoneticPr fontId="3" type="noConversion"/>
  </si>
  <si>
    <t>파란밴딩</t>
    <phoneticPr fontId="3" type="noConversion"/>
  </si>
  <si>
    <t>12*10황(0.8T)</t>
    <phoneticPr fontId="3" type="noConversion"/>
  </si>
  <si>
    <t>KPP빨강</t>
    <phoneticPr fontId="3" type="noConversion"/>
  </si>
  <si>
    <t>삼보팩</t>
    <phoneticPr fontId="3" type="noConversion"/>
  </si>
  <si>
    <t>6롤</t>
    <phoneticPr fontId="3" type="noConversion"/>
  </si>
  <si>
    <t>대신택배</t>
    <phoneticPr fontId="3" type="noConversion"/>
  </si>
  <si>
    <t>그린웰푸드</t>
    <phoneticPr fontId="3" type="noConversion"/>
  </si>
  <si>
    <t>3600원/kg</t>
    <phoneticPr fontId="3" type="noConversion"/>
  </si>
  <si>
    <t>광림패드갈이</t>
    <phoneticPr fontId="3" type="noConversion"/>
  </si>
  <si>
    <t>1850원/kg</t>
    <phoneticPr fontId="3" type="noConversion"/>
  </si>
  <si>
    <t>KPP초록</t>
    <phoneticPr fontId="3" type="noConversion"/>
  </si>
  <si>
    <t>10롤</t>
    <phoneticPr fontId="3" type="noConversion"/>
  </si>
  <si>
    <t>2롤5묶음</t>
    <phoneticPr fontId="3" type="noConversion"/>
  </si>
  <si>
    <t>대신택배</t>
    <phoneticPr fontId="3" type="noConversion"/>
  </si>
  <si>
    <t>청구</t>
    <phoneticPr fontId="3" type="noConversion"/>
  </si>
  <si>
    <t>12*10황(0.75T)</t>
    <phoneticPr fontId="3" type="noConversion"/>
  </si>
  <si>
    <t xml:space="preserve">서울특별시 중랑구 신내역로3길40-36 데시앙플렉스A동204호 가온유통 01052672520 </t>
    <phoneticPr fontId="3" type="noConversion"/>
  </si>
  <si>
    <t>9*11은회색</t>
    <phoneticPr fontId="3" type="noConversion"/>
  </si>
  <si>
    <t>128롤</t>
    <phoneticPr fontId="3" type="noConversion"/>
  </si>
  <si>
    <t>다오</t>
    <phoneticPr fontId="3" type="noConversion"/>
  </si>
  <si>
    <t>64롤</t>
    <phoneticPr fontId="3" type="noConversion"/>
  </si>
  <si>
    <t>PE 2kg*10롤 백색</t>
    <phoneticPr fontId="3" type="noConversion"/>
  </si>
  <si>
    <t>1박스</t>
    <phoneticPr fontId="3" type="noConversion"/>
  </si>
  <si>
    <t>PP 6mm*10kg 백색</t>
    <phoneticPr fontId="3" type="noConversion"/>
  </si>
  <si>
    <t>삼화인쇄</t>
    <phoneticPr fontId="3" type="noConversion"/>
  </si>
  <si>
    <t>10.5*10투명</t>
    <phoneticPr fontId="3" type="noConversion"/>
  </si>
  <si>
    <t>100롤</t>
    <phoneticPr fontId="3" type="noConversion"/>
  </si>
  <si>
    <t>평판지하B판</t>
    <phoneticPr fontId="3" type="noConversion"/>
  </si>
  <si>
    <t>power박스</t>
    <phoneticPr fontId="3" type="noConversion"/>
  </si>
  <si>
    <t>엠피아이</t>
  </si>
  <si>
    <t>5박스</t>
    <phoneticPr fontId="3" type="noConversion"/>
  </si>
  <si>
    <t>kic박스</t>
    <phoneticPr fontId="3" type="noConversion"/>
  </si>
  <si>
    <t>로젠택배</t>
    <phoneticPr fontId="3" type="noConversion"/>
  </si>
  <si>
    <t>경북 경산시 와촌면 갈발길177 송현포장자재 / 010-9494-2446 (2박스만) (3박스는 엠피아이)</t>
    <phoneticPr fontId="8" type="noConversion"/>
  </si>
  <si>
    <t>호성수출포장</t>
    <phoneticPr fontId="3" type="noConversion"/>
  </si>
  <si>
    <t>10/4</t>
    <phoneticPr fontId="3" type="noConversion"/>
  </si>
  <si>
    <t>전주삼신산업</t>
    <phoneticPr fontId="3" type="noConversion"/>
  </si>
  <si>
    <t>10롤</t>
    <phoneticPr fontId="3" type="noConversion"/>
  </si>
  <si>
    <t>6*10백</t>
    <phoneticPr fontId="3" type="noConversion"/>
  </si>
  <si>
    <t>10롤</t>
    <phoneticPr fontId="3" type="noConversion"/>
  </si>
  <si>
    <t>7*10백(0.55T)</t>
    <phoneticPr fontId="3" type="noConversion"/>
  </si>
  <si>
    <t>20롤</t>
    <phoneticPr fontId="3" type="noConversion"/>
  </si>
  <si>
    <t>15박스</t>
    <phoneticPr fontId="3" type="noConversion"/>
  </si>
  <si>
    <t>PE28*2적</t>
    <phoneticPr fontId="3" type="noConversion"/>
  </si>
  <si>
    <t>1박스</t>
    <phoneticPr fontId="3" type="noConversion"/>
  </si>
  <si>
    <t>대신택배</t>
    <phoneticPr fontId="3" type="noConversion"/>
  </si>
  <si>
    <t>신광포장</t>
    <phoneticPr fontId="3" type="noConversion"/>
  </si>
  <si>
    <t>16*10황(수동엠보)</t>
    <phoneticPr fontId="3" type="noConversion"/>
  </si>
  <si>
    <t>48롤</t>
    <phoneticPr fontId="3" type="noConversion"/>
  </si>
  <si>
    <t>대신택배</t>
    <phoneticPr fontId="3" type="noConversion"/>
  </si>
  <si>
    <t>경인팩</t>
    <phoneticPr fontId="3" type="noConversion"/>
  </si>
  <si>
    <t>PE28*2황</t>
    <phoneticPr fontId="3" type="noConversion"/>
  </si>
  <si>
    <t>PE28*6백</t>
    <phoneticPr fontId="3" type="noConversion"/>
  </si>
  <si>
    <t>64박스</t>
    <phoneticPr fontId="3" type="noConversion"/>
  </si>
  <si>
    <t>10박스</t>
    <phoneticPr fontId="3" type="noConversion"/>
  </si>
  <si>
    <t>56박스</t>
    <phoneticPr fontId="3" type="noConversion"/>
  </si>
  <si>
    <t>6*10백</t>
    <phoneticPr fontId="3" type="noConversion"/>
  </si>
  <si>
    <t>112롤</t>
    <phoneticPr fontId="3" type="noConversion"/>
  </si>
  <si>
    <t>6*10황</t>
    <phoneticPr fontId="3" type="noConversion"/>
  </si>
  <si>
    <t>53롤</t>
    <phoneticPr fontId="3" type="noConversion"/>
  </si>
  <si>
    <t>용차</t>
    <phoneticPr fontId="3" type="noConversion"/>
  </si>
  <si>
    <t>3박스</t>
    <phoneticPr fontId="3" type="noConversion"/>
  </si>
  <si>
    <t>충청남도 천안시 동남구 목천읍 천정1길 209  대전충남양계농협 041-555-9359</t>
    <phoneticPr fontId="3" type="noConversion"/>
  </si>
  <si>
    <t>주신산업</t>
    <phoneticPr fontId="3" type="noConversion"/>
  </si>
  <si>
    <t>1박스</t>
    <phoneticPr fontId="3" type="noConversion"/>
  </si>
  <si>
    <t>경상북도 안동시 풍산읍 본마을길 137 (풍산읍) 위생세탁공장  김지영  010-3525-2621</t>
    <phoneticPr fontId="3" type="noConversion"/>
  </si>
  <si>
    <t>로젠택배</t>
    <phoneticPr fontId="3" type="noConversion"/>
  </si>
  <si>
    <t>21박스</t>
    <phoneticPr fontId="3" type="noConversion"/>
  </si>
  <si>
    <t>토</t>
    <phoneticPr fontId="8" type="noConversion"/>
  </si>
  <si>
    <t>동원팩</t>
    <phoneticPr fontId="3" type="noConversion"/>
  </si>
  <si>
    <t>6*10백</t>
    <phoneticPr fontId="3" type="noConversion"/>
  </si>
  <si>
    <t>41롤</t>
    <phoneticPr fontId="3" type="noConversion"/>
  </si>
  <si>
    <t>경인두채영농</t>
    <phoneticPr fontId="3" type="noConversion"/>
  </si>
  <si>
    <t>12*10황(0.8T)</t>
    <phoneticPr fontId="3" type="noConversion"/>
  </si>
  <si>
    <t>56롤</t>
    <phoneticPr fontId="3" type="noConversion"/>
  </si>
  <si>
    <t>20박스</t>
    <phoneticPr fontId="3" type="noConversion"/>
  </si>
  <si>
    <t>랩 20*500*350</t>
    <phoneticPr fontId="3" type="noConversion"/>
  </si>
  <si>
    <t>파워엠팩</t>
    <phoneticPr fontId="3" type="noConversion"/>
  </si>
  <si>
    <t>12*10청(0.75T)</t>
    <phoneticPr fontId="3" type="noConversion"/>
  </si>
  <si>
    <t>102롤</t>
    <phoneticPr fontId="3" type="noConversion"/>
  </si>
  <si>
    <t>384만원</t>
    <phoneticPr fontId="3" type="noConversion"/>
  </si>
  <si>
    <t>고메리</t>
    <phoneticPr fontId="3" type="noConversion"/>
  </si>
  <si>
    <t>수작업</t>
    <phoneticPr fontId="3" type="noConversion"/>
  </si>
  <si>
    <t>5.8톤</t>
    <phoneticPr fontId="3" type="noConversion"/>
  </si>
  <si>
    <t>20"(저녁7시)</t>
    <phoneticPr fontId="3" type="noConversion"/>
  </si>
  <si>
    <t>수원 예약</t>
    <phoneticPr fontId="3" type="noConversion"/>
  </si>
  <si>
    <t>시몬사</t>
  </si>
  <si>
    <t>30박스</t>
    <phoneticPr fontId="3" type="noConversion"/>
  </si>
  <si>
    <t>무지박스</t>
  </si>
  <si>
    <t>5박스</t>
    <phoneticPr fontId="3" type="noConversion"/>
  </si>
  <si>
    <t>로젠택배착불</t>
    <phoneticPr fontId="3" type="noConversion"/>
  </si>
  <si>
    <t>경북 김천시 공단로 282-4 모모종합유통 010-3122-0930</t>
    <phoneticPr fontId="3" type="noConversion"/>
  </si>
  <si>
    <t>진송팩</t>
    <phoneticPr fontId="3" type="noConversion"/>
  </si>
  <si>
    <t>6*10백</t>
    <phoneticPr fontId="3" type="noConversion"/>
  </si>
  <si>
    <t>64롤</t>
    <phoneticPr fontId="3" type="noConversion"/>
  </si>
  <si>
    <t>대한종합포장</t>
    <phoneticPr fontId="3" type="noConversion"/>
  </si>
  <si>
    <t>38,000원</t>
    <phoneticPr fontId="3" type="noConversion"/>
  </si>
  <si>
    <t>20박스</t>
    <phoneticPr fontId="3" type="noConversion"/>
  </si>
  <si>
    <t>12*10백(0.8T)</t>
    <phoneticPr fontId="3" type="noConversion"/>
  </si>
  <si>
    <t>20롤</t>
    <phoneticPr fontId="3" type="noConversion"/>
  </si>
  <si>
    <t>랩 20*500*1400</t>
    <phoneticPr fontId="3" type="noConversion"/>
  </si>
  <si>
    <t>합동포장기계</t>
    <phoneticPr fontId="3" type="noConversion"/>
  </si>
  <si>
    <t>12*12.5황</t>
    <phoneticPr fontId="3" type="noConversion"/>
  </si>
  <si>
    <t>170롤</t>
    <phoneticPr fontId="3" type="noConversion"/>
  </si>
  <si>
    <t>12*12.5투명</t>
    <phoneticPr fontId="3" type="noConversion"/>
  </si>
  <si>
    <t>30롤</t>
    <phoneticPr fontId="3" type="noConversion"/>
  </si>
  <si>
    <t>PE28*2백</t>
    <phoneticPr fontId="3" type="noConversion"/>
  </si>
  <si>
    <t>40박스</t>
    <phoneticPr fontId="3" type="noConversion"/>
  </si>
  <si>
    <t>12*10백(0.75T)</t>
    <phoneticPr fontId="3" type="noConversion"/>
  </si>
  <si>
    <t>kic박스</t>
    <phoneticPr fontId="3" type="noConversion"/>
  </si>
  <si>
    <t>349롤</t>
    <phoneticPr fontId="3" type="noConversion"/>
  </si>
  <si>
    <t>대성씨앤씨</t>
    <phoneticPr fontId="3" type="noConversion"/>
  </si>
  <si>
    <t>7*10백</t>
    <phoneticPr fontId="3" type="noConversion"/>
  </si>
  <si>
    <t>삼성</t>
    <phoneticPr fontId="3" type="noConversion"/>
  </si>
  <si>
    <t>200롤</t>
    <phoneticPr fontId="3" type="noConversion"/>
  </si>
  <si>
    <t>4박스</t>
    <phoneticPr fontId="3" type="noConversion"/>
  </si>
  <si>
    <t>62박스</t>
    <phoneticPr fontId="3" type="noConversion"/>
  </si>
  <si>
    <t>전표는 60박스</t>
    <phoneticPr fontId="3" type="noConversion"/>
  </si>
  <si>
    <t>고림포장</t>
    <phoneticPr fontId="3" type="noConversion"/>
  </si>
  <si>
    <t>7*10백(0.5T)</t>
    <phoneticPr fontId="3" type="noConversion"/>
  </si>
  <si>
    <t>대신택배</t>
    <phoneticPr fontId="3" type="noConversion"/>
  </si>
  <si>
    <t>40롤</t>
    <phoneticPr fontId="3" type="noConversion"/>
  </si>
  <si>
    <t>40롤</t>
    <phoneticPr fontId="3" type="noConversion"/>
  </si>
  <si>
    <t>랩 15*500*400</t>
    <phoneticPr fontId="3" type="noConversion"/>
  </si>
  <si>
    <t>35,000원</t>
    <phoneticPr fontId="3" type="noConversion"/>
  </si>
  <si>
    <t>2400원</t>
    <phoneticPr fontId="3" type="noConversion"/>
  </si>
  <si>
    <t>김규현</t>
    <phoneticPr fontId="3" type="noConversion"/>
  </si>
  <si>
    <t>김규현</t>
    <phoneticPr fontId="3" type="noConversion"/>
  </si>
  <si>
    <t>경기도 안성시 양성면 덕봉리85-4  수리산업 031 672 2127</t>
    <phoneticPr fontId="3" type="noConversion"/>
  </si>
  <si>
    <t>제일산업(안성)</t>
    <phoneticPr fontId="3" type="noConversion"/>
  </si>
  <si>
    <t>2900원</t>
    <phoneticPr fontId="3" type="noConversion"/>
  </si>
  <si>
    <t>파워엠팩</t>
    <phoneticPr fontId="3" type="noConversion"/>
  </si>
  <si>
    <t>10.5*10투명</t>
    <phoneticPr fontId="3" type="noConversion"/>
  </si>
  <si>
    <t>40롤</t>
    <phoneticPr fontId="3" type="noConversion"/>
  </si>
  <si>
    <t>방문출고</t>
    <phoneticPr fontId="3" type="noConversion"/>
  </si>
  <si>
    <t>경기도 김포시 홍도평로 81-45(걸포동) 김포계란알마니㈜ 010-3294-0052</t>
    <phoneticPr fontId="3" type="noConversion"/>
  </si>
  <si>
    <t>동원팩</t>
    <phoneticPr fontId="3" type="noConversion"/>
  </si>
  <si>
    <t>PE28*6백</t>
    <phoneticPr fontId="3" type="noConversion"/>
  </si>
  <si>
    <t>20박스</t>
    <phoneticPr fontId="3" type="noConversion"/>
  </si>
  <si>
    <t>20박스</t>
    <phoneticPr fontId="3" type="noConversion"/>
  </si>
  <si>
    <t>50롤</t>
    <phoneticPr fontId="3" type="noConversion"/>
  </si>
  <si>
    <t>9*2700M</t>
    <phoneticPr fontId="3" type="noConversion"/>
  </si>
  <si>
    <t>128롤(0.6T)</t>
    <phoneticPr fontId="3" type="noConversion"/>
  </si>
  <si>
    <t>2050/kg</t>
    <phoneticPr fontId="3" type="noConversion"/>
  </si>
  <si>
    <t>9.2kg</t>
    <phoneticPr fontId="3" type="noConversion"/>
  </si>
  <si>
    <t>신대한판지</t>
    <phoneticPr fontId="3" type="noConversion"/>
  </si>
  <si>
    <t>9*9.5백</t>
  </si>
  <si>
    <t>63롤</t>
  </si>
  <si>
    <t>용차</t>
    <phoneticPr fontId="3" type="noConversion"/>
  </si>
  <si>
    <t>출근하면 바로</t>
    <phoneticPr fontId="3" type="noConversion"/>
  </si>
  <si>
    <t>김규현</t>
    <phoneticPr fontId="3" type="noConversion"/>
  </si>
  <si>
    <t>같이</t>
    <phoneticPr fontId="3" type="noConversion"/>
  </si>
  <si>
    <t>81-45(걸포동)</t>
    <phoneticPr fontId="3" type="noConversion"/>
  </si>
  <si>
    <t>탐스텍</t>
    <phoneticPr fontId="3" type="noConversion"/>
  </si>
  <si>
    <t>팔레트</t>
    <phoneticPr fontId="3" type="noConversion"/>
  </si>
  <si>
    <t>5톤</t>
    <phoneticPr fontId="3" type="noConversion"/>
  </si>
  <si>
    <t>LCL</t>
    <phoneticPr fontId="3" type="noConversion"/>
  </si>
  <si>
    <t>오전</t>
    <phoneticPr fontId="3" type="noConversion"/>
  </si>
  <si>
    <t>56롤</t>
    <phoneticPr fontId="3" type="noConversion"/>
  </si>
  <si>
    <t>56롤</t>
    <phoneticPr fontId="3" type="noConversion"/>
  </si>
  <si>
    <t>경기도 용인시 처인구 모현읍 갈담리 274-52 대일계란  031-322-2261</t>
    <phoneticPr fontId="3" type="noConversion"/>
  </si>
  <si>
    <t>충남 천안시 서북구 신당새터2길 71 (신당동) 다온앤팜 010-5691-0133</t>
    <phoneticPr fontId="3" type="noConversion"/>
  </si>
  <si>
    <t>용차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</si>
  <si>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</si>
  <si>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</si>
  <si>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</si>
  <si>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충청북도 진천군 덕산면 신척산단5로 196 (덕산면, (주)견지포장) 견지포장 김법준 010-4555-0979</t>
    <phoneticPr fontId="3" type="noConversion"/>
  </si>
  <si>
    <t>토</t>
    <phoneticPr fontId="8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</si>
  <si>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</si>
  <si>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</si>
  <si>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</si>
  <si>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용차</t>
    <phoneticPr fontId="3" type="noConversion"/>
  </si>
  <si>
    <t>`</t>
    <phoneticPr fontId="3" type="noConversion"/>
  </si>
  <si>
    <t>56롤</t>
    <phoneticPr fontId="3" type="noConversion"/>
  </si>
  <si>
    <t xml:space="preserve">경기도 용인시 처인구 </t>
    <phoneticPr fontId="3" type="noConversion"/>
  </si>
  <si>
    <t>다온앤팜</t>
    <phoneticPr fontId="8" type="noConversion"/>
  </si>
  <si>
    <t>010-5691-0133</t>
    <phoneticPr fontId="3" type="noConversion"/>
  </si>
  <si>
    <t>신광포장</t>
    <phoneticPr fontId="3" type="noConversion"/>
  </si>
  <si>
    <t>15*10황(0.65T)</t>
    <phoneticPr fontId="3" type="noConversion"/>
  </si>
  <si>
    <t>50롤</t>
    <phoneticPr fontId="3" type="noConversion"/>
  </si>
  <si>
    <t>15*12황(0.65T)</t>
    <phoneticPr fontId="3" type="noConversion"/>
  </si>
  <si>
    <t>50롤</t>
    <phoneticPr fontId="3" type="noConversion"/>
  </si>
  <si>
    <t>12*10황(0.65T)</t>
    <phoneticPr fontId="3" type="noConversion"/>
  </si>
  <si>
    <t>28박스</t>
    <phoneticPr fontId="3" type="noConversion"/>
  </si>
  <si>
    <t>kic박스</t>
    <phoneticPr fontId="3" type="noConversion"/>
  </si>
  <si>
    <t>일산/아주파레트</t>
    <phoneticPr fontId="3" type="noConversion"/>
  </si>
  <si>
    <t>삼성</t>
    <phoneticPr fontId="3" type="noConversion"/>
  </si>
  <si>
    <t>18*21투명</t>
    <phoneticPr fontId="3" type="noConversion"/>
  </si>
  <si>
    <t>1롤</t>
    <phoneticPr fontId="3" type="noConversion"/>
  </si>
  <si>
    <t>18*21친환경</t>
    <phoneticPr fontId="3" type="noConversion"/>
  </si>
  <si>
    <t>18*21황</t>
    <phoneticPr fontId="3" type="noConversion"/>
  </si>
  <si>
    <t>200롤</t>
    <phoneticPr fontId="3" type="noConversion"/>
  </si>
  <si>
    <t>삼성</t>
    <phoneticPr fontId="3" type="noConversion"/>
  </si>
  <si>
    <t>18*21친환경</t>
    <phoneticPr fontId="3" type="noConversion"/>
  </si>
  <si>
    <t>266롤</t>
    <phoneticPr fontId="3" type="noConversion"/>
  </si>
  <si>
    <t>대상산업</t>
    <phoneticPr fontId="3" type="noConversion"/>
  </si>
  <si>
    <t>PE28*2백(24kg)</t>
    <phoneticPr fontId="3" type="noConversion"/>
  </si>
  <si>
    <t>3박스</t>
    <phoneticPr fontId="3" type="noConversion"/>
  </si>
  <si>
    <t>로젠택배착불</t>
    <phoneticPr fontId="3" type="noConversion"/>
  </si>
  <si>
    <t>전주삼신산업</t>
    <phoneticPr fontId="3" type="noConversion"/>
  </si>
  <si>
    <t>20박스</t>
    <phoneticPr fontId="3" type="noConversion"/>
  </si>
  <si>
    <t>10롤</t>
    <phoneticPr fontId="3" type="noConversion"/>
  </si>
  <si>
    <t>대신택배</t>
    <phoneticPr fontId="3" type="noConversion"/>
  </si>
  <si>
    <t>경인팩</t>
    <phoneticPr fontId="3" type="noConversion"/>
  </si>
  <si>
    <t>56롤</t>
    <phoneticPr fontId="3" type="noConversion"/>
  </si>
  <si>
    <t>6*10백</t>
    <phoneticPr fontId="3" type="noConversion"/>
  </si>
  <si>
    <t>서신㈜</t>
    <phoneticPr fontId="3" type="noConversion"/>
  </si>
  <si>
    <t>대신화물택배</t>
    <phoneticPr fontId="3" type="noConversion"/>
  </si>
  <si>
    <t>용차</t>
    <phoneticPr fontId="3" type="noConversion"/>
  </si>
  <si>
    <t>강원도 원주시 동부순환로 389-5(봉산동) 서신(주) 033-764-6605  010-8969-6221</t>
    <phoneticPr fontId="3" type="noConversion"/>
  </si>
  <si>
    <t>POWER박스</t>
    <phoneticPr fontId="3" type="noConversion"/>
  </si>
  <si>
    <t>경기도 포천시 가산면 유교로 34-10 (가산면) 박희철 010-4769-3101</t>
    <phoneticPr fontId="3" type="noConversion"/>
  </si>
  <si>
    <t>2박스</t>
    <phoneticPr fontId="3" type="noConversion"/>
  </si>
  <si>
    <t>진송팩</t>
    <phoneticPr fontId="3" type="noConversion"/>
  </si>
  <si>
    <t>PE28*2녹</t>
    <phoneticPr fontId="3" type="noConversion"/>
  </si>
  <si>
    <t>로젠택배</t>
    <phoneticPr fontId="3" type="noConversion"/>
  </si>
  <si>
    <t>앤더슨</t>
    <phoneticPr fontId="3" type="noConversion"/>
  </si>
  <si>
    <t>수작업</t>
    <phoneticPr fontId="3" type="noConversion"/>
  </si>
  <si>
    <t>19.3톤</t>
    <phoneticPr fontId="3" type="noConversion"/>
  </si>
  <si>
    <t>40"</t>
    <phoneticPr fontId="3" type="noConversion"/>
  </si>
  <si>
    <t xml:space="preserve">대전충남양계농협 </t>
    <phoneticPr fontId="3" type="noConversion"/>
  </si>
  <si>
    <t>54롤</t>
    <phoneticPr fontId="3" type="noConversion"/>
  </si>
  <si>
    <t>아주파레트 반납</t>
    <phoneticPr fontId="3" type="noConversion"/>
  </si>
  <si>
    <t>진송팩</t>
    <phoneticPr fontId="3" type="noConversion"/>
  </si>
  <si>
    <t>20박스</t>
    <phoneticPr fontId="3" type="noConversion"/>
  </si>
  <si>
    <t>PE28*2청</t>
    <phoneticPr fontId="3" type="noConversion"/>
  </si>
  <si>
    <t>온라인패키지</t>
    <phoneticPr fontId="3" type="noConversion"/>
  </si>
  <si>
    <t>32박스</t>
    <phoneticPr fontId="3" type="noConversion"/>
  </si>
  <si>
    <t>용달 착불</t>
    <phoneticPr fontId="3" type="noConversion"/>
  </si>
  <si>
    <t>2900원</t>
    <phoneticPr fontId="3" type="noConversion"/>
  </si>
  <si>
    <t>166롤</t>
    <phoneticPr fontId="3" type="noConversion"/>
  </si>
  <si>
    <t>파워엠팩</t>
    <phoneticPr fontId="3" type="noConversion"/>
  </si>
  <si>
    <t>6*10백</t>
    <phoneticPr fontId="3" type="noConversion"/>
  </si>
  <si>
    <t>112롤</t>
    <phoneticPr fontId="3" type="noConversion"/>
  </si>
  <si>
    <t>봉화계란</t>
    <phoneticPr fontId="3" type="noConversion"/>
  </si>
  <si>
    <t>지방합화차</t>
    <phoneticPr fontId="3" type="noConversion"/>
  </si>
  <si>
    <t>동원팩</t>
    <phoneticPr fontId="3" type="noConversion"/>
  </si>
  <si>
    <t>PE28*6백</t>
    <phoneticPr fontId="3" type="noConversion"/>
  </si>
  <si>
    <t>PE28*2황</t>
    <phoneticPr fontId="3" type="noConversion"/>
  </si>
  <si>
    <t>10박스</t>
    <phoneticPr fontId="3" type="noConversion"/>
  </si>
  <si>
    <t>2박스</t>
    <phoneticPr fontId="3" type="noConversion"/>
  </si>
  <si>
    <t>방문출고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</si>
  <si>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</si>
  <si>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</si>
  <si>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</si>
  <si>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방문출고</t>
    <phoneticPr fontId="3" type="noConversion"/>
  </si>
  <si>
    <t>서흥포장</t>
    <phoneticPr fontId="3" type="noConversion"/>
  </si>
  <si>
    <t>랩15*500*400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</si>
  <si>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</si>
  <si>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</si>
  <si>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</si>
  <si>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1층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</si>
  <si>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</si>
  <si>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</si>
  <si>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</si>
  <si>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가나안축산</t>
    <phoneticPr fontId="3" type="noConversion"/>
  </si>
  <si>
    <t>대신택배</t>
    <phoneticPr fontId="3" type="noConversion"/>
  </si>
  <si>
    <t>전북 남원시 대산면 대사로 612-52  가나안축산(매일농장)  010-8789-9942</t>
    <phoneticPr fontId="3" type="noConversion"/>
  </si>
  <si>
    <t>제책4층</t>
    <phoneticPr fontId="3" type="noConversion"/>
  </si>
  <si>
    <t>전표 210롤-160롤</t>
    <phoneticPr fontId="3" type="noConversion"/>
  </si>
  <si>
    <t>경인팩</t>
    <phoneticPr fontId="3" type="noConversion"/>
  </si>
  <si>
    <t>6*10백</t>
    <phoneticPr fontId="3" type="noConversion"/>
  </si>
  <si>
    <t>280롤</t>
    <phoneticPr fontId="3" type="noConversion"/>
  </si>
  <si>
    <t xml:space="preserve">일회용 나무파렛트 </t>
    <phoneticPr fontId="3" type="noConversion"/>
  </si>
  <si>
    <t>10개</t>
    <phoneticPr fontId="3" type="noConversion"/>
  </si>
  <si>
    <t>월</t>
    <phoneticPr fontId="8" type="noConversion"/>
  </si>
  <si>
    <t>임승진 연차</t>
    <phoneticPr fontId="3" type="noConversion"/>
  </si>
  <si>
    <t>제일산업(안성)</t>
  </si>
  <si>
    <t>KPP빨강</t>
  </si>
  <si>
    <t>경기도 파주시 월롱면 누현길 92-2 (월롱면) 티메카공구상가 D동 109호 제일축산  010-5415-4594</t>
    <phoneticPr fontId="3" type="noConversion"/>
  </si>
  <si>
    <t>보우팩</t>
    <phoneticPr fontId="3" type="noConversion"/>
  </si>
  <si>
    <t>6*10황</t>
    <phoneticPr fontId="3" type="noConversion"/>
  </si>
  <si>
    <t>250롤</t>
    <phoneticPr fontId="3" type="noConversion"/>
  </si>
  <si>
    <t>2100원</t>
    <phoneticPr fontId="3" type="noConversion"/>
  </si>
  <si>
    <t>정명인쇄사</t>
    <phoneticPr fontId="3" type="noConversion"/>
  </si>
  <si>
    <t>12*10황(0.8T)</t>
    <phoneticPr fontId="3" type="noConversion"/>
  </si>
  <si>
    <t>2롤</t>
    <phoneticPr fontId="3" type="noConversion"/>
  </si>
  <si>
    <t>2롤1묶음</t>
    <phoneticPr fontId="3" type="noConversion"/>
  </si>
  <si>
    <t>대신택배착불</t>
    <phoneticPr fontId="3" type="noConversion"/>
  </si>
  <si>
    <t>신광포장</t>
    <phoneticPr fontId="3" type="noConversion"/>
  </si>
  <si>
    <t>PE28*2백</t>
    <phoneticPr fontId="3" type="noConversion"/>
  </si>
  <si>
    <t>15박스</t>
    <phoneticPr fontId="3" type="noConversion"/>
  </si>
  <si>
    <t>PE28*6백</t>
    <phoneticPr fontId="3" type="noConversion"/>
  </si>
  <si>
    <t>5박스</t>
    <phoneticPr fontId="3" type="noConversion"/>
  </si>
  <si>
    <t>경인산업</t>
    <phoneticPr fontId="3" type="noConversion"/>
  </si>
  <si>
    <t>12*10황(0.75T)</t>
    <phoneticPr fontId="3" type="noConversion"/>
  </si>
  <si>
    <t>56롤</t>
    <phoneticPr fontId="3" type="noConversion"/>
  </si>
  <si>
    <t>경인팩</t>
    <phoneticPr fontId="3" type="noConversion"/>
  </si>
  <si>
    <t>12*10황</t>
    <phoneticPr fontId="3" type="noConversion"/>
  </si>
  <si>
    <t>충남 예산군 응봉면 입침리 487번지 010-5430-7236</t>
    <phoneticPr fontId="3" type="noConversion"/>
  </si>
  <si>
    <t>대신택배</t>
    <phoneticPr fontId="3" type="noConversion"/>
  </si>
  <si>
    <t>알엘비</t>
    <phoneticPr fontId="3" type="noConversion"/>
  </si>
  <si>
    <t>7.8톤</t>
    <phoneticPr fontId="3" type="noConversion"/>
  </si>
  <si>
    <t>금산포장</t>
    <phoneticPr fontId="3" type="noConversion"/>
  </si>
  <si>
    <t>5롤</t>
    <phoneticPr fontId="3" type="noConversion"/>
  </si>
  <si>
    <t>방문출고</t>
    <phoneticPr fontId="3" type="noConversion"/>
  </si>
  <si>
    <t>15*10투명(0.8T)</t>
    <phoneticPr fontId="3" type="noConversion"/>
  </si>
  <si>
    <t>229롤</t>
    <phoneticPr fontId="3" type="noConversion"/>
  </si>
  <si>
    <t>경인팩</t>
    <phoneticPr fontId="3" type="noConversion"/>
  </si>
  <si>
    <t>PE28*2백</t>
    <phoneticPr fontId="3" type="noConversion"/>
  </si>
  <si>
    <t>96박스</t>
    <phoneticPr fontId="3" type="noConversion"/>
  </si>
  <si>
    <t>삼성</t>
    <phoneticPr fontId="3" type="noConversion"/>
  </si>
  <si>
    <t>11*3000M</t>
    <phoneticPr fontId="3" type="noConversion"/>
  </si>
  <si>
    <t>4롤</t>
    <phoneticPr fontId="3" type="noConversion"/>
  </si>
  <si>
    <t>2롤 2묶음</t>
    <phoneticPr fontId="3" type="noConversion"/>
  </si>
  <si>
    <t>대신택배</t>
    <phoneticPr fontId="3" type="noConversion"/>
  </si>
  <si>
    <t>성은지관</t>
    <phoneticPr fontId="3" type="noConversion"/>
  </si>
  <si>
    <t>2000원</t>
    <phoneticPr fontId="3" type="noConversion"/>
  </si>
  <si>
    <t>power박스</t>
    <phoneticPr fontId="3" type="noConversion"/>
  </si>
  <si>
    <t>경남 김해시 상동면 동북로 1109번길 47-22 대은 앰비코 전찬호 부장 010-4586-1081</t>
  </si>
  <si>
    <t>20"(오전9시30분)</t>
    <phoneticPr fontId="3" type="noConversion"/>
  </si>
  <si>
    <t>삼성발주현황</t>
    <phoneticPr fontId="8" type="noConversion"/>
  </si>
  <si>
    <t>KPP빨강</t>
    <phoneticPr fontId="3" type="noConversion"/>
  </si>
  <si>
    <t>대성씨앤씨</t>
    <phoneticPr fontId="3" type="noConversion"/>
  </si>
  <si>
    <t>12*10황(0.8T)</t>
    <phoneticPr fontId="3" type="noConversion"/>
  </si>
  <si>
    <t>50롤</t>
    <phoneticPr fontId="3" type="noConversion"/>
  </si>
  <si>
    <t>파워엠팩</t>
    <phoneticPr fontId="3" type="noConversion"/>
  </si>
  <si>
    <t>12*10녹</t>
    <phoneticPr fontId="3" type="noConversion"/>
  </si>
  <si>
    <t>6롤</t>
    <phoneticPr fontId="3" type="noConversion"/>
  </si>
  <si>
    <t>대신택배</t>
    <phoneticPr fontId="3" type="noConversion"/>
  </si>
  <si>
    <t>PE28*6백</t>
    <phoneticPr fontId="3" type="noConversion"/>
  </si>
  <si>
    <t>2롤씩 3묶음</t>
    <phoneticPr fontId="3" type="noConversion"/>
  </si>
  <si>
    <t>다윈씨앤아이.</t>
  </si>
  <si>
    <t>100롤</t>
    <phoneticPr fontId="3" type="noConversion"/>
  </si>
  <si>
    <t>일산</t>
    <phoneticPr fontId="3" type="noConversion"/>
  </si>
  <si>
    <t>한남포장</t>
    <phoneticPr fontId="3" type="noConversion"/>
  </si>
  <si>
    <t>12.*9.5황</t>
    <phoneticPr fontId="3" type="noConversion"/>
  </si>
  <si>
    <t>아주파레트
(아주파레트 4장 회수)</t>
    <phoneticPr fontId="3" type="noConversion"/>
  </si>
  <si>
    <t xml:space="preserve">곤지암읍 하열미길 11-42 다윈씨앤아이 공장장 010-8341-7585 </t>
    <phoneticPr fontId="3" type="noConversion"/>
  </si>
  <si>
    <t>12*10백(0.65T)</t>
    <phoneticPr fontId="3" type="noConversion"/>
  </si>
  <si>
    <t>56박스</t>
    <phoneticPr fontId="3" type="noConversion"/>
  </si>
  <si>
    <t>나오는거만</t>
    <phoneticPr fontId="3" type="noConversion"/>
  </si>
  <si>
    <t>12*10투명(0.75T)</t>
    <phoneticPr fontId="3" type="noConversion"/>
  </si>
  <si>
    <t>19.8톤</t>
    <phoneticPr fontId="3" type="noConversion"/>
  </si>
  <si>
    <t>신광포장</t>
    <phoneticPr fontId="3" type="noConversion"/>
  </si>
  <si>
    <t>15*10투명(0.8T)</t>
    <phoneticPr fontId="3" type="noConversion"/>
  </si>
  <si>
    <t>48롤</t>
    <phoneticPr fontId="3" type="noConversion"/>
  </si>
  <si>
    <t>15*10황(0.8T)</t>
    <phoneticPr fontId="3" type="noConversion"/>
  </si>
  <si>
    <t>50롤</t>
    <phoneticPr fontId="3" type="noConversion"/>
  </si>
  <si>
    <t>7박스</t>
    <phoneticPr fontId="3" type="noConversion"/>
  </si>
  <si>
    <t>방문출고</t>
    <phoneticPr fontId="3" type="noConversion"/>
  </si>
  <si>
    <t>대신택배</t>
    <phoneticPr fontId="3" type="noConversion"/>
  </si>
  <si>
    <t>한국삼공</t>
    <phoneticPr fontId="3" type="noConversion"/>
  </si>
  <si>
    <t>kic박스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</si>
  <si>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</si>
  <si>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</si>
  <si>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</si>
  <si>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경기도 평택시 통복동 66-1번지  나라유통 010-3295-5230</t>
    <phoneticPr fontId="3" type="noConversion"/>
  </si>
  <si>
    <t>479롤</t>
    <phoneticPr fontId="3" type="noConversion"/>
  </si>
  <si>
    <t>대성씨앤씨</t>
  </si>
  <si>
    <t>2층</t>
  </si>
  <si>
    <t>20박스</t>
    <phoneticPr fontId="3" type="noConversion"/>
  </si>
  <si>
    <t>5박스</t>
    <phoneticPr fontId="3" type="noConversion"/>
  </si>
  <si>
    <t>POWER박스</t>
    <phoneticPr fontId="3" type="noConversion"/>
  </si>
  <si>
    <t>불량교환</t>
    <phoneticPr fontId="3" type="noConversion"/>
  </si>
  <si>
    <t>장원식품</t>
  </si>
  <si>
    <t>9*10황</t>
  </si>
  <si>
    <t>화</t>
    <phoneticPr fontId="8" type="noConversion"/>
  </si>
  <si>
    <t>수</t>
    <phoneticPr fontId="8" type="noConversion"/>
  </si>
  <si>
    <t>목</t>
    <phoneticPr fontId="8" type="noConversion"/>
  </si>
  <si>
    <t xml:space="preserve">무지패드 / 2파레트 </t>
  </si>
  <si>
    <t>162롤</t>
  </si>
  <si>
    <t>스피드랩코리아</t>
  </si>
  <si>
    <t>8*10백</t>
  </si>
  <si>
    <t>나무파렛트로 2파레트</t>
  </si>
  <si>
    <t>스피드랩에서 배차</t>
  </si>
  <si>
    <t>온라인패키지</t>
    <phoneticPr fontId="3" type="noConversion"/>
  </si>
  <si>
    <t>6*10백</t>
    <phoneticPr fontId="3" type="noConversion"/>
  </si>
  <si>
    <t>27롤</t>
    <phoneticPr fontId="3" type="noConversion"/>
  </si>
  <si>
    <t>24롤교환</t>
    <phoneticPr fontId="3" type="noConversion"/>
  </si>
  <si>
    <t>1동(산남동)</t>
    <phoneticPr fontId="3" type="noConversion"/>
  </si>
  <si>
    <t xml:space="preserve">경기도 파주시 산남로127, </t>
    <phoneticPr fontId="3" type="noConversion"/>
  </si>
  <si>
    <t>031-908-1372  </t>
    <phoneticPr fontId="3" type="noConversion"/>
  </si>
  <si>
    <t>010-5378-4108  </t>
    <phoneticPr fontId="3" type="noConversion"/>
  </si>
  <si>
    <t>보우팩</t>
    <phoneticPr fontId="3" type="noConversion"/>
  </si>
  <si>
    <t>9*10투명(0.75T)</t>
  </si>
  <si>
    <t>대신택배</t>
    <phoneticPr fontId="8" type="noConversion"/>
  </si>
  <si>
    <t>제이케이머티리얼즈</t>
  </si>
  <si>
    <t>129롤</t>
    <phoneticPr fontId="3" type="noConversion"/>
  </si>
  <si>
    <t>40"(오후3시)</t>
    <phoneticPr fontId="3" type="noConversion"/>
  </si>
  <si>
    <t>광림포장기계</t>
    <phoneticPr fontId="3" type="noConversion"/>
  </si>
  <si>
    <t>12*10황</t>
    <phoneticPr fontId="3" type="noConversion"/>
  </si>
  <si>
    <t>64롤</t>
    <phoneticPr fontId="3" type="noConversion"/>
  </si>
  <si>
    <t>15*10황</t>
    <phoneticPr fontId="3" type="noConversion"/>
  </si>
  <si>
    <t>64롤</t>
    <phoneticPr fontId="3" type="noConversion"/>
  </si>
  <si>
    <t>15*13황</t>
    <phoneticPr fontId="3" type="noConversion"/>
  </si>
  <si>
    <t>40롤</t>
    <phoneticPr fontId="3" type="noConversion"/>
  </si>
  <si>
    <t>동방포장</t>
  </si>
  <si>
    <t>나무파렛트</t>
    <phoneticPr fontId="3" type="noConversion"/>
  </si>
  <si>
    <t>12*10녹(0.75T)</t>
    <phoneticPr fontId="3" type="noConversion"/>
  </si>
  <si>
    <t>10롤</t>
    <phoneticPr fontId="3" type="noConversion"/>
  </si>
  <si>
    <t>패드갈이</t>
    <phoneticPr fontId="3" type="noConversion"/>
  </si>
  <si>
    <t>전주삼신산업</t>
    <phoneticPr fontId="3" type="noConversion"/>
  </si>
  <si>
    <t>6*10백</t>
    <phoneticPr fontId="3" type="noConversion"/>
  </si>
  <si>
    <t>40롤</t>
    <phoneticPr fontId="3" type="noConversion"/>
  </si>
  <si>
    <t>대신택배</t>
    <phoneticPr fontId="3" type="noConversion"/>
  </si>
  <si>
    <t>삼원산업</t>
    <phoneticPr fontId="3" type="noConversion"/>
  </si>
  <si>
    <t>100롤</t>
    <phoneticPr fontId="3" type="noConversion"/>
  </si>
  <si>
    <t>15*10황(0.8T)</t>
    <phoneticPr fontId="3" type="noConversion"/>
  </si>
  <si>
    <t>50롤</t>
    <phoneticPr fontId="3" type="noConversion"/>
  </si>
  <si>
    <t>50롤</t>
    <phoneticPr fontId="3" type="noConversion"/>
  </si>
  <si>
    <t>한남포장</t>
    <phoneticPr fontId="3" type="noConversion"/>
  </si>
  <si>
    <t>40박스</t>
    <phoneticPr fontId="3" type="noConversion"/>
  </si>
  <si>
    <t>KIC박스</t>
    <phoneticPr fontId="3" type="noConversion"/>
  </si>
  <si>
    <t>경인팩</t>
    <phoneticPr fontId="3" type="noConversion"/>
  </si>
  <si>
    <t>PE28*6백</t>
    <phoneticPr fontId="3" type="noConversion"/>
  </si>
  <si>
    <t>24박스</t>
    <phoneticPr fontId="3" type="noConversion"/>
  </si>
  <si>
    <t>8박스</t>
    <phoneticPr fontId="3" type="noConversion"/>
  </si>
  <si>
    <t>12*10황(0.85T)</t>
    <phoneticPr fontId="3" type="noConversion"/>
  </si>
  <si>
    <t>8*10백(0.5T)</t>
    <phoneticPr fontId="3" type="noConversion"/>
  </si>
  <si>
    <t>삼성</t>
    <phoneticPr fontId="3" type="noConversion"/>
  </si>
  <si>
    <t>18*21투명</t>
    <phoneticPr fontId="3" type="noConversion"/>
  </si>
  <si>
    <t>1롤</t>
    <phoneticPr fontId="3" type="noConversion"/>
  </si>
  <si>
    <t>18*21친환경</t>
    <phoneticPr fontId="3" type="noConversion"/>
  </si>
  <si>
    <t>18*21황</t>
    <phoneticPr fontId="3" type="noConversion"/>
  </si>
  <si>
    <t>100롤</t>
    <phoneticPr fontId="3" type="noConversion"/>
  </si>
  <si>
    <t>삼성</t>
    <phoneticPr fontId="3" type="noConversion"/>
  </si>
  <si>
    <t>18*21친환경</t>
    <phoneticPr fontId="3" type="noConversion"/>
  </si>
  <si>
    <t>알엘비</t>
    <phoneticPr fontId="3" type="noConversion"/>
  </si>
  <si>
    <t>팔레트</t>
    <phoneticPr fontId="3" type="noConversion"/>
  </si>
  <si>
    <t>8톤</t>
    <phoneticPr fontId="3" type="noConversion"/>
  </si>
  <si>
    <t>20"(오후1시)</t>
    <phoneticPr fontId="3" type="noConversion"/>
  </si>
  <si>
    <t>고메리</t>
    <phoneticPr fontId="3" type="noConversion"/>
  </si>
  <si>
    <t>수작업</t>
    <phoneticPr fontId="3" type="noConversion"/>
  </si>
  <si>
    <t>오전1착</t>
    <phoneticPr fontId="3" type="noConversion"/>
  </si>
  <si>
    <t>랩20*500*350</t>
    <phoneticPr fontId="3" type="noConversion"/>
  </si>
  <si>
    <t>9,200원/롤</t>
    <phoneticPr fontId="3" type="noConversion"/>
  </si>
  <si>
    <t>12*10백(0.8T)</t>
  </si>
  <si>
    <t>빵 크기 확인</t>
  </si>
  <si>
    <t>22,000원/롤</t>
    <phoneticPr fontId="3" type="noConversion"/>
  </si>
  <si>
    <t>제주특별자치도 서귀포시 토평공단로139번길 5(토평동)  제주런드리 064-733-0053 / 010-2594-0020</t>
    <phoneticPr fontId="3" type="noConversion"/>
  </si>
  <si>
    <t>경기도 시흥시 계수동 227-2</t>
    <phoneticPr fontId="3" type="noConversion"/>
  </si>
  <si>
    <t>장원식품</t>
    <phoneticPr fontId="3" type="noConversion"/>
  </si>
  <si>
    <t>010-3663-9325</t>
  </si>
  <si>
    <t>9mm*10kg 황색</t>
    <phoneticPr fontId="3" type="noConversion"/>
  </si>
  <si>
    <t>30롤</t>
    <phoneticPr fontId="3" type="noConversion"/>
  </si>
  <si>
    <t>대신택배착불</t>
    <phoneticPr fontId="3" type="noConversion"/>
  </si>
  <si>
    <t>우기케미칼</t>
    <phoneticPr fontId="3" type="noConversion"/>
  </si>
  <si>
    <t>20박스</t>
    <phoneticPr fontId="3" type="noConversion"/>
  </si>
  <si>
    <t>대신화물착불</t>
    <phoneticPr fontId="3" type="noConversion"/>
  </si>
  <si>
    <t>대신화물 용인모현지점</t>
    <phoneticPr fontId="3" type="noConversion"/>
  </si>
  <si>
    <t>진송팩</t>
    <phoneticPr fontId="3" type="noConversion"/>
  </si>
  <si>
    <t>power박스</t>
    <phoneticPr fontId="3" type="noConversion"/>
  </si>
  <si>
    <t>김규현/오후</t>
    <phoneticPr fontId="3" type="noConversion"/>
  </si>
  <si>
    <t>경인팩</t>
    <phoneticPr fontId="3" type="noConversion"/>
  </si>
  <si>
    <t>PE28*2백(24kg)</t>
    <phoneticPr fontId="3" type="noConversion"/>
  </si>
  <si>
    <t>105박스</t>
    <phoneticPr fontId="3" type="noConversion"/>
  </si>
  <si>
    <t>6*10백</t>
    <phoneticPr fontId="3" type="noConversion"/>
  </si>
  <si>
    <t>64롤</t>
    <phoneticPr fontId="3" type="noConversion"/>
  </si>
  <si>
    <t>아주파레트</t>
    <phoneticPr fontId="3" type="noConversion"/>
  </si>
  <si>
    <t>나무파렛트</t>
    <phoneticPr fontId="3" type="noConversion"/>
  </si>
  <si>
    <t>대구한국포장
지방합화차 착불</t>
    <phoneticPr fontId="3" type="noConversion"/>
  </si>
  <si>
    <t>20"(오후2시)</t>
    <phoneticPr fontId="3" type="noConversion"/>
  </si>
  <si>
    <t>신광포장</t>
    <phoneticPr fontId="3" type="noConversion"/>
  </si>
  <si>
    <t>15*10청(0.6T)</t>
    <phoneticPr fontId="3" type="noConversion"/>
  </si>
  <si>
    <t>20롤</t>
    <phoneticPr fontId="3" type="noConversion"/>
  </si>
  <si>
    <t>용차</t>
    <phoneticPr fontId="3" type="noConversion"/>
  </si>
  <si>
    <t>인천광역시 남동구 논현동 434-10 광명산업010 7184 3141</t>
    <phoneticPr fontId="3" type="noConversion"/>
  </si>
  <si>
    <t xml:space="preserve">인천광역시 남동구 논현동 434-10 </t>
    <phoneticPr fontId="3" type="noConversion"/>
  </si>
  <si>
    <t>15*10청색(0.6T)</t>
    <phoneticPr fontId="3" type="noConversion"/>
  </si>
  <si>
    <t>발송 : 신광포장기계</t>
    <phoneticPr fontId="8" type="noConversion"/>
  </si>
  <si>
    <t>광명산업</t>
    <phoneticPr fontId="3" type="noConversion"/>
  </si>
  <si>
    <t>010-7184-3141</t>
    <phoneticPr fontId="3" type="noConversion"/>
  </si>
  <si>
    <t>광명산업</t>
    <phoneticPr fontId="3" type="noConversion"/>
  </si>
  <si>
    <t>175롤</t>
    <phoneticPr fontId="3" type="noConversion"/>
  </si>
  <si>
    <t>금산포장</t>
    <phoneticPr fontId="3" type="noConversion"/>
  </si>
  <si>
    <t>PE28*2백</t>
    <phoneticPr fontId="3" type="noConversion"/>
  </si>
  <si>
    <t>인아플러스텍</t>
    <phoneticPr fontId="3" type="noConversion"/>
  </si>
  <si>
    <t>피앤비</t>
    <phoneticPr fontId="3" type="noConversion"/>
  </si>
  <si>
    <t>12*10백(0.8t)</t>
    <phoneticPr fontId="3" type="noConversion"/>
  </si>
  <si>
    <t>50롤</t>
    <phoneticPr fontId="3" type="noConversion"/>
  </si>
  <si>
    <t xml:space="preserve">       </t>
    <phoneticPr fontId="3" type="noConversion"/>
  </si>
  <si>
    <t>밴딩기 2대 수거</t>
    <phoneticPr fontId="3" type="noConversion"/>
  </si>
  <si>
    <t>KPP빨강</t>
    <phoneticPr fontId="3" type="noConversion"/>
  </si>
  <si>
    <t>김규현/오전</t>
    <phoneticPr fontId="3" type="noConversion"/>
  </si>
  <si>
    <t>올때 우선산업에서 밴딩끈 가져오기</t>
    <phoneticPr fontId="3" type="noConversion"/>
  </si>
  <si>
    <t>2300원</t>
    <phoneticPr fontId="3" type="noConversion"/>
  </si>
  <si>
    <t>같이</t>
    <phoneticPr fontId="3" type="noConversion"/>
  </si>
  <si>
    <t>16박스</t>
    <phoneticPr fontId="8" type="noConversion"/>
  </si>
  <si>
    <t>싸이클롭</t>
    <phoneticPr fontId="3" type="noConversion"/>
  </si>
  <si>
    <t>팔레트</t>
    <phoneticPr fontId="3" type="noConversion"/>
  </si>
  <si>
    <t>17.9톤</t>
    <phoneticPr fontId="3" type="noConversion"/>
  </si>
  <si>
    <t>40"(오후1시)</t>
    <phoneticPr fontId="3" type="noConversion"/>
  </si>
  <si>
    <t>한제</t>
    <phoneticPr fontId="3" type="noConversion"/>
  </si>
  <si>
    <t>수작업</t>
    <phoneticPr fontId="3" type="noConversion"/>
  </si>
  <si>
    <t>40"(오후1시)</t>
    <phoneticPr fontId="3" type="noConversion"/>
  </si>
  <si>
    <t>노스쇼어</t>
    <phoneticPr fontId="3" type="noConversion"/>
  </si>
  <si>
    <t>팔레트</t>
    <phoneticPr fontId="3" type="noConversion"/>
  </si>
  <si>
    <t>14.4톤</t>
    <phoneticPr fontId="3" type="noConversion"/>
  </si>
  <si>
    <t>40"(오후1시)</t>
    <phoneticPr fontId="3" type="noConversion"/>
  </si>
  <si>
    <t>14톤</t>
    <phoneticPr fontId="3" type="noConversion"/>
  </si>
  <si>
    <t>밴딩기 반납</t>
    <phoneticPr fontId="3" type="noConversion"/>
  </si>
  <si>
    <t>3100원</t>
    <phoneticPr fontId="3" type="noConversion"/>
  </si>
  <si>
    <t>472롤</t>
    <phoneticPr fontId="3" type="noConversion"/>
  </si>
  <si>
    <t>삼성</t>
    <phoneticPr fontId="3" type="noConversion"/>
  </si>
  <si>
    <t>18*21친환경</t>
    <phoneticPr fontId="3" type="noConversion"/>
  </si>
  <si>
    <t>136롤</t>
    <phoneticPr fontId="3" type="noConversion"/>
  </si>
  <si>
    <t>파워엠팩</t>
    <phoneticPr fontId="3" type="noConversion"/>
  </si>
  <si>
    <t>9*11은회색</t>
    <phoneticPr fontId="3" type="noConversion"/>
  </si>
  <si>
    <t>120롤</t>
    <phoneticPr fontId="3" type="noConversion"/>
  </si>
  <si>
    <t>다오</t>
    <phoneticPr fontId="3" type="noConversion"/>
  </si>
  <si>
    <t>지방합화차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</si>
  <si>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</si>
  <si>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</si>
  <si>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</si>
  <si>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경기도 이천시 백사면 원적로 852 (백사면) 양우철 010-9534-5593</t>
    <phoneticPr fontId="3" type="noConversion"/>
  </si>
  <si>
    <t>12*10황(0.75t)</t>
    <phoneticPr fontId="3" type="noConversion"/>
  </si>
  <si>
    <t>104롤</t>
    <phoneticPr fontId="3" type="noConversion"/>
  </si>
  <si>
    <t>방문출고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</si>
  <si>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</si>
  <si>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</si>
  <si>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</si>
  <si>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</si>
  <si>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</si>
  <si>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</si>
  <si>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</si>
  <si>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</si>
  <si>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PE28*2황</t>
    <phoneticPr fontId="3" type="noConversion"/>
  </si>
  <si>
    <t>3박스</t>
    <phoneticPr fontId="3" type="noConversion"/>
  </si>
  <si>
    <t>12*10황(0.8T)</t>
    <phoneticPr fontId="3" type="noConversion"/>
  </si>
  <si>
    <t>디알젬</t>
    <phoneticPr fontId="3" type="noConversion"/>
  </si>
  <si>
    <t>신광포장</t>
    <phoneticPr fontId="3" type="noConversion"/>
  </si>
  <si>
    <t>15*12황(0.65T)</t>
    <phoneticPr fontId="3" type="noConversion"/>
  </si>
  <si>
    <t>50롤</t>
    <phoneticPr fontId="3" type="noConversion"/>
  </si>
  <si>
    <t>KIC박스</t>
    <phoneticPr fontId="3" type="noConversion"/>
  </si>
  <si>
    <t>POWER박스</t>
    <phoneticPr fontId="3" type="noConversion"/>
  </si>
  <si>
    <t>광림포장</t>
    <phoneticPr fontId="3" type="noConversion"/>
  </si>
  <si>
    <t>삼성</t>
    <phoneticPr fontId="3" type="noConversion"/>
  </si>
  <si>
    <t>18*21친환경</t>
    <phoneticPr fontId="3" type="noConversion"/>
  </si>
  <si>
    <t>파워엠팩</t>
    <phoneticPr fontId="3" type="noConversion"/>
  </si>
  <si>
    <t>12*10검정</t>
    <phoneticPr fontId="3" type="noConversion"/>
  </si>
  <si>
    <t>200롤</t>
    <phoneticPr fontId="3" type="noConversion"/>
  </si>
  <si>
    <t>지방합화차</t>
    <phoneticPr fontId="3" type="noConversion"/>
  </si>
  <si>
    <t>10.5*10투명(0.75T)</t>
    <phoneticPr fontId="3" type="noConversion"/>
  </si>
  <si>
    <t>100롤</t>
    <phoneticPr fontId="3" type="noConversion"/>
  </si>
  <si>
    <t>보우팩</t>
    <phoneticPr fontId="3" type="noConversion"/>
  </si>
  <si>
    <t>2박스</t>
    <phoneticPr fontId="3" type="noConversion"/>
  </si>
  <si>
    <t>인덕농장</t>
    <phoneticPr fontId="3" type="noConversion"/>
  </si>
  <si>
    <t>로젠택배</t>
    <phoneticPr fontId="3" type="noConversion"/>
  </si>
  <si>
    <t>경기도 의정부시 태평로 90번길 14  인덕농장  010-5255-4226</t>
    <phoneticPr fontId="3" type="noConversion"/>
  </si>
  <si>
    <t>오전 1착</t>
    <phoneticPr fontId="3" type="noConversion"/>
  </si>
  <si>
    <t>6*10백</t>
    <phoneticPr fontId="3" type="noConversion"/>
  </si>
  <si>
    <t>6롤</t>
    <phoneticPr fontId="3" type="noConversion"/>
  </si>
  <si>
    <t>2롤3묶음</t>
    <phoneticPr fontId="3" type="noConversion"/>
  </si>
  <si>
    <t>대신택배</t>
    <phoneticPr fontId="3" type="noConversion"/>
  </si>
  <si>
    <t>남양주시 화도읍 가곡리 185 노른자유통 010-4426-1590</t>
    <phoneticPr fontId="3" type="noConversion"/>
  </si>
  <si>
    <t>9*10투명(0.75T)</t>
    <phoneticPr fontId="3" type="noConversion"/>
  </si>
  <si>
    <t>빨간밴딩/패드갈이</t>
    <phoneticPr fontId="3" type="noConversion"/>
  </si>
  <si>
    <t>보우팩</t>
    <phoneticPr fontId="3" type="noConversion"/>
  </si>
  <si>
    <t>6*10백</t>
    <phoneticPr fontId="3" type="noConversion"/>
  </si>
  <si>
    <t>200롤</t>
    <phoneticPr fontId="3" type="noConversion"/>
  </si>
  <si>
    <t>파란밴딩</t>
    <phoneticPr fontId="3" type="noConversion"/>
  </si>
  <si>
    <t>9*10투명(0.75T)</t>
    <phoneticPr fontId="3" type="noConversion"/>
  </si>
  <si>
    <t>16롤</t>
    <phoneticPr fontId="3" type="noConversion"/>
  </si>
  <si>
    <t>실출고 50롤</t>
    <phoneticPr fontId="3" type="noConversion"/>
  </si>
  <si>
    <t>실출고 20롤</t>
    <phoneticPr fontId="3" type="noConversion"/>
  </si>
  <si>
    <t>광주 갈때 30롤 갖다주기</t>
    <phoneticPr fontId="3" type="noConversion"/>
  </si>
  <si>
    <t>남창</t>
    <phoneticPr fontId="3" type="noConversion"/>
  </si>
  <si>
    <t>PE28*2백</t>
    <phoneticPr fontId="3" type="noConversion"/>
  </si>
  <si>
    <t>64박스</t>
    <phoneticPr fontId="3" type="noConversion"/>
  </si>
  <si>
    <t>경인팩</t>
    <phoneticPr fontId="3" type="noConversion"/>
  </si>
  <si>
    <t>목</t>
    <phoneticPr fontId="3" type="noConversion"/>
  </si>
  <si>
    <t>광주천일포장</t>
    <phoneticPr fontId="3" type="noConversion"/>
  </si>
  <si>
    <t>PE28*6백</t>
    <phoneticPr fontId="3" type="noConversion"/>
  </si>
  <si>
    <t>15박스</t>
    <phoneticPr fontId="3" type="noConversion"/>
  </si>
  <si>
    <t>방문출고</t>
    <phoneticPr fontId="3" type="noConversion"/>
  </si>
  <si>
    <t>20박스</t>
    <phoneticPr fontId="3" type="noConversion"/>
  </si>
  <si>
    <t>20롤</t>
    <phoneticPr fontId="3" type="noConversion"/>
  </si>
  <si>
    <t>방문출고</t>
    <phoneticPr fontId="3" type="noConversion"/>
  </si>
  <si>
    <t>대상산업</t>
    <phoneticPr fontId="3" type="noConversion"/>
  </si>
  <si>
    <t>PE28*2백</t>
    <phoneticPr fontId="3" type="noConversion"/>
  </si>
  <si>
    <t>25박스(24kg)</t>
    <phoneticPr fontId="3" type="noConversion"/>
  </si>
  <si>
    <t>PE28*2청</t>
    <phoneticPr fontId="3" type="noConversion"/>
  </si>
  <si>
    <t>5박스</t>
    <phoneticPr fontId="3" type="noConversion"/>
  </si>
  <si>
    <t>PE50*6백</t>
    <phoneticPr fontId="3" type="noConversion"/>
  </si>
  <si>
    <t>15박스</t>
    <phoneticPr fontId="3" type="noConversion"/>
  </si>
  <si>
    <t>PE50*5황</t>
  </si>
  <si>
    <t>용차 착불</t>
  </si>
  <si>
    <t>나무파레트 한파레트로</t>
    <phoneticPr fontId="3" type="noConversion"/>
  </si>
  <si>
    <t>제일산업(안성)</t>
    <phoneticPr fontId="3" type="noConversion"/>
  </si>
  <si>
    <t>PE50*5백</t>
    <phoneticPr fontId="3" type="noConversion"/>
  </si>
  <si>
    <t>신광포장</t>
    <phoneticPr fontId="3" type="noConversion"/>
  </si>
  <si>
    <t>12*10황(0.65T)</t>
    <phoneticPr fontId="3" type="noConversion"/>
  </si>
  <si>
    <t>50롤</t>
    <phoneticPr fontId="3" type="noConversion"/>
  </si>
  <si>
    <t>50롤</t>
    <phoneticPr fontId="3" type="noConversion"/>
  </si>
  <si>
    <t>15*10황(0.65T)</t>
    <phoneticPr fontId="3" type="noConversion"/>
  </si>
  <si>
    <t>경인팩</t>
    <phoneticPr fontId="3" type="noConversion"/>
  </si>
  <si>
    <t>PE28*6백</t>
    <phoneticPr fontId="3" type="noConversion"/>
  </si>
  <si>
    <t>28박스</t>
    <phoneticPr fontId="3" type="noConversion"/>
  </si>
  <si>
    <t>PE28*2백</t>
    <phoneticPr fontId="3" type="noConversion"/>
  </si>
  <si>
    <t>64박스</t>
    <phoneticPr fontId="3" type="noConversion"/>
  </si>
  <si>
    <t>용차</t>
    <phoneticPr fontId="3" type="noConversion"/>
  </si>
  <si>
    <t>파워엠팩</t>
    <phoneticPr fontId="3" type="noConversion"/>
  </si>
  <si>
    <t>10.5*10청</t>
    <phoneticPr fontId="3" type="noConversion"/>
  </si>
  <si>
    <t>50롤</t>
    <phoneticPr fontId="3" type="noConversion"/>
  </si>
  <si>
    <t>12*12.5투명</t>
    <phoneticPr fontId="3" type="noConversion"/>
  </si>
  <si>
    <t>40롤</t>
    <phoneticPr fontId="3" type="noConversion"/>
  </si>
  <si>
    <t>방문출고</t>
    <phoneticPr fontId="3" type="noConversion"/>
  </si>
  <si>
    <t>대한종합포장</t>
    <phoneticPr fontId="3" type="noConversion"/>
  </si>
  <si>
    <t>랩20*400*1400</t>
    <phoneticPr fontId="3" type="noConversion"/>
  </si>
  <si>
    <t>30박스</t>
    <phoneticPr fontId="3" type="noConversion"/>
  </si>
  <si>
    <t>power박스/대구한국포장</t>
    <phoneticPr fontId="3" type="noConversion"/>
  </si>
  <si>
    <t>강원농협</t>
    <phoneticPr fontId="3" type="noConversion"/>
  </si>
  <si>
    <t>12*12.5황</t>
    <phoneticPr fontId="3" type="noConversion"/>
  </si>
  <si>
    <t>300롤</t>
    <phoneticPr fontId="3" type="noConversion"/>
  </si>
  <si>
    <t>신광포장</t>
    <phoneticPr fontId="3" type="noConversion"/>
  </si>
  <si>
    <t>48롤</t>
    <phoneticPr fontId="3" type="noConversion"/>
  </si>
  <si>
    <t>대신택배</t>
    <phoneticPr fontId="3" type="noConversion"/>
  </si>
  <si>
    <t>15*10황(0.65T)</t>
    <phoneticPr fontId="3" type="noConversion"/>
  </si>
  <si>
    <t>강원도 속초시 농공단지1길 28-7  해성식품 033 631 9933</t>
    <phoneticPr fontId="3" type="noConversion"/>
  </si>
  <si>
    <t>155롤</t>
    <phoneticPr fontId="3" type="noConversion"/>
  </si>
  <si>
    <t>경기도 양주시 남면 삼육사로 270</t>
    <phoneticPr fontId="8" type="noConversion"/>
  </si>
  <si>
    <t>4롤</t>
    <phoneticPr fontId="3" type="noConversion"/>
  </si>
  <si>
    <t>양주/용차</t>
    <phoneticPr fontId="3" type="noConversion"/>
  </si>
  <si>
    <t>대상산업</t>
    <phoneticPr fontId="3" type="noConversion"/>
  </si>
  <si>
    <t>PE28*2백(24kg)</t>
    <phoneticPr fontId="3" type="noConversion"/>
  </si>
  <si>
    <t>10박스</t>
    <phoneticPr fontId="3" type="noConversion"/>
  </si>
  <si>
    <t>PE28*6백</t>
    <phoneticPr fontId="3" type="noConversion"/>
  </si>
  <si>
    <t>10박스</t>
    <phoneticPr fontId="3" type="noConversion"/>
  </si>
  <si>
    <t>방문출고</t>
    <phoneticPr fontId="3" type="noConversion"/>
  </si>
  <si>
    <t>5박스</t>
    <phoneticPr fontId="3" type="noConversion"/>
  </si>
  <si>
    <t>신대한판지</t>
    <phoneticPr fontId="3" type="noConversion"/>
  </si>
  <si>
    <t>63롤</t>
    <phoneticPr fontId="3" type="noConversion"/>
  </si>
  <si>
    <t>1박스교환</t>
    <phoneticPr fontId="3" type="noConversion"/>
  </si>
  <si>
    <t>76박스</t>
    <phoneticPr fontId="3" type="noConversion"/>
  </si>
  <si>
    <t>전표는75</t>
    <phoneticPr fontId="3" type="noConversion"/>
  </si>
  <si>
    <t>삼성</t>
    <phoneticPr fontId="3" type="noConversion"/>
  </si>
  <si>
    <t>영화수출포장</t>
    <phoneticPr fontId="3" type="noConversion"/>
  </si>
  <si>
    <t>18*21친환경</t>
    <phoneticPr fontId="3" type="noConversion"/>
  </si>
  <si>
    <t>85롤</t>
    <phoneticPr fontId="3" type="noConversion"/>
  </si>
  <si>
    <t>PE50*5백</t>
    <phoneticPr fontId="3" type="noConversion"/>
  </si>
  <si>
    <t>토</t>
    <phoneticPr fontId="8" type="noConversion"/>
  </si>
  <si>
    <t>양주</t>
    <phoneticPr fontId="3" type="noConversion"/>
  </si>
  <si>
    <t>4롤은 11/10일 출고</t>
    <phoneticPr fontId="3" type="noConversion"/>
  </si>
  <si>
    <t>49롤</t>
    <phoneticPr fontId="3" type="noConversion"/>
  </si>
  <si>
    <t>14*10초록</t>
    <phoneticPr fontId="3" type="noConversion"/>
  </si>
  <si>
    <t>100롤</t>
    <phoneticPr fontId="3" type="noConversion"/>
  </si>
  <si>
    <t>14*10파랑</t>
    <phoneticPr fontId="3" type="noConversion"/>
  </si>
  <si>
    <t>100롤</t>
    <phoneticPr fontId="3" type="noConversion"/>
  </si>
  <si>
    <t>14*10갈색</t>
    <phoneticPr fontId="3" type="noConversion"/>
  </si>
  <si>
    <t>50롤</t>
    <phoneticPr fontId="3" type="noConversion"/>
  </si>
  <si>
    <t>지방합화차</t>
    <phoneticPr fontId="3" type="noConversion"/>
  </si>
  <si>
    <t>방문출고</t>
    <phoneticPr fontId="3" type="noConversion"/>
  </si>
  <si>
    <t>30박스</t>
    <phoneticPr fontId="3" type="noConversion"/>
  </si>
  <si>
    <t>9*9.5백</t>
    <phoneticPr fontId="3" type="noConversion"/>
  </si>
  <si>
    <t>12*10황(0.8T)</t>
    <phoneticPr fontId="3" type="noConversion"/>
  </si>
  <si>
    <t>6*10백</t>
    <phoneticPr fontId="3" type="noConversion"/>
  </si>
  <si>
    <t>20롤</t>
    <phoneticPr fontId="3" type="noConversion"/>
  </si>
  <si>
    <t>50박스</t>
    <phoneticPr fontId="3" type="noConversion"/>
  </si>
  <si>
    <t>PE28*2황</t>
    <phoneticPr fontId="3" type="noConversion"/>
  </si>
  <si>
    <t>11박스</t>
    <phoneticPr fontId="3" type="noConversion"/>
  </si>
  <si>
    <t>PE28*2청</t>
    <phoneticPr fontId="3" type="noConversion"/>
  </si>
  <si>
    <t>1박스</t>
    <phoneticPr fontId="3" type="noConversion"/>
  </si>
  <si>
    <t>파워엠팩</t>
    <phoneticPr fontId="3" type="noConversion"/>
  </si>
  <si>
    <t>13*11은회색</t>
    <phoneticPr fontId="3" type="noConversion"/>
  </si>
  <si>
    <t>50롤</t>
    <phoneticPr fontId="3" type="noConversion"/>
  </si>
  <si>
    <t>지방합화차</t>
    <phoneticPr fontId="3" type="noConversion"/>
  </si>
  <si>
    <t>다오</t>
    <phoneticPr fontId="3" type="noConversion"/>
  </si>
  <si>
    <t>충남 천안시 서북구 성거읍</t>
    <phoneticPr fontId="3" type="noConversion"/>
  </si>
  <si>
    <t>마당재길 28</t>
    <phoneticPr fontId="3" type="noConversion"/>
  </si>
  <si>
    <t>유하정판㈜</t>
    <phoneticPr fontId="3" type="noConversion"/>
  </si>
  <si>
    <t>발송 : 대상산업</t>
    <phoneticPr fontId="8" type="noConversion"/>
  </si>
  <si>
    <t>12mm*12.5kg 황색 30롤</t>
    <phoneticPr fontId="3" type="noConversion"/>
  </si>
  <si>
    <t>PE28*2 백색 5박스(24kg)</t>
    <phoneticPr fontId="3" type="noConversion"/>
  </si>
  <si>
    <t>대상산업</t>
    <phoneticPr fontId="3" type="noConversion"/>
  </si>
  <si>
    <t>12*12.5황</t>
    <phoneticPr fontId="3" type="noConversion"/>
  </si>
  <si>
    <t>30롤</t>
    <phoneticPr fontId="3" type="noConversion"/>
  </si>
  <si>
    <t>PE28*2백(24kg)</t>
    <phoneticPr fontId="3" type="noConversion"/>
  </si>
  <si>
    <t>5박스</t>
    <phoneticPr fontId="3" type="noConversion"/>
  </si>
  <si>
    <t>용차</t>
    <phoneticPr fontId="3" type="noConversion"/>
  </si>
  <si>
    <t>041-522-8636 / 010-3588-9371</t>
    <phoneticPr fontId="3" type="noConversion"/>
  </si>
  <si>
    <t>15박스</t>
    <phoneticPr fontId="3" type="noConversion"/>
  </si>
  <si>
    <t>삼성</t>
    <phoneticPr fontId="3" type="noConversion"/>
  </si>
  <si>
    <t>동원팩</t>
    <phoneticPr fontId="3" type="noConversion"/>
  </si>
  <si>
    <t>6*10백</t>
    <phoneticPr fontId="3" type="noConversion"/>
  </si>
  <si>
    <t>방문출고</t>
    <phoneticPr fontId="3" type="noConversion"/>
  </si>
  <si>
    <t>삼성</t>
    <phoneticPr fontId="3" type="noConversion"/>
  </si>
  <si>
    <t>바오</t>
    <phoneticPr fontId="3" type="noConversion"/>
  </si>
  <si>
    <t>2박스</t>
    <phoneticPr fontId="3" type="noConversion"/>
  </si>
  <si>
    <t>KIC박스</t>
    <phoneticPr fontId="3" type="noConversion"/>
  </si>
  <si>
    <t>61롤</t>
    <phoneticPr fontId="3" type="noConversion"/>
  </si>
  <si>
    <t>2박스</t>
    <phoneticPr fontId="3" type="noConversion"/>
  </si>
  <si>
    <t>1박스</t>
    <phoneticPr fontId="3" type="noConversion"/>
  </si>
  <si>
    <t>경기도 파주시 광탄면 보광로 1336-15 (광탄면) 원흥피앤피 김혜선 010-4982-7932</t>
    <phoneticPr fontId="3" type="noConversion"/>
  </si>
  <si>
    <t>주신산업</t>
    <phoneticPr fontId="3" type="noConversion"/>
  </si>
  <si>
    <t>17.3톤</t>
    <phoneticPr fontId="3" type="noConversion"/>
  </si>
  <si>
    <t>12톤</t>
    <phoneticPr fontId="3" type="noConversion"/>
  </si>
  <si>
    <t>18*21투명</t>
    <phoneticPr fontId="3" type="noConversion"/>
  </si>
  <si>
    <t>10롤</t>
    <phoneticPr fontId="3" type="noConversion"/>
  </si>
  <si>
    <t>용차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</si>
  <si>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</si>
  <si>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</si>
  <si>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</si>
  <si>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14*10백</t>
    <phoneticPr fontId="3" type="noConversion"/>
  </si>
  <si>
    <t>50롤</t>
    <phoneticPr fontId="3" type="noConversion"/>
  </si>
  <si>
    <t>대상</t>
    <phoneticPr fontId="3" type="noConversion"/>
  </si>
  <si>
    <t>경남 거창군 가조면 석강3길 127 대상주식회사 김규배 01040822682 박이누01020622217</t>
    <phoneticPr fontId="3" type="noConversion"/>
  </si>
  <si>
    <t>광림포장</t>
    <phoneticPr fontId="3" type="noConversion"/>
  </si>
  <si>
    <t>64롤</t>
    <phoneticPr fontId="3" type="noConversion"/>
  </si>
  <si>
    <t>12*10황</t>
    <phoneticPr fontId="3" type="noConversion"/>
  </si>
  <si>
    <t>64롤</t>
    <phoneticPr fontId="3" type="noConversion"/>
  </si>
  <si>
    <t>64롤</t>
    <phoneticPr fontId="3" type="noConversion"/>
  </si>
  <si>
    <t>15*10황</t>
    <phoneticPr fontId="3" type="noConversion"/>
  </si>
  <si>
    <t>15*10황(0.65T)</t>
    <phoneticPr fontId="3" type="noConversion"/>
  </si>
  <si>
    <t>2롤</t>
    <phoneticPr fontId="3" type="noConversion"/>
  </si>
  <si>
    <t>9*10황(0.75T)</t>
    <phoneticPr fontId="3" type="noConversion"/>
  </si>
  <si>
    <t>합동포장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</si>
  <si>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</si>
  <si>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</si>
  <si>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</si>
  <si>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</si>
  <si>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경동택배</t>
    <phoneticPr fontId="3" type="noConversion"/>
  </si>
  <si>
    <t>청아판지팩</t>
    <phoneticPr fontId="3" type="noConversion"/>
  </si>
  <si>
    <t>8박스</t>
    <phoneticPr fontId="3" type="noConversion"/>
  </si>
  <si>
    <t>로젠택배착불</t>
    <phoneticPr fontId="3" type="noConversion"/>
  </si>
  <si>
    <t>전주삼신산업</t>
  </si>
  <si>
    <t>대신택배</t>
    <phoneticPr fontId="3" type="noConversion"/>
  </si>
  <si>
    <t>power박스</t>
    <phoneticPr fontId="3" type="noConversion"/>
  </si>
  <si>
    <t>디에스아이</t>
    <phoneticPr fontId="3" type="noConversion"/>
  </si>
  <si>
    <t>100박스</t>
    <phoneticPr fontId="3" type="noConversion"/>
  </si>
  <si>
    <t>미국박스</t>
    <phoneticPr fontId="3" type="noConversion"/>
  </si>
  <si>
    <t>010-9004-7764</t>
    <phoneticPr fontId="3" type="noConversion"/>
  </si>
  <si>
    <t>남영판지 조종민부장님</t>
    <phoneticPr fontId="3" type="noConversion"/>
  </si>
  <si>
    <t>2800원</t>
    <phoneticPr fontId="3" type="noConversion"/>
  </si>
  <si>
    <t>30롤</t>
    <phoneticPr fontId="3" type="noConversion"/>
  </si>
  <si>
    <t>지난번 미출고분</t>
    <phoneticPr fontId="3" type="noConversion"/>
  </si>
  <si>
    <t>경인팩</t>
    <phoneticPr fontId="3" type="noConversion"/>
  </si>
  <si>
    <t>12박스</t>
    <phoneticPr fontId="3" type="noConversion"/>
  </si>
  <si>
    <t>대신택배</t>
    <phoneticPr fontId="3" type="noConversion"/>
  </si>
  <si>
    <t>충북 청주시 서원구 현도면 가구마을길 35-1 이팩킹(주) 042-933-6033  010-8740-8236</t>
    <phoneticPr fontId="3" type="noConversion"/>
  </si>
  <si>
    <t>15*13황</t>
    <phoneticPr fontId="3" type="noConversion"/>
  </si>
  <si>
    <t>40롤</t>
    <phoneticPr fontId="3" type="noConversion"/>
  </si>
  <si>
    <t>서흥포장</t>
    <phoneticPr fontId="3" type="noConversion"/>
  </si>
  <si>
    <t>반품1롤</t>
    <phoneticPr fontId="3" type="noConversion"/>
  </si>
  <si>
    <t>10롤</t>
    <phoneticPr fontId="3" type="noConversion"/>
  </si>
  <si>
    <t>12*10황(0.8T)</t>
    <phoneticPr fontId="3" type="noConversion"/>
  </si>
  <si>
    <t>6*10백(0.6~0.65T)</t>
    <phoneticPr fontId="3" type="noConversion"/>
  </si>
  <si>
    <t>50롤</t>
    <phoneticPr fontId="3" type="noConversion"/>
  </si>
  <si>
    <t>용차</t>
    <phoneticPr fontId="3" type="noConversion"/>
  </si>
  <si>
    <t>7*10백(0.55T)</t>
    <phoneticPr fontId="3" type="noConversion"/>
  </si>
  <si>
    <t>경인팩</t>
    <phoneticPr fontId="3" type="noConversion"/>
  </si>
  <si>
    <t>PE28*6백</t>
    <phoneticPr fontId="3" type="noConversion"/>
  </si>
  <si>
    <t>96박스</t>
    <phoneticPr fontId="3" type="noConversion"/>
  </si>
  <si>
    <t>56박스</t>
    <phoneticPr fontId="3" type="noConversion"/>
  </si>
  <si>
    <t>6*10백</t>
    <phoneticPr fontId="3" type="noConversion"/>
  </si>
  <si>
    <t>224롤</t>
    <phoneticPr fontId="3" type="noConversion"/>
  </si>
  <si>
    <t>15*9.5적</t>
    <phoneticPr fontId="3" type="noConversion"/>
  </si>
  <si>
    <t>50롤</t>
    <phoneticPr fontId="3" type="noConversion"/>
  </si>
  <si>
    <t>배추끈</t>
    <phoneticPr fontId="3" type="noConversion"/>
  </si>
  <si>
    <t>용차</t>
    <phoneticPr fontId="3" type="noConversion"/>
  </si>
  <si>
    <t>광림포장</t>
    <phoneticPr fontId="3" type="noConversion"/>
  </si>
  <si>
    <t>12*12.5투명</t>
    <phoneticPr fontId="3" type="noConversion"/>
  </si>
  <si>
    <t>패드갈이</t>
    <phoneticPr fontId="3" type="noConversion"/>
  </si>
  <si>
    <t>157롤</t>
    <phoneticPr fontId="3" type="noConversion"/>
  </si>
  <si>
    <t>경인팩</t>
    <phoneticPr fontId="3" type="noConversion"/>
  </si>
  <si>
    <t>2박스</t>
    <phoneticPr fontId="3" type="noConversion"/>
  </si>
  <si>
    <t>로젠택배</t>
    <phoneticPr fontId="3" type="noConversion"/>
  </si>
  <si>
    <t>합천계란</t>
    <phoneticPr fontId="3" type="noConversion"/>
  </si>
  <si>
    <t>발송 : 금봉유통</t>
    <phoneticPr fontId="3" type="noConversion"/>
  </si>
  <si>
    <t>용차</t>
    <phoneticPr fontId="3" type="noConversion"/>
  </si>
  <si>
    <t>용차</t>
    <phoneticPr fontId="3" type="noConversion"/>
  </si>
  <si>
    <t>대성씨앤씨</t>
    <phoneticPr fontId="3" type="noConversion"/>
  </si>
  <si>
    <t>5*7000백</t>
    <phoneticPr fontId="3" type="noConversion"/>
  </si>
  <si>
    <t>60롤</t>
    <phoneticPr fontId="3" type="noConversion"/>
  </si>
  <si>
    <t>kpp빨강</t>
    <phoneticPr fontId="3" type="noConversion"/>
  </si>
  <si>
    <t>파워팩</t>
    <phoneticPr fontId="3" type="noConversion"/>
  </si>
  <si>
    <t>수작업</t>
    <phoneticPr fontId="3" type="noConversion"/>
  </si>
  <si>
    <t>9.2톤</t>
    <phoneticPr fontId="3" type="noConversion"/>
  </si>
  <si>
    <t>20"(저녁7시)</t>
    <phoneticPr fontId="3" type="noConversion"/>
  </si>
  <si>
    <t>고메리</t>
    <phoneticPr fontId="3" type="noConversion"/>
  </si>
  <si>
    <t>수작업</t>
    <phoneticPr fontId="3" type="noConversion"/>
  </si>
  <si>
    <t>6.2톤</t>
    <phoneticPr fontId="3" type="noConversion"/>
  </si>
  <si>
    <t>20"(오후2시)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</si>
  <si>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</si>
  <si>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</si>
  <si>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</si>
  <si>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</si>
  <si>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20박스</t>
    <phoneticPr fontId="3" type="noConversion"/>
  </si>
  <si>
    <t>PE28*2황</t>
    <phoneticPr fontId="3" type="noConversion"/>
  </si>
  <si>
    <t>2박스</t>
    <phoneticPr fontId="3" type="noConversion"/>
  </si>
  <si>
    <t>방문출고</t>
    <phoneticPr fontId="3" type="noConversion"/>
  </si>
  <si>
    <t>164롤</t>
    <phoneticPr fontId="3" type="noConversion"/>
  </si>
  <si>
    <t>가골식품</t>
    <phoneticPr fontId="3" type="noConversion"/>
  </si>
  <si>
    <t>12*12.5황</t>
    <phoneticPr fontId="3" type="noConversion"/>
  </si>
  <si>
    <t>14롤</t>
    <phoneticPr fontId="3" type="noConversion"/>
  </si>
  <si>
    <t>랩15*500*400</t>
    <phoneticPr fontId="3" type="noConversion"/>
  </si>
  <si>
    <t>20박스</t>
    <phoneticPr fontId="3" type="noConversion"/>
  </si>
  <si>
    <t>12*10황</t>
    <phoneticPr fontId="3" type="noConversion"/>
  </si>
  <si>
    <t>56롤</t>
    <phoneticPr fontId="3" type="noConversion"/>
  </si>
  <si>
    <t>용차</t>
    <phoneticPr fontId="3" type="noConversion"/>
  </si>
  <si>
    <t>광림파워팩</t>
    <phoneticPr fontId="3" type="noConversion"/>
  </si>
  <si>
    <t>15*10검정</t>
    <phoneticPr fontId="3" type="noConversion"/>
  </si>
  <si>
    <t>1롤</t>
    <phoneticPr fontId="3" type="noConversion"/>
  </si>
  <si>
    <t>대신택배착불</t>
    <phoneticPr fontId="3" type="noConversion"/>
  </si>
  <si>
    <t>신우교역</t>
    <phoneticPr fontId="3" type="noConversion"/>
  </si>
  <si>
    <t>100롤</t>
    <phoneticPr fontId="3" type="noConversion"/>
  </si>
  <si>
    <t>한국스미더스</t>
    <phoneticPr fontId="3" type="noConversion"/>
  </si>
  <si>
    <t>용차</t>
    <phoneticPr fontId="3" type="noConversion"/>
  </si>
  <si>
    <t>140롤</t>
    <phoneticPr fontId="3" type="noConversion"/>
  </si>
  <si>
    <t>파워엠팩</t>
    <phoneticPr fontId="3" type="noConversion"/>
  </si>
  <si>
    <t>40롤</t>
    <phoneticPr fontId="3" type="noConversion"/>
  </si>
  <si>
    <t>방문출고</t>
    <phoneticPr fontId="3" type="noConversion"/>
  </si>
  <si>
    <t>비와이패키지</t>
    <phoneticPr fontId="3" type="noConversion"/>
  </si>
  <si>
    <t>12*10백(0.8T)</t>
    <phoneticPr fontId="3" type="noConversion"/>
  </si>
  <si>
    <t>50롤</t>
    <phoneticPr fontId="3" type="noConversion"/>
  </si>
  <si>
    <t>양주</t>
    <phoneticPr fontId="3" type="noConversion"/>
  </si>
  <si>
    <t>12*10황(0.8T)</t>
    <phoneticPr fontId="3" type="noConversion"/>
  </si>
  <si>
    <t>대상산업</t>
    <phoneticPr fontId="3" type="noConversion"/>
  </si>
  <si>
    <t>PE28*2백(24kg)</t>
    <phoneticPr fontId="3" type="noConversion"/>
  </si>
  <si>
    <t>15박스</t>
    <phoneticPr fontId="3" type="noConversion"/>
  </si>
  <si>
    <t>PE28*6백</t>
    <phoneticPr fontId="3" type="noConversion"/>
  </si>
  <si>
    <t>5박스</t>
    <phoneticPr fontId="3" type="noConversion"/>
  </si>
  <si>
    <t>방문출고</t>
    <phoneticPr fontId="3" type="noConversion"/>
  </si>
  <si>
    <t>12mm*10kg 백색</t>
    <phoneticPr fontId="3" type="noConversion"/>
  </si>
  <si>
    <t>대구광역시 달서구 용산로 186 (용산동) 1층 남경계란 이경호  010-6305-2752</t>
    <phoneticPr fontId="3" type="noConversion"/>
  </si>
  <si>
    <t>경기도 하남시 덕풍동 762번지</t>
    <phoneticPr fontId="3" type="noConversion"/>
  </si>
  <si>
    <t>광림포장기계</t>
    <phoneticPr fontId="3" type="noConversion"/>
  </si>
  <si>
    <t>031-790-4141</t>
    <phoneticPr fontId="3" type="noConversion"/>
  </si>
  <si>
    <t>010-8960-6100</t>
    <phoneticPr fontId="3" type="noConversion"/>
  </si>
  <si>
    <t>아이데코 B106~B110호</t>
    <phoneticPr fontId="3" type="noConversion"/>
  </si>
  <si>
    <t>4박스</t>
  </si>
  <si>
    <t>미국박스</t>
  </si>
  <si>
    <t>동원팩</t>
    <phoneticPr fontId="3" type="noConversion"/>
  </si>
  <si>
    <t>6*10백</t>
    <phoneticPr fontId="3" type="noConversion"/>
  </si>
  <si>
    <t>30롤</t>
    <phoneticPr fontId="3" type="noConversion"/>
  </si>
  <si>
    <t>파워엠팩</t>
    <phoneticPr fontId="3" type="noConversion"/>
  </si>
  <si>
    <t>10.5*10투명</t>
    <phoneticPr fontId="3" type="noConversion"/>
  </si>
  <si>
    <t>100롤</t>
    <phoneticPr fontId="3" type="noConversion"/>
  </si>
  <si>
    <t>방문출고</t>
    <phoneticPr fontId="3" type="noConversion"/>
  </si>
  <si>
    <t>광신수출포장</t>
    <phoneticPr fontId="3" type="noConversion"/>
  </si>
  <si>
    <t>낙원포장</t>
    <phoneticPr fontId="3" type="noConversion"/>
  </si>
  <si>
    <t>6*10초록</t>
    <phoneticPr fontId="3" type="noConversion"/>
  </si>
  <si>
    <t>무지패드</t>
    <phoneticPr fontId="3" type="noConversion"/>
  </si>
  <si>
    <t>50롤</t>
    <phoneticPr fontId="3" type="noConversion"/>
  </si>
  <si>
    <t>경인팩</t>
    <phoneticPr fontId="3" type="noConversion"/>
  </si>
  <si>
    <t>6*10백(0.65T)</t>
    <phoneticPr fontId="3" type="noConversion"/>
  </si>
  <si>
    <t>192롤</t>
    <phoneticPr fontId="3" type="noConversion"/>
  </si>
  <si>
    <t>PE28*2백(24kg)</t>
  </si>
  <si>
    <t>35박스</t>
    <phoneticPr fontId="3" type="noConversion"/>
  </si>
  <si>
    <t>지방합화차 착불</t>
    <phoneticPr fontId="3" type="noConversion"/>
  </si>
  <si>
    <t>제이케이머티리얼즈</t>
    <phoneticPr fontId="3" type="noConversion"/>
  </si>
  <si>
    <t>128롤</t>
    <phoneticPr fontId="3" type="noConversion"/>
  </si>
  <si>
    <t>18*10황</t>
    <phoneticPr fontId="3" type="noConversion"/>
  </si>
  <si>
    <t>용차</t>
    <phoneticPr fontId="3" type="noConversion"/>
  </si>
  <si>
    <t>대구한국포장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</si>
  <si>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</si>
  <si>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</si>
  <si>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</si>
  <si>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경북 영주시 장수면 장안로 151-23 한국양계 영주유통센터 054-633-7401 / 010-7635-1645</t>
    <phoneticPr fontId="3" type="noConversion"/>
  </si>
  <si>
    <t>대신택배</t>
    <phoneticPr fontId="3" type="noConversion"/>
  </si>
  <si>
    <t>전표는 50박스</t>
    <phoneticPr fontId="3" type="noConversion"/>
  </si>
  <si>
    <t>보우팩</t>
    <phoneticPr fontId="3" type="noConversion"/>
  </si>
  <si>
    <t>6*10백</t>
    <phoneticPr fontId="3" type="noConversion"/>
  </si>
  <si>
    <t>200롤</t>
    <phoneticPr fontId="3" type="noConversion"/>
  </si>
  <si>
    <t>30박스</t>
    <phoneticPr fontId="3" type="noConversion"/>
  </si>
  <si>
    <t>power박스</t>
    <phoneticPr fontId="3" type="noConversion"/>
  </si>
  <si>
    <t>10박스</t>
    <phoneticPr fontId="3" type="noConversion"/>
  </si>
  <si>
    <t>유일</t>
    <phoneticPr fontId="3" type="noConversion"/>
  </si>
  <si>
    <t>10박스</t>
    <phoneticPr fontId="3" type="noConversion"/>
  </si>
  <si>
    <t>무지박스</t>
    <phoneticPr fontId="3" type="noConversion"/>
  </si>
  <si>
    <t>2800원</t>
    <phoneticPr fontId="3" type="noConversion"/>
  </si>
  <si>
    <t>12*12.5황</t>
    <phoneticPr fontId="3" type="noConversion"/>
  </si>
  <si>
    <t>100롤</t>
    <phoneticPr fontId="3" type="noConversion"/>
  </si>
  <si>
    <t>나무파레트로 2파레트</t>
    <phoneticPr fontId="3" type="noConversion"/>
  </si>
  <si>
    <t>오전 방문출고</t>
    <phoneticPr fontId="3" type="noConversion"/>
  </si>
  <si>
    <t>에이원코리아</t>
    <phoneticPr fontId="3" type="noConversion"/>
  </si>
  <si>
    <t>104롤</t>
    <phoneticPr fontId="3" type="noConversion"/>
  </si>
  <si>
    <t>신광포장</t>
    <phoneticPr fontId="3" type="noConversion"/>
  </si>
  <si>
    <t>15*10황(0.65T)</t>
    <phoneticPr fontId="3" type="noConversion"/>
  </si>
  <si>
    <t>10롤</t>
    <phoneticPr fontId="3" type="noConversion"/>
  </si>
  <si>
    <t>PE28*6백</t>
    <phoneticPr fontId="3" type="noConversion"/>
  </si>
  <si>
    <t>10박스</t>
    <phoneticPr fontId="3" type="noConversion"/>
  </si>
  <si>
    <t>신광포장</t>
    <phoneticPr fontId="3" type="noConversion"/>
  </si>
  <si>
    <t>15*12황(0.65T)</t>
    <phoneticPr fontId="3" type="noConversion"/>
  </si>
  <si>
    <t>50롤</t>
    <phoneticPr fontId="3" type="noConversion"/>
  </si>
  <si>
    <t>50롤</t>
    <phoneticPr fontId="3" type="noConversion"/>
  </si>
  <si>
    <t>김규현</t>
    <phoneticPr fontId="3" type="noConversion"/>
  </si>
  <si>
    <t>12*10황(0.65T)</t>
    <phoneticPr fontId="3" type="noConversion"/>
  </si>
  <si>
    <t>서흥포장</t>
    <phoneticPr fontId="3" type="noConversion"/>
  </si>
  <si>
    <t>경인팩</t>
    <phoneticPr fontId="3" type="noConversion"/>
  </si>
  <si>
    <t>6*10백</t>
    <phoneticPr fontId="3" type="noConversion"/>
  </si>
  <si>
    <t>54롤</t>
    <phoneticPr fontId="3" type="noConversion"/>
  </si>
  <si>
    <t>1박스</t>
    <phoneticPr fontId="3" type="noConversion"/>
  </si>
  <si>
    <t>PE28*2황</t>
    <phoneticPr fontId="3" type="noConversion"/>
  </si>
  <si>
    <t>제일양계</t>
    <phoneticPr fontId="3" type="noConversion"/>
  </si>
  <si>
    <t>대신택배</t>
    <phoneticPr fontId="3" type="noConversion"/>
  </si>
  <si>
    <t>강원도 춘천시 동내면 고은리 450-1  제일양계 010-6373-5309</t>
    <phoneticPr fontId="3" type="noConversion"/>
  </si>
  <si>
    <t>주신산업</t>
    <phoneticPr fontId="3" type="noConversion"/>
  </si>
  <si>
    <t>충청북도 진천군 덕산면 신척산단5로 196 (덕산면, (주)견지포장) 견지포장  김법준  010-4555-0979</t>
    <phoneticPr fontId="3" type="noConversion"/>
  </si>
  <si>
    <t>동방포장기자재</t>
    <phoneticPr fontId="3" type="noConversion"/>
  </si>
  <si>
    <t>15*10황(0.65T)</t>
    <phoneticPr fontId="3" type="noConversion"/>
  </si>
  <si>
    <t>2롤</t>
    <phoneticPr fontId="3" type="noConversion"/>
  </si>
  <si>
    <t>방문출고</t>
    <phoneticPr fontId="3" type="noConversion"/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</si>
  <si>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</si>
  <si>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</si>
  <si>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</si>
  <si>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100롤</t>
    <phoneticPr fontId="3" type="noConversion"/>
  </si>
  <si>
    <t>삼성</t>
    <phoneticPr fontId="3" type="noConversion"/>
  </si>
  <si>
    <t>391롤</t>
    <phoneticPr fontId="3" type="noConversion"/>
  </si>
  <si>
    <t>경인산업</t>
    <phoneticPr fontId="3" type="noConversion"/>
  </si>
  <si>
    <t>12*10황(0.75T)</t>
    <phoneticPr fontId="3" type="noConversion"/>
  </si>
  <si>
    <t>56롤</t>
    <phoneticPr fontId="3" type="noConversion"/>
  </si>
  <si>
    <t>대상산업</t>
    <phoneticPr fontId="3" type="noConversion"/>
  </si>
  <si>
    <t>PE28*2백(24kg)</t>
    <phoneticPr fontId="3" type="noConversion"/>
  </si>
  <si>
    <t>10박스</t>
    <phoneticPr fontId="3" type="noConversion"/>
  </si>
  <si>
    <t>5박스</t>
    <phoneticPr fontId="3" type="noConversion"/>
  </si>
  <si>
    <t>방문출고</t>
    <phoneticPr fontId="3" type="noConversion"/>
  </si>
  <si>
    <t>1공장</t>
  </si>
  <si>
    <t>동원팩</t>
    <phoneticPr fontId="3" type="noConversion"/>
  </si>
  <si>
    <t>20박스</t>
    <phoneticPr fontId="3" type="noConversion"/>
  </si>
  <si>
    <t>15박스</t>
    <phoneticPr fontId="3" type="noConversion"/>
  </si>
  <si>
    <t>방문출고</t>
    <phoneticPr fontId="3" type="noConversion"/>
  </si>
  <si>
    <t>전주삼신산업</t>
    <phoneticPr fontId="3" type="noConversion"/>
  </si>
  <si>
    <t>10박스</t>
    <phoneticPr fontId="3" type="noConversion"/>
  </si>
  <si>
    <t>power박스</t>
    <phoneticPr fontId="3" type="noConversion"/>
  </si>
  <si>
    <t>20롤</t>
    <phoneticPr fontId="3" type="noConversion"/>
  </si>
  <si>
    <t>6*10백</t>
    <phoneticPr fontId="3" type="noConversion"/>
  </si>
  <si>
    <t>12롤</t>
    <phoneticPr fontId="3" type="noConversion"/>
  </si>
  <si>
    <t>대신택배</t>
    <phoneticPr fontId="3" type="noConversion"/>
  </si>
  <si>
    <t>파워팩</t>
    <phoneticPr fontId="3" type="noConversion"/>
  </si>
  <si>
    <t>수작업</t>
    <phoneticPr fontId="3" type="noConversion"/>
  </si>
  <si>
    <t>8.9톤</t>
    <phoneticPr fontId="3" type="noConversion"/>
  </si>
  <si>
    <t>경인팩</t>
    <phoneticPr fontId="3" type="noConversion"/>
  </si>
  <si>
    <t>96박스</t>
    <phoneticPr fontId="3" type="noConversion"/>
  </si>
  <si>
    <t>280롤</t>
    <phoneticPr fontId="3" type="noConversion"/>
  </si>
  <si>
    <t>51박스</t>
    <phoneticPr fontId="3" type="noConversion"/>
  </si>
  <si>
    <t>PE28*2황</t>
    <phoneticPr fontId="3" type="noConversion"/>
  </si>
  <si>
    <t>1박스</t>
    <phoneticPr fontId="3" type="noConversion"/>
  </si>
  <si>
    <t>10.5.10투명</t>
    <phoneticPr fontId="3" type="noConversion"/>
  </si>
  <si>
    <t>100롤</t>
    <phoneticPr fontId="3" type="noConversion"/>
  </si>
  <si>
    <t>합동포장</t>
    <phoneticPr fontId="3" type="noConversion"/>
  </si>
  <si>
    <t>12*12.5황</t>
    <phoneticPr fontId="3" type="noConversion"/>
  </si>
  <si>
    <t>150롤</t>
    <phoneticPr fontId="3" type="noConversion"/>
  </si>
  <si>
    <t>15*13황</t>
    <phoneticPr fontId="3" type="noConversion"/>
  </si>
  <si>
    <t>20롤</t>
    <phoneticPr fontId="3" type="noConversion"/>
  </si>
  <si>
    <t>30롤</t>
    <phoneticPr fontId="3" type="noConversion"/>
  </si>
  <si>
    <t>보우팩</t>
    <phoneticPr fontId="3" type="noConversion"/>
  </si>
  <si>
    <t>6*10백</t>
    <phoneticPr fontId="3" type="noConversion"/>
  </si>
  <si>
    <t>200롤</t>
    <phoneticPr fontId="3" type="noConversion"/>
  </si>
  <si>
    <t>파란밴딩</t>
    <phoneticPr fontId="3" type="noConversion"/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</si>
  <si>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</si>
  <si>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</si>
  <si>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</si>
  <si>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100롤</t>
    <phoneticPr fontId="3" type="noConversion"/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</si>
  <si>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</si>
  <si>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</si>
  <si>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</si>
  <si>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광신수출포장</t>
    <phoneticPr fontId="3" type="noConversion"/>
  </si>
  <si>
    <t>7*10백</t>
    <phoneticPr fontId="3" type="noConversion"/>
  </si>
  <si>
    <t>100롤(0.5T)</t>
    <phoneticPr fontId="3" type="noConversion"/>
  </si>
  <si>
    <t>방문출고</t>
    <phoneticPr fontId="3" type="noConversion"/>
  </si>
  <si>
    <t>356롤</t>
    <phoneticPr fontId="3" type="noConversion"/>
  </si>
  <si>
    <t>낙원포장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</si>
  <si>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</si>
  <si>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</si>
  <si>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</si>
  <si>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안일농장</t>
    <phoneticPr fontId="3" type="noConversion"/>
  </si>
  <si>
    <t>대신택배</t>
    <phoneticPr fontId="3" type="noConversion"/>
  </si>
  <si>
    <t>경기도 연천군 연천읍 동막리 331-8  안일농장  031-834-2036 / 010-6250-0008</t>
    <phoneticPr fontId="3" type="noConversion"/>
  </si>
  <si>
    <t>삼성</t>
    <phoneticPr fontId="3" type="noConversion"/>
  </si>
  <si>
    <t>15*10황(솔표인쇄밴드)</t>
    <phoneticPr fontId="3" type="noConversion"/>
  </si>
  <si>
    <t>정명인쇄사</t>
    <phoneticPr fontId="3" type="noConversion"/>
  </si>
  <si>
    <t>12*10황(0.8T)</t>
    <phoneticPr fontId="3" type="noConversion"/>
  </si>
  <si>
    <t>2롤</t>
    <phoneticPr fontId="3" type="noConversion"/>
  </si>
  <si>
    <t>대신택배착불</t>
    <phoneticPr fontId="3" type="noConversion"/>
  </si>
  <si>
    <t>2롤1묶음</t>
  </si>
  <si>
    <t>12*10황(0.8T)</t>
    <phoneticPr fontId="3" type="noConversion"/>
  </si>
  <si>
    <t>200롤</t>
    <phoneticPr fontId="3" type="noConversion"/>
  </si>
  <si>
    <t>15*10황(0.8T)</t>
    <phoneticPr fontId="3" type="noConversion"/>
  </si>
  <si>
    <t>100롤</t>
    <phoneticPr fontId="3" type="noConversion"/>
  </si>
  <si>
    <t>신광포장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</si>
  <si>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</si>
  <si>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</si>
  <si>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</si>
  <si>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착한유통</t>
    <phoneticPr fontId="3" type="noConversion"/>
  </si>
  <si>
    <t>용차</t>
    <phoneticPr fontId="3" type="noConversion"/>
  </si>
  <si>
    <t>PE28*6백</t>
    <phoneticPr fontId="3" type="noConversion"/>
  </si>
  <si>
    <t>10박스</t>
    <phoneticPr fontId="3" type="noConversion"/>
  </si>
  <si>
    <t>5박스</t>
    <phoneticPr fontId="3" type="noConversion"/>
  </si>
  <si>
    <t>경기도 하남시 하남대로654번길24-12(천현동) 착한유통  031-791-2450</t>
    <phoneticPr fontId="3" type="noConversion"/>
  </si>
  <si>
    <t xml:space="preserve">경기도 하남시 </t>
    <phoneticPr fontId="3" type="noConversion"/>
  </si>
  <si>
    <t xml:space="preserve">하남대로654번길24-12(천현동) </t>
    <phoneticPr fontId="3" type="noConversion"/>
  </si>
  <si>
    <t xml:space="preserve">착한유통  </t>
    <phoneticPr fontId="3" type="noConversion"/>
  </si>
  <si>
    <t>031-791-2450</t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</si>
  <si>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</si>
  <si>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</si>
  <si>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</si>
  <si>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100롤</t>
    <phoneticPr fontId="3" type="noConversion"/>
  </si>
  <si>
    <t>전주삼신산업</t>
    <phoneticPr fontId="3" type="noConversion"/>
  </si>
  <si>
    <t>5박스</t>
    <phoneticPr fontId="3" type="noConversion"/>
  </si>
  <si>
    <t>로젠택배</t>
    <phoneticPr fontId="3" type="noConversion"/>
  </si>
  <si>
    <t>대한종합포장</t>
    <phoneticPr fontId="3" type="noConversion"/>
  </si>
  <si>
    <t>랩20*500*1400</t>
    <phoneticPr fontId="3" type="noConversion"/>
  </si>
  <si>
    <t>40박스</t>
    <phoneticPr fontId="3" type="noConversion"/>
  </si>
  <si>
    <t>랩15*500*400</t>
    <phoneticPr fontId="3" type="noConversion"/>
  </si>
  <si>
    <t>10박스</t>
    <phoneticPr fontId="3" type="noConversion"/>
  </si>
  <si>
    <t>12*10백(0.8T)</t>
    <phoneticPr fontId="3" type="noConversion"/>
  </si>
  <si>
    <t>30롤</t>
    <phoneticPr fontId="3" type="noConversion"/>
  </si>
  <si>
    <t>나눔푸드</t>
    <phoneticPr fontId="3" type="noConversion"/>
  </si>
  <si>
    <t>15*10백(0.65t)</t>
    <phoneticPr fontId="3" type="noConversion"/>
  </si>
  <si>
    <t>대신택배착불</t>
    <phoneticPr fontId="3" type="noConversion"/>
  </si>
  <si>
    <t>6롤</t>
    <phoneticPr fontId="3" type="noConversion"/>
  </si>
  <si>
    <t>2롤씩 3묶음</t>
    <phoneticPr fontId="3" type="noConversion"/>
  </si>
  <si>
    <t>9*10황</t>
    <phoneticPr fontId="3" type="noConversion"/>
  </si>
  <si>
    <t>3롤</t>
    <phoneticPr fontId="3" type="noConversion"/>
  </si>
  <si>
    <t>보우팩</t>
    <phoneticPr fontId="3" type="noConversion"/>
  </si>
  <si>
    <t>납품은 광림으로</t>
    <phoneticPr fontId="3" type="noConversion"/>
  </si>
  <si>
    <t>6*12.5백</t>
    <phoneticPr fontId="3" type="noConversion"/>
  </si>
  <si>
    <t>640롤</t>
    <phoneticPr fontId="3" type="noConversion"/>
  </si>
  <si>
    <t>신광포장</t>
    <phoneticPr fontId="3" type="noConversion"/>
  </si>
  <si>
    <t>대상산업</t>
    <phoneticPr fontId="3" type="noConversion"/>
  </si>
  <si>
    <t>PE28*6백</t>
    <phoneticPr fontId="3" type="noConversion"/>
  </si>
  <si>
    <t>10박스</t>
    <phoneticPr fontId="3" type="noConversion"/>
  </si>
  <si>
    <t>PE28*2백(24kg)</t>
    <phoneticPr fontId="3" type="noConversion"/>
  </si>
  <si>
    <t>20박스</t>
    <phoneticPr fontId="3" type="noConversion"/>
  </si>
  <si>
    <t>12*9.5황</t>
    <phoneticPr fontId="3" type="noConversion"/>
  </si>
  <si>
    <t>20롤</t>
    <phoneticPr fontId="3" type="noConversion"/>
  </si>
  <si>
    <t>방문출고</t>
    <phoneticPr fontId="3" type="noConversion"/>
  </si>
  <si>
    <t>12*10황</t>
    <phoneticPr fontId="3" type="noConversion"/>
  </si>
  <si>
    <t>kic박스</t>
    <phoneticPr fontId="3" type="noConversion"/>
  </si>
  <si>
    <t>68롤</t>
    <phoneticPr fontId="3" type="noConversion"/>
  </si>
  <si>
    <t>신한포장</t>
    <phoneticPr fontId="3" type="noConversion"/>
  </si>
  <si>
    <t>50박스</t>
    <phoneticPr fontId="3" type="noConversion"/>
  </si>
  <si>
    <t>삼영피앤텍</t>
    <phoneticPr fontId="3" type="noConversion"/>
  </si>
  <si>
    <t>2박스</t>
    <phoneticPr fontId="3" type="noConversion"/>
  </si>
  <si>
    <t>김해제일포장</t>
    <phoneticPr fontId="3" type="noConversion"/>
  </si>
  <si>
    <t>지방합화차</t>
    <phoneticPr fontId="3" type="noConversion"/>
  </si>
  <si>
    <t>경남 김해시 한림면 김해대로 916번길 40-78 태화산업</t>
  </si>
  <si>
    <t>전주삼신산업</t>
    <phoneticPr fontId="3" type="noConversion"/>
  </si>
  <si>
    <t>6*10백</t>
    <phoneticPr fontId="3" type="noConversion"/>
  </si>
  <si>
    <t>48롤</t>
    <phoneticPr fontId="3" type="noConversion"/>
  </si>
  <si>
    <t>4박스</t>
    <phoneticPr fontId="3" type="noConversion"/>
  </si>
  <si>
    <t>대신택배</t>
    <phoneticPr fontId="3" type="noConversion"/>
  </si>
  <si>
    <t>power박스</t>
    <phoneticPr fontId="3" type="noConversion"/>
  </si>
  <si>
    <t>42롤</t>
    <phoneticPr fontId="3" type="noConversion"/>
  </si>
  <si>
    <t>오전일찍</t>
    <phoneticPr fontId="3" type="noConversion"/>
  </si>
  <si>
    <t>용차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</si>
  <si>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</si>
  <si>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</si>
  <si>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</si>
  <si>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</si>
  <si>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오후</t>
    <phoneticPr fontId="3" type="noConversion"/>
  </si>
  <si>
    <t>오전</t>
    <phoneticPr fontId="3" type="noConversion"/>
  </si>
  <si>
    <t>12*10황(0.65T)</t>
    <phoneticPr fontId="3" type="noConversion"/>
  </si>
  <si>
    <t>50롤</t>
    <phoneticPr fontId="3" type="noConversion"/>
  </si>
  <si>
    <t>25박스</t>
    <phoneticPr fontId="3" type="noConversion"/>
  </si>
  <si>
    <t>5박스</t>
    <phoneticPr fontId="3" type="noConversion"/>
  </si>
  <si>
    <t>15*10황(0.65T)</t>
    <phoneticPr fontId="3" type="noConversion"/>
  </si>
  <si>
    <t>PE28*6백</t>
    <phoneticPr fontId="3" type="noConversion"/>
  </si>
  <si>
    <t>kic박스/낱개3롤 맞교환</t>
    <phoneticPr fontId="3" type="noConversion"/>
  </si>
  <si>
    <t>피피클립</t>
    <phoneticPr fontId="3" type="noConversion"/>
  </si>
  <si>
    <t>10000개</t>
    <phoneticPr fontId="3" type="noConversion"/>
  </si>
  <si>
    <t>용차</t>
    <phoneticPr fontId="3" type="noConversion"/>
  </si>
  <si>
    <t>010-4442-6003</t>
    <phoneticPr fontId="8" type="noConversion"/>
  </si>
  <si>
    <t>찬란유통</t>
    <phoneticPr fontId="3" type="noConversion"/>
  </si>
  <si>
    <t>용차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</si>
  <si>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</si>
  <si>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</si>
  <si>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</si>
  <si>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나무파렛트</t>
    <phoneticPr fontId="3" type="noConversion"/>
  </si>
  <si>
    <t>삼성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</si>
  <si>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</si>
  <si>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</si>
  <si>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</si>
  <si>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</si>
  <si>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동원팩</t>
    <phoneticPr fontId="3" type="noConversion"/>
  </si>
  <si>
    <t>12*10황(0.8T)</t>
    <phoneticPr fontId="3" type="noConversion"/>
  </si>
  <si>
    <t>2롤</t>
    <phoneticPr fontId="3" type="noConversion"/>
  </si>
  <si>
    <t>대신택배착불</t>
    <phoneticPr fontId="3" type="noConversion"/>
  </si>
  <si>
    <t>충남 서산시 부석면 강수1길 221-8 장순수 010-8822-4557</t>
    <phoneticPr fontId="3" type="noConversion"/>
  </si>
  <si>
    <t>2롤1묶음</t>
    <phoneticPr fontId="3" type="noConversion"/>
  </si>
  <si>
    <t>신광포장</t>
    <phoneticPr fontId="3" type="noConversion"/>
  </si>
  <si>
    <t>30롤</t>
    <phoneticPr fontId="3" type="noConversion"/>
  </si>
  <si>
    <t>30롤</t>
    <phoneticPr fontId="3" type="noConversion"/>
  </si>
  <si>
    <t>경북 구미시 산호대로 116-59  디알젬(구미공장)  070-8894-6815</t>
    <phoneticPr fontId="3" type="noConversion"/>
  </si>
  <si>
    <t>전주삼신산업</t>
    <phoneticPr fontId="3" type="noConversion"/>
  </si>
  <si>
    <t>대신택배</t>
    <phoneticPr fontId="3" type="noConversion"/>
  </si>
  <si>
    <t>24박스</t>
    <phoneticPr fontId="3" type="noConversion"/>
  </si>
  <si>
    <t>30박스</t>
    <phoneticPr fontId="3" type="noConversion"/>
  </si>
  <si>
    <t>200롤</t>
    <phoneticPr fontId="3" type="noConversion"/>
  </si>
  <si>
    <t>292롤</t>
    <phoneticPr fontId="3" type="noConversion"/>
  </si>
  <si>
    <t>삼성방문신청</t>
    <phoneticPr fontId="3" type="noConversion"/>
  </si>
  <si>
    <t>동원피앤아이</t>
    <phoneticPr fontId="3" type="noConversion"/>
  </si>
  <si>
    <t>PE50*5백</t>
    <phoneticPr fontId="3" type="noConversion"/>
  </si>
  <si>
    <t>스트롱패드</t>
  </si>
  <si>
    <t>4700매</t>
  </si>
  <si>
    <t>40박스</t>
    <phoneticPr fontId="3" type="noConversion"/>
  </si>
  <si>
    <t>60박스</t>
    <phoneticPr fontId="3" type="noConversion"/>
  </si>
  <si>
    <t>20"(오후1시)</t>
    <phoneticPr fontId="3" type="noConversion"/>
  </si>
  <si>
    <t>민건 이에이</t>
    <phoneticPr fontId="3" type="noConversion"/>
  </si>
  <si>
    <t>12*10백(0.8T)</t>
    <phoneticPr fontId="3" type="noConversion"/>
  </si>
  <si>
    <t>오전</t>
    <phoneticPr fontId="3" type="noConversion"/>
  </si>
  <si>
    <t>금산포장</t>
    <phoneticPr fontId="3" type="noConversion"/>
  </si>
  <si>
    <t>12*12.5투명</t>
    <phoneticPr fontId="3" type="noConversion"/>
  </si>
  <si>
    <t>10롤</t>
    <phoneticPr fontId="3" type="noConversion"/>
  </si>
  <si>
    <t>방문출고</t>
    <phoneticPr fontId="3" type="noConversion"/>
  </si>
  <si>
    <t>대신택배</t>
    <phoneticPr fontId="3" type="noConversion"/>
  </si>
  <si>
    <t>50롤</t>
    <phoneticPr fontId="3" type="noConversion"/>
  </si>
  <si>
    <t>12*9.5황</t>
    <phoneticPr fontId="3" type="noConversion"/>
  </si>
  <si>
    <t>동원팩</t>
    <phoneticPr fontId="3" type="noConversion"/>
  </si>
  <si>
    <t>6*10백</t>
    <phoneticPr fontId="3" type="noConversion"/>
  </si>
  <si>
    <t>8롤</t>
    <phoneticPr fontId="3" type="noConversion"/>
  </si>
  <si>
    <t>2롤씩4묶음</t>
    <phoneticPr fontId="3" type="noConversion"/>
  </si>
  <si>
    <t>대신택배</t>
    <phoneticPr fontId="3" type="noConversion"/>
  </si>
  <si>
    <t>삼성</t>
    <phoneticPr fontId="3" type="noConversion"/>
  </si>
  <si>
    <t>18*21친환경</t>
    <phoneticPr fontId="3" type="noConversion"/>
  </si>
  <si>
    <t>삼성</t>
    <phoneticPr fontId="3" type="noConversion"/>
  </si>
  <si>
    <t>91롤</t>
    <phoneticPr fontId="3" type="noConversion"/>
  </si>
  <si>
    <t>110롤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</si>
  <si>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</si>
  <si>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</si>
  <si>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</si>
  <si>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일회용플라스틱파렛트</t>
    <phoneticPr fontId="3" type="noConversion"/>
  </si>
  <si>
    <t>영주</t>
    <phoneticPr fontId="3" type="noConversion"/>
  </si>
  <si>
    <t>영주 / 지방합화차</t>
    <phoneticPr fontId="3" type="noConversion"/>
  </si>
  <si>
    <t>PE17*2백</t>
    <phoneticPr fontId="3" type="noConversion"/>
  </si>
  <si>
    <t>5박스</t>
    <phoneticPr fontId="3" type="noConversion"/>
  </si>
  <si>
    <t>로젠택배</t>
    <phoneticPr fontId="3" type="noConversion"/>
  </si>
  <si>
    <t>경남 양산시 소주로 90-17 010-8775-8063김유빈</t>
    <phoneticPr fontId="3" type="noConversion"/>
  </si>
  <si>
    <t>경인팩</t>
    <phoneticPr fontId="3" type="noConversion"/>
  </si>
  <si>
    <t>탐스텍</t>
    <phoneticPr fontId="3" type="noConversion"/>
  </si>
  <si>
    <t>팔레트</t>
    <phoneticPr fontId="3" type="noConversion"/>
  </si>
  <si>
    <t>5톤</t>
    <phoneticPr fontId="3" type="noConversion"/>
  </si>
  <si>
    <t>LCL(오전11시)</t>
    <phoneticPr fontId="3" type="noConversion"/>
  </si>
  <si>
    <t>동원팩</t>
    <phoneticPr fontId="3" type="noConversion"/>
  </si>
  <si>
    <t>50롤</t>
    <phoneticPr fontId="3" type="noConversion"/>
  </si>
  <si>
    <t>5박스</t>
    <phoneticPr fontId="3" type="noConversion"/>
  </si>
  <si>
    <t>방문출고</t>
    <phoneticPr fontId="3" type="noConversion"/>
  </si>
  <si>
    <t>파워엠팩</t>
    <phoneticPr fontId="3" type="noConversion"/>
  </si>
  <si>
    <t>9*11은회색</t>
    <phoneticPr fontId="3" type="noConversion"/>
  </si>
  <si>
    <t>128롤</t>
    <phoneticPr fontId="3" type="noConversion"/>
  </si>
  <si>
    <t>동원팩</t>
    <phoneticPr fontId="3" type="noConversion"/>
  </si>
  <si>
    <t>3박스</t>
    <phoneticPr fontId="3" type="noConversion"/>
  </si>
  <si>
    <t>로젠택배</t>
    <phoneticPr fontId="3" type="noConversion"/>
  </si>
  <si>
    <t>충북 충주시 매남이길 283  충주오알농장 010-5485-2473</t>
    <phoneticPr fontId="3" type="noConversion"/>
  </si>
  <si>
    <t>6*10백</t>
    <phoneticPr fontId="3" type="noConversion"/>
  </si>
  <si>
    <t>50롤</t>
    <phoneticPr fontId="3" type="noConversion"/>
  </si>
  <si>
    <t>용차</t>
    <phoneticPr fontId="3" type="noConversion"/>
  </si>
  <si>
    <t>56롤</t>
    <phoneticPr fontId="3" type="noConversion"/>
  </si>
  <si>
    <t>대신택배</t>
    <phoneticPr fontId="3" type="noConversion"/>
  </si>
  <si>
    <t>경기도 광주시 도척면 다람로36번길93-29 (궁평리)  황금알 010-3741-8711</t>
    <phoneticPr fontId="3" type="noConversion"/>
  </si>
  <si>
    <t>평화축산/일회용프라스틱파레트</t>
    <phoneticPr fontId="3" type="noConversion"/>
  </si>
  <si>
    <t>황금알/나무파레트</t>
    <phoneticPr fontId="3" type="noConversion"/>
  </si>
  <si>
    <t xml:space="preserve">경기도 광주시 도척면 </t>
    <phoneticPr fontId="3" type="noConversion"/>
  </si>
  <si>
    <t xml:space="preserve">다람로36번길93-29 (궁평리)  </t>
    <phoneticPr fontId="3" type="noConversion"/>
  </si>
  <si>
    <t xml:space="preserve">황금알 </t>
    <phoneticPr fontId="3" type="noConversion"/>
  </si>
  <si>
    <t>010-3741-8711</t>
  </si>
  <si>
    <t>50롤</t>
    <phoneticPr fontId="3" type="noConversion"/>
  </si>
  <si>
    <t>하이게이트</t>
    <phoneticPr fontId="3" type="noConversion"/>
  </si>
  <si>
    <t>수작업</t>
    <phoneticPr fontId="3" type="noConversion"/>
  </si>
  <si>
    <t>21톤</t>
    <phoneticPr fontId="3" type="noConversion"/>
  </si>
  <si>
    <t>40"(오후1시)</t>
    <phoneticPr fontId="3" type="noConversion"/>
  </si>
  <si>
    <t>타이거팩</t>
    <phoneticPr fontId="3" type="noConversion"/>
  </si>
  <si>
    <t>수작업</t>
    <phoneticPr fontId="3" type="noConversion"/>
  </si>
  <si>
    <t>19톤</t>
    <phoneticPr fontId="3" type="noConversion"/>
  </si>
  <si>
    <t>40"(오후1시)</t>
    <phoneticPr fontId="3" type="noConversion"/>
  </si>
  <si>
    <t>6*10백(0.60T)</t>
    <phoneticPr fontId="3" type="noConversion"/>
  </si>
  <si>
    <t>경기도 광주시 곤지암읍 광여로862번길35-20  평화축산  031-761-1521</t>
    <phoneticPr fontId="3" type="noConversion"/>
  </si>
  <si>
    <t>진송팩</t>
    <phoneticPr fontId="3" type="noConversion"/>
  </si>
  <si>
    <t>20박스</t>
    <phoneticPr fontId="3" type="noConversion"/>
  </si>
  <si>
    <t>용차착불</t>
    <phoneticPr fontId="3" type="noConversion"/>
  </si>
  <si>
    <t>PE28*6백</t>
    <phoneticPr fontId="3" type="noConversion"/>
  </si>
  <si>
    <t>크린토피아</t>
    <phoneticPr fontId="3" type="noConversion"/>
  </si>
  <si>
    <t>20박스</t>
    <phoneticPr fontId="3" type="noConversion"/>
  </si>
  <si>
    <t>삼원산업</t>
    <phoneticPr fontId="3" type="noConversion"/>
  </si>
  <si>
    <t>100롤</t>
    <phoneticPr fontId="3" type="noConversion"/>
  </si>
  <si>
    <t>50롤</t>
    <phoneticPr fontId="3" type="noConversion"/>
  </si>
  <si>
    <t>12*12투명</t>
    <phoneticPr fontId="3" type="noConversion"/>
  </si>
  <si>
    <t>50롤</t>
    <phoneticPr fontId="3" type="noConversion"/>
  </si>
  <si>
    <t>12*12황(0.75T)</t>
    <phoneticPr fontId="3" type="noConversion"/>
  </si>
  <si>
    <t>15*10황(0.8T)</t>
    <phoneticPr fontId="3" type="noConversion"/>
  </si>
  <si>
    <t>9*9.2황(0.6T)</t>
    <phoneticPr fontId="3" type="noConversion"/>
  </si>
  <si>
    <t>해성수출포장</t>
    <phoneticPr fontId="3" type="noConversion"/>
  </si>
  <si>
    <t>10박스</t>
    <phoneticPr fontId="3" type="noConversion"/>
  </si>
  <si>
    <t>power박스</t>
    <phoneticPr fontId="3" type="noConversion"/>
  </si>
  <si>
    <t>용차</t>
    <phoneticPr fontId="3" type="noConversion"/>
  </si>
  <si>
    <t>경기도 파주시 월롱면 엘지로386번길 116 피텍코리아 010-8840-4485</t>
    <phoneticPr fontId="3" type="noConversion"/>
  </si>
  <si>
    <t>합동포장</t>
    <phoneticPr fontId="3" type="noConversion"/>
  </si>
  <si>
    <t>15*10청(0.65T)</t>
    <phoneticPr fontId="3" type="noConversion"/>
  </si>
  <si>
    <t>10롤</t>
    <phoneticPr fontId="3" type="noConversion"/>
  </si>
  <si>
    <t>60박스</t>
  </si>
  <si>
    <t>경인팩</t>
    <phoneticPr fontId="3" type="noConversion"/>
  </si>
  <si>
    <t>6*10백</t>
    <phoneticPr fontId="3" type="noConversion"/>
  </si>
  <si>
    <t>삼성</t>
    <phoneticPr fontId="3" type="noConversion"/>
  </si>
  <si>
    <t>18*21친환경</t>
    <phoneticPr fontId="3" type="noConversion"/>
  </si>
  <si>
    <t>254롤</t>
    <phoneticPr fontId="3" type="noConversion"/>
  </si>
  <si>
    <t>385롤</t>
    <phoneticPr fontId="3" type="noConversion"/>
  </si>
  <si>
    <t>80롤</t>
  </si>
  <si>
    <t>광림포장</t>
    <phoneticPr fontId="3" type="noConversion"/>
  </si>
  <si>
    <t>15*10황</t>
    <phoneticPr fontId="3" type="noConversion"/>
  </si>
  <si>
    <t>64롤</t>
    <phoneticPr fontId="3" type="noConversion"/>
  </si>
  <si>
    <t>광림포장</t>
    <phoneticPr fontId="3" type="noConversion"/>
  </si>
  <si>
    <t>결속기용PE끈</t>
    <phoneticPr fontId="3" type="noConversion"/>
  </si>
  <si>
    <t>28mm*2kg 백색</t>
    <phoneticPr fontId="3" type="noConversion"/>
  </si>
  <si>
    <t>336롤</t>
    <phoneticPr fontId="3" type="noConversion"/>
  </si>
  <si>
    <t>24박스</t>
    <phoneticPr fontId="3" type="noConversion"/>
  </si>
  <si>
    <t>오전</t>
    <phoneticPr fontId="3" type="noConversion"/>
  </si>
  <si>
    <t>용차</t>
    <phoneticPr fontId="3" type="noConversion"/>
  </si>
  <si>
    <t>20롤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</si>
  <si>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</si>
  <si>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</si>
  <si>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</si>
  <si>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</si>
  <si>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10박스</t>
    <phoneticPr fontId="3" type="noConversion"/>
  </si>
  <si>
    <t>방문출고</t>
    <phoneticPr fontId="3" type="noConversion"/>
  </si>
  <si>
    <t>삼보팩</t>
    <phoneticPr fontId="3" type="noConversion"/>
  </si>
  <si>
    <t>파렛트밴딩기</t>
    <phoneticPr fontId="3" type="noConversion"/>
  </si>
  <si>
    <t>1대</t>
    <phoneticPr fontId="3" type="noConversion"/>
  </si>
  <si>
    <t>15*10황(0.8t)</t>
    <phoneticPr fontId="3" type="noConversion"/>
  </si>
  <si>
    <t>20롤</t>
    <phoneticPr fontId="3" type="noConversion"/>
  </si>
  <si>
    <t>김규현</t>
    <phoneticPr fontId="3" type="noConversion"/>
  </si>
  <si>
    <t>자강</t>
    <phoneticPr fontId="3" type="noConversion"/>
  </si>
  <si>
    <t>18*10(황)</t>
    <phoneticPr fontId="3" type="noConversion"/>
  </si>
  <si>
    <t>128롤</t>
    <phoneticPr fontId="3" type="noConversion"/>
  </si>
  <si>
    <t>kpp빨강</t>
    <phoneticPr fontId="3" type="noConversion"/>
  </si>
  <si>
    <t>용차</t>
    <phoneticPr fontId="3" type="noConversion"/>
  </si>
  <si>
    <t>금산포장</t>
    <phoneticPr fontId="3" type="noConversion"/>
  </si>
  <si>
    <t>오전</t>
    <phoneticPr fontId="3" type="noConversion"/>
  </si>
  <si>
    <t>5박스</t>
    <phoneticPr fontId="3" type="noConversion"/>
  </si>
  <si>
    <t>kic박스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</si>
  <si>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</si>
  <si>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</si>
  <si>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</si>
  <si>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</si>
  <si>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남양주시 오남읍 오남리 622-1(믿음제일교회 옆)  전원팜 031-575-0887</t>
    <phoneticPr fontId="3" type="noConversion"/>
  </si>
  <si>
    <t>동원팩</t>
    <phoneticPr fontId="3" type="noConversion"/>
  </si>
  <si>
    <t>20박스</t>
    <phoneticPr fontId="3" type="noConversion"/>
  </si>
  <si>
    <t>25박스</t>
    <phoneticPr fontId="3" type="noConversion"/>
  </si>
  <si>
    <t>방문출고</t>
    <phoneticPr fontId="3" type="noConversion"/>
  </si>
  <si>
    <t>6*10백</t>
    <phoneticPr fontId="3" type="noConversion"/>
  </si>
  <si>
    <t>50롤</t>
    <phoneticPr fontId="3" type="noConversion"/>
  </si>
  <si>
    <t>전표는 25롤(25롤 교환)</t>
    <phoneticPr fontId="3" type="noConversion"/>
  </si>
  <si>
    <t>신광포장</t>
    <phoneticPr fontId="3" type="noConversion"/>
  </si>
  <si>
    <t>PE28*6백</t>
    <phoneticPr fontId="3" type="noConversion"/>
  </si>
  <si>
    <t>5박스</t>
    <phoneticPr fontId="3" type="noConversion"/>
  </si>
  <si>
    <t>10박스</t>
    <phoneticPr fontId="3" type="noConversion"/>
  </si>
  <si>
    <t>50롤</t>
    <phoneticPr fontId="3" type="noConversion"/>
  </si>
  <si>
    <t>전주삼신산업</t>
    <phoneticPr fontId="3" type="noConversion"/>
  </si>
  <si>
    <t>6*10백</t>
    <phoneticPr fontId="3" type="noConversion"/>
  </si>
  <si>
    <t>20롤</t>
    <phoneticPr fontId="3" type="noConversion"/>
  </si>
  <si>
    <t>10롤</t>
    <phoneticPr fontId="3" type="noConversion"/>
  </si>
  <si>
    <t>12*10황(0.65T)</t>
    <phoneticPr fontId="3" type="noConversion"/>
  </si>
  <si>
    <t>대신택배</t>
    <phoneticPr fontId="3" type="noConversion"/>
  </si>
  <si>
    <t>power박스</t>
    <phoneticPr fontId="3" type="noConversion"/>
  </si>
  <si>
    <t>kic박스</t>
    <phoneticPr fontId="3" type="noConversion"/>
  </si>
  <si>
    <t>82박스</t>
    <phoneticPr fontId="3" type="noConversion"/>
  </si>
  <si>
    <t>15*10백(0.65T)</t>
    <phoneticPr fontId="3" type="noConversion"/>
  </si>
  <si>
    <t>120롤</t>
    <phoneticPr fontId="3" type="noConversion"/>
  </si>
  <si>
    <t>12*12.5황</t>
    <phoneticPr fontId="3" type="noConversion"/>
  </si>
  <si>
    <t>15롤</t>
    <phoneticPr fontId="3" type="noConversion"/>
  </si>
  <si>
    <t>10박스</t>
    <phoneticPr fontId="3" type="noConversion"/>
  </si>
  <si>
    <t>PE28*2백(24kg)</t>
    <phoneticPr fontId="3" type="noConversion"/>
  </si>
  <si>
    <t>PE28*6백</t>
    <phoneticPr fontId="3" type="noConversion"/>
  </si>
  <si>
    <t>20박스</t>
    <phoneticPr fontId="3" type="noConversion"/>
  </si>
  <si>
    <t>경인팩</t>
    <phoneticPr fontId="3" type="noConversion"/>
  </si>
  <si>
    <t>82박스</t>
    <phoneticPr fontId="3" type="noConversion"/>
  </si>
  <si>
    <t>(2박스 교환)</t>
    <phoneticPr fontId="3" type="noConversion"/>
  </si>
  <si>
    <t>224롤</t>
    <phoneticPr fontId="3" type="noConversion"/>
  </si>
  <si>
    <t>96박스</t>
    <phoneticPr fontId="3" type="noConversion"/>
  </si>
  <si>
    <t>크린토피아/2박스 교체</t>
    <phoneticPr fontId="3" type="noConversion"/>
  </si>
  <si>
    <t>펀치볼</t>
    <phoneticPr fontId="3" type="noConversion"/>
  </si>
  <si>
    <t>수작업</t>
    <phoneticPr fontId="3" type="noConversion"/>
  </si>
  <si>
    <t>14.5톤</t>
    <phoneticPr fontId="3" type="noConversion"/>
  </si>
  <si>
    <t>15박스</t>
    <phoneticPr fontId="3" type="noConversion"/>
  </si>
  <si>
    <t>20박스</t>
    <phoneticPr fontId="3" type="noConversion"/>
  </si>
  <si>
    <t>방문출고</t>
    <phoneticPr fontId="3" type="noConversion"/>
  </si>
  <si>
    <t>동원팩</t>
    <phoneticPr fontId="3" type="noConversion"/>
  </si>
  <si>
    <t>9시전에 도착</t>
    <phoneticPr fontId="3" type="noConversion"/>
  </si>
  <si>
    <t>아주파레트 반납및렌탈</t>
    <phoneticPr fontId="3" type="noConversion"/>
  </si>
  <si>
    <t>PE28*2백</t>
    <phoneticPr fontId="3" type="noConversion"/>
  </si>
  <si>
    <t>241롤</t>
    <phoneticPr fontId="3" type="noConversion"/>
  </si>
  <si>
    <t>141롤</t>
    <phoneticPr fontId="3" type="noConversion"/>
  </si>
  <si>
    <t>PE28*2청</t>
    <phoneticPr fontId="3" type="noConversion"/>
  </si>
  <si>
    <t>PE28*2녹</t>
    <phoneticPr fontId="3" type="noConversion"/>
  </si>
  <si>
    <t>1박스</t>
    <phoneticPr fontId="3" type="noConversion"/>
  </si>
  <si>
    <t>1박스</t>
    <phoneticPr fontId="3" type="noConversion"/>
  </si>
  <si>
    <t>로젠택배</t>
    <phoneticPr fontId="3" type="noConversion"/>
  </si>
  <si>
    <t>10박스</t>
    <phoneticPr fontId="3" type="noConversion"/>
  </si>
  <si>
    <t>색갈 안 좋은거</t>
  </si>
  <si>
    <t>kg당 -500원</t>
    <phoneticPr fontId="3" type="noConversion"/>
  </si>
  <si>
    <t>한남포장</t>
    <phoneticPr fontId="3" type="noConversion"/>
  </si>
  <si>
    <t>PE28*2청</t>
    <phoneticPr fontId="3" type="noConversion"/>
  </si>
  <si>
    <t>10박스</t>
    <phoneticPr fontId="3" type="noConversion"/>
  </si>
  <si>
    <t>방문출고</t>
    <phoneticPr fontId="3" type="noConversion"/>
  </si>
  <si>
    <t>6*10백</t>
    <phoneticPr fontId="3" type="noConversion"/>
  </si>
  <si>
    <t>정상품</t>
    <phoneticPr fontId="3" type="noConversion"/>
  </si>
  <si>
    <t>10롤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</si>
  <si>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</si>
  <si>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</si>
  <si>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</si>
  <si>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충청북도 진천군 덕산면 신척산단5로 196 (덕산면, (주)견지포장) 견지포장 김법준 010-4555-0979</t>
    <phoneticPr fontId="3" type="noConversion"/>
  </si>
  <si>
    <t>12*10백(0.8T)</t>
    <phoneticPr fontId="3" type="noConversion"/>
  </si>
  <si>
    <t>64롤</t>
    <phoneticPr fontId="3" type="noConversion"/>
  </si>
  <si>
    <t>2대</t>
    <phoneticPr fontId="3" type="noConversion"/>
  </si>
  <si>
    <t>11*3000투명</t>
    <phoneticPr fontId="3" type="noConversion"/>
  </si>
  <si>
    <t>10롤</t>
    <phoneticPr fontId="3" type="noConversion"/>
  </si>
  <si>
    <t>내수</t>
    <phoneticPr fontId="3" type="noConversion"/>
  </si>
  <si>
    <t>세움패키지</t>
    <phoneticPr fontId="3" type="noConversion"/>
  </si>
  <si>
    <t>6*10백</t>
    <phoneticPr fontId="3" type="noConversion"/>
  </si>
  <si>
    <t>50롤</t>
    <phoneticPr fontId="3" type="noConversion"/>
  </si>
  <si>
    <t>용차</t>
    <phoneticPr fontId="3" type="noConversion"/>
  </si>
  <si>
    <t>선불청구</t>
    <phoneticPr fontId="3" type="noConversion"/>
  </si>
  <si>
    <t>방문신청</t>
    <phoneticPr fontId="3" type="noConversion"/>
  </si>
  <si>
    <t>6*10백</t>
    <phoneticPr fontId="3" type="noConversion"/>
  </si>
  <si>
    <t>50롤</t>
    <phoneticPr fontId="3" type="noConversion"/>
  </si>
  <si>
    <t>PE28*2황</t>
    <phoneticPr fontId="3" type="noConversion"/>
  </si>
  <si>
    <t>PE28*6백</t>
    <phoneticPr fontId="3" type="noConversion"/>
  </si>
  <si>
    <t>15박스</t>
    <phoneticPr fontId="3" type="noConversion"/>
  </si>
  <si>
    <t>5박스</t>
    <phoneticPr fontId="3" type="noConversion"/>
  </si>
  <si>
    <t>20박스</t>
    <phoneticPr fontId="3" type="noConversion"/>
  </si>
  <si>
    <t>동원팩</t>
    <phoneticPr fontId="3" type="noConversion"/>
  </si>
  <si>
    <t>전표47롤, 3롤반품</t>
    <phoneticPr fontId="3" type="noConversion"/>
  </si>
  <si>
    <t>오전</t>
    <phoneticPr fontId="3" type="noConversion"/>
  </si>
  <si>
    <t>오후</t>
    <phoneticPr fontId="3" type="noConversion"/>
  </si>
  <si>
    <t>바오</t>
    <phoneticPr fontId="3" type="noConversion"/>
  </si>
  <si>
    <t>2박스</t>
    <phoneticPr fontId="3" type="noConversion"/>
  </si>
  <si>
    <t>kic박스</t>
    <phoneticPr fontId="3" type="noConversion"/>
  </si>
  <si>
    <t>로젠택배</t>
    <phoneticPr fontId="3" type="noConversion"/>
  </si>
  <si>
    <t>대성씨앤씨</t>
    <phoneticPr fontId="3" type="noConversion"/>
  </si>
  <si>
    <t>20*500*1400</t>
    <phoneticPr fontId="3" type="noConversion"/>
  </si>
  <si>
    <t>50박스</t>
    <phoneticPr fontId="3" type="noConversion"/>
  </si>
  <si>
    <t>1공장</t>
    <phoneticPr fontId="3" type="noConversion"/>
  </si>
  <si>
    <t xml:space="preserve">1/2일 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</si>
  <si>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</si>
  <si>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</si>
  <si>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</si>
  <si>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서신</t>
    <phoneticPr fontId="3" type="noConversion"/>
  </si>
  <si>
    <t>대신택배</t>
    <phoneticPr fontId="3" type="noConversion"/>
  </si>
  <si>
    <t>강원도 원주시 동부순환로 389-5(봉산동) (주)서신 033-764-6605 / 010-8969-6221</t>
    <phoneticPr fontId="3" type="noConversion"/>
  </si>
  <si>
    <t>신광포장</t>
    <phoneticPr fontId="3" type="noConversion"/>
  </si>
  <si>
    <t>15*12황(0.65T)</t>
    <phoneticPr fontId="3" type="noConversion"/>
  </si>
  <si>
    <t>50롤</t>
    <phoneticPr fontId="3" type="noConversion"/>
  </si>
  <si>
    <t>50롤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</si>
  <si>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</si>
  <si>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</si>
  <si>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</si>
  <si>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경기도 평택시 통복동 66-1번지  나라유통  010-3295-5230</t>
    <phoneticPr fontId="3" type="noConversion"/>
  </si>
  <si>
    <t>명세서 1/2</t>
    <phoneticPr fontId="3" type="noConversion"/>
  </si>
  <si>
    <t xml:space="preserve">경기도 화성시 양감면 </t>
    <phoneticPr fontId="3" type="noConversion"/>
  </si>
  <si>
    <t>양간큰말길 101</t>
    <phoneticPr fontId="3" type="noConversion"/>
  </si>
  <si>
    <t>㈜현진솔루션</t>
    <phoneticPr fontId="3" type="noConversion"/>
  </si>
  <si>
    <t>김용안 대표님</t>
    <phoneticPr fontId="3" type="noConversion"/>
  </si>
  <si>
    <t>031-352-6965</t>
    <phoneticPr fontId="3" type="noConversion"/>
  </si>
  <si>
    <t>010-5411-1292</t>
    <phoneticPr fontId="3" type="noConversion"/>
  </si>
  <si>
    <t>6922-000421</t>
  </si>
  <si>
    <t>C</t>
  </si>
  <si>
    <t>W04</t>
  </si>
  <si>
    <t>(주)케이아이씨</t>
  </si>
  <si>
    <t>SHE</t>
    <phoneticPr fontId="3" type="noConversion"/>
  </si>
  <si>
    <t>Plant</t>
  </si>
  <si>
    <t>Part No</t>
  </si>
  <si>
    <t>PO No</t>
  </si>
  <si>
    <t>PO item</t>
  </si>
  <si>
    <t>Qty</t>
  </si>
  <si>
    <t>SM</t>
  </si>
  <si>
    <t>IPC PO No</t>
  </si>
  <si>
    <t>PO Item</t>
  </si>
  <si>
    <t>EXF required</t>
  </si>
  <si>
    <t>EXF confirmed by vendor</t>
  </si>
  <si>
    <t>Vendor</t>
  </si>
  <si>
    <t>(협력사 입고일)</t>
  </si>
  <si>
    <t>2023.01.27</t>
    <phoneticPr fontId="3" type="noConversion"/>
  </si>
  <si>
    <t>2023.01.27</t>
    <phoneticPr fontId="3" type="noConversion"/>
  </si>
  <si>
    <t>장항동 612-24 (노천길 37-1)</t>
    <phoneticPr fontId="8" type="noConversion"/>
  </si>
  <si>
    <t>010-7400-2311</t>
  </si>
  <si>
    <t>PE28*6 백색  10박스</t>
    <phoneticPr fontId="3" type="noConversion"/>
  </si>
  <si>
    <t xml:space="preserve">수연유통  </t>
  </si>
  <si>
    <t xml:space="preserve">인천시 남동구 수산동 492번지  </t>
    <phoneticPr fontId="3" type="noConversion"/>
  </si>
  <si>
    <t>010-3625-2456</t>
    <phoneticPr fontId="8" type="noConversion"/>
  </si>
  <si>
    <t>6*10백 256롤</t>
    <phoneticPr fontId="3" type="noConversion"/>
  </si>
  <si>
    <t>#28*2 백  52박스</t>
    <phoneticPr fontId="3" type="noConversion"/>
  </si>
  <si>
    <t>#28*6 백  12박스</t>
    <phoneticPr fontId="3" type="noConversion"/>
  </si>
  <si>
    <t>발송 : 케이아이씨</t>
    <phoneticPr fontId="3" type="noConversion"/>
  </si>
  <si>
    <t>천안수지</t>
    <phoneticPr fontId="3" type="noConversion"/>
  </si>
  <si>
    <t>041-581-2704</t>
    <phoneticPr fontId="3" type="noConversion"/>
  </si>
  <si>
    <t>010-9412-8296</t>
    <phoneticPr fontId="3" type="noConversion"/>
  </si>
  <si>
    <t>천안시 서북구 성환읍 율금리 21-9</t>
    <phoneticPr fontId="3" type="noConversion"/>
  </si>
  <si>
    <t>64롤</t>
    <phoneticPr fontId="3" type="noConversion"/>
  </si>
  <si>
    <t xml:space="preserve">경기도 김포시 홍도평로 </t>
    <phoneticPr fontId="3" type="noConversion"/>
  </si>
  <si>
    <t xml:space="preserve">인천시 강화군 불은면 </t>
    <phoneticPr fontId="3" type="noConversion"/>
  </si>
  <si>
    <t xml:space="preserve">강화동로314번길 39  </t>
    <phoneticPr fontId="3" type="noConversion"/>
  </si>
  <si>
    <t xml:space="preserve">경일농장 </t>
    <phoneticPr fontId="3" type="noConversion"/>
  </si>
  <si>
    <t>010-3738-4660</t>
  </si>
  <si>
    <t>PE28*6 백색  8박스</t>
    <phoneticPr fontId="3" type="noConversion"/>
  </si>
  <si>
    <t xml:space="preserve">경기도 화성시 향남읍 </t>
    <phoneticPr fontId="3" type="noConversion"/>
  </si>
  <si>
    <t>발안로464번길 38</t>
  </si>
  <si>
    <t>동원화학수지</t>
  </si>
  <si>
    <t>031-354-7898</t>
  </si>
  <si>
    <t xml:space="preserve">경기도 안성시 원곡면 </t>
    <phoneticPr fontId="3" type="noConversion"/>
  </si>
  <si>
    <t>원암로 250-25</t>
  </si>
  <si>
    <t xml:space="preserve">정용주 대표 </t>
    <phoneticPr fontId="3" type="noConversion"/>
  </si>
  <si>
    <t>010-2772-0786</t>
    <phoneticPr fontId="3" type="noConversion"/>
  </si>
  <si>
    <t>이에스디케미칼</t>
  </si>
  <si>
    <t>02-418-4566</t>
    <phoneticPr fontId="3" type="noConversion"/>
  </si>
  <si>
    <t>031-322-2261</t>
    <phoneticPr fontId="3" type="noConversion"/>
  </si>
  <si>
    <t xml:space="preserve">경기도 김포시 하성면 </t>
    <phoneticPr fontId="3" type="noConversion"/>
  </si>
  <si>
    <t>원산로 45-19</t>
  </si>
  <si>
    <t xml:space="preserve">크린코리아   </t>
    <phoneticPr fontId="3" type="noConversion"/>
  </si>
  <si>
    <t>010-7272-6158</t>
  </si>
  <si>
    <t>PE28*2kg 백색  10박스</t>
    <phoneticPr fontId="3" type="noConversion"/>
  </si>
  <si>
    <t>천안시 서북구 성거읍</t>
    <phoneticPr fontId="3" type="noConversion"/>
  </si>
  <si>
    <t>모전2길 47-16</t>
    <phoneticPr fontId="3" type="noConversion"/>
  </si>
  <si>
    <t>010-2410-8501</t>
    <phoneticPr fontId="3" type="noConversion"/>
  </si>
  <si>
    <t>천안시 서북구 신당동 424-19</t>
    <phoneticPr fontId="3" type="noConversion"/>
  </si>
  <si>
    <t>강원농장</t>
    <phoneticPr fontId="3" type="noConversion"/>
  </si>
  <si>
    <t>010-6420-2204</t>
    <phoneticPr fontId="3" type="noConversion"/>
  </si>
  <si>
    <t>010-2377-0494</t>
    <phoneticPr fontId="3" type="noConversion"/>
  </si>
  <si>
    <t>흥진정밀</t>
    <phoneticPr fontId="3" type="noConversion"/>
  </si>
  <si>
    <t>031-986-2351</t>
  </si>
  <si>
    <t>김포시 승가로 76번길 126(풍무동)</t>
    <phoneticPr fontId="3" type="noConversion"/>
  </si>
  <si>
    <t>발송 : 케이아이씨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</si>
</sst>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#&quot;롤&quot;"/>
    <numFmt numFmtId="177" formatCode="m&quot;월&quot;\ d&quot;일&quot;;@"/>
    <numFmt numFmtId="178" formatCode="m&quot;/&quot;d;@"/>
    <numFmt numFmtId="179" formatCode="mm&quot;월&quot;\ dd&quot;일&quot;"/>
    <numFmt numFmtId="180" formatCode="0_);[Red]\(0\)"/>
    <numFmt numFmtId="181" formatCode="General&quot;롤&quot;"/>
    <numFmt numFmtId="182" formatCode="&quot;익&quot;@"/>
    <numFmt numFmtId="183" formatCode="&quot;₩&quot;#,##0"/>
  </numFmts>
  <fonts count="57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2"/>
      <color rgb="FF000000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4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34"/>
      <color rgb="FF000000"/>
      <name val="맑은 고딕"/>
      <family val="3"/>
      <charset val="129"/>
    </font>
    <font>
      <b/>
      <sz val="36"/>
      <color rgb="FF000000"/>
      <name val="맑은 고딕"/>
      <family val="3"/>
      <charset val="129"/>
    </font>
    <font>
      <b/>
      <sz val="35"/>
      <color rgb="FF000000"/>
      <name val="Arial"/>
      <family val="2"/>
    </font>
    <font>
      <b/>
      <sz val="35"/>
      <color rgb="FF000000"/>
      <name val="맑은 고딕"/>
      <family val="3"/>
      <charset val="129"/>
    </font>
    <font>
      <b/>
      <sz val="35"/>
      <color rgb="FF000000"/>
      <name val="맑은 고딕"/>
      <family val="3"/>
      <charset val="129"/>
      <scheme val="minor"/>
    </font>
    <font>
      <b/>
      <sz val="30"/>
      <color rgb="FF000000"/>
      <name val="맑은 고딕"/>
      <family val="3"/>
      <charset val="129"/>
      <scheme val="minor"/>
    </font>
    <font>
      <sz val="34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</font>
    <font>
      <sz val="35"/>
      <color rgb="FF000000"/>
      <name val="맑은 고딕"/>
      <family val="3"/>
      <charset val="129"/>
    </font>
    <font>
      <sz val="32"/>
      <color rgb="FF000000"/>
      <name val="맑은 고딕"/>
      <family val="3"/>
      <charset val="129"/>
    </font>
    <font>
      <b/>
      <sz val="32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30"/>
      <color rgb="FF000000"/>
      <name val="맑은 고딕"/>
      <family val="3"/>
      <charset val="129"/>
    </font>
    <font>
      <b/>
      <sz val="31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b/>
      <sz val="33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22"/>
      <color rgb="FF000000"/>
      <name val="맑은 고딕"/>
      <family val="3"/>
      <charset val="129"/>
    </font>
    <font>
      <b/>
      <sz val="25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  <scheme val="major"/>
    </font>
    <font>
      <sz val="33"/>
      <color rgb="FF000000"/>
      <name val="맑은 고딕"/>
      <family val="3"/>
      <charset val="129"/>
    </font>
    <font>
      <b/>
      <sz val="35"/>
      <color rgb="FF20202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33"/>
      <color rgb="FF000000"/>
      <name val="맑은 고딕"/>
      <family val="3"/>
      <charset val="129"/>
      <scheme val="minor"/>
    </font>
    <font>
      <b/>
      <sz val="32"/>
      <color rgb="FF000000"/>
      <name val="맑은 고딕"/>
      <family val="3"/>
      <charset val="129"/>
      <scheme val="minor"/>
    </font>
    <font>
      <b/>
      <sz val="32"/>
      <name val="맑은 고딕"/>
      <family val="3"/>
      <charset val="129"/>
    </font>
    <font>
      <sz val="33"/>
      <color rgb="FF000000"/>
      <name val="맑은 고딕"/>
      <family val="3"/>
      <charset val="129"/>
      <scheme val="minor"/>
    </font>
    <font>
      <sz val="15"/>
      <color rgb="FF000000"/>
      <name val="돋움"/>
      <family val="3"/>
      <charset val="129"/>
    </font>
    <font>
      <sz val="15"/>
      <color rgb="FFFF0000"/>
      <name val="맑은 고딕"/>
      <family val="3"/>
      <charset val="129"/>
    </font>
    <font>
      <b/>
      <sz val="36"/>
      <color rgb="FF000000"/>
      <name val="Arial"/>
      <family val="2"/>
    </font>
    <font>
      <b/>
      <sz val="36"/>
      <color rgb="FF000000"/>
      <name val="맑은 고딕"/>
      <family val="3"/>
      <charset val="129"/>
      <scheme val="major"/>
    </font>
    <font>
      <sz val="11"/>
      <color rgb="FF000000"/>
      <name val="Showcard Gothic"/>
      <family val="5"/>
    </font>
    <font>
      <b/>
      <sz val="11"/>
      <color rgb="FF000000"/>
      <name val="Bernard MT Condensed"/>
      <family val="1"/>
    </font>
    <font>
      <sz val="9"/>
      <color rgb="FF000000"/>
      <name val="Arial"/>
      <family val="2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</cellStyleXfs>
  <cellXfs count="1393">
    <xf numFmtId="0" fontId="0" fillId="0" borderId="0" xfId="0">
      <alignment vertical="center"/>
    </xf>
    <xf numFmtId="0" fontId="2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/>
    </xf>
    <xf numFmtId="177" fontId="7" fillId="2" borderId="3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176" fontId="5" fillId="0" borderId="8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176" fontId="5" fillId="0" borderId="13" xfId="0" applyNumberFormat="1" applyFont="1" applyFill="1" applyBorder="1" applyAlignment="1">
      <alignment horizontal="center" vertical="center" wrapText="1"/>
    </xf>
    <xf numFmtId="0" fontId="5" fillId="3" borderId="13" xfId="0" applyNumberFormat="1" applyFont="1" applyFill="1" applyBorder="1" applyAlignment="1">
      <alignment horizontal="center" vertical="center" wrapText="1"/>
    </xf>
    <xf numFmtId="0" fontId="5" fillId="3" borderId="14" xfId="0" applyNumberFormat="1" applyFont="1" applyFill="1" applyBorder="1" applyAlignment="1">
      <alignment horizontal="center" vertical="center" wrapText="1"/>
    </xf>
    <xf numFmtId="0" fontId="5" fillId="3" borderId="13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vertical="center" wrapText="1"/>
    </xf>
    <xf numFmtId="0" fontId="5" fillId="3" borderId="14" xfId="0" applyNumberFormat="1" applyFont="1" applyFill="1" applyBorder="1" applyAlignment="1">
      <alignment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3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176" fontId="5" fillId="0" borderId="7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2" xfId="0" applyNumberFormat="1" applyFont="1" applyFill="1" applyBorder="1" applyAlignment="1">
      <alignment horizontal="center" vertical="center"/>
    </xf>
    <xf numFmtId="176" fontId="5" fillId="0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176" fontId="5" fillId="4" borderId="12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176" fontId="5" fillId="4" borderId="13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6" xfId="0" applyNumberFormat="1" applyFont="1" applyFill="1" applyBorder="1" applyAlignment="1">
      <alignment horizontal="center" vertical="center" wrapText="1"/>
    </xf>
    <xf numFmtId="176" fontId="5" fillId="4" borderId="8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0" borderId="25" xfId="0" applyNumberFormat="1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22" xfId="0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0" borderId="23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27" xfId="0" applyNumberFormat="1" applyFont="1" applyFill="1" applyBorder="1" applyAlignment="1">
      <alignment horizontal="center" vertical="center"/>
    </xf>
    <xf numFmtId="0" fontId="5" fillId="4" borderId="28" xfId="0" applyNumberFormat="1" applyFont="1" applyFill="1" applyBorder="1" applyAlignment="1">
      <alignment horizontal="center" vertical="center"/>
    </xf>
    <xf numFmtId="0" fontId="5" fillId="4" borderId="29" xfId="0" applyNumberFormat="1" applyFont="1" applyFill="1" applyBorder="1" applyAlignment="1">
      <alignment horizontal="center" vertical="center"/>
    </xf>
    <xf numFmtId="176" fontId="5" fillId="4" borderId="29" xfId="0" applyNumberFormat="1" applyFont="1" applyFill="1" applyBorder="1" applyAlignment="1">
      <alignment horizontal="center" vertical="center" wrapText="1"/>
    </xf>
    <xf numFmtId="0" fontId="5" fillId="4" borderId="29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2" borderId="25" xfId="0" applyNumberFormat="1" applyFont="1" applyFill="1" applyBorder="1" applyAlignment="1">
      <alignment horizontal="center" vertical="center" wrapText="1"/>
    </xf>
    <xf numFmtId="0" fontId="7" fillId="2" borderId="31" xfId="0" applyNumberFormat="1" applyFont="1" applyFill="1" applyBorder="1" applyAlignment="1">
      <alignment horizontal="center" vertical="center" wrapText="1"/>
    </xf>
    <xf numFmtId="0" fontId="7" fillId="2" borderId="31" xfId="0" applyNumberFormat="1" applyFont="1" applyFill="1" applyBorder="1" applyAlignment="1">
      <alignment horizontal="center" vertical="center"/>
    </xf>
    <xf numFmtId="177" fontId="7" fillId="2" borderId="5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31" xfId="0" applyNumberFormat="1" applyFont="1" applyFill="1" applyBorder="1" applyAlignment="1">
      <alignment horizontal="center" vertical="center"/>
    </xf>
    <xf numFmtId="0" fontId="5" fillId="4" borderId="3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vertical="center"/>
    </xf>
    <xf numFmtId="0" fontId="5" fillId="4" borderId="13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left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 wrapText="1"/>
    </xf>
    <xf numFmtId="0" fontId="5" fillId="4" borderId="32" xfId="0" applyNumberFormat="1" applyFont="1" applyFill="1" applyBorder="1" applyAlignment="1">
      <alignment horizontal="center" vertical="center"/>
    </xf>
    <xf numFmtId="176" fontId="5" fillId="4" borderId="27" xfId="0" applyNumberFormat="1" applyFont="1" applyFill="1" applyBorder="1" applyAlignment="1">
      <alignment horizontal="center" vertical="center" wrapText="1"/>
    </xf>
    <xf numFmtId="0" fontId="5" fillId="4" borderId="27" xfId="0" applyNumberFormat="1" applyFont="1" applyFill="1" applyBorder="1" applyAlignment="1">
      <alignment horizontal="center" vertical="center" wrapText="1"/>
    </xf>
    <xf numFmtId="0" fontId="5" fillId="3" borderId="25" xfId="0" applyNumberFormat="1" applyFont="1" applyFill="1" applyBorder="1" applyAlignment="1">
      <alignment horizontal="center" vertical="center"/>
    </xf>
    <xf numFmtId="0" fontId="5" fillId="3" borderId="23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5" fillId="3" borderId="28" xfId="0" applyNumberFormat="1" applyFont="1" applyFill="1" applyBorder="1" applyAlignment="1">
      <alignment horizontal="center" vertical="center"/>
    </xf>
    <xf numFmtId="0" fontId="5" fillId="3" borderId="31" xfId="0" applyNumberFormat="1" applyFont="1" applyFill="1" applyBorder="1" applyAlignment="1">
      <alignment horizontal="center" vertical="center"/>
    </xf>
    <xf numFmtId="0" fontId="5" fillId="3" borderId="29" xfId="0" applyNumberFormat="1" applyFont="1" applyFill="1" applyBorder="1" applyAlignment="1">
      <alignment horizontal="center" vertical="center"/>
    </xf>
    <xf numFmtId="0" fontId="5" fillId="3" borderId="30" xfId="0" applyNumberFormat="1" applyFont="1" applyFill="1" applyBorder="1" applyAlignment="1">
      <alignment horizontal="center" vertical="center" wrapText="1"/>
    </xf>
    <xf numFmtId="176" fontId="5" fillId="4" borderId="34" xfId="0" applyNumberFormat="1" applyFont="1" applyFill="1" applyBorder="1" applyAlignment="1">
      <alignment horizontal="center" vertical="center" wrapText="1"/>
    </xf>
    <xf numFmtId="0" fontId="5" fillId="4" borderId="34" xfId="0" applyNumberFormat="1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12" fillId="3" borderId="1" xfId="0" applyNumberFormat="1" applyFont="1" applyFill="1" applyBorder="1" applyAlignment="1">
      <alignment horizontal="right" vertical="center" wrapText="1"/>
    </xf>
    <xf numFmtId="0" fontId="12" fillId="3" borderId="42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0" fontId="5" fillId="3" borderId="42" xfId="0" applyNumberFormat="1" applyFont="1" applyFill="1" applyBorder="1" applyAlignment="1">
      <alignment horizontal="right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14" fontId="0" fillId="0" borderId="3" xfId="0" applyNumberFormat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right" vertical="center" wrapText="1"/>
    </xf>
    <xf numFmtId="0" fontId="5" fillId="3" borderId="8" xfId="0" applyNumberFormat="1" applyFont="1" applyFill="1" applyBorder="1" applyAlignment="1">
      <alignment horizontal="right" vertical="center" wrapText="1"/>
    </xf>
    <xf numFmtId="178" fontId="0" fillId="0" borderId="9" xfId="0" applyNumberFormat="1" applyBorder="1" applyAlignment="1">
      <alignment horizontal="center" vertical="center"/>
    </xf>
    <xf numFmtId="41" fontId="5" fillId="3" borderId="6" xfId="1" applyNumberFormat="1" applyFont="1" applyFill="1" applyBorder="1" applyAlignment="1">
      <alignment horizontal="right" vertical="center" wrapText="1"/>
    </xf>
    <xf numFmtId="41" fontId="5" fillId="3" borderId="8" xfId="1" applyNumberFormat="1" applyFont="1" applyFill="1" applyBorder="1" applyAlignment="1">
      <alignment horizontal="right" vertical="center" wrapText="1"/>
    </xf>
    <xf numFmtId="14" fontId="1" fillId="0" borderId="9" xfId="0" applyNumberFormat="1" applyFont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180" fontId="0" fillId="0" borderId="14" xfId="0" applyNumberFormat="1" applyFill="1" applyBorder="1" applyAlignment="1">
      <alignment horizontal="center" vertical="center"/>
    </xf>
    <xf numFmtId="180" fontId="5" fillId="3" borderId="23" xfId="0" applyNumberFormat="1" applyFont="1" applyFill="1" applyBorder="1" applyAlignment="1">
      <alignment horizontal="right" vertical="center" wrapText="1"/>
    </xf>
    <xf numFmtId="0" fontId="5" fillId="3" borderId="13" xfId="0" applyNumberFormat="1" applyFont="1" applyFill="1" applyBorder="1" applyAlignment="1">
      <alignment horizontal="right" vertical="center" wrapText="1"/>
    </xf>
    <xf numFmtId="180" fontId="5" fillId="3" borderId="13" xfId="0" applyNumberFormat="1" applyFont="1" applyFill="1" applyBorder="1" applyAlignment="1">
      <alignment horizontal="right" vertical="center" wrapText="1"/>
    </xf>
    <xf numFmtId="14" fontId="1" fillId="0" borderId="14" xfId="0" applyNumberFormat="1" applyFont="1" applyBorder="1" applyAlignment="1">
      <alignment horizontal="center" vertical="center"/>
    </xf>
    <xf numFmtId="180" fontId="1" fillId="0" borderId="14" xfId="0" applyNumberFormat="1" applyFont="1" applyFill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80" fontId="5" fillId="3" borderId="22" xfId="0" applyNumberFormat="1" applyFont="1" applyFill="1" applyBorder="1" applyAlignment="1">
      <alignment horizontal="right" vertical="center" wrapText="1"/>
    </xf>
    <xf numFmtId="0" fontId="5" fillId="3" borderId="12" xfId="0" applyNumberFormat="1" applyFont="1" applyFill="1" applyBorder="1" applyAlignment="1">
      <alignment horizontal="right" vertical="center" wrapText="1"/>
    </xf>
    <xf numFmtId="180" fontId="5" fillId="3" borderId="12" xfId="0" applyNumberFormat="1" applyFont="1" applyFill="1" applyBorder="1" applyAlignment="1">
      <alignment horizontal="right" vertical="center" wrapText="1"/>
    </xf>
    <xf numFmtId="14" fontId="0" fillId="0" borderId="20" xfId="0" applyNumberFormat="1" applyBorder="1" applyAlignment="1">
      <alignment horizontal="center" vertical="center"/>
    </xf>
    <xf numFmtId="0" fontId="13" fillId="0" borderId="22" xfId="0" applyNumberFormat="1" applyFont="1" applyBorder="1" applyAlignment="1">
      <alignment horizontal="center" vertical="center"/>
    </xf>
    <xf numFmtId="0" fontId="13" fillId="0" borderId="12" xfId="0" applyNumberFormat="1" applyFont="1" applyBorder="1" applyAlignment="1">
      <alignment horizontal="center" vertical="center"/>
    </xf>
    <xf numFmtId="178" fontId="13" fillId="0" borderId="20" xfId="0" applyNumberFormat="1" applyFont="1" applyBorder="1" applyAlignment="1">
      <alignment horizontal="center" vertical="center"/>
    </xf>
    <xf numFmtId="0" fontId="13" fillId="0" borderId="3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1" fillId="0" borderId="0" xfId="0" applyFont="1">
      <alignment vertical="center"/>
    </xf>
    <xf numFmtId="41" fontId="1" fillId="0" borderId="0" xfId="1">
      <alignment vertical="center"/>
    </xf>
    <xf numFmtId="182" fontId="0" fillId="0" borderId="0" xfId="0" applyNumberFormat="1">
      <alignment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41" fontId="0" fillId="0" borderId="13" xfId="0" applyNumberFormat="1" applyBorder="1">
      <alignment vertical="center"/>
    </xf>
    <xf numFmtId="41" fontId="1" fillId="0" borderId="13" xfId="1" applyBorder="1">
      <alignment vertical="center"/>
    </xf>
    <xf numFmtId="41" fontId="1" fillId="0" borderId="13" xfId="1" applyBorder="1" applyAlignment="1">
      <alignment horizontal="center" vertical="center"/>
    </xf>
    <xf numFmtId="41" fontId="1" fillId="0" borderId="13" xfId="1" applyFill="1" applyBorder="1">
      <alignment vertical="center"/>
    </xf>
    <xf numFmtId="41" fontId="11" fillId="0" borderId="13" xfId="1" applyFont="1" applyFill="1" applyBorder="1" applyAlignment="1">
      <alignment horizontal="center" vertical="center"/>
    </xf>
    <xf numFmtId="41" fontId="15" fillId="0" borderId="13" xfId="1" applyFont="1" applyFill="1" applyBorder="1" applyAlignment="1">
      <alignment horizontal="center" vertical="center"/>
    </xf>
    <xf numFmtId="41" fontId="11" fillId="0" borderId="13" xfId="1" applyFont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8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0" fontId="20" fillId="0" borderId="0" xfId="0" applyNumberFormat="1" applyFont="1" applyAlignment="1">
      <alignment horizontal="left" vertical="center"/>
    </xf>
    <xf numFmtId="0" fontId="20" fillId="0" borderId="0" xfId="0" applyNumberFormat="1" applyFont="1" applyFill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7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24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28" fillId="0" borderId="0" xfId="0" applyNumberFormat="1" applyFont="1" applyAlignment="1">
      <alignment horizontal="left" vertical="center"/>
    </xf>
    <xf numFmtId="0" fontId="35" fillId="0" borderId="0" xfId="0" applyFont="1">
      <alignment vertical="center"/>
    </xf>
    <xf numFmtId="176" fontId="36" fillId="0" borderId="0" xfId="0" applyNumberFormat="1" applyFont="1" applyFill="1" applyBorder="1" applyAlignment="1">
      <alignment horizontal="center" vertical="center" wrapText="1"/>
    </xf>
    <xf numFmtId="0" fontId="36" fillId="0" borderId="0" xfId="0" applyNumberFormat="1" applyFont="1" applyFill="1" applyBorder="1" applyAlignment="1">
      <alignment vertical="center"/>
    </xf>
    <xf numFmtId="0" fontId="34" fillId="0" borderId="0" xfId="0" applyNumberFormat="1" applyFont="1" applyFill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28" fillId="0" borderId="0" xfId="0" applyNumberFormat="1" applyFont="1" applyAlignment="1">
      <alignment vertical="center"/>
    </xf>
    <xf numFmtId="0" fontId="18" fillId="0" borderId="0" xfId="0" applyNumberFormat="1" applyFont="1" applyAlignment="1">
      <alignment vertical="center"/>
    </xf>
    <xf numFmtId="0" fontId="18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left" vertical="center" wrapText="1" indent="1"/>
    </xf>
    <xf numFmtId="0" fontId="5" fillId="4" borderId="27" xfId="0" applyNumberFormat="1" applyFont="1" applyFill="1" applyBorder="1" applyAlignment="1">
      <alignment vertical="center"/>
    </xf>
    <xf numFmtId="14" fontId="1" fillId="5" borderId="3" xfId="0" applyNumberFormat="1" applyFont="1" applyFill="1" applyBorder="1" applyAlignment="1">
      <alignment horizontal="center" vertical="center"/>
    </xf>
    <xf numFmtId="180" fontId="5" fillId="5" borderId="2" xfId="0" applyNumberFormat="1" applyFont="1" applyFill="1" applyBorder="1" applyAlignment="1">
      <alignment horizontal="right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24" fillId="0" borderId="0" xfId="0" applyFont="1" applyAlignment="1"/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37" fillId="0" borderId="0" xfId="0" applyFont="1">
      <alignment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5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180" fontId="5" fillId="0" borderId="13" xfId="0" applyNumberFormat="1" applyFont="1" applyFill="1" applyBorder="1" applyAlignment="1">
      <alignment horizontal="right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13" xfId="0" applyNumberFormat="1" applyFont="1" applyFill="1" applyBorder="1" applyAlignment="1">
      <alignment horizontal="right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5" borderId="13" xfId="0" applyNumberFormat="1" applyFont="1" applyFill="1" applyBorder="1" applyAlignment="1">
      <alignment horizontal="center" vertical="center" wrapText="1"/>
    </xf>
    <xf numFmtId="176" fontId="5" fillId="5" borderId="13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5" borderId="6" xfId="0" applyNumberFormat="1" applyFont="1" applyFill="1" applyBorder="1" applyAlignment="1">
      <alignment horizontal="center" vertical="center"/>
    </xf>
    <xf numFmtId="0" fontId="5" fillId="5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0" borderId="25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25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14" fontId="13" fillId="0" borderId="26" xfId="0" applyNumberFormat="1" applyFont="1" applyFill="1" applyBorder="1" applyAlignment="1">
      <alignment horizontal="center" vertical="center"/>
    </xf>
    <xf numFmtId="0" fontId="13" fillId="0" borderId="27" xfId="0" applyNumberFormat="1" applyFont="1" applyFill="1" applyBorder="1" applyAlignment="1">
      <alignment horizontal="center" vertical="center" wrapText="1"/>
    </xf>
    <xf numFmtId="0" fontId="13" fillId="0" borderId="27" xfId="0" applyNumberFormat="1" applyFont="1" applyFill="1" applyBorder="1" applyAlignment="1">
      <alignment horizontal="center" vertical="center"/>
    </xf>
    <xf numFmtId="14" fontId="0" fillId="0" borderId="14" xfId="0" applyNumberForma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35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183" fontId="0" fillId="0" borderId="0" xfId="0" applyNumberFormat="1">
      <alignment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7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180" fontId="1" fillId="0" borderId="20" xfId="0" applyNumberFormat="1" applyFont="1" applyFill="1" applyBorder="1" applyAlignment="1">
      <alignment horizontal="center" vertical="center"/>
    </xf>
    <xf numFmtId="0" fontId="1" fillId="0" borderId="12" xfId="0" applyNumberFormat="1" applyFont="1" applyBorder="1" applyAlignment="1">
      <alignment horizontal="center" vertical="center"/>
    </xf>
    <xf numFmtId="181" fontId="1" fillId="0" borderId="22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40" fillId="0" borderId="0" xfId="0" applyFont="1">
      <alignment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1" fillId="0" borderId="0" xfId="0" applyFont="1">
      <alignment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5" borderId="7" xfId="0" applyNumberFormat="1" applyFont="1" applyFill="1" applyBorder="1" applyAlignment="1">
      <alignment horizontal="center" vertical="center"/>
    </xf>
    <xf numFmtId="0" fontId="5" fillId="5" borderId="11" xfId="0" applyNumberFormat="1" applyFont="1" applyFill="1" applyBorder="1" applyAlignment="1">
      <alignment horizontal="center" vertical="center" wrapText="1"/>
    </xf>
    <xf numFmtId="0" fontId="5" fillId="5" borderId="7" xfId="0" applyNumberFormat="1" applyFont="1" applyFill="1" applyBorder="1" applyAlignment="1">
      <alignment horizontal="center" vertical="center" wrapText="1"/>
    </xf>
    <xf numFmtId="176" fontId="5" fillId="5" borderId="7" xfId="0" applyNumberFormat="1" applyFont="1" applyFill="1" applyBorder="1" applyAlignment="1">
      <alignment horizontal="center" vertical="center" wrapText="1"/>
    </xf>
    <xf numFmtId="0" fontId="5" fillId="5" borderId="21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6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2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0" fontId="46" fillId="0" borderId="0" xfId="2" applyFont="1">
      <alignment vertical="center"/>
    </xf>
    <xf numFmtId="0" fontId="47" fillId="0" borderId="0" xfId="0" applyFont="1">
      <alignment vertical="center"/>
    </xf>
    <xf numFmtId="0" fontId="4" fillId="0" borderId="0" xfId="0" applyNumberFormat="1" applyFont="1" applyAlignment="1">
      <alignment horizontal="left" vertical="center"/>
    </xf>
    <xf numFmtId="0" fontId="27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5" borderId="13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176" fontId="5" fillId="6" borderId="13" xfId="0" applyNumberFormat="1" applyFont="1" applyFill="1" applyBorder="1" applyAlignment="1">
      <alignment horizontal="center" vertical="center" wrapText="1"/>
    </xf>
    <xf numFmtId="0" fontId="5" fillId="6" borderId="12" xfId="0" applyNumberFormat="1" applyFont="1" applyFill="1" applyBorder="1" applyAlignment="1">
      <alignment horizontal="center" vertical="center"/>
    </xf>
    <xf numFmtId="0" fontId="5" fillId="6" borderId="20" xfId="0" applyNumberFormat="1" applyFont="1" applyFill="1" applyBorder="1" applyAlignment="1">
      <alignment horizontal="center" vertical="center" wrapText="1"/>
    </xf>
    <xf numFmtId="0" fontId="5" fillId="6" borderId="8" xfId="0" applyNumberFormat="1" applyFont="1" applyFill="1" applyBorder="1" applyAlignment="1">
      <alignment horizontal="center" vertical="center" wrapText="1"/>
    </xf>
    <xf numFmtId="176" fontId="5" fillId="6" borderId="8" xfId="0" applyNumberFormat="1" applyFont="1" applyFill="1" applyBorder="1" applyAlignment="1">
      <alignment horizontal="center" vertical="center" wrapText="1"/>
    </xf>
    <xf numFmtId="0" fontId="5" fillId="6" borderId="7" xfId="0" applyNumberFormat="1" applyFont="1" applyFill="1" applyBorder="1" applyAlignment="1">
      <alignment horizontal="center" vertical="center"/>
    </xf>
    <xf numFmtId="0" fontId="5" fillId="6" borderId="8" xfId="0" applyNumberFormat="1" applyFont="1" applyFill="1" applyBorder="1" applyAlignment="1">
      <alignment horizontal="center" vertical="center"/>
    </xf>
    <xf numFmtId="0" fontId="5" fillId="6" borderId="6" xfId="0" applyNumberFormat="1" applyFont="1" applyFill="1" applyBorder="1" applyAlignment="1">
      <alignment horizontal="center" vertical="center"/>
    </xf>
    <xf numFmtId="0" fontId="5" fillId="6" borderId="11" xfId="0" applyNumberFormat="1" applyFont="1" applyFill="1" applyBorder="1" applyAlignment="1">
      <alignment horizontal="center" vertical="center" wrapText="1"/>
    </xf>
    <xf numFmtId="0" fontId="5" fillId="6" borderId="13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6" borderId="14" xfId="0" applyNumberFormat="1" applyFont="1" applyFill="1" applyBorder="1" applyAlignment="1">
      <alignment horizontal="center" vertical="center" wrapText="1"/>
    </xf>
    <xf numFmtId="0" fontId="5" fillId="6" borderId="23" xfId="0" applyNumberFormat="1" applyFont="1" applyFill="1" applyBorder="1" applyAlignment="1">
      <alignment horizontal="center" vertical="center"/>
    </xf>
    <xf numFmtId="0" fontId="5" fillId="6" borderId="48" xfId="0" applyNumberFormat="1" applyFont="1" applyFill="1" applyBorder="1" applyAlignment="1">
      <alignment horizontal="center" vertical="center"/>
    </xf>
    <xf numFmtId="0" fontId="5" fillId="6" borderId="49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31" xfId="0" applyNumberFormat="1" applyFont="1" applyFill="1" applyBorder="1" applyAlignment="1">
      <alignment horizontal="center" vertical="center" wrapText="1"/>
    </xf>
    <xf numFmtId="176" fontId="5" fillId="0" borderId="31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48" fillId="0" borderId="0" xfId="0" applyFo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5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49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177" fontId="7" fillId="2" borderId="26" xfId="0" applyNumberFormat="1" applyFont="1" applyFill="1" applyBorder="1" applyAlignment="1">
      <alignment horizontal="center" vertical="center"/>
    </xf>
    <xf numFmtId="0" fontId="7" fillId="2" borderId="27" xfId="0" applyNumberFormat="1" applyFont="1" applyFill="1" applyBorder="1" applyAlignment="1">
      <alignment horizontal="center" vertical="center"/>
    </xf>
    <xf numFmtId="0" fontId="7" fillId="2" borderId="27" xfId="0" applyNumberFormat="1" applyFont="1" applyFill="1" applyBorder="1" applyAlignment="1">
      <alignment horizontal="center" vertical="center" wrapText="1"/>
    </xf>
    <xf numFmtId="0" fontId="5" fillId="2" borderId="3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8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0" borderId="30" xfId="0" applyNumberFormat="1" applyFont="1" applyFill="1" applyBorder="1" applyAlignment="1">
      <alignment horizontal="center" vertical="center" wrapText="1"/>
    </xf>
    <xf numFmtId="0" fontId="5" fillId="0" borderId="29" xfId="0" applyNumberFormat="1" applyFont="1" applyFill="1" applyBorder="1" applyAlignment="1">
      <alignment horizontal="center" vertical="center" wrapText="1"/>
    </xf>
    <xf numFmtId="176" fontId="5" fillId="0" borderId="29" xfId="0" applyNumberFormat="1" applyFont="1" applyFill="1" applyBorder="1" applyAlignment="1">
      <alignment horizontal="center" vertical="center" wrapText="1"/>
    </xf>
    <xf numFmtId="0" fontId="5" fillId="0" borderId="29" xfId="0" applyNumberFormat="1" applyFont="1" applyFill="1" applyBorder="1" applyAlignment="1">
      <alignment horizontal="center" vertical="center"/>
    </xf>
    <xf numFmtId="0" fontId="5" fillId="0" borderId="28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" fillId="4" borderId="22" xfId="0" applyNumberFormat="1" applyFont="1" applyFill="1" applyBorder="1" applyAlignment="1">
      <alignment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51" fillId="0" borderId="0" xfId="0" applyFont="1">
      <alignment vertical="center"/>
    </xf>
    <xf numFmtId="0" fontId="18" fillId="0" borderId="0" xfId="0" applyFont="1" applyAlignment="1">
      <alignment horizontal="righ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3" xfId="0" applyNumberFormat="1" applyFont="1" applyFill="1" applyBorder="1" applyAlignment="1">
      <alignment horizontal="center" vertical="center" shrinkToFi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3" borderId="5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2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177" fontId="5" fillId="4" borderId="26" xfId="0" applyNumberFormat="1" applyFont="1" applyFill="1" applyBorder="1" applyAlignment="1">
      <alignment horizontal="center" vertical="center"/>
    </xf>
    <xf numFmtId="0" fontId="5" fillId="4" borderId="3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0" borderId="20" xfId="0" applyNumberFormat="1" applyFont="1" applyFill="1" applyBorder="1" applyAlignment="1">
      <alignment vertical="center" wrapText="1"/>
    </xf>
    <xf numFmtId="0" fontId="5" fillId="0" borderId="14" xfId="0" applyNumberFormat="1" applyFont="1" applyFill="1" applyBorder="1" applyAlignment="1">
      <alignment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33" xfId="0" applyNumberFormat="1" applyFont="1" applyBorder="1" applyAlignment="1">
      <alignment vertical="center"/>
    </xf>
    <xf numFmtId="49" fontId="55" fillId="3" borderId="13" xfId="0" applyNumberFormat="1" applyFont="1" applyFill="1" applyBorder="1" applyAlignment="1">
      <alignment horizontal="center" vertical="center" wrapText="1"/>
    </xf>
    <xf numFmtId="0" fontId="56" fillId="7" borderId="52" xfId="0" applyFont="1" applyFill="1" applyBorder="1" applyAlignment="1">
      <alignment horizontal="center" vertical="center" wrapText="1"/>
    </xf>
    <xf numFmtId="0" fontId="56" fillId="7" borderId="53" xfId="0" applyFont="1" applyFill="1" applyBorder="1" applyAlignment="1">
      <alignment horizontal="center" vertical="center" wrapText="1"/>
    </xf>
    <xf numFmtId="0" fontId="54" fillId="3" borderId="12" xfId="0" applyFont="1" applyFill="1" applyBorder="1" applyAlignment="1">
      <alignment horizontal="center" vertical="center" wrapText="1"/>
    </xf>
    <xf numFmtId="49" fontId="55" fillId="3" borderId="41" xfId="0" applyNumberFormat="1" applyFont="1" applyFill="1" applyBorder="1" applyAlignment="1">
      <alignment horizontal="center" vertical="center" wrapText="1"/>
    </xf>
    <xf numFmtId="49" fontId="55" fillId="3" borderId="29" xfId="0" applyNumberFormat="1" applyFont="1" applyFill="1" applyBorder="1" applyAlignment="1">
      <alignment horizontal="center" vertical="center" wrapText="1"/>
    </xf>
    <xf numFmtId="0" fontId="54" fillId="3" borderId="29" xfId="0" applyFont="1" applyFill="1" applyBorder="1" applyAlignment="1">
      <alignment horizontal="center" vertical="center" wrapText="1"/>
    </xf>
    <xf numFmtId="49" fontId="55" fillId="3" borderId="60" xfId="0" applyNumberFormat="1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180" fontId="5" fillId="8" borderId="13" xfId="0" applyNumberFormat="1" applyFont="1" applyFill="1" applyBorder="1" applyAlignment="1">
      <alignment horizontal="right" vertical="center" wrapText="1"/>
    </xf>
    <xf numFmtId="0" fontId="9" fillId="0" borderId="19" xfId="0" applyNumberFormat="1" applyFont="1" applyBorder="1" applyAlignment="1">
      <alignment horizontal="center" vertical="center"/>
    </xf>
    <xf numFmtId="0" fontId="9" fillId="0" borderId="18" xfId="0" applyNumberFormat="1" applyFont="1" applyBorder="1" applyAlignment="1">
      <alignment horizontal="center" vertical="center"/>
    </xf>
    <xf numFmtId="0" fontId="9" fillId="0" borderId="17" xfId="0" applyNumberFormat="1" applyFont="1" applyBorder="1" applyAlignment="1">
      <alignment horizontal="center" vertical="center"/>
    </xf>
    <xf numFmtId="177" fontId="5" fillId="0" borderId="16" xfId="0" applyNumberFormat="1" applyFont="1" applyFill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177" fontId="5" fillId="0" borderId="5" xfId="0" applyNumberFormat="1" applyFont="1" applyFill="1" applyBorder="1" applyAlignment="1">
      <alignment horizontal="center" vertical="center"/>
    </xf>
    <xf numFmtId="0" fontId="5" fillId="0" borderId="40" xfId="0" applyNumberFormat="1" applyFont="1" applyFill="1" applyBorder="1" applyAlignment="1">
      <alignment horizontal="center" vertical="center"/>
    </xf>
    <xf numFmtId="0" fontId="5" fillId="0" borderId="39" xfId="0" applyNumberFormat="1" applyFont="1" applyFill="1" applyBorder="1" applyAlignment="1">
      <alignment horizontal="center" vertical="center"/>
    </xf>
    <xf numFmtId="0" fontId="5" fillId="0" borderId="38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0" borderId="24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0" borderId="25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177" fontId="5" fillId="4" borderId="11" xfId="0" applyNumberFormat="1" applyFont="1" applyFill="1" applyBorder="1" applyAlignment="1">
      <alignment horizontal="center" vertical="center"/>
    </xf>
    <xf numFmtId="177" fontId="5" fillId="4" borderId="20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 wrapText="1"/>
    </xf>
    <xf numFmtId="0" fontId="4" fillId="0" borderId="33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5" fillId="4" borderId="34" xfId="0" applyNumberFormat="1" applyFont="1" applyFill="1" applyBorder="1" applyAlignment="1">
      <alignment horizontal="center" vertical="center"/>
    </xf>
    <xf numFmtId="0" fontId="5" fillId="4" borderId="37" xfId="0" applyNumberFormat="1" applyFont="1" applyFill="1" applyBorder="1" applyAlignment="1">
      <alignment horizontal="center" vertical="center" wrapText="1"/>
    </xf>
    <xf numFmtId="0" fontId="5" fillId="4" borderId="36" xfId="0" applyNumberFormat="1" applyFont="1" applyFill="1" applyBorder="1" applyAlignment="1">
      <alignment horizontal="center" vertical="center" wrapText="1"/>
    </xf>
    <xf numFmtId="0" fontId="5" fillId="4" borderId="35" xfId="0" applyNumberFormat="1" applyFont="1" applyFill="1" applyBorder="1" applyAlignment="1">
      <alignment horizontal="center" vertical="center" wrapText="1"/>
    </xf>
    <xf numFmtId="0" fontId="5" fillId="3" borderId="37" xfId="0" applyNumberFormat="1" applyFont="1" applyFill="1" applyBorder="1" applyAlignment="1">
      <alignment horizontal="center" vertical="center" wrapText="1"/>
    </xf>
    <xf numFmtId="0" fontId="5" fillId="3" borderId="36" xfId="0" applyNumberFormat="1" applyFont="1" applyFill="1" applyBorder="1" applyAlignment="1">
      <alignment horizontal="center" vertical="center" wrapText="1"/>
    </xf>
    <xf numFmtId="0" fontId="5" fillId="3" borderId="41" xfId="0" applyNumberFormat="1" applyFont="1" applyFill="1" applyBorder="1" applyAlignment="1">
      <alignment horizontal="center" vertical="center" wrapText="1"/>
    </xf>
    <xf numFmtId="0" fontId="5" fillId="3" borderId="16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177" fontId="5" fillId="0" borderId="46" xfId="0" applyNumberFormat="1" applyFont="1" applyFill="1" applyBorder="1" applyAlignment="1">
      <alignment horizontal="center" vertical="center"/>
    </xf>
    <xf numFmtId="177" fontId="5" fillId="0" borderId="33" xfId="0" applyNumberFormat="1" applyFont="1" applyFill="1" applyBorder="1" applyAlignment="1">
      <alignment horizontal="center" vertical="center"/>
    </xf>
    <xf numFmtId="177" fontId="5" fillId="0" borderId="47" xfId="0" applyNumberFormat="1" applyFont="1" applyFill="1" applyBorder="1" applyAlignment="1">
      <alignment horizontal="center" vertical="center"/>
    </xf>
    <xf numFmtId="0" fontId="4" fillId="0" borderId="33" xfId="0" applyNumberFormat="1" applyFont="1" applyBorder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 wrapText="1"/>
    </xf>
    <xf numFmtId="0" fontId="5" fillId="6" borderId="9" xfId="0" applyNumberFormat="1" applyFont="1" applyFill="1" applyBorder="1" applyAlignment="1">
      <alignment horizontal="center" vertical="center" wrapText="1"/>
    </xf>
    <xf numFmtId="0" fontId="5" fillId="6" borderId="20" xfId="0" applyNumberFormat="1" applyFont="1" applyFill="1" applyBorder="1" applyAlignment="1">
      <alignment horizontal="center" vertical="center" wrapText="1"/>
    </xf>
    <xf numFmtId="0" fontId="5" fillId="6" borderId="11" xfId="0" applyNumberFormat="1" applyFont="1" applyFill="1" applyBorder="1" applyAlignment="1">
      <alignment horizontal="center" vertical="center" wrapText="1"/>
    </xf>
    <xf numFmtId="0" fontId="5" fillId="5" borderId="9" xfId="0" applyNumberFormat="1" applyFont="1" applyFill="1" applyBorder="1" applyAlignment="1">
      <alignment horizontal="center" vertical="center" wrapText="1"/>
    </xf>
    <xf numFmtId="0" fontId="5" fillId="5" borderId="20" xfId="0" applyNumberFormat="1" applyFont="1" applyFill="1" applyBorder="1" applyAlignment="1">
      <alignment horizontal="center" vertical="center" wrapText="1"/>
    </xf>
    <xf numFmtId="0" fontId="5" fillId="5" borderId="6" xfId="0" applyNumberFormat="1" applyFont="1" applyFill="1" applyBorder="1" applyAlignment="1">
      <alignment horizontal="center" vertical="center"/>
    </xf>
    <xf numFmtId="0" fontId="5" fillId="5" borderId="22" xfId="0" applyNumberFormat="1" applyFont="1" applyFill="1" applyBorder="1" applyAlignment="1">
      <alignment horizontal="center" vertical="center"/>
    </xf>
    <xf numFmtId="0" fontId="5" fillId="6" borderId="6" xfId="0" applyNumberFormat="1" applyFont="1" applyFill="1" applyBorder="1" applyAlignment="1">
      <alignment horizontal="center" vertical="center"/>
    </xf>
    <xf numFmtId="0" fontId="5" fillId="6" borderId="22" xfId="0" applyNumberFormat="1" applyFont="1" applyFill="1" applyBorder="1" applyAlignment="1">
      <alignment horizontal="center" vertical="center"/>
    </xf>
    <xf numFmtId="0" fontId="5" fillId="4" borderId="43" xfId="0" applyNumberFormat="1" applyFont="1" applyFill="1" applyBorder="1" applyAlignment="1">
      <alignment horizontal="center" vertical="center"/>
    </xf>
    <xf numFmtId="0" fontId="5" fillId="4" borderId="36" xfId="0" applyNumberFormat="1" applyFont="1" applyFill="1" applyBorder="1" applyAlignment="1">
      <alignment horizontal="center" vertical="center"/>
    </xf>
    <xf numFmtId="0" fontId="5" fillId="4" borderId="41" xfId="0" applyNumberFormat="1" applyFont="1" applyFill="1" applyBorder="1" applyAlignment="1">
      <alignment horizontal="center" vertical="center"/>
    </xf>
    <xf numFmtId="0" fontId="5" fillId="4" borderId="35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shrinkToFit="1"/>
    </xf>
    <xf numFmtId="0" fontId="5" fillId="4" borderId="7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21" xfId="0" applyNumberFormat="1" applyFont="1" applyFill="1" applyBorder="1" applyAlignment="1">
      <alignment horizontal="center" vertical="center" wrapText="1"/>
    </xf>
    <xf numFmtId="0" fontId="14" fillId="0" borderId="19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0" fontId="14" fillId="0" borderId="17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55" fillId="3" borderId="13" xfId="0" applyNumberFormat="1" applyFont="1" applyFill="1" applyBorder="1" applyAlignment="1">
      <alignment horizontal="center" vertical="center" wrapText="1"/>
    </xf>
    <xf numFmtId="49" fontId="55" fillId="3" borderId="29" xfId="0" applyNumberFormat="1" applyFont="1" applyFill="1" applyBorder="1" applyAlignment="1">
      <alignment horizontal="center" vertical="center" wrapText="1"/>
    </xf>
    <xf numFmtId="49" fontId="55" fillId="3" borderId="43" xfId="0" applyNumberFormat="1" applyFont="1" applyFill="1" applyBorder="1" applyAlignment="1">
      <alignment horizontal="center" vertical="center" wrapText="1"/>
    </xf>
    <xf numFmtId="49" fontId="55" fillId="3" borderId="59" xfId="0" applyNumberFormat="1" applyFont="1" applyFill="1" applyBorder="1" applyAlignment="1">
      <alignment horizontal="center" vertical="center" wrapText="1"/>
    </xf>
    <xf numFmtId="0" fontId="56" fillId="7" borderId="55" xfId="0" applyFont="1" applyFill="1" applyBorder="1" applyAlignment="1">
      <alignment horizontal="center" vertical="center" wrapText="1"/>
    </xf>
    <xf numFmtId="0" fontId="56" fillId="7" borderId="50" xfId="0" applyFont="1" applyFill="1" applyBorder="1" applyAlignment="1">
      <alignment horizontal="center" vertical="center" wrapText="1"/>
    </xf>
    <xf numFmtId="0" fontId="56" fillId="7" borderId="56" xfId="0" applyFont="1" applyFill="1" applyBorder="1" applyAlignment="1">
      <alignment horizontal="center" vertical="center" wrapText="1"/>
    </xf>
    <xf numFmtId="0" fontId="56" fillId="7" borderId="51" xfId="0" applyFont="1" applyFill="1" applyBorder="1" applyAlignment="1">
      <alignment horizontal="center" vertical="center" wrapText="1"/>
    </xf>
    <xf numFmtId="0" fontId="56" fillId="7" borderId="40" xfId="0" applyFont="1" applyFill="1" applyBorder="1" applyAlignment="1">
      <alignment horizontal="center" vertical="center" wrapText="1"/>
    </xf>
    <xf numFmtId="0" fontId="56" fillId="7" borderId="58" xfId="0" applyFont="1" applyFill="1" applyBorder="1" applyAlignment="1">
      <alignment horizontal="center" vertical="center" wrapText="1"/>
    </xf>
    <xf numFmtId="0" fontId="56" fillId="7" borderId="54" xfId="0" applyFont="1" applyFill="1" applyBorder="1" applyAlignment="1">
      <alignment horizontal="center" vertical="center" wrapText="1"/>
    </xf>
    <xf numFmtId="0" fontId="56" fillId="7" borderId="57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47625</xdr:rowOff>
    </xdr:from>
    <xdr:to>
      <xdr:col>13</xdr:col>
      <xdr:colOff>555625</xdr:colOff>
      <xdr:row>39</xdr:row>
      <xdr:rowOff>180975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4925"/>
          <a:ext cx="9471025" cy="7048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305800</xdr:colOff>
      <xdr:row>6</xdr:row>
      <xdr:rowOff>47625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8463"/>
        <a:stretch/>
      </xdr:blipFill>
      <xdr:spPr>
        <a:xfrm>
          <a:off x="0" y="0"/>
          <a:ext cx="7163800" cy="1304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324661</xdr:colOff>
      <xdr:row>33</xdr:row>
      <xdr:rowOff>48597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1061" cy="69637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4"/>
  <sheetViews>
    <sheetView topLeftCell="A117" zoomScale="70" zoomScaleNormal="70" zoomScaleSheetLayoutView="70" workbookViewId="0">
      <selection activeCell="C129" sqref="C129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" customWidth="1"/>
    <col min="9" max="16384" width="9" style="1"/>
  </cols>
  <sheetData>
    <row r="1" spans="1:7" s="2" customFormat="1" ht="60" customHeight="1" thickBot="1">
      <c r="A1" s="1298" t="s">
        <v>5</v>
      </c>
      <c r="B1" s="1299"/>
      <c r="C1" s="1299"/>
      <c r="D1" s="1299"/>
      <c r="E1" s="1299"/>
      <c r="F1" s="1299"/>
      <c r="G1" s="1300"/>
    </row>
    <row r="2" spans="1:7" s="2" customFormat="1" ht="30" customHeight="1">
      <c r="A2" s="1301">
        <v>44531</v>
      </c>
      <c r="B2" s="1304" t="s">
        <v>892</v>
      </c>
      <c r="C2" s="1307" t="s">
        <v>893</v>
      </c>
      <c r="D2" s="94" t="s">
        <v>894</v>
      </c>
      <c r="E2" s="93" t="s">
        <v>895</v>
      </c>
      <c r="F2" s="71"/>
      <c r="G2" s="92"/>
    </row>
    <row r="3" spans="1:7" s="2" customFormat="1" ht="30" customHeight="1">
      <c r="A3" s="1302"/>
      <c r="B3" s="1305"/>
      <c r="C3" s="1308"/>
      <c r="D3" s="37" t="s">
        <v>896</v>
      </c>
      <c r="E3" s="36" t="s">
        <v>897</v>
      </c>
      <c r="F3" s="26"/>
      <c r="G3" s="45"/>
    </row>
    <row r="4" spans="1:7" s="2" customFormat="1" ht="30" customHeight="1">
      <c r="A4" s="1302"/>
      <c r="B4" s="1305"/>
      <c r="C4" s="1309"/>
      <c r="D4" s="37" t="s">
        <v>451</v>
      </c>
      <c r="E4" s="36" t="s">
        <v>584</v>
      </c>
      <c r="F4" s="26"/>
      <c r="G4" s="45"/>
    </row>
    <row r="5" spans="1:7" s="2" customFormat="1" ht="30" customHeight="1">
      <c r="A5" s="1302"/>
      <c r="B5" s="1305"/>
      <c r="C5" s="42" t="s">
        <v>898</v>
      </c>
      <c r="D5" s="40" t="s">
        <v>899</v>
      </c>
      <c r="E5" s="39" t="s">
        <v>900</v>
      </c>
      <c r="F5" s="27"/>
      <c r="G5" s="41"/>
    </row>
    <row r="6" spans="1:7" s="2" customFormat="1" ht="30" customHeight="1">
      <c r="A6" s="1302"/>
      <c r="B6" s="1305"/>
      <c r="C6" s="1310" t="s">
        <v>901</v>
      </c>
      <c r="D6" s="40" t="s">
        <v>902</v>
      </c>
      <c r="E6" s="39" t="s">
        <v>903</v>
      </c>
      <c r="F6" s="27"/>
      <c r="G6" s="41"/>
    </row>
    <row r="7" spans="1:7" s="2" customFormat="1" ht="30" customHeight="1">
      <c r="A7" s="1302"/>
      <c r="B7" s="1305"/>
      <c r="C7" s="1308"/>
      <c r="D7" s="37" t="s">
        <v>904</v>
      </c>
      <c r="E7" s="36" t="s">
        <v>905</v>
      </c>
      <c r="F7" s="26"/>
      <c r="G7" s="45"/>
    </row>
    <row r="8" spans="1:7" s="2" customFormat="1" ht="30" customHeight="1">
      <c r="A8" s="1302"/>
      <c r="B8" s="1305"/>
      <c r="C8" s="1308"/>
      <c r="D8" s="37" t="s">
        <v>906</v>
      </c>
      <c r="E8" s="36" t="s">
        <v>907</v>
      </c>
      <c r="F8" s="26"/>
      <c r="G8" s="41"/>
    </row>
    <row r="9" spans="1:7" s="2" customFormat="1" ht="30" customHeight="1">
      <c r="A9" s="1302"/>
      <c r="B9" s="1305"/>
      <c r="C9" s="1308"/>
      <c r="D9" s="37" t="s">
        <v>908</v>
      </c>
      <c r="E9" s="36" t="s">
        <v>907</v>
      </c>
      <c r="F9" s="26"/>
      <c r="G9" s="41"/>
    </row>
    <row r="10" spans="1:7" s="2" customFormat="1" ht="30" customHeight="1">
      <c r="A10" s="1302"/>
      <c r="B10" s="1305"/>
      <c r="C10" s="1309"/>
      <c r="D10" s="37" t="s">
        <v>909</v>
      </c>
      <c r="E10" s="36" t="s">
        <v>905</v>
      </c>
      <c r="F10" s="26"/>
      <c r="G10" s="69"/>
    </row>
    <row r="11" spans="1:7" s="2" customFormat="1" ht="30" customHeight="1">
      <c r="A11" s="1302"/>
      <c r="B11" s="1305"/>
      <c r="C11" s="1310" t="s">
        <v>910</v>
      </c>
      <c r="D11" s="40" t="s">
        <v>911</v>
      </c>
      <c r="E11" s="39" t="s">
        <v>900</v>
      </c>
      <c r="F11" s="27"/>
      <c r="G11" s="1311" t="s">
        <v>912</v>
      </c>
    </row>
    <row r="12" spans="1:7" s="2" customFormat="1" ht="30" customHeight="1">
      <c r="A12" s="1302"/>
      <c r="B12" s="1305"/>
      <c r="C12" s="1308"/>
      <c r="D12" s="44" t="s">
        <v>913</v>
      </c>
      <c r="E12" s="39" t="s">
        <v>900</v>
      </c>
      <c r="F12" s="26"/>
      <c r="G12" s="1312"/>
    </row>
    <row r="13" spans="1:7" s="2" customFormat="1" ht="30" customHeight="1">
      <c r="A13" s="1302"/>
      <c r="B13" s="1305"/>
      <c r="C13" s="1309"/>
      <c r="D13" s="40" t="s">
        <v>914</v>
      </c>
      <c r="E13" s="36" t="s">
        <v>915</v>
      </c>
      <c r="F13" s="26"/>
      <c r="G13" s="1313"/>
    </row>
    <row r="14" spans="1:7" ht="33" customHeight="1">
      <c r="A14" s="1302"/>
      <c r="B14" s="1305"/>
      <c r="C14" s="42" t="s">
        <v>916</v>
      </c>
      <c r="D14" s="40" t="s">
        <v>917</v>
      </c>
      <c r="E14" s="39" t="s">
        <v>918</v>
      </c>
      <c r="F14" s="27" t="s">
        <v>919</v>
      </c>
      <c r="G14" s="41" t="s">
        <v>920</v>
      </c>
    </row>
    <row r="15" spans="1:7" ht="33" customHeight="1">
      <c r="A15" s="1302"/>
      <c r="B15" s="1305"/>
      <c r="C15" s="42" t="s">
        <v>921</v>
      </c>
      <c r="D15" s="40" t="s">
        <v>109</v>
      </c>
      <c r="E15" s="39" t="s">
        <v>922</v>
      </c>
      <c r="F15" s="27" t="s">
        <v>923</v>
      </c>
      <c r="G15" s="41" t="s">
        <v>924</v>
      </c>
    </row>
    <row r="16" spans="1:7" ht="33" customHeight="1">
      <c r="A16" s="1302"/>
      <c r="B16" s="1305"/>
      <c r="C16" s="42" t="s">
        <v>925</v>
      </c>
      <c r="D16" s="40" t="s">
        <v>109</v>
      </c>
      <c r="E16" s="39" t="s">
        <v>926</v>
      </c>
      <c r="F16" s="27" t="s">
        <v>923</v>
      </c>
      <c r="G16" s="41" t="s">
        <v>924</v>
      </c>
    </row>
    <row r="17" spans="1:8" ht="33" customHeight="1">
      <c r="A17" s="1302"/>
      <c r="B17" s="1305"/>
      <c r="C17" s="1310" t="s">
        <v>927</v>
      </c>
      <c r="D17" s="40" t="s">
        <v>928</v>
      </c>
      <c r="E17" s="39" t="s">
        <v>929</v>
      </c>
      <c r="F17" s="27" t="s">
        <v>930</v>
      </c>
      <c r="G17" s="1311" t="s">
        <v>931</v>
      </c>
    </row>
    <row r="18" spans="1:8" ht="33" customHeight="1">
      <c r="A18" s="1302"/>
      <c r="B18" s="1305"/>
      <c r="C18" s="1309"/>
      <c r="D18" s="37" t="s">
        <v>109</v>
      </c>
      <c r="E18" s="36" t="s">
        <v>932</v>
      </c>
      <c r="F18" s="26" t="s">
        <v>933</v>
      </c>
      <c r="G18" s="1313"/>
    </row>
    <row r="19" spans="1:8" s="2" customFormat="1" ht="30" customHeight="1">
      <c r="A19" s="1302"/>
      <c r="B19" s="1305"/>
      <c r="C19" s="1308" t="s">
        <v>330</v>
      </c>
      <c r="D19" s="37" t="s">
        <v>934</v>
      </c>
      <c r="E19" s="36" t="s">
        <v>935</v>
      </c>
      <c r="F19" s="26"/>
      <c r="G19" s="1312" t="s">
        <v>936</v>
      </c>
    </row>
    <row r="20" spans="1:8" s="2" customFormat="1" ht="30" customHeight="1">
      <c r="A20" s="1302"/>
      <c r="B20" s="1305"/>
      <c r="C20" s="1308"/>
      <c r="D20" s="37" t="s">
        <v>914</v>
      </c>
      <c r="E20" s="36" t="s">
        <v>937</v>
      </c>
      <c r="F20" s="26"/>
      <c r="G20" s="1312"/>
    </row>
    <row r="21" spans="1:8" s="2" customFormat="1" ht="30" customHeight="1" thickBot="1">
      <c r="A21" s="1302"/>
      <c r="B21" s="1305"/>
      <c r="C21" s="1309"/>
      <c r="D21" s="40" t="s">
        <v>938</v>
      </c>
      <c r="E21" s="39" t="s">
        <v>939</v>
      </c>
      <c r="F21" s="26"/>
      <c r="G21" s="1313"/>
    </row>
    <row r="22" spans="1:8" s="2" customFormat="1" ht="30" customHeight="1" thickBot="1">
      <c r="A22" s="1303"/>
      <c r="B22" s="1306"/>
      <c r="C22" s="12" t="s">
        <v>940</v>
      </c>
      <c r="D22" s="11" t="s">
        <v>941</v>
      </c>
      <c r="E22" s="10" t="s">
        <v>942</v>
      </c>
      <c r="F22" s="10" t="s">
        <v>943</v>
      </c>
      <c r="G22" s="9"/>
    </row>
    <row r="23" spans="1:8" s="2" customFormat="1" ht="30" customHeight="1">
      <c r="A23" s="1301">
        <v>44532</v>
      </c>
      <c r="B23" s="1314" t="s">
        <v>944</v>
      </c>
      <c r="C23" s="1307" t="s">
        <v>893</v>
      </c>
      <c r="D23" s="94" t="s">
        <v>894</v>
      </c>
      <c r="E23" s="93" t="s">
        <v>945</v>
      </c>
      <c r="F23" s="71" t="s">
        <v>946</v>
      </c>
      <c r="G23" s="92"/>
    </row>
    <row r="24" spans="1:8" s="2" customFormat="1" ht="30" customHeight="1">
      <c r="A24" s="1302"/>
      <c r="B24" s="1315"/>
      <c r="C24" s="1309"/>
      <c r="D24" s="37" t="s">
        <v>896</v>
      </c>
      <c r="E24" s="36" t="s">
        <v>947</v>
      </c>
      <c r="F24" s="26"/>
      <c r="G24" s="45"/>
    </row>
    <row r="25" spans="1:8" s="2" customFormat="1" ht="30" customHeight="1">
      <c r="A25" s="1302"/>
      <c r="B25" s="1315"/>
      <c r="C25" s="1310" t="s">
        <v>927</v>
      </c>
      <c r="D25" s="40" t="s">
        <v>948</v>
      </c>
      <c r="E25" s="39" t="s">
        <v>900</v>
      </c>
      <c r="F25" s="27"/>
      <c r="G25" s="1311" t="s">
        <v>159</v>
      </c>
    </row>
    <row r="26" spans="1:8" s="2" customFormat="1" ht="30" customHeight="1">
      <c r="A26" s="1302"/>
      <c r="B26" s="1315"/>
      <c r="C26" s="1309"/>
      <c r="D26" s="40" t="s">
        <v>949</v>
      </c>
      <c r="E26" s="39" t="s">
        <v>929</v>
      </c>
      <c r="F26" s="27"/>
      <c r="G26" s="1313"/>
    </row>
    <row r="27" spans="1:8" s="2" customFormat="1" ht="30" customHeight="1">
      <c r="A27" s="1302"/>
      <c r="B27" s="1315"/>
      <c r="C27" s="1310" t="s">
        <v>950</v>
      </c>
      <c r="D27" s="40" t="s">
        <v>948</v>
      </c>
      <c r="E27" s="39" t="s">
        <v>951</v>
      </c>
      <c r="F27" s="27"/>
      <c r="G27" s="1311" t="s">
        <v>952</v>
      </c>
      <c r="H27" s="2" t="s">
        <v>953</v>
      </c>
    </row>
    <row r="28" spans="1:8" s="2" customFormat="1" ht="30" customHeight="1">
      <c r="A28" s="1302"/>
      <c r="B28" s="1315"/>
      <c r="C28" s="1308"/>
      <c r="D28" s="40" t="s">
        <v>954</v>
      </c>
      <c r="E28" s="39" t="s">
        <v>955</v>
      </c>
      <c r="F28" s="27"/>
      <c r="G28" s="1312"/>
    </row>
    <row r="29" spans="1:8" s="2" customFormat="1" ht="30" customHeight="1">
      <c r="A29" s="1302"/>
      <c r="B29" s="1315"/>
      <c r="C29" s="1308"/>
      <c r="D29" s="40" t="s">
        <v>938</v>
      </c>
      <c r="E29" s="39" t="s">
        <v>956</v>
      </c>
      <c r="F29" s="27"/>
      <c r="G29" s="1313"/>
    </row>
    <row r="30" spans="1:8" s="2" customFormat="1" ht="30" customHeight="1">
      <c r="A30" s="1302"/>
      <c r="B30" s="1315"/>
      <c r="C30" s="1308"/>
      <c r="D30" s="40" t="s">
        <v>948</v>
      </c>
      <c r="E30" s="39" t="s">
        <v>957</v>
      </c>
      <c r="F30" s="27" t="s">
        <v>958</v>
      </c>
      <c r="G30" s="41" t="s">
        <v>931</v>
      </c>
      <c r="H30" s="2" t="s">
        <v>959</v>
      </c>
    </row>
    <row r="31" spans="1:8" s="2" customFormat="1" ht="30" customHeight="1">
      <c r="A31" s="1302"/>
      <c r="B31" s="1315"/>
      <c r="C31" s="1309"/>
      <c r="D31" s="40" t="s">
        <v>948</v>
      </c>
      <c r="E31" s="39" t="s">
        <v>957</v>
      </c>
      <c r="F31" s="27" t="s">
        <v>960</v>
      </c>
      <c r="G31" s="41" t="s">
        <v>931</v>
      </c>
      <c r="H31" s="2" t="s">
        <v>961</v>
      </c>
    </row>
    <row r="32" spans="1:8" s="2" customFormat="1" ht="30" customHeight="1">
      <c r="A32" s="1302"/>
      <c r="B32" s="1315"/>
      <c r="C32" s="42" t="s">
        <v>962</v>
      </c>
      <c r="D32" s="40" t="s">
        <v>109</v>
      </c>
      <c r="E32" s="39" t="s">
        <v>963</v>
      </c>
      <c r="F32" s="27" t="s">
        <v>933</v>
      </c>
      <c r="G32" s="41" t="s">
        <v>924</v>
      </c>
      <c r="H32" s="2" t="s">
        <v>964</v>
      </c>
    </row>
    <row r="33" spans="1:7" ht="33" customHeight="1">
      <c r="A33" s="1302"/>
      <c r="B33" s="1315"/>
      <c r="C33" s="1310" t="s">
        <v>916</v>
      </c>
      <c r="D33" s="40" t="s">
        <v>965</v>
      </c>
      <c r="E33" s="39" t="s">
        <v>937</v>
      </c>
      <c r="F33" s="27"/>
      <c r="G33" s="1311" t="s">
        <v>936</v>
      </c>
    </row>
    <row r="34" spans="1:7" ht="33" customHeight="1">
      <c r="A34" s="1302"/>
      <c r="B34" s="1315"/>
      <c r="C34" s="1308"/>
      <c r="D34" s="37" t="s">
        <v>966</v>
      </c>
      <c r="E34" s="36" t="s">
        <v>895</v>
      </c>
      <c r="F34" s="26"/>
      <c r="G34" s="1312"/>
    </row>
    <row r="35" spans="1:7" s="2" customFormat="1" ht="30" customHeight="1">
      <c r="A35" s="1302"/>
      <c r="B35" s="1315"/>
      <c r="C35" s="1309"/>
      <c r="D35" s="40" t="s">
        <v>967</v>
      </c>
      <c r="E35" s="39" t="s">
        <v>968</v>
      </c>
      <c r="F35" s="27" t="s">
        <v>969</v>
      </c>
      <c r="G35" s="1313"/>
    </row>
    <row r="36" spans="1:7" s="2" customFormat="1" ht="30" customHeight="1" thickBot="1">
      <c r="A36" s="1302"/>
      <c r="B36" s="1315"/>
      <c r="C36" s="42" t="s">
        <v>970</v>
      </c>
      <c r="D36" s="40" t="s">
        <v>971</v>
      </c>
      <c r="E36" s="39" t="s">
        <v>972</v>
      </c>
      <c r="F36" s="27"/>
      <c r="G36" s="41" t="s">
        <v>936</v>
      </c>
    </row>
    <row r="37" spans="1:7" s="2" customFormat="1" ht="30" hidden="1" customHeight="1" thickBot="1">
      <c r="A37" s="1302"/>
      <c r="B37" s="1315"/>
      <c r="C37" s="31"/>
      <c r="D37" s="30"/>
      <c r="E37" s="29"/>
      <c r="F37" s="14"/>
      <c r="G37" s="28"/>
    </row>
    <row r="38" spans="1:7" s="2" customFormat="1" ht="30" customHeight="1" thickBot="1">
      <c r="A38" s="1303"/>
      <c r="B38" s="1316"/>
      <c r="C38" s="12"/>
      <c r="D38" s="11"/>
      <c r="E38" s="10"/>
      <c r="F38" s="10"/>
      <c r="G38" s="9"/>
    </row>
    <row r="39" spans="1:7" s="2" customFormat="1" ht="30" customHeight="1">
      <c r="A39" s="1301">
        <v>44533</v>
      </c>
      <c r="B39" s="1314" t="s">
        <v>973</v>
      </c>
      <c r="C39" s="53" t="s">
        <v>974</v>
      </c>
      <c r="D39" s="71" t="s">
        <v>971</v>
      </c>
      <c r="E39" s="71" t="s">
        <v>975</v>
      </c>
      <c r="F39" s="195"/>
      <c r="G39" s="92"/>
    </row>
    <row r="40" spans="1:7" s="2" customFormat="1" ht="30" customHeight="1">
      <c r="A40" s="1302"/>
      <c r="B40" s="1315"/>
      <c r="C40" s="42" t="s">
        <v>976</v>
      </c>
      <c r="D40" s="40" t="s">
        <v>977</v>
      </c>
      <c r="E40" s="39" t="s">
        <v>978</v>
      </c>
      <c r="F40" s="86"/>
      <c r="G40" s="69" t="s">
        <v>979</v>
      </c>
    </row>
    <row r="41" spans="1:7" s="2" customFormat="1" ht="30" customHeight="1" thickBot="1">
      <c r="A41" s="1302"/>
      <c r="B41" s="1315"/>
      <c r="C41" s="42" t="s">
        <v>980</v>
      </c>
      <c r="D41" s="27" t="s">
        <v>109</v>
      </c>
      <c r="E41" s="27" t="s">
        <v>299</v>
      </c>
      <c r="F41" s="26" t="s">
        <v>298</v>
      </c>
      <c r="G41" s="25" t="s">
        <v>981</v>
      </c>
    </row>
    <row r="42" spans="1:7" s="2" customFormat="1" ht="30" hidden="1" customHeight="1">
      <c r="A42" s="1302"/>
      <c r="B42" s="1315"/>
      <c r="C42" s="21"/>
      <c r="D42" s="20"/>
      <c r="E42" s="19"/>
      <c r="F42" s="18"/>
      <c r="G42" s="13"/>
    </row>
    <row r="43" spans="1:7" s="2" customFormat="1" ht="30" hidden="1" customHeight="1" thickBot="1">
      <c r="A43" s="1302"/>
      <c r="B43" s="1315"/>
      <c r="C43" s="17"/>
      <c r="D43" s="16"/>
      <c r="E43" s="15"/>
      <c r="F43" s="14"/>
      <c r="G43" s="13"/>
    </row>
    <row r="44" spans="1:7" s="2" customFormat="1" ht="30" customHeight="1" thickBot="1">
      <c r="A44" s="1303"/>
      <c r="B44" s="1316"/>
      <c r="C44" s="12"/>
      <c r="D44" s="11"/>
      <c r="E44" s="10"/>
      <c r="F44" s="10"/>
      <c r="G44" s="9"/>
    </row>
    <row r="45" spans="1:7" s="2" customFormat="1" ht="36" customHeight="1">
      <c r="A45" s="1301">
        <v>44534</v>
      </c>
      <c r="B45" s="1314" t="s">
        <v>982</v>
      </c>
      <c r="C45" s="1307" t="s">
        <v>927</v>
      </c>
      <c r="D45" s="55" t="s">
        <v>948</v>
      </c>
      <c r="E45" s="27" t="s">
        <v>907</v>
      </c>
      <c r="F45" s="26"/>
      <c r="G45" s="1322" t="s">
        <v>936</v>
      </c>
    </row>
    <row r="46" spans="1:7" s="2" customFormat="1" ht="36" customHeight="1" thickBot="1">
      <c r="A46" s="1302"/>
      <c r="B46" s="1315"/>
      <c r="C46" s="1309"/>
      <c r="D46" s="27" t="s">
        <v>954</v>
      </c>
      <c r="E46" s="27" t="s">
        <v>939</v>
      </c>
      <c r="F46" s="26"/>
      <c r="G46" s="1313"/>
    </row>
    <row r="47" spans="1:7" s="2" customFormat="1" ht="36" hidden="1" customHeight="1">
      <c r="A47" s="1302"/>
      <c r="B47" s="1315"/>
      <c r="C47" s="21"/>
      <c r="D47" s="20"/>
      <c r="E47" s="19"/>
      <c r="F47" s="18"/>
      <c r="G47" s="13"/>
    </row>
    <row r="48" spans="1:7" s="2" customFormat="1" ht="36" hidden="1" customHeight="1" thickBot="1">
      <c r="A48" s="1302"/>
      <c r="B48" s="1315"/>
      <c r="C48" s="17"/>
      <c r="D48" s="16"/>
      <c r="E48" s="15"/>
      <c r="F48" s="14"/>
      <c r="G48" s="13"/>
    </row>
    <row r="49" spans="1:9" s="2" customFormat="1" ht="36" customHeight="1" thickBot="1">
      <c r="A49" s="1303"/>
      <c r="B49" s="1316"/>
      <c r="C49" s="12"/>
      <c r="D49" s="11"/>
      <c r="E49" s="10"/>
      <c r="F49" s="10"/>
      <c r="G49" s="9"/>
    </row>
    <row r="50" spans="1:9" s="2" customFormat="1" ht="60" customHeight="1" thickBot="1">
      <c r="A50" s="1298" t="s">
        <v>5</v>
      </c>
      <c r="B50" s="1299"/>
      <c r="C50" s="1299"/>
      <c r="D50" s="1299"/>
      <c r="E50" s="1299"/>
      <c r="F50" s="1299"/>
      <c r="G50" s="1300"/>
    </row>
    <row r="51" spans="1:9" s="2" customFormat="1" ht="36" customHeight="1">
      <c r="A51" s="1301">
        <v>44536</v>
      </c>
      <c r="B51" s="1314" t="s">
        <v>983</v>
      </c>
      <c r="C51" s="1307" t="s">
        <v>921</v>
      </c>
      <c r="D51" s="71" t="s">
        <v>908</v>
      </c>
      <c r="E51" s="71" t="s">
        <v>984</v>
      </c>
      <c r="F51" s="71"/>
      <c r="G51" s="70"/>
    </row>
    <row r="52" spans="1:9" s="2" customFormat="1" ht="36" customHeight="1">
      <c r="A52" s="1302"/>
      <c r="B52" s="1315"/>
      <c r="C52" s="1308"/>
      <c r="D52" s="27" t="s">
        <v>985</v>
      </c>
      <c r="E52" s="27" t="s">
        <v>986</v>
      </c>
      <c r="F52" s="26"/>
      <c r="G52" s="25"/>
    </row>
    <row r="53" spans="1:9" s="2" customFormat="1" ht="36" customHeight="1">
      <c r="A53" s="1302"/>
      <c r="B53" s="1315"/>
      <c r="C53" s="1308"/>
      <c r="D53" s="27" t="s">
        <v>987</v>
      </c>
      <c r="E53" s="27" t="s">
        <v>915</v>
      </c>
      <c r="F53" s="26"/>
      <c r="G53" s="25"/>
    </row>
    <row r="54" spans="1:9" s="2" customFormat="1" ht="36" customHeight="1">
      <c r="A54" s="1302"/>
      <c r="B54" s="1315"/>
      <c r="C54" s="1309"/>
      <c r="D54" s="27" t="s">
        <v>938</v>
      </c>
      <c r="E54" s="27" t="s">
        <v>988</v>
      </c>
      <c r="F54" s="26"/>
      <c r="G54" s="41"/>
    </row>
    <row r="55" spans="1:9" s="2" customFormat="1" ht="36" customHeight="1">
      <c r="A55" s="1302"/>
      <c r="B55" s="1315"/>
      <c r="C55" s="42" t="s">
        <v>989</v>
      </c>
      <c r="D55" s="40" t="s">
        <v>990</v>
      </c>
      <c r="E55" s="39" t="s">
        <v>945</v>
      </c>
      <c r="F55" s="26"/>
      <c r="G55" s="25"/>
    </row>
    <row r="56" spans="1:9" s="2" customFormat="1" ht="36" customHeight="1">
      <c r="A56" s="1302"/>
      <c r="B56" s="1315"/>
      <c r="C56" s="42" t="s">
        <v>950</v>
      </c>
      <c r="D56" s="40" t="s">
        <v>938</v>
      </c>
      <c r="E56" s="39" t="s">
        <v>905</v>
      </c>
      <c r="F56" s="26" t="s">
        <v>991</v>
      </c>
      <c r="G56" s="41"/>
      <c r="H56" s="2" t="s">
        <v>992</v>
      </c>
      <c r="I56" s="2" t="s">
        <v>953</v>
      </c>
    </row>
    <row r="57" spans="1:9" s="2" customFormat="1" ht="36" customHeight="1" thickBot="1">
      <c r="A57" s="1302"/>
      <c r="B57" s="1315"/>
      <c r="C57" s="52" t="s">
        <v>991</v>
      </c>
      <c r="D57" s="44" t="s">
        <v>948</v>
      </c>
      <c r="E57" s="43" t="s">
        <v>905</v>
      </c>
      <c r="F57" s="49"/>
      <c r="G57" s="69"/>
      <c r="H57" s="2" t="s">
        <v>993</v>
      </c>
    </row>
    <row r="58" spans="1:9" s="2" customFormat="1" ht="36" customHeight="1" thickBot="1">
      <c r="A58" s="1303"/>
      <c r="B58" s="1316"/>
      <c r="C58" s="12"/>
      <c r="D58" s="11"/>
      <c r="E58" s="10"/>
      <c r="F58" s="10"/>
      <c r="G58" s="9"/>
    </row>
    <row r="59" spans="1:9" s="2" customFormat="1" ht="36" customHeight="1">
      <c r="A59" s="1301">
        <v>44537</v>
      </c>
      <c r="B59" s="1317" t="s">
        <v>994</v>
      </c>
      <c r="C59" s="1308" t="s">
        <v>995</v>
      </c>
      <c r="D59" s="26" t="s">
        <v>996</v>
      </c>
      <c r="E59" s="26" t="s">
        <v>905</v>
      </c>
      <c r="F59" s="1320" t="s">
        <v>997</v>
      </c>
      <c r="G59" s="69"/>
    </row>
    <row r="60" spans="1:9" s="2" customFormat="1" ht="36" customHeight="1">
      <c r="A60" s="1302"/>
      <c r="B60" s="1318"/>
      <c r="C60" s="1308"/>
      <c r="D60" s="27" t="s">
        <v>998</v>
      </c>
      <c r="E60" s="27" t="s">
        <v>905</v>
      </c>
      <c r="F60" s="1320"/>
      <c r="G60" s="25"/>
    </row>
    <row r="61" spans="1:9" s="2" customFormat="1" ht="36" customHeight="1">
      <c r="A61" s="1302"/>
      <c r="B61" s="1318"/>
      <c r="C61" s="1308"/>
      <c r="D61" s="40" t="s">
        <v>128</v>
      </c>
      <c r="E61" s="39" t="s">
        <v>905</v>
      </c>
      <c r="F61" s="1321"/>
      <c r="G61" s="25"/>
    </row>
    <row r="62" spans="1:9" s="2" customFormat="1" ht="36" customHeight="1">
      <c r="A62" s="1302"/>
      <c r="B62" s="1318"/>
      <c r="C62" s="1309"/>
      <c r="D62" s="55" t="s">
        <v>938</v>
      </c>
      <c r="E62" s="54" t="s">
        <v>999</v>
      </c>
      <c r="F62" s="27" t="s">
        <v>933</v>
      </c>
      <c r="G62" s="25"/>
    </row>
    <row r="63" spans="1:9" s="2" customFormat="1" ht="36" customHeight="1">
      <c r="A63" s="1302"/>
      <c r="B63" s="1318"/>
      <c r="C63" s="42" t="s">
        <v>366</v>
      </c>
      <c r="D63" s="27" t="s">
        <v>109</v>
      </c>
      <c r="E63" s="27" t="s">
        <v>326</v>
      </c>
      <c r="F63" s="26" t="s">
        <v>365</v>
      </c>
      <c r="G63" s="25" t="s">
        <v>106</v>
      </c>
      <c r="H63" s="2" t="s">
        <v>364</v>
      </c>
    </row>
    <row r="64" spans="1:9" s="2" customFormat="1" ht="36" customHeight="1" thickBot="1">
      <c r="A64" s="1302"/>
      <c r="B64" s="1318"/>
      <c r="C64" s="42" t="s">
        <v>950</v>
      </c>
      <c r="D64" s="40" t="s">
        <v>948</v>
      </c>
      <c r="E64" s="39" t="s">
        <v>306</v>
      </c>
      <c r="F64" s="26" t="s">
        <v>1000</v>
      </c>
      <c r="G64" s="25" t="s">
        <v>931</v>
      </c>
      <c r="H64" s="2" t="s">
        <v>1001</v>
      </c>
    </row>
    <row r="65" spans="1:8" s="2" customFormat="1" ht="36" hidden="1" customHeight="1" thickBot="1">
      <c r="A65" s="1302"/>
      <c r="B65" s="1318"/>
      <c r="C65" s="17"/>
      <c r="D65" s="16"/>
      <c r="E65" s="15"/>
      <c r="F65" s="14"/>
      <c r="G65" s="13"/>
    </row>
    <row r="66" spans="1:8" s="2" customFormat="1" ht="36" customHeight="1" thickBot="1">
      <c r="A66" s="1303"/>
      <c r="B66" s="1319"/>
      <c r="C66" s="12"/>
      <c r="D66" s="11"/>
      <c r="E66" s="10"/>
      <c r="F66" s="10"/>
      <c r="G66" s="9"/>
    </row>
    <row r="67" spans="1:8" s="2" customFormat="1" ht="36" customHeight="1">
      <c r="A67" s="1301">
        <v>44538</v>
      </c>
      <c r="B67" s="1314" t="s">
        <v>892</v>
      </c>
      <c r="C67" s="42" t="s">
        <v>893</v>
      </c>
      <c r="D67" s="27" t="s">
        <v>896</v>
      </c>
      <c r="E67" s="27" t="s">
        <v>1002</v>
      </c>
      <c r="F67" s="26"/>
      <c r="G67" s="25"/>
    </row>
    <row r="68" spans="1:8" s="2" customFormat="1" ht="36" customHeight="1">
      <c r="A68" s="1302"/>
      <c r="B68" s="1315"/>
      <c r="C68" s="42" t="s">
        <v>1003</v>
      </c>
      <c r="D68" s="40" t="s">
        <v>938</v>
      </c>
      <c r="E68" s="27" t="s">
        <v>999</v>
      </c>
      <c r="F68" s="26" t="s">
        <v>1004</v>
      </c>
      <c r="G68" s="25"/>
    </row>
    <row r="69" spans="1:8" s="2" customFormat="1" ht="36" customHeight="1">
      <c r="A69" s="1302"/>
      <c r="B69" s="1315"/>
      <c r="C69" s="42" t="s">
        <v>1005</v>
      </c>
      <c r="D69" s="40" t="s">
        <v>1006</v>
      </c>
      <c r="E69" s="39" t="s">
        <v>957</v>
      </c>
      <c r="F69" s="26"/>
      <c r="G69" s="25"/>
    </row>
    <row r="70" spans="1:8" s="2" customFormat="1" ht="36" customHeight="1">
      <c r="A70" s="1302"/>
      <c r="B70" s="1315"/>
      <c r="C70" s="42" t="s">
        <v>1007</v>
      </c>
      <c r="D70" s="27" t="s">
        <v>1008</v>
      </c>
      <c r="E70" s="27" t="s">
        <v>525</v>
      </c>
      <c r="F70" s="26"/>
      <c r="G70" s="1311" t="s">
        <v>952</v>
      </c>
      <c r="H70" s="2" t="s">
        <v>1009</v>
      </c>
    </row>
    <row r="71" spans="1:8" s="2" customFormat="1" ht="36" customHeight="1">
      <c r="A71" s="1302"/>
      <c r="B71" s="1315"/>
      <c r="C71" s="42" t="s">
        <v>1007</v>
      </c>
      <c r="D71" s="27" t="s">
        <v>1010</v>
      </c>
      <c r="E71" s="27" t="s">
        <v>525</v>
      </c>
      <c r="F71" s="26" t="s">
        <v>997</v>
      </c>
      <c r="G71" s="1313"/>
      <c r="H71" s="2" t="s">
        <v>1009</v>
      </c>
    </row>
    <row r="72" spans="1:8" s="2" customFormat="1" ht="30" customHeight="1">
      <c r="A72" s="1302"/>
      <c r="B72" s="1315"/>
      <c r="C72" s="1310" t="s">
        <v>927</v>
      </c>
      <c r="D72" s="27" t="s">
        <v>948</v>
      </c>
      <c r="E72" s="27" t="s">
        <v>1011</v>
      </c>
      <c r="F72" s="86"/>
      <c r="G72" s="1311" t="s">
        <v>936</v>
      </c>
      <c r="H72" s="2" t="s">
        <v>953</v>
      </c>
    </row>
    <row r="73" spans="1:8" s="2" customFormat="1" ht="30" customHeight="1">
      <c r="A73" s="1302"/>
      <c r="B73" s="1315"/>
      <c r="C73" s="1309"/>
      <c r="D73" s="27" t="s">
        <v>954</v>
      </c>
      <c r="E73" s="27" t="s">
        <v>939</v>
      </c>
      <c r="F73" s="86"/>
      <c r="G73" s="1313"/>
    </row>
    <row r="74" spans="1:8" s="2" customFormat="1" ht="30" customHeight="1">
      <c r="A74" s="1302"/>
      <c r="B74" s="1315"/>
      <c r="C74" s="42" t="s">
        <v>1012</v>
      </c>
      <c r="D74" s="40" t="s">
        <v>218</v>
      </c>
      <c r="E74" s="27" t="s">
        <v>932</v>
      </c>
      <c r="F74" s="27"/>
      <c r="G74" s="41" t="s">
        <v>689</v>
      </c>
      <c r="H74" s="2" t="s">
        <v>1013</v>
      </c>
    </row>
    <row r="75" spans="1:8" s="2" customFormat="1" ht="30" customHeight="1" thickBot="1">
      <c r="A75" s="1302"/>
      <c r="B75" s="1315"/>
      <c r="C75" s="77" t="s">
        <v>1014</v>
      </c>
      <c r="D75" s="40" t="s">
        <v>948</v>
      </c>
      <c r="E75" s="27" t="s">
        <v>929</v>
      </c>
      <c r="F75" s="27" t="s">
        <v>1015</v>
      </c>
      <c r="G75" s="25" t="s">
        <v>1016</v>
      </c>
      <c r="H75" s="2" t="s">
        <v>1017</v>
      </c>
    </row>
    <row r="76" spans="1:8" s="2" customFormat="1" ht="36" customHeight="1" thickBot="1">
      <c r="A76" s="1303"/>
      <c r="B76" s="1316"/>
      <c r="C76" s="12"/>
      <c r="D76" s="11"/>
      <c r="E76" s="10"/>
      <c r="F76" s="10"/>
      <c r="G76" s="9"/>
    </row>
    <row r="77" spans="1:8" s="2" customFormat="1" ht="36" customHeight="1">
      <c r="A77" s="1301">
        <v>44539</v>
      </c>
      <c r="B77" s="1314" t="s">
        <v>944</v>
      </c>
      <c r="C77" s="42" t="s">
        <v>893</v>
      </c>
      <c r="D77" s="27" t="s">
        <v>487</v>
      </c>
      <c r="E77" s="27" t="s">
        <v>1018</v>
      </c>
      <c r="F77" s="26"/>
      <c r="G77" s="25"/>
    </row>
    <row r="78" spans="1:8" s="2" customFormat="1" ht="36" customHeight="1">
      <c r="A78" s="1302"/>
      <c r="B78" s="1315"/>
      <c r="C78" s="42" t="s">
        <v>1019</v>
      </c>
      <c r="D78" s="40" t="s">
        <v>327</v>
      </c>
      <c r="E78" s="39" t="s">
        <v>1020</v>
      </c>
      <c r="F78" s="27"/>
      <c r="G78" s="41" t="s">
        <v>1021</v>
      </c>
    </row>
    <row r="79" spans="1:8" s="2" customFormat="1" ht="36" customHeight="1">
      <c r="A79" s="1302"/>
      <c r="B79" s="1315"/>
      <c r="C79" s="42" t="s">
        <v>1022</v>
      </c>
      <c r="D79" s="40" t="s">
        <v>169</v>
      </c>
      <c r="E79" s="39" t="s">
        <v>382</v>
      </c>
      <c r="F79" s="27"/>
      <c r="G79" s="41" t="s">
        <v>416</v>
      </c>
    </row>
    <row r="80" spans="1:8" s="2" customFormat="1" ht="36" customHeight="1">
      <c r="A80" s="1302"/>
      <c r="B80" s="1315"/>
      <c r="C80" s="1310" t="s">
        <v>916</v>
      </c>
      <c r="D80" s="40" t="s">
        <v>1023</v>
      </c>
      <c r="E80" s="39" t="s">
        <v>95</v>
      </c>
      <c r="F80" s="1323" t="s">
        <v>1024</v>
      </c>
      <c r="G80" s="1311" t="s">
        <v>920</v>
      </c>
    </row>
    <row r="81" spans="1:8" s="2" customFormat="1" ht="36" customHeight="1">
      <c r="A81" s="1302"/>
      <c r="B81" s="1315"/>
      <c r="C81" s="1308"/>
      <c r="D81" s="40" t="s">
        <v>1025</v>
      </c>
      <c r="E81" s="39" t="s">
        <v>905</v>
      </c>
      <c r="F81" s="1321"/>
      <c r="G81" s="1313"/>
    </row>
    <row r="82" spans="1:8" s="2" customFormat="1" ht="36" customHeight="1">
      <c r="A82" s="1302"/>
      <c r="B82" s="1315"/>
      <c r="C82" s="1308"/>
      <c r="D82" s="40" t="s">
        <v>332</v>
      </c>
      <c r="E82" s="39" t="s">
        <v>918</v>
      </c>
      <c r="F82" s="27"/>
      <c r="G82" s="41" t="s">
        <v>1026</v>
      </c>
    </row>
    <row r="83" spans="1:8" s="2" customFormat="1" ht="36" customHeight="1">
      <c r="A83" s="1302"/>
      <c r="B83" s="1315"/>
      <c r="C83" s="1308"/>
      <c r="D83" s="40" t="s">
        <v>948</v>
      </c>
      <c r="E83" s="39" t="s">
        <v>918</v>
      </c>
      <c r="F83" s="27"/>
      <c r="G83" s="1311" t="s">
        <v>1027</v>
      </c>
      <c r="H83" s="2" t="s">
        <v>1028</v>
      </c>
    </row>
    <row r="84" spans="1:8" s="2" customFormat="1" ht="36" customHeight="1" thickBot="1">
      <c r="A84" s="1302"/>
      <c r="B84" s="1315"/>
      <c r="C84" s="1309"/>
      <c r="D84" s="40" t="s">
        <v>938</v>
      </c>
      <c r="E84" s="39" t="s">
        <v>1029</v>
      </c>
      <c r="F84" s="27" t="s">
        <v>923</v>
      </c>
      <c r="G84" s="1313"/>
    </row>
    <row r="85" spans="1:8" s="2" customFormat="1" ht="36" customHeight="1" thickBot="1">
      <c r="A85" s="1303"/>
      <c r="B85" s="1316"/>
      <c r="C85" s="12" t="s">
        <v>1030</v>
      </c>
      <c r="D85" s="11" t="s">
        <v>941</v>
      </c>
      <c r="E85" s="10" t="s">
        <v>1031</v>
      </c>
      <c r="F85" s="10" t="s">
        <v>1032</v>
      </c>
      <c r="G85" s="9"/>
    </row>
    <row r="86" spans="1:8" s="2" customFormat="1" ht="36" customHeight="1">
      <c r="A86" s="1301">
        <v>44540</v>
      </c>
      <c r="B86" s="1314" t="s">
        <v>973</v>
      </c>
      <c r="C86" s="42" t="s">
        <v>893</v>
      </c>
      <c r="D86" s="27" t="s">
        <v>896</v>
      </c>
      <c r="E86" s="27" t="s">
        <v>1033</v>
      </c>
      <c r="F86" s="26"/>
      <c r="G86" s="25"/>
    </row>
    <row r="87" spans="1:8" s="2" customFormat="1" ht="36" customHeight="1">
      <c r="A87" s="1302"/>
      <c r="B87" s="1315"/>
      <c r="C87" s="1310" t="s">
        <v>1034</v>
      </c>
      <c r="D87" s="27" t="s">
        <v>391</v>
      </c>
      <c r="E87" s="27" t="s">
        <v>918</v>
      </c>
      <c r="F87" s="26"/>
      <c r="G87" s="25"/>
    </row>
    <row r="88" spans="1:8" s="2" customFormat="1" ht="36" customHeight="1">
      <c r="A88" s="1302"/>
      <c r="B88" s="1315"/>
      <c r="C88" s="1309"/>
      <c r="D88" s="40" t="s">
        <v>1035</v>
      </c>
      <c r="E88" s="39" t="s">
        <v>219</v>
      </c>
      <c r="F88" s="26"/>
      <c r="G88" s="41"/>
    </row>
    <row r="89" spans="1:8" s="2" customFormat="1" ht="36" customHeight="1">
      <c r="A89" s="1302"/>
      <c r="B89" s="1315"/>
      <c r="C89" s="1310" t="s">
        <v>927</v>
      </c>
      <c r="D89" s="27" t="s">
        <v>109</v>
      </c>
      <c r="E89" s="27" t="s">
        <v>271</v>
      </c>
      <c r="F89" s="26" t="s">
        <v>1036</v>
      </c>
      <c r="G89" s="1311" t="s">
        <v>1037</v>
      </c>
    </row>
    <row r="90" spans="1:8" s="2" customFormat="1" ht="36" customHeight="1">
      <c r="A90" s="1302"/>
      <c r="B90" s="1315"/>
      <c r="C90" s="1309"/>
      <c r="D90" s="27" t="s">
        <v>192</v>
      </c>
      <c r="E90" s="39" t="s">
        <v>1038</v>
      </c>
      <c r="F90" s="26"/>
      <c r="G90" s="1313"/>
    </row>
    <row r="91" spans="1:8" s="2" customFormat="1" ht="36" customHeight="1">
      <c r="A91" s="1302"/>
      <c r="B91" s="1315"/>
      <c r="C91" s="1310" t="s">
        <v>1039</v>
      </c>
      <c r="D91" s="27" t="s">
        <v>109</v>
      </c>
      <c r="E91" s="39" t="s">
        <v>1040</v>
      </c>
      <c r="F91" s="26"/>
      <c r="G91" s="1311" t="s">
        <v>931</v>
      </c>
    </row>
    <row r="92" spans="1:8" s="2" customFormat="1" ht="36" customHeight="1">
      <c r="A92" s="1302"/>
      <c r="B92" s="1315"/>
      <c r="C92" s="1308"/>
      <c r="D92" s="27" t="s">
        <v>1035</v>
      </c>
      <c r="E92" s="39" t="s">
        <v>1041</v>
      </c>
      <c r="F92" s="26"/>
      <c r="G92" s="1312"/>
    </row>
    <row r="93" spans="1:8" s="2" customFormat="1" ht="36" customHeight="1">
      <c r="A93" s="1302"/>
      <c r="B93" s="1315"/>
      <c r="C93" s="1308"/>
      <c r="D93" s="27" t="s">
        <v>987</v>
      </c>
      <c r="E93" s="39" t="s">
        <v>929</v>
      </c>
      <c r="F93" s="26"/>
      <c r="G93" s="1312"/>
    </row>
    <row r="94" spans="1:8" s="2" customFormat="1" ht="36" customHeight="1">
      <c r="A94" s="1302"/>
      <c r="B94" s="1315"/>
      <c r="C94" s="1308"/>
      <c r="D94" s="27" t="s">
        <v>1042</v>
      </c>
      <c r="E94" s="39" t="s">
        <v>1043</v>
      </c>
      <c r="F94" s="27"/>
      <c r="G94" s="1312"/>
    </row>
    <row r="95" spans="1:8" s="2" customFormat="1" ht="36" customHeight="1" thickBot="1">
      <c r="A95" s="1302"/>
      <c r="B95" s="1315"/>
      <c r="C95" s="1309"/>
      <c r="D95" s="27" t="s">
        <v>948</v>
      </c>
      <c r="E95" s="39" t="s">
        <v>929</v>
      </c>
      <c r="F95" s="27"/>
      <c r="G95" s="1313"/>
    </row>
    <row r="96" spans="1:8" s="2" customFormat="1" ht="36" hidden="1" customHeight="1" thickBot="1">
      <c r="A96" s="1302"/>
      <c r="B96" s="1315"/>
      <c r="C96" s="31"/>
      <c r="D96" s="30"/>
      <c r="E96" s="29"/>
      <c r="F96" s="14"/>
      <c r="G96" s="13"/>
    </row>
    <row r="97" spans="1:8" s="2" customFormat="1" ht="36" customHeight="1" thickBot="1">
      <c r="A97" s="1303"/>
      <c r="B97" s="1316"/>
      <c r="C97" s="12"/>
      <c r="D97" s="11"/>
      <c r="E97" s="10"/>
      <c r="F97" s="10"/>
      <c r="G97" s="9"/>
    </row>
    <row r="98" spans="1:8" s="2" customFormat="1" ht="60" customHeight="1" thickBot="1">
      <c r="A98" s="1298" t="s">
        <v>5</v>
      </c>
      <c r="B98" s="1299"/>
      <c r="C98" s="1299"/>
      <c r="D98" s="1299"/>
      <c r="E98" s="1299"/>
      <c r="F98" s="1299"/>
      <c r="G98" s="1300"/>
    </row>
    <row r="99" spans="1:8" s="2" customFormat="1" ht="36" customHeight="1">
      <c r="A99" s="1301">
        <v>44543</v>
      </c>
      <c r="B99" s="1314" t="s">
        <v>983</v>
      </c>
      <c r="C99" s="42" t="s">
        <v>893</v>
      </c>
      <c r="D99" s="27" t="s">
        <v>1044</v>
      </c>
      <c r="E99" s="27" t="s">
        <v>1045</v>
      </c>
      <c r="F99" s="26"/>
      <c r="G99" s="25"/>
    </row>
    <row r="100" spans="1:8" s="2" customFormat="1" ht="36" customHeight="1">
      <c r="A100" s="1302"/>
      <c r="B100" s="1315"/>
      <c r="C100" s="1310" t="s">
        <v>950</v>
      </c>
      <c r="D100" s="27" t="s">
        <v>1046</v>
      </c>
      <c r="E100" s="27" t="s">
        <v>1047</v>
      </c>
      <c r="F100" s="26"/>
      <c r="G100" s="25"/>
    </row>
    <row r="101" spans="1:8" s="2" customFormat="1" ht="36" customHeight="1">
      <c r="A101" s="1302"/>
      <c r="B101" s="1315"/>
      <c r="C101" s="1309"/>
      <c r="D101" s="40" t="s">
        <v>948</v>
      </c>
      <c r="E101" s="39" t="s">
        <v>900</v>
      </c>
      <c r="F101" s="26"/>
      <c r="G101" s="25"/>
    </row>
    <row r="102" spans="1:8" s="2" customFormat="1" ht="36" customHeight="1">
      <c r="A102" s="1302"/>
      <c r="B102" s="1315"/>
      <c r="C102" s="42" t="s">
        <v>901</v>
      </c>
      <c r="D102" s="27" t="s">
        <v>1048</v>
      </c>
      <c r="E102" s="27" t="s">
        <v>95</v>
      </c>
      <c r="F102" s="26"/>
      <c r="G102" s="25"/>
    </row>
    <row r="103" spans="1:8" s="2" customFormat="1" ht="36" customHeight="1" thickBot="1">
      <c r="A103" s="1302"/>
      <c r="B103" s="1315"/>
      <c r="C103" s="17"/>
      <c r="D103" s="16"/>
      <c r="E103" s="15"/>
      <c r="F103" s="14"/>
      <c r="G103" s="13"/>
    </row>
    <row r="104" spans="1:8" s="2" customFormat="1" ht="36" customHeight="1" thickBot="1">
      <c r="A104" s="1302"/>
      <c r="B104" s="1315"/>
      <c r="C104" s="12" t="s">
        <v>1049</v>
      </c>
      <c r="D104" s="11" t="s">
        <v>941</v>
      </c>
      <c r="E104" s="10" t="s">
        <v>1050</v>
      </c>
      <c r="F104" s="10" t="s">
        <v>1051</v>
      </c>
      <c r="G104" s="9"/>
    </row>
    <row r="105" spans="1:8" s="2" customFormat="1" ht="36" customHeight="1">
      <c r="A105" s="1301">
        <v>44544</v>
      </c>
      <c r="B105" s="1314" t="s">
        <v>88</v>
      </c>
      <c r="C105" s="42" t="s">
        <v>1034</v>
      </c>
      <c r="D105" s="27" t="s">
        <v>914</v>
      </c>
      <c r="E105" s="27" t="s">
        <v>918</v>
      </c>
      <c r="F105" s="26"/>
      <c r="G105" s="25"/>
    </row>
    <row r="106" spans="1:8" s="2" customFormat="1" ht="36" customHeight="1">
      <c r="A106" s="1302"/>
      <c r="B106" s="1315"/>
      <c r="C106" s="42" t="s">
        <v>1052</v>
      </c>
      <c r="D106" s="40" t="s">
        <v>1053</v>
      </c>
      <c r="E106" s="39" t="s">
        <v>900</v>
      </c>
      <c r="F106" s="26"/>
      <c r="G106" s="25" t="s">
        <v>931</v>
      </c>
      <c r="H106" s="2" t="s">
        <v>1054</v>
      </c>
    </row>
    <row r="107" spans="1:8" s="2" customFormat="1" ht="36" customHeight="1">
      <c r="A107" s="1302"/>
      <c r="B107" s="1315"/>
      <c r="C107" s="1310" t="s">
        <v>1055</v>
      </c>
      <c r="D107" s="40" t="s">
        <v>954</v>
      </c>
      <c r="E107" s="39" t="s">
        <v>922</v>
      </c>
      <c r="F107" s="26"/>
      <c r="G107" s="1311" t="s">
        <v>936</v>
      </c>
    </row>
    <row r="108" spans="1:8" s="2" customFormat="1" ht="36" customHeight="1">
      <c r="A108" s="1302"/>
      <c r="B108" s="1315"/>
      <c r="C108" s="1308"/>
      <c r="D108" s="40" t="s">
        <v>668</v>
      </c>
      <c r="E108" s="39" t="s">
        <v>939</v>
      </c>
      <c r="F108" s="26"/>
      <c r="G108" s="1312"/>
    </row>
    <row r="109" spans="1:8" s="2" customFormat="1" ht="36" customHeight="1" thickBot="1">
      <c r="A109" s="1302"/>
      <c r="B109" s="1315"/>
      <c r="C109" s="1324"/>
      <c r="D109" s="40" t="s">
        <v>1056</v>
      </c>
      <c r="E109" s="39" t="s">
        <v>1041</v>
      </c>
      <c r="F109" s="27"/>
      <c r="G109" s="1325"/>
    </row>
    <row r="110" spans="1:8" s="2" customFormat="1" ht="36" customHeight="1" thickBot="1">
      <c r="A110" s="1303"/>
      <c r="B110" s="1316"/>
      <c r="C110" s="12" t="s">
        <v>1057</v>
      </c>
      <c r="D110" s="11" t="s">
        <v>1058</v>
      </c>
      <c r="E110" s="10" t="s">
        <v>1059</v>
      </c>
      <c r="F110" s="10" t="s">
        <v>1060</v>
      </c>
      <c r="G110" s="9"/>
    </row>
    <row r="111" spans="1:8" s="2" customFormat="1" ht="36" customHeight="1">
      <c r="A111" s="1301">
        <v>44545</v>
      </c>
      <c r="B111" s="1314" t="s">
        <v>892</v>
      </c>
      <c r="C111" s="1307" t="s">
        <v>330</v>
      </c>
      <c r="D111" s="27" t="s">
        <v>393</v>
      </c>
      <c r="E111" s="27" t="s">
        <v>525</v>
      </c>
      <c r="F111" s="26"/>
      <c r="G111" s="25"/>
    </row>
    <row r="112" spans="1:8" s="2" customFormat="1" ht="36" customHeight="1">
      <c r="A112" s="1302"/>
      <c r="B112" s="1315"/>
      <c r="C112" s="1308"/>
      <c r="D112" s="27" t="s">
        <v>1061</v>
      </c>
      <c r="E112" s="27" t="s">
        <v>900</v>
      </c>
      <c r="F112" s="26"/>
      <c r="G112" s="25"/>
    </row>
    <row r="113" spans="1:8" s="2" customFormat="1" ht="36" customHeight="1">
      <c r="A113" s="1302"/>
      <c r="B113" s="1315"/>
      <c r="C113" s="1309"/>
      <c r="D113" s="27" t="s">
        <v>1062</v>
      </c>
      <c r="E113" s="27" t="s">
        <v>900</v>
      </c>
      <c r="F113" s="26"/>
      <c r="G113" s="25"/>
    </row>
    <row r="114" spans="1:8" s="2" customFormat="1" ht="36" customHeight="1">
      <c r="A114" s="1302"/>
      <c r="B114" s="1315"/>
      <c r="C114" s="1310" t="s">
        <v>901</v>
      </c>
      <c r="D114" s="27" t="s">
        <v>908</v>
      </c>
      <c r="E114" s="27" t="s">
        <v>907</v>
      </c>
      <c r="F114" s="26"/>
      <c r="G114" s="25"/>
    </row>
    <row r="115" spans="1:8" s="2" customFormat="1" ht="36" customHeight="1">
      <c r="A115" s="1302"/>
      <c r="B115" s="1315"/>
      <c r="C115" s="1308"/>
      <c r="D115" s="27" t="s">
        <v>966</v>
      </c>
      <c r="E115" s="27" t="s">
        <v>905</v>
      </c>
      <c r="F115" s="26"/>
      <c r="G115" s="25"/>
    </row>
    <row r="116" spans="1:8" s="2" customFormat="1" ht="36" customHeight="1">
      <c r="A116" s="1302"/>
      <c r="B116" s="1315"/>
      <c r="C116" s="1309"/>
      <c r="D116" s="27" t="s">
        <v>1063</v>
      </c>
      <c r="E116" s="27" t="s">
        <v>905</v>
      </c>
      <c r="F116" s="26"/>
      <c r="G116" s="25"/>
    </row>
    <row r="117" spans="1:8" s="2" customFormat="1" ht="36" customHeight="1">
      <c r="A117" s="1302"/>
      <c r="B117" s="1315"/>
      <c r="C117" s="42" t="s">
        <v>1064</v>
      </c>
      <c r="D117" s="40" t="s">
        <v>1065</v>
      </c>
      <c r="E117" s="39" t="s">
        <v>1066</v>
      </c>
      <c r="F117" s="26"/>
      <c r="G117" s="25"/>
    </row>
    <row r="118" spans="1:8" s="2" customFormat="1" ht="36" customHeight="1">
      <c r="A118" s="1302"/>
      <c r="B118" s="1315"/>
      <c r="C118" s="42" t="s">
        <v>1067</v>
      </c>
      <c r="D118" s="40" t="s">
        <v>1068</v>
      </c>
      <c r="E118" s="39" t="s">
        <v>900</v>
      </c>
      <c r="F118" s="27"/>
      <c r="G118" s="41"/>
    </row>
    <row r="119" spans="1:8" s="2" customFormat="1" ht="36" customHeight="1">
      <c r="A119" s="1302"/>
      <c r="B119" s="1315"/>
      <c r="C119" s="42" t="s">
        <v>1069</v>
      </c>
      <c r="D119" s="40" t="s">
        <v>393</v>
      </c>
      <c r="E119" s="39" t="s">
        <v>612</v>
      </c>
      <c r="F119" s="27" t="s">
        <v>1070</v>
      </c>
      <c r="G119" s="41" t="s">
        <v>1071</v>
      </c>
    </row>
    <row r="120" spans="1:8" s="2" customFormat="1" ht="36" customHeight="1">
      <c r="A120" s="1302"/>
      <c r="B120" s="1315"/>
      <c r="C120" s="1310" t="s">
        <v>1014</v>
      </c>
      <c r="D120" s="40" t="s">
        <v>971</v>
      </c>
      <c r="E120" s="39" t="s">
        <v>271</v>
      </c>
      <c r="F120" s="27"/>
      <c r="G120" s="1311" t="s">
        <v>1072</v>
      </c>
    </row>
    <row r="121" spans="1:8" s="2" customFormat="1" ht="36" customHeight="1">
      <c r="A121" s="1302"/>
      <c r="B121" s="1315"/>
      <c r="C121" s="1309"/>
      <c r="D121" s="37" t="s">
        <v>31</v>
      </c>
      <c r="E121" s="36" t="s">
        <v>1029</v>
      </c>
      <c r="F121" s="26" t="s">
        <v>1036</v>
      </c>
      <c r="G121" s="1313"/>
    </row>
    <row r="122" spans="1:8" s="2" customFormat="1" ht="36" customHeight="1" thickBot="1">
      <c r="A122" s="1302"/>
      <c r="B122" s="1315"/>
      <c r="C122" s="52" t="s">
        <v>1073</v>
      </c>
      <c r="D122" s="55" t="s">
        <v>1074</v>
      </c>
      <c r="E122" s="54" t="s">
        <v>918</v>
      </c>
      <c r="F122" s="27"/>
      <c r="G122" s="25" t="s">
        <v>1075</v>
      </c>
    </row>
    <row r="123" spans="1:8" s="2" customFormat="1" ht="36" hidden="1" customHeight="1" thickBot="1">
      <c r="A123" s="1302"/>
      <c r="B123" s="1315"/>
      <c r="C123" s="90"/>
      <c r="D123" s="59"/>
      <c r="E123" s="29"/>
      <c r="F123" s="58"/>
      <c r="G123" s="89"/>
    </row>
    <row r="124" spans="1:8" s="2" customFormat="1" ht="36" customHeight="1" thickBot="1">
      <c r="A124" s="1303"/>
      <c r="B124" s="1316"/>
      <c r="C124" s="12"/>
      <c r="D124" s="11"/>
      <c r="E124" s="10"/>
      <c r="F124" s="10"/>
      <c r="G124" s="9"/>
    </row>
    <row r="125" spans="1:8" s="2" customFormat="1" ht="36" customHeight="1">
      <c r="A125" s="1301">
        <v>44546</v>
      </c>
      <c r="B125" s="1314" t="s">
        <v>944</v>
      </c>
      <c r="C125" s="42" t="s">
        <v>893</v>
      </c>
      <c r="D125" s="27" t="s">
        <v>896</v>
      </c>
      <c r="E125" s="27" t="s">
        <v>1076</v>
      </c>
      <c r="F125" s="26"/>
      <c r="G125" s="25"/>
    </row>
    <row r="126" spans="1:8" s="2" customFormat="1" ht="36" customHeight="1">
      <c r="A126" s="1302"/>
      <c r="B126" s="1315"/>
      <c r="C126" s="1310" t="s">
        <v>1077</v>
      </c>
      <c r="D126" s="27" t="s">
        <v>1078</v>
      </c>
      <c r="E126" s="27" t="s">
        <v>1011</v>
      </c>
      <c r="F126" s="26"/>
      <c r="G126" s="25"/>
    </row>
    <row r="127" spans="1:8" s="2" customFormat="1" ht="36" customHeight="1">
      <c r="A127" s="1302"/>
      <c r="B127" s="1315"/>
      <c r="C127" s="1309"/>
      <c r="D127" s="40" t="s">
        <v>1079</v>
      </c>
      <c r="E127" s="39" t="s">
        <v>1080</v>
      </c>
      <c r="F127" s="26"/>
      <c r="G127" s="41"/>
    </row>
    <row r="128" spans="1:8" s="2" customFormat="1" ht="36" customHeight="1">
      <c r="A128" s="1302"/>
      <c r="B128" s="1315"/>
      <c r="C128" s="46" t="s">
        <v>354</v>
      </c>
      <c r="D128" s="37" t="s">
        <v>305</v>
      </c>
      <c r="E128" s="36" t="s">
        <v>352</v>
      </c>
      <c r="F128" s="26"/>
      <c r="G128" s="69" t="s">
        <v>350</v>
      </c>
      <c r="H128" s="2" t="s">
        <v>436</v>
      </c>
    </row>
    <row r="129" spans="1:8" s="2" customFormat="1" ht="36" customHeight="1" thickBot="1">
      <c r="A129" s="1302"/>
      <c r="B129" s="1315"/>
      <c r="C129" s="42" t="s">
        <v>685</v>
      </c>
      <c r="D129" s="40" t="s">
        <v>109</v>
      </c>
      <c r="E129" s="39" t="s">
        <v>932</v>
      </c>
      <c r="F129" s="27"/>
      <c r="G129" s="41" t="s">
        <v>216</v>
      </c>
      <c r="H129" s="2" t="s">
        <v>1081</v>
      </c>
    </row>
    <row r="130" spans="1:8" s="2" customFormat="1" ht="36" hidden="1" customHeight="1">
      <c r="A130" s="1302"/>
      <c r="B130" s="1315"/>
      <c r="C130" s="31"/>
      <c r="D130" s="30"/>
      <c r="E130" s="29"/>
      <c r="F130" s="14"/>
      <c r="G130" s="28"/>
    </row>
    <row r="131" spans="1:8" s="2" customFormat="1" ht="36" hidden="1" customHeight="1" thickBot="1">
      <c r="A131" s="1302"/>
      <c r="B131" s="1315"/>
      <c r="C131" s="68"/>
      <c r="D131" s="67"/>
      <c r="E131" s="19"/>
      <c r="F131" s="66"/>
      <c r="G131" s="65"/>
    </row>
    <row r="132" spans="1:8" s="2" customFormat="1" ht="36" customHeight="1" thickBot="1">
      <c r="A132" s="1302"/>
      <c r="B132" s="1315"/>
      <c r="C132" s="12" t="s">
        <v>1082</v>
      </c>
      <c r="D132" s="11" t="s">
        <v>1058</v>
      </c>
      <c r="E132" s="10"/>
      <c r="F132" s="10" t="s">
        <v>1083</v>
      </c>
      <c r="G132" s="9"/>
    </row>
    <row r="133" spans="1:8" s="2" customFormat="1" ht="36" customHeight="1" thickBot="1">
      <c r="A133" s="1303"/>
      <c r="B133" s="1316"/>
      <c r="C133" s="12" t="s">
        <v>1082</v>
      </c>
      <c r="D133" s="11" t="s">
        <v>1058</v>
      </c>
      <c r="E133" s="10"/>
      <c r="F133" s="10" t="s">
        <v>1084</v>
      </c>
      <c r="G133" s="9"/>
    </row>
    <row r="134" spans="1:8" s="2" customFormat="1" ht="36" customHeight="1">
      <c r="A134" s="1302">
        <v>44912</v>
      </c>
      <c r="B134" s="1318" t="s">
        <v>211</v>
      </c>
      <c r="C134" s="42" t="s">
        <v>989</v>
      </c>
      <c r="D134" s="27" t="s">
        <v>966</v>
      </c>
      <c r="E134" s="27" t="s">
        <v>900</v>
      </c>
      <c r="F134" s="26" t="s">
        <v>1085</v>
      </c>
      <c r="G134" s="25" t="s">
        <v>159</v>
      </c>
    </row>
    <row r="135" spans="1:8" s="2" customFormat="1" ht="36" customHeight="1">
      <c r="A135" s="1302"/>
      <c r="B135" s="1318"/>
      <c r="C135" s="1310" t="s">
        <v>1034</v>
      </c>
      <c r="D135" s="27" t="s">
        <v>98</v>
      </c>
      <c r="E135" s="27" t="s">
        <v>900</v>
      </c>
      <c r="F135" s="26"/>
      <c r="G135" s="1311" t="s">
        <v>912</v>
      </c>
    </row>
    <row r="136" spans="1:8" s="2" customFormat="1" ht="36" customHeight="1">
      <c r="A136" s="1302"/>
      <c r="B136" s="1318"/>
      <c r="C136" s="1308"/>
      <c r="D136" s="27" t="s">
        <v>965</v>
      </c>
      <c r="E136" s="27" t="s">
        <v>900</v>
      </c>
      <c r="F136" s="26"/>
      <c r="G136" s="1312"/>
    </row>
    <row r="137" spans="1:8" s="2" customFormat="1" ht="36" customHeight="1">
      <c r="A137" s="1302"/>
      <c r="B137" s="1318"/>
      <c r="C137" s="1308"/>
      <c r="D137" s="27" t="s">
        <v>31</v>
      </c>
      <c r="E137" s="27" t="s">
        <v>518</v>
      </c>
      <c r="F137" s="26"/>
      <c r="G137" s="1312"/>
    </row>
    <row r="138" spans="1:8" s="2" customFormat="1" ht="36" customHeight="1" thickBot="1">
      <c r="A138" s="1302"/>
      <c r="B138" s="1318"/>
      <c r="C138" s="1309"/>
      <c r="D138" s="27" t="s">
        <v>954</v>
      </c>
      <c r="E138" s="27" t="s">
        <v>922</v>
      </c>
      <c r="F138" s="26"/>
      <c r="G138" s="1313"/>
    </row>
    <row r="139" spans="1:8" s="2" customFormat="1" ht="36" hidden="1" customHeight="1">
      <c r="A139" s="1302"/>
      <c r="B139" s="1318"/>
      <c r="C139" s="21"/>
      <c r="D139" s="20"/>
      <c r="E139" s="19"/>
      <c r="F139" s="18"/>
      <c r="G139" s="13"/>
    </row>
    <row r="140" spans="1:8" s="2" customFormat="1" ht="36" hidden="1" customHeight="1" thickBot="1">
      <c r="A140" s="1302"/>
      <c r="B140" s="1318"/>
      <c r="C140" s="17"/>
      <c r="D140" s="16"/>
      <c r="E140" s="15"/>
      <c r="F140" s="14"/>
      <c r="G140" s="13"/>
    </row>
    <row r="141" spans="1:8" s="2" customFormat="1" ht="36" customHeight="1" thickBot="1">
      <c r="A141" s="1303"/>
      <c r="B141" s="1319"/>
      <c r="C141" s="12"/>
      <c r="D141" s="11"/>
      <c r="E141" s="10"/>
      <c r="F141" s="10"/>
      <c r="G141" s="9"/>
    </row>
    <row r="142" spans="1:8" s="2" customFormat="1" ht="60" customHeight="1" thickBot="1">
      <c r="A142" s="1298" t="s">
        <v>5</v>
      </c>
      <c r="B142" s="1299"/>
      <c r="C142" s="1299"/>
      <c r="D142" s="1299"/>
      <c r="E142" s="1299"/>
      <c r="F142" s="1299"/>
      <c r="G142" s="1300"/>
    </row>
    <row r="143" spans="1:8" s="2" customFormat="1" ht="36" customHeight="1">
      <c r="A143" s="1301">
        <v>44550</v>
      </c>
      <c r="B143" s="1314" t="s">
        <v>983</v>
      </c>
      <c r="C143" s="42" t="s">
        <v>456</v>
      </c>
      <c r="D143" s="27" t="s">
        <v>1086</v>
      </c>
      <c r="E143" s="27" t="s">
        <v>9</v>
      </c>
      <c r="F143" s="26" t="s">
        <v>1087</v>
      </c>
      <c r="G143" s="25" t="s">
        <v>1071</v>
      </c>
    </row>
    <row r="144" spans="1:8" s="2" customFormat="1" ht="36" customHeight="1">
      <c r="A144" s="1302"/>
      <c r="B144" s="1315"/>
      <c r="C144" s="1310" t="s">
        <v>916</v>
      </c>
      <c r="D144" s="27" t="s">
        <v>238</v>
      </c>
      <c r="E144" s="27" t="s">
        <v>1088</v>
      </c>
      <c r="F144" s="26"/>
      <c r="G144" s="1311" t="s">
        <v>936</v>
      </c>
    </row>
    <row r="145" spans="1:8" s="2" customFormat="1" ht="36" customHeight="1">
      <c r="A145" s="1302"/>
      <c r="B145" s="1315"/>
      <c r="C145" s="1309"/>
      <c r="D145" s="40" t="s">
        <v>1089</v>
      </c>
      <c r="E145" s="39" t="s">
        <v>900</v>
      </c>
      <c r="F145" s="26"/>
      <c r="G145" s="1313"/>
    </row>
    <row r="146" spans="1:8" s="2" customFormat="1" ht="36" customHeight="1">
      <c r="A146" s="1302"/>
      <c r="B146" s="1315"/>
      <c r="C146" s="1310" t="s">
        <v>330</v>
      </c>
      <c r="D146" s="40" t="s">
        <v>938</v>
      </c>
      <c r="E146" s="39" t="s">
        <v>1090</v>
      </c>
      <c r="F146" s="27" t="s">
        <v>923</v>
      </c>
      <c r="G146" s="1311" t="s">
        <v>936</v>
      </c>
    </row>
    <row r="147" spans="1:8" s="2" customFormat="1" ht="36" customHeight="1" thickBot="1">
      <c r="A147" s="1302"/>
      <c r="B147" s="1315"/>
      <c r="C147" s="1324"/>
      <c r="D147" s="44" t="s">
        <v>914</v>
      </c>
      <c r="E147" s="43" t="s">
        <v>147</v>
      </c>
      <c r="F147" s="49"/>
      <c r="G147" s="1325"/>
    </row>
    <row r="148" spans="1:8" s="2" customFormat="1" ht="36" customHeight="1" thickBot="1">
      <c r="A148" s="1303"/>
      <c r="B148" s="1316"/>
      <c r="C148" s="12"/>
      <c r="D148" s="11"/>
      <c r="E148" s="10"/>
      <c r="F148" s="10"/>
      <c r="G148" s="9"/>
    </row>
    <row r="149" spans="1:8" s="2" customFormat="1" ht="36" customHeight="1">
      <c r="A149" s="1301">
        <v>44551</v>
      </c>
      <c r="B149" s="1314" t="s">
        <v>88</v>
      </c>
      <c r="C149" s="1307" t="s">
        <v>995</v>
      </c>
      <c r="D149" s="27" t="s">
        <v>1091</v>
      </c>
      <c r="E149" s="27" t="s">
        <v>1092</v>
      </c>
      <c r="F149" s="26"/>
      <c r="G149" s="25"/>
    </row>
    <row r="150" spans="1:8" s="2" customFormat="1" ht="36" customHeight="1">
      <c r="A150" s="1302"/>
      <c r="B150" s="1315"/>
      <c r="C150" s="1309"/>
      <c r="D150" s="27" t="s">
        <v>1093</v>
      </c>
      <c r="E150" s="27" t="s">
        <v>186</v>
      </c>
      <c r="F150" s="26"/>
      <c r="G150" s="25"/>
    </row>
    <row r="151" spans="1:8" s="2" customFormat="1" ht="36" customHeight="1">
      <c r="A151" s="1302"/>
      <c r="B151" s="1315"/>
      <c r="C151" s="1310" t="s">
        <v>267</v>
      </c>
      <c r="D151" s="27" t="s">
        <v>948</v>
      </c>
      <c r="E151" s="27" t="s">
        <v>957</v>
      </c>
      <c r="F151" s="26" t="s">
        <v>1094</v>
      </c>
      <c r="G151" s="25" t="s">
        <v>931</v>
      </c>
      <c r="H151" s="2" t="s">
        <v>1095</v>
      </c>
    </row>
    <row r="152" spans="1:8" s="2" customFormat="1" ht="36" customHeight="1">
      <c r="A152" s="1302"/>
      <c r="B152" s="1315"/>
      <c r="C152" s="1309"/>
      <c r="D152" s="27" t="s">
        <v>954</v>
      </c>
      <c r="E152" s="27" t="s">
        <v>955</v>
      </c>
      <c r="F152" s="26" t="s">
        <v>1096</v>
      </c>
      <c r="G152" s="25" t="s">
        <v>1097</v>
      </c>
    </row>
    <row r="153" spans="1:8" s="2" customFormat="1" ht="36" customHeight="1">
      <c r="A153" s="1302"/>
      <c r="B153" s="1315"/>
      <c r="C153" s="46"/>
      <c r="D153" s="27" t="s">
        <v>1098</v>
      </c>
      <c r="E153" s="27"/>
      <c r="F153" s="26"/>
      <c r="G153" s="25"/>
    </row>
    <row r="154" spans="1:8" s="2" customFormat="1" ht="36" customHeight="1" thickBot="1">
      <c r="A154" s="1302"/>
      <c r="B154" s="1315"/>
      <c r="C154" s="42" t="s">
        <v>1099</v>
      </c>
      <c r="D154" s="40" t="s">
        <v>31</v>
      </c>
      <c r="E154" s="39" t="s">
        <v>926</v>
      </c>
      <c r="F154" s="26" t="s">
        <v>139</v>
      </c>
      <c r="G154" s="25" t="s">
        <v>216</v>
      </c>
    </row>
    <row r="155" spans="1:8" s="2" customFormat="1" ht="36" hidden="1" customHeight="1" thickBot="1">
      <c r="A155" s="1302"/>
      <c r="B155" s="1315"/>
      <c r="C155" s="17"/>
      <c r="D155" s="16"/>
      <c r="E155" s="15"/>
      <c r="F155" s="14"/>
      <c r="G155" s="13"/>
    </row>
    <row r="156" spans="1:8" s="2" customFormat="1" ht="36" customHeight="1" thickBot="1">
      <c r="A156" s="1303"/>
      <c r="B156" s="1316"/>
      <c r="C156" s="12"/>
      <c r="D156" s="11"/>
      <c r="E156" s="10"/>
      <c r="F156" s="10"/>
      <c r="G156" s="9"/>
    </row>
    <row r="157" spans="1:8" s="2" customFormat="1" ht="36" customHeight="1">
      <c r="A157" s="1301">
        <v>44552</v>
      </c>
      <c r="B157" s="1314" t="s">
        <v>892</v>
      </c>
      <c r="C157" s="42" t="s">
        <v>1100</v>
      </c>
      <c r="D157" s="40" t="s">
        <v>447</v>
      </c>
      <c r="E157" s="39" t="s">
        <v>1101</v>
      </c>
      <c r="F157" s="26" t="s">
        <v>1102</v>
      </c>
      <c r="G157" s="25"/>
    </row>
    <row r="158" spans="1:8" s="2" customFormat="1" ht="36" customHeight="1">
      <c r="A158" s="1302"/>
      <c r="B158" s="1315"/>
      <c r="C158" s="42" t="s">
        <v>1103</v>
      </c>
      <c r="D158" s="40" t="s">
        <v>1104</v>
      </c>
      <c r="E158" s="39" t="s">
        <v>1038</v>
      </c>
      <c r="F158" s="26"/>
      <c r="G158" s="25" t="s">
        <v>936</v>
      </c>
    </row>
    <row r="159" spans="1:8" s="2" customFormat="1" ht="36" customHeight="1">
      <c r="A159" s="1302"/>
      <c r="B159" s="1315"/>
      <c r="C159" s="1310" t="s">
        <v>950</v>
      </c>
      <c r="D159" s="40" t="s">
        <v>938</v>
      </c>
      <c r="E159" s="39" t="s">
        <v>956</v>
      </c>
      <c r="F159" s="27"/>
      <c r="G159" s="25"/>
    </row>
    <row r="160" spans="1:8" s="2" customFormat="1" ht="36" customHeight="1">
      <c r="A160" s="1302"/>
      <c r="B160" s="1315"/>
      <c r="C160" s="1308"/>
      <c r="D160" s="40" t="s">
        <v>192</v>
      </c>
      <c r="E160" s="39" t="s">
        <v>1090</v>
      </c>
      <c r="F160" s="26"/>
      <c r="G160" s="25"/>
    </row>
    <row r="161" spans="1:9" s="2" customFormat="1" ht="36" customHeight="1">
      <c r="A161" s="1302"/>
      <c r="B161" s="1315"/>
      <c r="C161" s="1309"/>
      <c r="D161" s="40" t="s">
        <v>948</v>
      </c>
      <c r="E161" s="39" t="s">
        <v>918</v>
      </c>
      <c r="F161" s="26"/>
      <c r="G161" s="41"/>
    </row>
    <row r="162" spans="1:9" s="2" customFormat="1" ht="36" customHeight="1">
      <c r="A162" s="1302"/>
      <c r="B162" s="1315"/>
      <c r="C162" s="46" t="s">
        <v>1105</v>
      </c>
      <c r="D162" s="37" t="s">
        <v>1106</v>
      </c>
      <c r="E162" s="36" t="s">
        <v>1107</v>
      </c>
      <c r="F162" s="26"/>
      <c r="G162" s="45" t="s">
        <v>416</v>
      </c>
    </row>
    <row r="163" spans="1:9" s="2" customFormat="1" ht="36" customHeight="1">
      <c r="A163" s="1302"/>
      <c r="B163" s="1315"/>
      <c r="C163" s="42" t="s">
        <v>348</v>
      </c>
      <c r="D163" s="40" t="s">
        <v>1108</v>
      </c>
      <c r="E163" s="39" t="s">
        <v>1109</v>
      </c>
      <c r="F163" s="27"/>
      <c r="G163" s="41" t="s">
        <v>936</v>
      </c>
    </row>
    <row r="164" spans="1:9" s="2" customFormat="1" ht="36" customHeight="1">
      <c r="A164" s="1302"/>
      <c r="B164" s="1315"/>
      <c r="C164" s="1310" t="s">
        <v>330</v>
      </c>
      <c r="D164" s="40" t="s">
        <v>938</v>
      </c>
      <c r="E164" s="39" t="s">
        <v>1029</v>
      </c>
      <c r="F164" s="27" t="s">
        <v>923</v>
      </c>
      <c r="G164" s="41"/>
    </row>
    <row r="165" spans="1:9" s="2" customFormat="1" ht="36" customHeight="1">
      <c r="A165" s="1302"/>
      <c r="B165" s="1315"/>
      <c r="C165" s="1308"/>
      <c r="D165" s="40" t="s">
        <v>954</v>
      </c>
      <c r="E165" s="39" t="s">
        <v>922</v>
      </c>
      <c r="F165" s="27"/>
      <c r="G165" s="41"/>
    </row>
    <row r="166" spans="1:9" s="2" customFormat="1" ht="36" customHeight="1" thickBot="1">
      <c r="A166" s="1302"/>
      <c r="B166" s="1315"/>
      <c r="C166" s="1309"/>
      <c r="D166" s="40" t="s">
        <v>934</v>
      </c>
      <c r="E166" s="39" t="s">
        <v>900</v>
      </c>
      <c r="F166" s="27"/>
      <c r="G166" s="41"/>
    </row>
    <row r="167" spans="1:9" s="2" customFormat="1" ht="36" hidden="1" customHeight="1">
      <c r="A167" s="1302"/>
      <c r="B167" s="1315"/>
      <c r="C167" s="21"/>
      <c r="D167" s="20"/>
      <c r="E167" s="19"/>
      <c r="F167" s="22"/>
      <c r="G167" s="96"/>
    </row>
    <row r="168" spans="1:9" s="2" customFormat="1" ht="36" hidden="1" customHeight="1" thickBot="1">
      <c r="A168" s="1302"/>
      <c r="B168" s="1315"/>
      <c r="C168" s="31"/>
      <c r="D168" s="30"/>
      <c r="E168" s="29"/>
      <c r="F168" s="14"/>
      <c r="G168" s="28"/>
    </row>
    <row r="169" spans="1:9" s="2" customFormat="1" ht="36" customHeight="1" thickBot="1">
      <c r="A169" s="1303"/>
      <c r="B169" s="1316"/>
      <c r="C169" s="12"/>
      <c r="D169" s="11"/>
      <c r="E169" s="10"/>
      <c r="F169" s="10"/>
      <c r="G169" s="9"/>
    </row>
    <row r="170" spans="1:9" s="2" customFormat="1" ht="36" customHeight="1">
      <c r="A170" s="1302">
        <v>44553</v>
      </c>
      <c r="B170" s="1315" t="s">
        <v>315</v>
      </c>
      <c r="C170" s="1310" t="s">
        <v>950</v>
      </c>
      <c r="D170" s="40" t="s">
        <v>1110</v>
      </c>
      <c r="E170" s="39" t="s">
        <v>1111</v>
      </c>
      <c r="F170" s="1323" t="s">
        <v>1112</v>
      </c>
      <c r="G170" s="1311" t="s">
        <v>1113</v>
      </c>
      <c r="H170" s="2" t="s">
        <v>1114</v>
      </c>
    </row>
    <row r="171" spans="1:9" s="2" customFormat="1" ht="36" customHeight="1">
      <c r="A171" s="1302"/>
      <c r="B171" s="1315"/>
      <c r="C171" s="1308"/>
      <c r="D171" s="55" t="s">
        <v>1115</v>
      </c>
      <c r="E171" s="54" t="s">
        <v>903</v>
      </c>
      <c r="F171" s="1320"/>
      <c r="G171" s="1312"/>
      <c r="H171" s="2" t="s">
        <v>1116</v>
      </c>
    </row>
    <row r="172" spans="1:9" s="2" customFormat="1" ht="36" customHeight="1">
      <c r="A172" s="1302"/>
      <c r="B172" s="1315"/>
      <c r="C172" s="1309"/>
      <c r="D172" s="55" t="s">
        <v>1117</v>
      </c>
      <c r="E172" s="54" t="s">
        <v>1118</v>
      </c>
      <c r="F172" s="1321"/>
      <c r="G172" s="1313"/>
      <c r="I172" s="2" t="s">
        <v>244</v>
      </c>
    </row>
    <row r="173" spans="1:9" s="2" customFormat="1" ht="36" customHeight="1">
      <c r="A173" s="1302"/>
      <c r="B173" s="1315"/>
      <c r="C173" s="46" t="s">
        <v>1119</v>
      </c>
      <c r="D173" s="55" t="s">
        <v>938</v>
      </c>
      <c r="E173" s="54" t="s">
        <v>972</v>
      </c>
      <c r="F173" s="27" t="s">
        <v>293</v>
      </c>
      <c r="G173" s="25" t="s">
        <v>1120</v>
      </c>
    </row>
    <row r="174" spans="1:9" s="88" customFormat="1" ht="36" customHeight="1">
      <c r="A174" s="1302"/>
      <c r="B174" s="1315"/>
      <c r="C174" s="42" t="s">
        <v>1121</v>
      </c>
      <c r="D174" s="27" t="s">
        <v>174</v>
      </c>
      <c r="E174" s="27" t="s">
        <v>306</v>
      </c>
      <c r="F174" s="26"/>
      <c r="G174" s="25"/>
      <c r="H174" s="88" t="s">
        <v>1122</v>
      </c>
    </row>
    <row r="175" spans="1:9" s="2" customFormat="1" ht="36" customHeight="1">
      <c r="A175" s="1302"/>
      <c r="B175" s="1315"/>
      <c r="C175" s="42" t="s">
        <v>512</v>
      </c>
      <c r="D175" s="55" t="s">
        <v>31</v>
      </c>
      <c r="E175" s="54" t="s">
        <v>999</v>
      </c>
      <c r="F175" s="27" t="s">
        <v>1123</v>
      </c>
      <c r="G175" s="25"/>
    </row>
    <row r="176" spans="1:9" s="2" customFormat="1" ht="36" customHeight="1">
      <c r="A176" s="1302"/>
      <c r="B176" s="1315"/>
      <c r="C176" s="46" t="s">
        <v>916</v>
      </c>
      <c r="D176" s="55" t="s">
        <v>948</v>
      </c>
      <c r="E176" s="54" t="s">
        <v>957</v>
      </c>
      <c r="F176" s="27"/>
      <c r="G176" s="25" t="s">
        <v>1124</v>
      </c>
      <c r="H176" s="2" t="s">
        <v>1125</v>
      </c>
    </row>
    <row r="177" spans="1:9" s="2" customFormat="1" ht="36" customHeight="1" thickBot="1">
      <c r="A177" s="1302"/>
      <c r="B177" s="1315"/>
      <c r="C177" s="77" t="s">
        <v>1012</v>
      </c>
      <c r="D177" s="55" t="s">
        <v>938</v>
      </c>
      <c r="E177" s="54" t="s">
        <v>1029</v>
      </c>
      <c r="F177" s="27" t="s">
        <v>1123</v>
      </c>
      <c r="G177" s="25" t="s">
        <v>1126</v>
      </c>
      <c r="H177" s="2" t="s">
        <v>1127</v>
      </c>
    </row>
    <row r="178" spans="1:9" s="2" customFormat="1" ht="36" hidden="1" customHeight="1">
      <c r="A178" s="1302"/>
      <c r="B178" s="1315"/>
      <c r="C178" s="17"/>
      <c r="D178" s="16"/>
      <c r="E178" s="15"/>
      <c r="F178" s="22"/>
      <c r="G178" s="13"/>
    </row>
    <row r="179" spans="1:9" s="2" customFormat="1" ht="36" hidden="1" customHeight="1" thickBot="1">
      <c r="A179" s="1302"/>
      <c r="B179" s="1315"/>
      <c r="C179" s="17"/>
      <c r="D179" s="16"/>
      <c r="E179" s="15"/>
      <c r="F179" s="14"/>
      <c r="G179" s="13"/>
    </row>
    <row r="180" spans="1:9" s="2" customFormat="1" ht="36" customHeight="1" thickBot="1">
      <c r="A180" s="1303"/>
      <c r="B180" s="1316"/>
      <c r="C180" s="12" t="s">
        <v>1082</v>
      </c>
      <c r="D180" s="11" t="s">
        <v>1058</v>
      </c>
      <c r="E180" s="10"/>
      <c r="F180" s="10" t="s">
        <v>1128</v>
      </c>
      <c r="G180" s="9"/>
    </row>
    <row r="181" spans="1:9" s="2" customFormat="1" ht="36" customHeight="1">
      <c r="A181" s="1301">
        <v>44554</v>
      </c>
      <c r="B181" s="1314" t="s">
        <v>973</v>
      </c>
      <c r="C181" s="42" t="s">
        <v>348</v>
      </c>
      <c r="D181" s="27" t="s">
        <v>1129</v>
      </c>
      <c r="E181" s="27" t="s">
        <v>186</v>
      </c>
      <c r="F181" s="26"/>
      <c r="G181" s="25" t="s">
        <v>936</v>
      </c>
    </row>
    <row r="182" spans="1:9" s="2" customFormat="1" ht="36" customHeight="1">
      <c r="A182" s="1302"/>
      <c r="B182" s="1315"/>
      <c r="C182" s="1310" t="s">
        <v>1014</v>
      </c>
      <c r="D182" s="40" t="s">
        <v>1130</v>
      </c>
      <c r="E182" s="39" t="s">
        <v>1038</v>
      </c>
      <c r="F182" s="26"/>
      <c r="G182" s="25"/>
    </row>
    <row r="183" spans="1:9" s="2" customFormat="1" ht="36" customHeight="1" thickBot="1">
      <c r="A183" s="1302"/>
      <c r="B183" s="1315"/>
      <c r="C183" s="1324"/>
      <c r="D183" s="55" t="s">
        <v>1131</v>
      </c>
      <c r="E183" s="54" t="s">
        <v>1132</v>
      </c>
      <c r="F183" s="49"/>
      <c r="G183" s="25"/>
      <c r="I183" s="2" t="s">
        <v>1133</v>
      </c>
    </row>
    <row r="184" spans="1:9" s="2" customFormat="1" ht="36" customHeight="1" thickBot="1">
      <c r="A184" s="1302"/>
      <c r="B184" s="1315"/>
      <c r="C184" s="12" t="s">
        <v>1134</v>
      </c>
      <c r="D184" s="11" t="s">
        <v>198</v>
      </c>
      <c r="E184" s="10" t="s">
        <v>1135</v>
      </c>
      <c r="F184" s="10" t="s">
        <v>1136</v>
      </c>
      <c r="G184" s="9"/>
    </row>
    <row r="185" spans="1:9" s="2" customFormat="1" ht="36" customHeight="1" thickBot="1">
      <c r="A185" s="1303"/>
      <c r="B185" s="1316"/>
      <c r="C185" s="12" t="s">
        <v>1137</v>
      </c>
      <c r="D185" s="11" t="s">
        <v>198</v>
      </c>
      <c r="E185" s="10" t="s">
        <v>1138</v>
      </c>
      <c r="F185" s="10" t="s">
        <v>1139</v>
      </c>
      <c r="G185" s="9"/>
    </row>
    <row r="186" spans="1:9" s="2" customFormat="1" ht="36" customHeight="1">
      <c r="A186" s="1301">
        <v>44555</v>
      </c>
      <c r="B186" s="1314" t="s">
        <v>982</v>
      </c>
      <c r="C186" s="1307" t="s">
        <v>927</v>
      </c>
      <c r="D186" s="27" t="s">
        <v>948</v>
      </c>
      <c r="E186" s="27" t="s">
        <v>900</v>
      </c>
      <c r="F186" s="26"/>
      <c r="G186" s="1322" t="s">
        <v>912</v>
      </c>
      <c r="I186" s="2" t="s">
        <v>1140</v>
      </c>
    </row>
    <row r="187" spans="1:9" s="2" customFormat="1" ht="36" customHeight="1">
      <c r="A187" s="1302"/>
      <c r="B187" s="1315"/>
      <c r="C187" s="1309"/>
      <c r="D187" s="27" t="s">
        <v>192</v>
      </c>
      <c r="E187" s="27" t="s">
        <v>1141</v>
      </c>
      <c r="F187" s="26"/>
      <c r="G187" s="1313"/>
    </row>
    <row r="188" spans="1:9" s="2" customFormat="1" ht="36" customHeight="1">
      <c r="A188" s="1302"/>
      <c r="B188" s="1315"/>
      <c r="C188" s="21"/>
      <c r="D188" s="20"/>
      <c r="E188" s="19"/>
      <c r="F188" s="18"/>
      <c r="G188" s="13"/>
    </row>
    <row r="189" spans="1:9" s="2" customFormat="1" ht="36" customHeight="1" thickBot="1">
      <c r="A189" s="1302"/>
      <c r="B189" s="1315"/>
      <c r="C189" s="17"/>
      <c r="D189" s="16"/>
      <c r="E189" s="15"/>
      <c r="F189" s="14"/>
      <c r="G189" s="13"/>
    </row>
    <row r="190" spans="1:9" s="2" customFormat="1" ht="36" customHeight="1" thickBot="1">
      <c r="A190" s="1303"/>
      <c r="B190" s="1316"/>
      <c r="C190" s="12"/>
      <c r="D190" s="11"/>
      <c r="E190" s="10"/>
      <c r="F190" s="10"/>
      <c r="G190" s="9"/>
    </row>
    <row r="191" spans="1:9" s="2" customFormat="1" ht="60" customHeight="1" thickBot="1">
      <c r="A191" s="1298" t="s">
        <v>5</v>
      </c>
      <c r="B191" s="1299"/>
      <c r="C191" s="1299"/>
      <c r="D191" s="1299"/>
      <c r="E191" s="1299"/>
      <c r="F191" s="1299"/>
      <c r="G191" s="1300"/>
    </row>
    <row r="192" spans="1:9" s="2" customFormat="1" ht="36" customHeight="1">
      <c r="A192" s="1302">
        <v>44557</v>
      </c>
      <c r="B192" s="1315" t="s">
        <v>276</v>
      </c>
      <c r="C192" s="42" t="s">
        <v>927</v>
      </c>
      <c r="D192" s="40" t="s">
        <v>31</v>
      </c>
      <c r="E192" s="39" t="s">
        <v>999</v>
      </c>
      <c r="F192" s="26"/>
      <c r="G192" s="25" t="s">
        <v>1142</v>
      </c>
    </row>
    <row r="193" spans="1:8" s="2" customFormat="1" ht="36" customHeight="1" thickBot="1">
      <c r="A193" s="1302"/>
      <c r="B193" s="1315"/>
      <c r="C193" s="42" t="s">
        <v>685</v>
      </c>
      <c r="D193" s="40" t="s">
        <v>109</v>
      </c>
      <c r="E193" s="39" t="s">
        <v>219</v>
      </c>
      <c r="F193" s="27" t="s">
        <v>107</v>
      </c>
      <c r="G193" s="41" t="s">
        <v>106</v>
      </c>
      <c r="H193" s="2" t="s">
        <v>1143</v>
      </c>
    </row>
    <row r="194" spans="1:8" s="2" customFormat="1" ht="36" hidden="1" customHeight="1">
      <c r="A194" s="1302"/>
      <c r="B194" s="1315"/>
      <c r="C194" s="35"/>
      <c r="D194" s="34"/>
      <c r="E194" s="33"/>
      <c r="F194" s="18"/>
      <c r="G194" s="32"/>
    </row>
    <row r="195" spans="1:8" s="2" customFormat="1" ht="36" hidden="1" customHeight="1" thickBot="1">
      <c r="A195" s="1302"/>
      <c r="B195" s="1315"/>
      <c r="C195" s="31"/>
      <c r="D195" s="30"/>
      <c r="E195" s="29"/>
      <c r="F195" s="14"/>
      <c r="G195" s="28"/>
    </row>
    <row r="196" spans="1:8" s="2" customFormat="1" ht="36" customHeight="1" thickBot="1">
      <c r="A196" s="1303"/>
      <c r="B196" s="1316"/>
      <c r="C196" s="12" t="s">
        <v>940</v>
      </c>
      <c r="D196" s="11" t="s">
        <v>941</v>
      </c>
      <c r="E196" s="10" t="s">
        <v>1144</v>
      </c>
      <c r="F196" s="10" t="s">
        <v>1145</v>
      </c>
      <c r="G196" s="9"/>
    </row>
    <row r="197" spans="1:8" s="2" customFormat="1" ht="36" customHeight="1">
      <c r="A197" s="1301">
        <v>44558</v>
      </c>
      <c r="B197" s="1317" t="s">
        <v>994</v>
      </c>
      <c r="C197" s="1307" t="s">
        <v>1146</v>
      </c>
      <c r="D197" s="71" t="s">
        <v>1147</v>
      </c>
      <c r="E197" s="71" t="s">
        <v>1148</v>
      </c>
      <c r="F197" s="71"/>
      <c r="G197" s="1322" t="s">
        <v>952</v>
      </c>
    </row>
    <row r="198" spans="1:8" s="2" customFormat="1" ht="36" customHeight="1">
      <c r="A198" s="1302"/>
      <c r="B198" s="1318"/>
      <c r="C198" s="1309"/>
      <c r="D198" s="27" t="s">
        <v>1149</v>
      </c>
      <c r="E198" s="27" t="s">
        <v>1150</v>
      </c>
      <c r="F198" s="26"/>
      <c r="G198" s="1313"/>
    </row>
    <row r="199" spans="1:8" s="2" customFormat="1" ht="36" customHeight="1">
      <c r="A199" s="1302"/>
      <c r="B199" s="1318"/>
      <c r="C199" s="1326" t="s">
        <v>267</v>
      </c>
      <c r="D199" s="37" t="s">
        <v>31</v>
      </c>
      <c r="E199" s="36" t="s">
        <v>956</v>
      </c>
      <c r="F199" s="26"/>
      <c r="G199" s="69"/>
    </row>
    <row r="200" spans="1:8" s="2" customFormat="1" ht="36" customHeight="1">
      <c r="A200" s="1302"/>
      <c r="B200" s="1318"/>
      <c r="C200" s="1326"/>
      <c r="D200" s="40" t="s">
        <v>192</v>
      </c>
      <c r="E200" s="39" t="s">
        <v>508</v>
      </c>
      <c r="F200" s="26"/>
      <c r="G200" s="25"/>
    </row>
    <row r="201" spans="1:8" s="2" customFormat="1" ht="36" customHeight="1">
      <c r="A201" s="1302"/>
      <c r="B201" s="1318"/>
      <c r="C201" s="1326"/>
      <c r="D201" s="40" t="s">
        <v>948</v>
      </c>
      <c r="E201" s="39" t="s">
        <v>1151</v>
      </c>
      <c r="F201" s="26"/>
      <c r="G201" s="25"/>
    </row>
    <row r="202" spans="1:8" s="2" customFormat="1" ht="36" customHeight="1">
      <c r="A202" s="1302"/>
      <c r="B202" s="1318"/>
      <c r="C202" s="1326"/>
      <c r="D202" s="27" t="s">
        <v>1152</v>
      </c>
      <c r="E202" s="27" t="s">
        <v>1153</v>
      </c>
      <c r="F202" s="26" t="s">
        <v>1123</v>
      </c>
      <c r="G202" s="25"/>
    </row>
    <row r="203" spans="1:8" s="2" customFormat="1" ht="36" customHeight="1">
      <c r="A203" s="1302"/>
      <c r="B203" s="1318"/>
      <c r="C203" s="1326"/>
      <c r="D203" s="27" t="s">
        <v>1154</v>
      </c>
      <c r="E203" s="27" t="s">
        <v>1155</v>
      </c>
      <c r="F203" s="26" t="s">
        <v>1156</v>
      </c>
      <c r="G203" s="25"/>
    </row>
    <row r="204" spans="1:8" s="2" customFormat="1" ht="36" customHeight="1">
      <c r="A204" s="1302"/>
      <c r="B204" s="1318"/>
      <c r="C204" s="1326"/>
      <c r="D204" s="40" t="s">
        <v>1157</v>
      </c>
      <c r="E204" s="27" t="s">
        <v>1158</v>
      </c>
      <c r="F204" s="26" t="s">
        <v>1159</v>
      </c>
      <c r="G204" s="25" t="s">
        <v>1160</v>
      </c>
      <c r="H204" s="2" t="s">
        <v>1161</v>
      </c>
    </row>
    <row r="205" spans="1:8" s="2" customFormat="1" ht="36" customHeight="1">
      <c r="A205" s="1302"/>
      <c r="B205" s="1318"/>
      <c r="C205" s="1327"/>
      <c r="D205" s="40" t="s">
        <v>1162</v>
      </c>
      <c r="E205" s="27" t="s">
        <v>1163</v>
      </c>
      <c r="F205" s="26" t="s">
        <v>1164</v>
      </c>
      <c r="G205" s="25" t="s">
        <v>1160</v>
      </c>
      <c r="H205" s="2" t="s">
        <v>1165</v>
      </c>
    </row>
    <row r="206" spans="1:8" s="2" customFormat="1" ht="36" customHeight="1">
      <c r="A206" s="1302"/>
      <c r="B206" s="1318"/>
      <c r="C206" s="42" t="s">
        <v>1166</v>
      </c>
      <c r="D206" s="40" t="s">
        <v>966</v>
      </c>
      <c r="E206" s="39" t="s">
        <v>188</v>
      </c>
      <c r="F206" s="26"/>
      <c r="G206" s="25"/>
    </row>
    <row r="207" spans="1:8" s="2" customFormat="1" ht="36" customHeight="1" thickBot="1">
      <c r="A207" s="1302"/>
      <c r="B207" s="1318"/>
      <c r="C207" s="77" t="s">
        <v>1167</v>
      </c>
      <c r="D207" s="55" t="s">
        <v>1168</v>
      </c>
      <c r="E207" s="54" t="s">
        <v>1169</v>
      </c>
      <c r="F207" s="27"/>
      <c r="G207" s="25" t="s">
        <v>1170</v>
      </c>
      <c r="H207" s="2" t="s">
        <v>918</v>
      </c>
    </row>
    <row r="208" spans="1:8" s="2" customFormat="1" ht="36" hidden="1" customHeight="1" thickBot="1">
      <c r="A208" s="1302"/>
      <c r="B208" s="1318"/>
      <c r="C208" s="17"/>
      <c r="D208" s="16"/>
      <c r="E208" s="15"/>
      <c r="F208" s="14"/>
      <c r="G208" s="13"/>
    </row>
    <row r="209" spans="1:8" s="2" customFormat="1" ht="36" customHeight="1" thickBot="1">
      <c r="A209" s="1303"/>
      <c r="B209" s="1319"/>
      <c r="C209" s="12"/>
      <c r="D209" s="11"/>
      <c r="E209" s="10"/>
      <c r="F209" s="10"/>
      <c r="G209" s="9"/>
    </row>
    <row r="210" spans="1:8" s="2" customFormat="1" ht="36" customHeight="1">
      <c r="A210" s="1301">
        <v>44559</v>
      </c>
      <c r="B210" s="1314" t="s">
        <v>1171</v>
      </c>
      <c r="C210" s="42" t="s">
        <v>1007</v>
      </c>
      <c r="D210" s="27" t="s">
        <v>1008</v>
      </c>
      <c r="E210" s="27" t="s">
        <v>525</v>
      </c>
      <c r="F210" s="26"/>
      <c r="G210" s="25" t="s">
        <v>1172</v>
      </c>
    </row>
    <row r="211" spans="1:8" s="2" customFormat="1" ht="36" customHeight="1">
      <c r="A211" s="1302"/>
      <c r="B211" s="1315"/>
      <c r="C211" s="42" t="s">
        <v>1173</v>
      </c>
      <c r="D211" s="40" t="s">
        <v>1174</v>
      </c>
      <c r="E211" s="39" t="s">
        <v>1175</v>
      </c>
      <c r="F211" s="27" t="s">
        <v>1176</v>
      </c>
      <c r="G211" s="41"/>
    </row>
    <row r="212" spans="1:8" s="2" customFormat="1" ht="36" customHeight="1">
      <c r="A212" s="1302"/>
      <c r="B212" s="1315"/>
      <c r="C212" s="42" t="s">
        <v>1177</v>
      </c>
      <c r="D212" s="40" t="s">
        <v>1178</v>
      </c>
      <c r="E212" s="39" t="s">
        <v>186</v>
      </c>
      <c r="F212" s="26"/>
      <c r="G212" s="25"/>
    </row>
    <row r="213" spans="1:8" s="2" customFormat="1" ht="36" customHeight="1">
      <c r="A213" s="1302"/>
      <c r="B213" s="1315"/>
      <c r="C213" s="77" t="s">
        <v>1073</v>
      </c>
      <c r="D213" s="55" t="s">
        <v>528</v>
      </c>
      <c r="E213" s="54" t="s">
        <v>918</v>
      </c>
      <c r="F213" s="27"/>
      <c r="G213" s="25" t="s">
        <v>1179</v>
      </c>
      <c r="H213" s="2" t="s">
        <v>1180</v>
      </c>
    </row>
    <row r="214" spans="1:8" s="2" customFormat="1" ht="36" customHeight="1">
      <c r="A214" s="1302"/>
      <c r="B214" s="1315"/>
      <c r="C214" s="77" t="s">
        <v>1181</v>
      </c>
      <c r="D214" s="55" t="s">
        <v>1182</v>
      </c>
      <c r="E214" s="54" t="s">
        <v>1183</v>
      </c>
      <c r="F214" s="27"/>
      <c r="G214" s="25" t="s">
        <v>1184</v>
      </c>
      <c r="H214" s="2" t="s">
        <v>1185</v>
      </c>
    </row>
    <row r="215" spans="1:8" s="2" customFormat="1" ht="36" customHeight="1">
      <c r="A215" s="1302"/>
      <c r="B215" s="1315"/>
      <c r="C215" s="1310" t="s">
        <v>1186</v>
      </c>
      <c r="D215" s="27" t="s">
        <v>1187</v>
      </c>
      <c r="E215" s="27" t="s">
        <v>188</v>
      </c>
      <c r="F215" s="26"/>
      <c r="G215" s="1311" t="s">
        <v>1188</v>
      </c>
    </row>
    <row r="216" spans="1:8" s="2" customFormat="1" ht="36" customHeight="1">
      <c r="A216" s="1302"/>
      <c r="B216" s="1315"/>
      <c r="C216" s="1308"/>
      <c r="D216" s="27" t="s">
        <v>1189</v>
      </c>
      <c r="E216" s="27" t="s">
        <v>1190</v>
      </c>
      <c r="F216" s="26"/>
      <c r="G216" s="1312"/>
    </row>
    <row r="217" spans="1:8" s="2" customFormat="1" ht="36" customHeight="1">
      <c r="A217" s="1302"/>
      <c r="B217" s="1315"/>
      <c r="C217" s="1308"/>
      <c r="D217" s="27" t="s">
        <v>1157</v>
      </c>
      <c r="E217" s="27" t="s">
        <v>1191</v>
      </c>
      <c r="F217" s="26"/>
      <c r="G217" s="1312"/>
    </row>
    <row r="218" spans="1:8" s="2" customFormat="1" ht="36" customHeight="1">
      <c r="A218" s="1302"/>
      <c r="B218" s="1315"/>
      <c r="C218" s="1308"/>
      <c r="D218" s="27" t="s">
        <v>1192</v>
      </c>
      <c r="E218" s="27" t="s">
        <v>1193</v>
      </c>
      <c r="F218" s="26"/>
      <c r="G218" s="1312"/>
    </row>
    <row r="219" spans="1:8" s="2" customFormat="1" ht="36" customHeight="1" thickBot="1">
      <c r="A219" s="1302"/>
      <c r="B219" s="1315"/>
      <c r="C219" s="1309"/>
      <c r="D219" s="40" t="s">
        <v>733</v>
      </c>
      <c r="E219" s="39" t="s">
        <v>1194</v>
      </c>
      <c r="F219" s="26"/>
      <c r="G219" s="1313"/>
    </row>
    <row r="220" spans="1:8" s="2" customFormat="1" ht="36" hidden="1" customHeight="1">
      <c r="A220" s="1302"/>
      <c r="B220" s="1315"/>
      <c r="C220" s="21"/>
      <c r="D220" s="20"/>
      <c r="E220" s="19"/>
      <c r="F220" s="22"/>
      <c r="G220" s="96"/>
    </row>
    <row r="221" spans="1:8" s="2" customFormat="1" ht="36" hidden="1" customHeight="1" thickBot="1">
      <c r="A221" s="1302"/>
      <c r="B221" s="1315"/>
      <c r="C221" s="31"/>
      <c r="D221" s="30"/>
      <c r="E221" s="29"/>
      <c r="F221" s="14"/>
      <c r="G221" s="28"/>
    </row>
    <row r="222" spans="1:8" s="2" customFormat="1" ht="36" customHeight="1" thickBot="1">
      <c r="A222" s="1303"/>
      <c r="B222" s="1316"/>
      <c r="C222" s="12"/>
      <c r="D222" s="11"/>
      <c r="E222" s="10"/>
      <c r="F222" s="10"/>
      <c r="G222" s="9"/>
    </row>
    <row r="223" spans="1:8" s="2" customFormat="1" ht="36" customHeight="1">
      <c r="A223" s="1301">
        <v>44560</v>
      </c>
      <c r="B223" s="1317" t="s">
        <v>1195</v>
      </c>
      <c r="C223" s="1307" t="s">
        <v>1196</v>
      </c>
      <c r="D223" s="27" t="s">
        <v>1197</v>
      </c>
      <c r="E223" s="27" t="s">
        <v>1198</v>
      </c>
      <c r="F223" s="26"/>
      <c r="G223" s="25"/>
    </row>
    <row r="224" spans="1:8" s="2" customFormat="1" ht="36" customHeight="1">
      <c r="A224" s="1302"/>
      <c r="B224" s="1318"/>
      <c r="C224" s="1308"/>
      <c r="D224" s="27" t="s">
        <v>1192</v>
      </c>
      <c r="E224" s="27" t="s">
        <v>1198</v>
      </c>
      <c r="F224" s="26" t="s">
        <v>1199</v>
      </c>
      <c r="G224" s="25"/>
    </row>
    <row r="225" spans="1:8" s="2" customFormat="1" ht="36" customHeight="1">
      <c r="A225" s="1302"/>
      <c r="B225" s="1318"/>
      <c r="C225" s="1308"/>
      <c r="D225" s="40" t="s">
        <v>1200</v>
      </c>
      <c r="E225" s="39" t="s">
        <v>1198</v>
      </c>
      <c r="F225" s="26"/>
      <c r="G225" s="25"/>
    </row>
    <row r="226" spans="1:8" s="2" customFormat="1" ht="36" customHeight="1">
      <c r="A226" s="1302"/>
      <c r="B226" s="1318"/>
      <c r="C226" s="1308"/>
      <c r="D226" s="40" t="s">
        <v>1201</v>
      </c>
      <c r="E226" s="39" t="s">
        <v>1202</v>
      </c>
      <c r="F226" s="26"/>
      <c r="G226" s="25"/>
    </row>
    <row r="227" spans="1:8" s="2" customFormat="1" ht="36" customHeight="1">
      <c r="A227" s="1302"/>
      <c r="B227" s="1318"/>
      <c r="C227" s="1309"/>
      <c r="D227" s="40" t="s">
        <v>163</v>
      </c>
      <c r="E227" s="39" t="s">
        <v>1198</v>
      </c>
      <c r="F227" s="26"/>
      <c r="G227" s="25"/>
    </row>
    <row r="228" spans="1:8" s="2" customFormat="1" ht="36" customHeight="1">
      <c r="A228" s="1302"/>
      <c r="B228" s="1318"/>
      <c r="C228" s="1310" t="s">
        <v>1064</v>
      </c>
      <c r="D228" s="40" t="s">
        <v>1203</v>
      </c>
      <c r="E228" s="39" t="s">
        <v>1204</v>
      </c>
      <c r="F228" s="27"/>
      <c r="G228" s="41"/>
    </row>
    <row r="229" spans="1:8" s="2" customFormat="1" ht="36" customHeight="1">
      <c r="A229" s="1302"/>
      <c r="B229" s="1318"/>
      <c r="C229" s="1309"/>
      <c r="D229" s="37" t="s">
        <v>1152</v>
      </c>
      <c r="E229" s="36" t="s">
        <v>1205</v>
      </c>
      <c r="F229" s="26"/>
      <c r="G229" s="45"/>
    </row>
    <row r="230" spans="1:8" s="2" customFormat="1" ht="36" customHeight="1">
      <c r="A230" s="1302"/>
      <c r="B230" s="1318"/>
      <c r="C230" s="46" t="s">
        <v>1206</v>
      </c>
      <c r="D230" s="37" t="s">
        <v>1207</v>
      </c>
      <c r="E230" s="36" t="s">
        <v>1208</v>
      </c>
      <c r="F230" s="26"/>
      <c r="G230" s="45"/>
      <c r="H230" s="2" t="s">
        <v>1209</v>
      </c>
    </row>
    <row r="231" spans="1:8" s="2" customFormat="1" ht="36" customHeight="1">
      <c r="A231" s="1302"/>
      <c r="B231" s="1318"/>
      <c r="C231" s="1310" t="s">
        <v>1210</v>
      </c>
      <c r="D231" s="40" t="s">
        <v>1211</v>
      </c>
      <c r="E231" s="39" t="s">
        <v>1212</v>
      </c>
      <c r="F231" s="27"/>
      <c r="G231" s="1311" t="s">
        <v>1213</v>
      </c>
    </row>
    <row r="232" spans="1:8" s="2" customFormat="1" ht="36" customHeight="1">
      <c r="A232" s="1302"/>
      <c r="B232" s="1318"/>
      <c r="C232" s="1309"/>
      <c r="D232" s="37" t="s">
        <v>1214</v>
      </c>
      <c r="E232" s="36" t="s">
        <v>905</v>
      </c>
      <c r="F232" s="26"/>
      <c r="G232" s="1313"/>
    </row>
    <row r="233" spans="1:8" s="2" customFormat="1" ht="36" customHeight="1">
      <c r="A233" s="1302"/>
      <c r="B233" s="1318"/>
      <c r="C233" s="1310" t="s">
        <v>927</v>
      </c>
      <c r="D233" s="40" t="s">
        <v>1215</v>
      </c>
      <c r="E233" s="39" t="s">
        <v>1216</v>
      </c>
      <c r="F233" s="27"/>
      <c r="G233" s="41"/>
      <c r="H233" s="2" t="s">
        <v>1217</v>
      </c>
    </row>
    <row r="234" spans="1:8" s="2" customFormat="1" ht="36" customHeight="1">
      <c r="A234" s="1302"/>
      <c r="B234" s="1318"/>
      <c r="C234" s="1309"/>
      <c r="D234" s="37" t="s">
        <v>733</v>
      </c>
      <c r="E234" s="36" t="s">
        <v>1153</v>
      </c>
      <c r="F234" s="26"/>
      <c r="G234" s="45"/>
    </row>
    <row r="235" spans="1:8" s="2" customFormat="1" ht="36" customHeight="1">
      <c r="A235" s="1302"/>
      <c r="B235" s="1318"/>
      <c r="C235" s="46" t="s">
        <v>1218</v>
      </c>
      <c r="D235" s="37" t="s">
        <v>733</v>
      </c>
      <c r="E235" s="36" t="s">
        <v>922</v>
      </c>
      <c r="F235" s="26" t="s">
        <v>298</v>
      </c>
      <c r="G235" s="45" t="s">
        <v>106</v>
      </c>
      <c r="H235" s="2" t="s">
        <v>1219</v>
      </c>
    </row>
    <row r="236" spans="1:8" s="2" customFormat="1" ht="36" customHeight="1">
      <c r="A236" s="1302"/>
      <c r="B236" s="1318"/>
      <c r="C236" s="42" t="s">
        <v>176</v>
      </c>
      <c r="D236" s="40" t="s">
        <v>109</v>
      </c>
      <c r="E236" s="39" t="s">
        <v>1204</v>
      </c>
      <c r="F236" s="27" t="s">
        <v>298</v>
      </c>
      <c r="G236" s="41" t="s">
        <v>936</v>
      </c>
    </row>
    <row r="237" spans="1:8" s="2" customFormat="1" ht="36" customHeight="1" thickBot="1">
      <c r="A237" s="1302"/>
      <c r="B237" s="1318"/>
      <c r="C237" s="46" t="s">
        <v>1220</v>
      </c>
      <c r="D237" s="26" t="s">
        <v>938</v>
      </c>
      <c r="E237" s="26" t="s">
        <v>1155</v>
      </c>
      <c r="F237" s="26" t="s">
        <v>1221</v>
      </c>
      <c r="G237" s="69" t="s">
        <v>1222</v>
      </c>
    </row>
    <row r="238" spans="1:8" s="2" customFormat="1" ht="36" customHeight="1" thickBot="1">
      <c r="A238" s="1302"/>
      <c r="B238" s="1318"/>
      <c r="C238" s="12" t="s">
        <v>1223</v>
      </c>
      <c r="D238" s="11" t="s">
        <v>1224</v>
      </c>
      <c r="E238" s="10" t="s">
        <v>1031</v>
      </c>
      <c r="F238" s="10" t="s">
        <v>1225</v>
      </c>
      <c r="G238" s="9"/>
    </row>
    <row r="239" spans="1:8" s="2" customFormat="1" ht="36" customHeight="1" thickBot="1">
      <c r="A239" s="1303"/>
      <c r="B239" s="1319"/>
      <c r="C239" s="12" t="s">
        <v>1226</v>
      </c>
      <c r="D239" s="11" t="s">
        <v>941</v>
      </c>
      <c r="E239" s="10" t="s">
        <v>1227</v>
      </c>
      <c r="F239" s="10" t="s">
        <v>1228</v>
      </c>
      <c r="G239" s="9"/>
    </row>
    <row r="240" spans="1:8" s="2" customFormat="1" ht="36" customHeight="1">
      <c r="A240" s="1301">
        <v>44561</v>
      </c>
      <c r="B240" s="1314" t="s">
        <v>1229</v>
      </c>
      <c r="C240" s="21"/>
      <c r="D240" s="22"/>
      <c r="E240" s="22"/>
      <c r="F240" s="18"/>
      <c r="G240" s="13"/>
    </row>
    <row r="241" spans="1:7" s="2" customFormat="1" ht="36" customHeight="1" thickBot="1">
      <c r="A241" s="1302"/>
      <c r="B241" s="1315"/>
      <c r="C241" s="21"/>
      <c r="D241" s="22"/>
      <c r="E241" s="22"/>
      <c r="F241" s="18"/>
      <c r="G241" s="13"/>
    </row>
    <row r="242" spans="1:7" s="2" customFormat="1" ht="36" hidden="1" customHeight="1">
      <c r="A242" s="1302"/>
      <c r="B242" s="1315"/>
      <c r="C242" s="21"/>
      <c r="D242" s="20"/>
      <c r="E242" s="19"/>
      <c r="F242" s="18"/>
      <c r="G242" s="13"/>
    </row>
    <row r="243" spans="1:7" s="2" customFormat="1" ht="36" hidden="1" customHeight="1" thickBot="1">
      <c r="A243" s="1302"/>
      <c r="B243" s="1315"/>
      <c r="C243" s="17"/>
      <c r="D243" s="16"/>
      <c r="E243" s="15"/>
      <c r="F243" s="14"/>
      <c r="G243" s="13"/>
    </row>
    <row r="244" spans="1:7" s="2" customFormat="1" ht="36" customHeight="1" thickBot="1">
      <c r="A244" s="1303"/>
      <c r="B244" s="1316"/>
      <c r="C244" s="12"/>
      <c r="D244" s="11"/>
      <c r="E244" s="10"/>
      <c r="F244" s="10"/>
      <c r="G244" s="9"/>
    </row>
  </sheetData>
  <mergeCells count="121">
    <mergeCell ref="A240:A244"/>
    <mergeCell ref="B240:B244"/>
    <mergeCell ref="A223:A239"/>
    <mergeCell ref="B223:B239"/>
    <mergeCell ref="C223:C227"/>
    <mergeCell ref="C228:C229"/>
    <mergeCell ref="C231:C232"/>
    <mergeCell ref="G231:G232"/>
    <mergeCell ref="C233:C234"/>
    <mergeCell ref="A197:A209"/>
    <mergeCell ref="B197:B209"/>
    <mergeCell ref="C197:C198"/>
    <mergeCell ref="G197:G198"/>
    <mergeCell ref="C199:C205"/>
    <mergeCell ref="A210:A222"/>
    <mergeCell ref="B210:B222"/>
    <mergeCell ref="C215:C219"/>
    <mergeCell ref="G215:G219"/>
    <mergeCell ref="A186:A190"/>
    <mergeCell ref="B186:B190"/>
    <mergeCell ref="C186:C187"/>
    <mergeCell ref="G186:G187"/>
    <mergeCell ref="A191:G191"/>
    <mergeCell ref="A192:A196"/>
    <mergeCell ref="B192:B196"/>
    <mergeCell ref="A170:A180"/>
    <mergeCell ref="B170:B180"/>
    <mergeCell ref="C170:C172"/>
    <mergeCell ref="F170:F172"/>
    <mergeCell ref="G170:G172"/>
    <mergeCell ref="A181:A185"/>
    <mergeCell ref="B181:B185"/>
    <mergeCell ref="C182:C183"/>
    <mergeCell ref="A149:A156"/>
    <mergeCell ref="B149:B156"/>
    <mergeCell ref="C149:C150"/>
    <mergeCell ref="C151:C152"/>
    <mergeCell ref="A157:A169"/>
    <mergeCell ref="B157:B169"/>
    <mergeCell ref="C159:C161"/>
    <mergeCell ref="C164:C166"/>
    <mergeCell ref="G135:G138"/>
    <mergeCell ref="A142:G142"/>
    <mergeCell ref="A143:A148"/>
    <mergeCell ref="B143:B148"/>
    <mergeCell ref="C144:C145"/>
    <mergeCell ref="G144:G145"/>
    <mergeCell ref="C146:C147"/>
    <mergeCell ref="G146:G147"/>
    <mergeCell ref="A125:A133"/>
    <mergeCell ref="B125:B133"/>
    <mergeCell ref="C126:C127"/>
    <mergeCell ref="A134:A141"/>
    <mergeCell ref="B134:B141"/>
    <mergeCell ref="C135:C138"/>
    <mergeCell ref="A111:A124"/>
    <mergeCell ref="B111:B124"/>
    <mergeCell ref="C111:C113"/>
    <mergeCell ref="C114:C116"/>
    <mergeCell ref="C120:C121"/>
    <mergeCell ref="G120:G121"/>
    <mergeCell ref="A98:G98"/>
    <mergeCell ref="A99:A104"/>
    <mergeCell ref="B99:B104"/>
    <mergeCell ref="C100:C101"/>
    <mergeCell ref="A105:A110"/>
    <mergeCell ref="B105:B110"/>
    <mergeCell ref="C107:C109"/>
    <mergeCell ref="G107:G109"/>
    <mergeCell ref="G83:G84"/>
    <mergeCell ref="A86:A97"/>
    <mergeCell ref="B86:B97"/>
    <mergeCell ref="C87:C88"/>
    <mergeCell ref="C89:C90"/>
    <mergeCell ref="G89:G90"/>
    <mergeCell ref="C91:C95"/>
    <mergeCell ref="G91:G95"/>
    <mergeCell ref="A67:A76"/>
    <mergeCell ref="B67:B76"/>
    <mergeCell ref="G70:G71"/>
    <mergeCell ref="C72:C73"/>
    <mergeCell ref="G72:G73"/>
    <mergeCell ref="A77:A85"/>
    <mergeCell ref="B77:B85"/>
    <mergeCell ref="C80:C84"/>
    <mergeCell ref="F80:F81"/>
    <mergeCell ref="G80:G81"/>
    <mergeCell ref="A50:G50"/>
    <mergeCell ref="A51:A58"/>
    <mergeCell ref="B51:B58"/>
    <mergeCell ref="C51:C54"/>
    <mergeCell ref="A59:A66"/>
    <mergeCell ref="B59:B66"/>
    <mergeCell ref="C59:C62"/>
    <mergeCell ref="F59:F61"/>
    <mergeCell ref="A39:A44"/>
    <mergeCell ref="B39:B44"/>
    <mergeCell ref="A45:A49"/>
    <mergeCell ref="B45:B49"/>
    <mergeCell ref="C45:C46"/>
    <mergeCell ref="G45:G46"/>
    <mergeCell ref="A23:A38"/>
    <mergeCell ref="B23:B38"/>
    <mergeCell ref="C23:C24"/>
    <mergeCell ref="C25:C26"/>
    <mergeCell ref="G25:G26"/>
    <mergeCell ref="C27:C31"/>
    <mergeCell ref="G27:G29"/>
    <mergeCell ref="C33:C35"/>
    <mergeCell ref="G33:G35"/>
    <mergeCell ref="A1:G1"/>
    <mergeCell ref="A2:A22"/>
    <mergeCell ref="B2:B22"/>
    <mergeCell ref="C2:C4"/>
    <mergeCell ref="C6:C10"/>
    <mergeCell ref="C11:C13"/>
    <mergeCell ref="G11:G13"/>
    <mergeCell ref="C17:C18"/>
    <mergeCell ref="G17:G18"/>
    <mergeCell ref="C19:C21"/>
    <mergeCell ref="G19:G21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9"/>
  <sheetViews>
    <sheetView topLeftCell="A133" zoomScale="70" zoomScaleNormal="70" zoomScaleSheetLayoutView="70" workbookViewId="0">
      <selection activeCell="C156" sqref="C156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" customWidth="1"/>
    <col min="9" max="16384" width="9" style="1"/>
  </cols>
  <sheetData>
    <row r="1" spans="1:8" s="2" customFormat="1" ht="60" customHeight="1" thickBot="1">
      <c r="A1" s="1298" t="s">
        <v>5</v>
      </c>
      <c r="B1" s="1299"/>
      <c r="C1" s="1299"/>
      <c r="D1" s="1299"/>
      <c r="E1" s="1299"/>
      <c r="F1" s="1299"/>
      <c r="G1" s="1300"/>
    </row>
    <row r="2" spans="1:8" s="2" customFormat="1" ht="30" customHeight="1">
      <c r="A2" s="1301">
        <v>44199</v>
      </c>
      <c r="B2" s="1314" t="s">
        <v>4</v>
      </c>
      <c r="C2" s="42" t="s">
        <v>61</v>
      </c>
      <c r="D2" s="27" t="s">
        <v>8</v>
      </c>
      <c r="E2" s="27" t="s">
        <v>356</v>
      </c>
      <c r="F2" s="26"/>
      <c r="G2" s="25"/>
    </row>
    <row r="3" spans="1:8" s="2" customFormat="1" ht="30" customHeight="1">
      <c r="A3" s="1302"/>
      <c r="B3" s="1315"/>
      <c r="C3" s="42" t="s">
        <v>355</v>
      </c>
      <c r="D3" s="27" t="s">
        <v>80</v>
      </c>
      <c r="E3" s="27" t="s">
        <v>30</v>
      </c>
      <c r="F3" s="26" t="s">
        <v>157</v>
      </c>
      <c r="G3" s="25" t="s">
        <v>323</v>
      </c>
    </row>
    <row r="4" spans="1:8" s="2" customFormat="1" ht="30" customHeight="1">
      <c r="A4" s="1302"/>
      <c r="B4" s="1315"/>
      <c r="C4" s="42" t="s">
        <v>354</v>
      </c>
      <c r="D4" s="40" t="s">
        <v>353</v>
      </c>
      <c r="E4" s="39" t="s">
        <v>352</v>
      </c>
      <c r="F4" s="26" t="s">
        <v>351</v>
      </c>
      <c r="G4" s="25" t="s">
        <v>350</v>
      </c>
      <c r="H4" s="2" t="s">
        <v>349</v>
      </c>
    </row>
    <row r="5" spans="1:8" s="2" customFormat="1" ht="30" customHeight="1">
      <c r="A5" s="1302"/>
      <c r="B5" s="1315"/>
      <c r="C5" s="42" t="s">
        <v>348</v>
      </c>
      <c r="D5" s="40" t="s">
        <v>28</v>
      </c>
      <c r="E5" s="39" t="s">
        <v>186</v>
      </c>
      <c r="F5" s="27"/>
      <c r="G5" s="41" t="s">
        <v>18</v>
      </c>
    </row>
    <row r="6" spans="1:8" s="2" customFormat="1" ht="30" customHeight="1">
      <c r="A6" s="1302"/>
      <c r="B6" s="1315"/>
      <c r="C6" s="46" t="s">
        <v>143</v>
      </c>
      <c r="D6" s="37" t="s">
        <v>109</v>
      </c>
      <c r="E6" s="36" t="s">
        <v>347</v>
      </c>
      <c r="F6" s="26" t="s">
        <v>107</v>
      </c>
      <c r="G6" s="45" t="s">
        <v>106</v>
      </c>
      <c r="H6" s="2" t="s">
        <v>346</v>
      </c>
    </row>
    <row r="7" spans="1:8" s="2" customFormat="1" ht="30" customHeight="1" thickBot="1">
      <c r="A7" s="1302"/>
      <c r="B7" s="1315"/>
      <c r="C7" s="31"/>
      <c r="D7" s="30"/>
      <c r="E7" s="29"/>
      <c r="F7" s="14"/>
      <c r="G7" s="28"/>
    </row>
    <row r="8" spans="1:8" s="2" customFormat="1" ht="30" customHeight="1" thickBot="1">
      <c r="A8" s="1303"/>
      <c r="B8" s="1316"/>
      <c r="C8" s="12"/>
      <c r="D8" s="11"/>
      <c r="E8" s="10"/>
      <c r="F8" s="10"/>
      <c r="G8" s="9"/>
    </row>
    <row r="9" spans="1:8" ht="30" customHeight="1">
      <c r="A9" s="1301">
        <v>44200</v>
      </c>
      <c r="B9" s="1314" t="s">
        <v>3</v>
      </c>
      <c r="C9" s="42" t="s">
        <v>11</v>
      </c>
      <c r="D9" s="27" t="s">
        <v>8</v>
      </c>
      <c r="E9" s="27" t="s">
        <v>345</v>
      </c>
      <c r="F9" s="26"/>
      <c r="G9" s="25"/>
    </row>
    <row r="10" spans="1:8" ht="30" customHeight="1">
      <c r="A10" s="1302"/>
      <c r="B10" s="1315"/>
      <c r="C10" s="1310" t="s">
        <v>70</v>
      </c>
      <c r="D10" s="37" t="s">
        <v>335</v>
      </c>
      <c r="E10" s="36" t="s">
        <v>344</v>
      </c>
      <c r="F10" s="26"/>
      <c r="G10" s="1311" t="s">
        <v>39</v>
      </c>
    </row>
    <row r="11" spans="1:8" ht="30" customHeight="1">
      <c r="A11" s="1302"/>
      <c r="B11" s="1315"/>
      <c r="C11" s="1309"/>
      <c r="D11" s="37" t="s">
        <v>343</v>
      </c>
      <c r="E11" s="36" t="s">
        <v>244</v>
      </c>
      <c r="F11" s="26"/>
      <c r="G11" s="1313"/>
    </row>
    <row r="12" spans="1:8" ht="30" customHeight="1">
      <c r="A12" s="1302"/>
      <c r="B12" s="1315"/>
      <c r="C12" s="77" t="s">
        <v>227</v>
      </c>
      <c r="D12" s="27" t="s">
        <v>84</v>
      </c>
      <c r="E12" s="27" t="s">
        <v>97</v>
      </c>
      <c r="F12" s="26"/>
      <c r="G12" s="25" t="s">
        <v>18</v>
      </c>
    </row>
    <row r="13" spans="1:8" ht="30" customHeight="1">
      <c r="A13" s="1302"/>
      <c r="B13" s="1315"/>
      <c r="C13" s="42" t="s">
        <v>342</v>
      </c>
      <c r="D13" s="40" t="s">
        <v>31</v>
      </c>
      <c r="E13" s="39" t="s">
        <v>341</v>
      </c>
      <c r="F13" s="27" t="s">
        <v>157</v>
      </c>
      <c r="G13" s="41" t="s">
        <v>216</v>
      </c>
    </row>
    <row r="14" spans="1:8" ht="30" customHeight="1" thickBot="1">
      <c r="A14" s="1302"/>
      <c r="B14" s="1315"/>
      <c r="C14" s="46" t="s">
        <v>340</v>
      </c>
      <c r="D14" s="37" t="s">
        <v>292</v>
      </c>
      <c r="E14" s="36" t="s">
        <v>41</v>
      </c>
      <c r="F14" s="26"/>
      <c r="G14" s="45" t="s">
        <v>18</v>
      </c>
    </row>
    <row r="15" spans="1:8" ht="30" hidden="1" customHeight="1" thickBot="1">
      <c r="A15" s="1302"/>
      <c r="B15" s="1315"/>
      <c r="C15" s="31"/>
      <c r="D15" s="30"/>
      <c r="E15" s="29"/>
      <c r="F15" s="14"/>
      <c r="G15" s="28"/>
    </row>
    <row r="16" spans="1:8" ht="30" customHeight="1" thickBot="1">
      <c r="A16" s="1303"/>
      <c r="B16" s="1316"/>
      <c r="C16" s="12"/>
      <c r="D16" s="11"/>
      <c r="E16" s="10"/>
      <c r="F16" s="10"/>
      <c r="G16" s="9"/>
    </row>
    <row r="17" spans="1:8" ht="30" customHeight="1">
      <c r="A17" s="1301">
        <v>44201</v>
      </c>
      <c r="B17" s="1314" t="s">
        <v>2</v>
      </c>
      <c r="C17" s="42" t="s">
        <v>61</v>
      </c>
      <c r="D17" s="27" t="s">
        <v>8</v>
      </c>
      <c r="E17" s="27" t="s">
        <v>339</v>
      </c>
      <c r="F17" s="26"/>
      <c r="G17" s="25"/>
    </row>
    <row r="18" spans="1:8" ht="30" customHeight="1">
      <c r="A18" s="1302"/>
      <c r="B18" s="1315"/>
      <c r="C18" s="1310" t="s">
        <v>338</v>
      </c>
      <c r="D18" s="27" t="s">
        <v>69</v>
      </c>
      <c r="E18" s="27" t="s">
        <v>337</v>
      </c>
      <c r="F18" s="26"/>
      <c r="G18" s="1311" t="s">
        <v>336</v>
      </c>
    </row>
    <row r="19" spans="1:8" ht="30" customHeight="1">
      <c r="A19" s="1302"/>
      <c r="B19" s="1315"/>
      <c r="C19" s="1308"/>
      <c r="D19" s="27" t="s">
        <v>335</v>
      </c>
      <c r="E19" s="27" t="s">
        <v>334</v>
      </c>
      <c r="F19" s="26"/>
      <c r="G19" s="1312"/>
    </row>
    <row r="20" spans="1:8" ht="30" customHeight="1">
      <c r="A20" s="1302"/>
      <c r="B20" s="1315"/>
      <c r="C20" s="1308"/>
      <c r="D20" s="27" t="s">
        <v>333</v>
      </c>
      <c r="E20" s="27" t="s">
        <v>147</v>
      </c>
      <c r="F20" s="26"/>
      <c r="G20" s="1312"/>
    </row>
    <row r="21" spans="1:8" ht="30" customHeight="1">
      <c r="A21" s="1302"/>
      <c r="B21" s="1315"/>
      <c r="C21" s="1308"/>
      <c r="D21" s="27" t="s">
        <v>332</v>
      </c>
      <c r="E21" s="27" t="s">
        <v>97</v>
      </c>
      <c r="F21" s="26"/>
      <c r="G21" s="1312"/>
    </row>
    <row r="22" spans="1:8" ht="30" customHeight="1">
      <c r="A22" s="1302"/>
      <c r="B22" s="1315"/>
      <c r="C22" s="1309"/>
      <c r="D22" s="40" t="s">
        <v>80</v>
      </c>
      <c r="E22" s="39" t="s">
        <v>331</v>
      </c>
      <c r="F22" s="26" t="s">
        <v>157</v>
      </c>
      <c r="G22" s="1313"/>
    </row>
    <row r="23" spans="1:8" ht="30" customHeight="1">
      <c r="A23" s="1302"/>
      <c r="B23" s="1315"/>
      <c r="C23" s="1310" t="s">
        <v>330</v>
      </c>
      <c r="D23" s="40" t="s">
        <v>96</v>
      </c>
      <c r="E23" s="39" t="s">
        <v>329</v>
      </c>
      <c r="F23" s="1323" t="s">
        <v>328</v>
      </c>
      <c r="G23" s="1311" t="s">
        <v>18</v>
      </c>
    </row>
    <row r="24" spans="1:8" ht="30" customHeight="1">
      <c r="A24" s="1302"/>
      <c r="B24" s="1315"/>
      <c r="C24" s="1308"/>
      <c r="D24" s="37" t="s">
        <v>101</v>
      </c>
      <c r="E24" s="36" t="s">
        <v>175</v>
      </c>
      <c r="F24" s="1320"/>
      <c r="G24" s="1312"/>
    </row>
    <row r="25" spans="1:8" ht="30" customHeight="1">
      <c r="A25" s="1302"/>
      <c r="B25" s="1315"/>
      <c r="C25" s="1309"/>
      <c r="D25" s="37" t="s">
        <v>327</v>
      </c>
      <c r="E25" s="36" t="s">
        <v>326</v>
      </c>
      <c r="F25" s="1321"/>
      <c r="G25" s="1313"/>
    </row>
    <row r="26" spans="1:8" ht="30" customHeight="1">
      <c r="A26" s="1302"/>
      <c r="B26" s="1315"/>
      <c r="C26" s="1310" t="s">
        <v>325</v>
      </c>
      <c r="D26" s="40" t="s">
        <v>84</v>
      </c>
      <c r="E26" s="39" t="s">
        <v>324</v>
      </c>
      <c r="F26" s="86"/>
      <c r="G26" s="1311" t="s">
        <v>323</v>
      </c>
    </row>
    <row r="27" spans="1:8" ht="30" customHeight="1">
      <c r="A27" s="1302"/>
      <c r="B27" s="1315"/>
      <c r="C27" s="1308"/>
      <c r="D27" s="37" t="s">
        <v>254</v>
      </c>
      <c r="E27" s="36" t="s">
        <v>322</v>
      </c>
      <c r="F27" s="86"/>
      <c r="G27" s="1312"/>
    </row>
    <row r="28" spans="1:8" ht="30" customHeight="1">
      <c r="A28" s="1302"/>
      <c r="B28" s="1315"/>
      <c r="C28" s="1309"/>
      <c r="D28" s="37" t="s">
        <v>73</v>
      </c>
      <c r="E28" s="36" t="s">
        <v>24</v>
      </c>
      <c r="F28" s="85"/>
      <c r="G28" s="1313"/>
    </row>
    <row r="29" spans="1:8" ht="30" customHeight="1">
      <c r="A29" s="1302"/>
      <c r="B29" s="1315"/>
      <c r="C29" s="52" t="s">
        <v>321</v>
      </c>
      <c r="D29" s="44" t="s">
        <v>109</v>
      </c>
      <c r="E29" s="43" t="s">
        <v>320</v>
      </c>
      <c r="F29" s="26" t="s">
        <v>319</v>
      </c>
      <c r="G29" s="69" t="s">
        <v>286</v>
      </c>
      <c r="H29" s="2" t="s">
        <v>318</v>
      </c>
    </row>
    <row r="30" spans="1:8" ht="30" customHeight="1" thickBot="1">
      <c r="A30" s="1302"/>
      <c r="B30" s="1315"/>
      <c r="C30" s="42" t="s">
        <v>308</v>
      </c>
      <c r="D30" s="40" t="s">
        <v>307</v>
      </c>
      <c r="E30" s="39" t="s">
        <v>317</v>
      </c>
      <c r="F30" s="26"/>
      <c r="G30" s="41" t="s">
        <v>155</v>
      </c>
      <c r="H30" s="2" t="s">
        <v>316</v>
      </c>
    </row>
    <row r="31" spans="1:8" ht="30" customHeight="1" thickBot="1">
      <c r="A31" s="1303"/>
      <c r="B31" s="1316"/>
      <c r="C31" s="12"/>
      <c r="D31" s="11"/>
      <c r="E31" s="10"/>
      <c r="F31" s="10"/>
      <c r="G31" s="9"/>
    </row>
    <row r="32" spans="1:8" ht="30" customHeight="1">
      <c r="A32" s="1301">
        <v>44567</v>
      </c>
      <c r="B32" s="1314" t="s">
        <v>315</v>
      </c>
      <c r="C32" s="1307" t="s">
        <v>61</v>
      </c>
      <c r="D32" s="27" t="s">
        <v>151</v>
      </c>
      <c r="E32" s="27" t="s">
        <v>41</v>
      </c>
      <c r="F32" s="26"/>
      <c r="G32" s="25"/>
    </row>
    <row r="33" spans="1:8" ht="30" customHeight="1">
      <c r="A33" s="1302"/>
      <c r="B33" s="1315"/>
      <c r="C33" s="1309"/>
      <c r="D33" s="27" t="s">
        <v>8</v>
      </c>
      <c r="E33" s="27" t="s">
        <v>314</v>
      </c>
      <c r="F33" s="26"/>
      <c r="G33" s="25"/>
    </row>
    <row r="34" spans="1:8" ht="30" customHeight="1">
      <c r="A34" s="1302"/>
      <c r="B34" s="1315"/>
      <c r="C34" s="46" t="s">
        <v>313</v>
      </c>
      <c r="D34" s="37" t="s">
        <v>272</v>
      </c>
      <c r="E34" s="36" t="s">
        <v>312</v>
      </c>
      <c r="F34" s="26"/>
      <c r="G34" s="45"/>
    </row>
    <row r="35" spans="1:8" ht="30" customHeight="1">
      <c r="A35" s="1302"/>
      <c r="B35" s="1315"/>
      <c r="C35" s="1310" t="s">
        <v>36</v>
      </c>
      <c r="D35" s="40" t="s">
        <v>192</v>
      </c>
      <c r="E35" s="39" t="s">
        <v>311</v>
      </c>
      <c r="F35" s="27" t="s">
        <v>310</v>
      </c>
      <c r="G35" s="41"/>
    </row>
    <row r="36" spans="1:8" ht="30" customHeight="1">
      <c r="A36" s="1302"/>
      <c r="B36" s="1315"/>
      <c r="C36" s="1309"/>
      <c r="D36" s="40" t="s">
        <v>31</v>
      </c>
      <c r="E36" s="39" t="s">
        <v>309</v>
      </c>
      <c r="F36" s="27"/>
      <c r="G36" s="41" t="s">
        <v>34</v>
      </c>
    </row>
    <row r="37" spans="1:8" ht="30" customHeight="1">
      <c r="A37" s="1302"/>
      <c r="B37" s="1315"/>
      <c r="C37" s="42" t="s">
        <v>308</v>
      </c>
      <c r="D37" s="40" t="s">
        <v>307</v>
      </c>
      <c r="E37" s="39" t="s">
        <v>306</v>
      </c>
      <c r="F37" s="27"/>
      <c r="G37" s="41" t="s">
        <v>81</v>
      </c>
    </row>
    <row r="38" spans="1:8" ht="30" customHeight="1">
      <c r="A38" s="1302"/>
      <c r="B38" s="1315"/>
      <c r="C38" s="42" t="s">
        <v>52</v>
      </c>
      <c r="D38" s="40" t="s">
        <v>305</v>
      </c>
      <c r="E38" s="39" t="s">
        <v>97</v>
      </c>
      <c r="F38" s="27" t="s">
        <v>304</v>
      </c>
      <c r="G38" s="41" t="s">
        <v>18</v>
      </c>
    </row>
    <row r="39" spans="1:8" ht="30" customHeight="1">
      <c r="A39" s="1302"/>
      <c r="B39" s="1315"/>
      <c r="C39" s="1310" t="s">
        <v>303</v>
      </c>
      <c r="D39" s="40" t="s">
        <v>302</v>
      </c>
      <c r="E39" s="39" t="s">
        <v>194</v>
      </c>
      <c r="F39" s="27"/>
      <c r="G39" s="41"/>
    </row>
    <row r="40" spans="1:8" ht="30" customHeight="1">
      <c r="A40" s="1302"/>
      <c r="B40" s="1315"/>
      <c r="C40" s="1309"/>
      <c r="D40" s="40" t="s">
        <v>301</v>
      </c>
      <c r="E40" s="39" t="s">
        <v>65</v>
      </c>
      <c r="F40" s="27"/>
      <c r="G40" s="41"/>
    </row>
    <row r="41" spans="1:8" ht="30" customHeight="1" thickBot="1">
      <c r="A41" s="1302"/>
      <c r="B41" s="1315"/>
      <c r="C41" s="50" t="s">
        <v>300</v>
      </c>
      <c r="D41" s="44" t="s">
        <v>109</v>
      </c>
      <c r="E41" s="43" t="s">
        <v>299</v>
      </c>
      <c r="F41" s="84" t="s">
        <v>298</v>
      </c>
      <c r="G41" s="48" t="s">
        <v>297</v>
      </c>
    </row>
    <row r="42" spans="1:8" ht="30" customHeight="1" thickBot="1">
      <c r="A42" s="1303"/>
      <c r="B42" s="1316"/>
      <c r="C42" s="12"/>
      <c r="D42" s="11"/>
      <c r="E42" s="10"/>
      <c r="F42" s="10"/>
      <c r="G42" s="9"/>
    </row>
    <row r="43" spans="1:8" ht="30" customHeight="1">
      <c r="A43" s="1301">
        <v>44203</v>
      </c>
      <c r="B43" s="1314" t="s">
        <v>0</v>
      </c>
      <c r="C43" s="1307" t="s">
        <v>296</v>
      </c>
      <c r="D43" s="27" t="s">
        <v>109</v>
      </c>
      <c r="E43" s="27" t="s">
        <v>123</v>
      </c>
      <c r="F43" s="26"/>
      <c r="G43" s="1322" t="s">
        <v>81</v>
      </c>
    </row>
    <row r="44" spans="1:8" ht="30" customHeight="1">
      <c r="A44" s="1302"/>
      <c r="B44" s="1315"/>
      <c r="C44" s="1309"/>
      <c r="D44" s="27" t="s">
        <v>295</v>
      </c>
      <c r="E44" s="27" t="s">
        <v>65</v>
      </c>
      <c r="F44" s="26" t="s">
        <v>157</v>
      </c>
      <c r="G44" s="1313"/>
    </row>
    <row r="45" spans="1:8" ht="30" customHeight="1">
      <c r="A45" s="1302"/>
      <c r="B45" s="1315"/>
      <c r="C45" s="1310" t="s">
        <v>294</v>
      </c>
      <c r="D45" s="55" t="s">
        <v>80</v>
      </c>
      <c r="E45" s="54" t="s">
        <v>65</v>
      </c>
      <c r="F45" s="51" t="s">
        <v>293</v>
      </c>
      <c r="G45" s="1311" t="s">
        <v>153</v>
      </c>
    </row>
    <row r="46" spans="1:8" ht="30" customHeight="1">
      <c r="A46" s="1302"/>
      <c r="B46" s="1315"/>
      <c r="C46" s="1309"/>
      <c r="D46" s="27" t="s">
        <v>292</v>
      </c>
      <c r="E46" s="27" t="s">
        <v>291</v>
      </c>
      <c r="F46" s="27"/>
      <c r="G46" s="1313"/>
    </row>
    <row r="47" spans="1:8" ht="30" customHeight="1">
      <c r="A47" s="1302"/>
      <c r="B47" s="1315"/>
      <c r="C47" s="42" t="s">
        <v>290</v>
      </c>
      <c r="D47" s="27" t="s">
        <v>289</v>
      </c>
      <c r="E47" s="27" t="s">
        <v>288</v>
      </c>
      <c r="F47" s="27" t="s">
        <v>287</v>
      </c>
      <c r="G47" s="41" t="s">
        <v>286</v>
      </c>
      <c r="H47" s="2" t="s">
        <v>285</v>
      </c>
    </row>
    <row r="48" spans="1:8" ht="30" customHeight="1">
      <c r="A48" s="1302"/>
      <c r="B48" s="1315"/>
      <c r="C48" s="42" t="s">
        <v>284</v>
      </c>
      <c r="D48" s="27" t="s">
        <v>73</v>
      </c>
      <c r="E48" s="27" t="s">
        <v>103</v>
      </c>
      <c r="F48" s="27" t="s">
        <v>283</v>
      </c>
      <c r="G48" s="41" t="s">
        <v>282</v>
      </c>
    </row>
    <row r="49" spans="1:7" ht="30" customHeight="1" thickBot="1">
      <c r="A49" s="1302"/>
      <c r="B49" s="1315"/>
      <c r="C49" s="46" t="s">
        <v>281</v>
      </c>
      <c r="D49" s="40" t="s">
        <v>80</v>
      </c>
      <c r="E49" s="26" t="s">
        <v>19</v>
      </c>
      <c r="F49" s="26" t="s">
        <v>280</v>
      </c>
      <c r="G49" s="45" t="s">
        <v>279</v>
      </c>
    </row>
    <row r="50" spans="1:7" ht="30" hidden="1" customHeight="1">
      <c r="A50" s="1302"/>
      <c r="B50" s="1315"/>
      <c r="C50" s="64"/>
      <c r="D50" s="62"/>
      <c r="E50" s="62"/>
      <c r="F50" s="62"/>
      <c r="G50" s="61"/>
    </row>
    <row r="51" spans="1:7" ht="30" hidden="1" customHeight="1" thickBot="1">
      <c r="A51" s="1302"/>
      <c r="B51" s="1315"/>
      <c r="C51" s="60"/>
      <c r="D51" s="83"/>
      <c r="E51" s="83"/>
      <c r="F51" s="83"/>
      <c r="G51" s="57"/>
    </row>
    <row r="52" spans="1:7" ht="30" customHeight="1" thickBot="1">
      <c r="A52" s="1303"/>
      <c r="B52" s="1316"/>
      <c r="C52" s="12"/>
      <c r="D52" s="11"/>
      <c r="E52" s="10"/>
      <c r="F52" s="10"/>
      <c r="G52" s="9"/>
    </row>
    <row r="53" spans="1:7" ht="36" customHeight="1">
      <c r="A53" s="1301">
        <v>44569</v>
      </c>
      <c r="B53" s="1314" t="s">
        <v>278</v>
      </c>
      <c r="C53" s="1307" t="s">
        <v>52</v>
      </c>
      <c r="D53" s="27" t="s">
        <v>277</v>
      </c>
      <c r="E53" s="27" t="s">
        <v>95</v>
      </c>
      <c r="F53" s="26"/>
      <c r="G53" s="1322" t="s">
        <v>159</v>
      </c>
    </row>
    <row r="54" spans="1:7" ht="36" customHeight="1" thickBot="1">
      <c r="A54" s="1302"/>
      <c r="B54" s="1315"/>
      <c r="C54" s="1309"/>
      <c r="D54" s="27" t="s">
        <v>231</v>
      </c>
      <c r="E54" s="27" t="s">
        <v>97</v>
      </c>
      <c r="F54" s="26"/>
      <c r="G54" s="1313"/>
    </row>
    <row r="55" spans="1:7" ht="36" hidden="1" customHeight="1">
      <c r="A55" s="1302"/>
      <c r="B55" s="1315"/>
      <c r="C55" s="21"/>
      <c r="D55" s="20"/>
      <c r="E55" s="19"/>
      <c r="F55" s="18"/>
      <c r="G55" s="13"/>
    </row>
    <row r="56" spans="1:7" ht="36" hidden="1" customHeight="1" thickBot="1">
      <c r="A56" s="1302"/>
      <c r="B56" s="1315"/>
      <c r="C56" s="17"/>
      <c r="D56" s="16"/>
      <c r="E56" s="15"/>
      <c r="F56" s="14"/>
      <c r="G56" s="13"/>
    </row>
    <row r="57" spans="1:7" ht="36" customHeight="1" thickBot="1">
      <c r="A57" s="1303"/>
      <c r="B57" s="1316"/>
      <c r="C57" s="12"/>
      <c r="D57" s="11"/>
      <c r="E57" s="10"/>
      <c r="F57" s="10"/>
      <c r="G57" s="9"/>
    </row>
    <row r="58" spans="1:7" ht="60" customHeight="1" thickBot="1">
      <c r="A58" s="1298" t="s">
        <v>5</v>
      </c>
      <c r="B58" s="1299"/>
      <c r="C58" s="1299"/>
      <c r="D58" s="1299"/>
      <c r="E58" s="1299"/>
      <c r="F58" s="1299"/>
      <c r="G58" s="1300"/>
    </row>
    <row r="59" spans="1:7" ht="36" customHeight="1">
      <c r="A59" s="1301">
        <v>44571</v>
      </c>
      <c r="B59" s="1314" t="s">
        <v>276</v>
      </c>
      <c r="C59" s="1307" t="s">
        <v>145</v>
      </c>
      <c r="D59" s="27" t="s">
        <v>109</v>
      </c>
      <c r="E59" s="27" t="s">
        <v>275</v>
      </c>
      <c r="F59" s="26"/>
      <c r="G59" s="25"/>
    </row>
    <row r="60" spans="1:7" ht="36" customHeight="1">
      <c r="A60" s="1302"/>
      <c r="B60" s="1315"/>
      <c r="C60" s="1309"/>
      <c r="D60" s="27" t="s">
        <v>192</v>
      </c>
      <c r="E60" s="27" t="s">
        <v>274</v>
      </c>
      <c r="F60" s="26"/>
      <c r="G60" s="25"/>
    </row>
    <row r="61" spans="1:7" ht="36" customHeight="1">
      <c r="A61" s="1302"/>
      <c r="B61" s="1315"/>
      <c r="C61" s="1310" t="s">
        <v>273</v>
      </c>
      <c r="D61" s="40" t="s">
        <v>272</v>
      </c>
      <c r="E61" s="39" t="s">
        <v>271</v>
      </c>
      <c r="F61" s="26"/>
      <c r="G61" s="25"/>
    </row>
    <row r="62" spans="1:7" ht="36" customHeight="1">
      <c r="A62" s="1302"/>
      <c r="B62" s="1315"/>
      <c r="C62" s="1308"/>
      <c r="D62" s="40" t="s">
        <v>270</v>
      </c>
      <c r="E62" s="39" t="s">
        <v>221</v>
      </c>
      <c r="F62" s="27"/>
      <c r="G62" s="41"/>
    </row>
    <row r="63" spans="1:7" ht="36" customHeight="1">
      <c r="A63" s="1302"/>
      <c r="B63" s="1315"/>
      <c r="C63" s="1309"/>
      <c r="D63" s="44" t="s">
        <v>269</v>
      </c>
      <c r="E63" s="43" t="s">
        <v>268</v>
      </c>
      <c r="F63" s="49"/>
      <c r="G63" s="69"/>
    </row>
    <row r="64" spans="1:7" ht="30" customHeight="1">
      <c r="A64" s="1302"/>
      <c r="B64" s="1315"/>
      <c r="C64" s="1310" t="s">
        <v>267</v>
      </c>
      <c r="D64" s="40" t="s">
        <v>266</v>
      </c>
      <c r="E64" s="39" t="s">
        <v>245</v>
      </c>
      <c r="F64" s="1323" t="s">
        <v>58</v>
      </c>
      <c r="G64" s="1311" t="s">
        <v>265</v>
      </c>
    </row>
    <row r="65" spans="1:8" ht="30" customHeight="1">
      <c r="A65" s="1302"/>
      <c r="B65" s="1315"/>
      <c r="C65" s="1308"/>
      <c r="D65" s="40" t="s">
        <v>264</v>
      </c>
      <c r="E65" s="39" t="s">
        <v>263</v>
      </c>
      <c r="F65" s="1320"/>
      <c r="G65" s="1312"/>
    </row>
    <row r="66" spans="1:8" ht="30" customHeight="1">
      <c r="A66" s="1302"/>
      <c r="B66" s="1315"/>
      <c r="C66" s="1308"/>
      <c r="D66" s="44" t="s">
        <v>262</v>
      </c>
      <c r="E66" s="43" t="s">
        <v>261</v>
      </c>
      <c r="F66" s="1320"/>
      <c r="G66" s="1312"/>
    </row>
    <row r="67" spans="1:8" ht="30" customHeight="1">
      <c r="A67" s="1302"/>
      <c r="B67" s="1315"/>
      <c r="C67" s="1328" t="s">
        <v>227</v>
      </c>
      <c r="D67" s="40" t="s">
        <v>28</v>
      </c>
      <c r="E67" s="39" t="s">
        <v>103</v>
      </c>
      <c r="F67" s="27"/>
      <c r="G67" s="1311" t="s">
        <v>153</v>
      </c>
    </row>
    <row r="68" spans="1:8" ht="30" customHeight="1" thickBot="1">
      <c r="A68" s="1302"/>
      <c r="B68" s="1315"/>
      <c r="C68" s="1329"/>
      <c r="D68" s="75" t="s">
        <v>218</v>
      </c>
      <c r="E68" s="74" t="s">
        <v>260</v>
      </c>
      <c r="F68" s="73"/>
      <c r="G68" s="1325"/>
    </row>
    <row r="69" spans="1:8" ht="36" customHeight="1" thickBot="1">
      <c r="A69" s="1303"/>
      <c r="B69" s="1316"/>
      <c r="C69" s="81" t="s">
        <v>259</v>
      </c>
      <c r="D69" s="80" t="s">
        <v>258</v>
      </c>
      <c r="E69" s="79"/>
      <c r="F69" s="79" t="s">
        <v>257</v>
      </c>
      <c r="G69" s="78" t="s">
        <v>256</v>
      </c>
    </row>
    <row r="70" spans="1:8" ht="36" customHeight="1">
      <c r="A70" s="1301">
        <v>44572</v>
      </c>
      <c r="B70" s="1317" t="s">
        <v>88</v>
      </c>
      <c r="C70" s="1308" t="s">
        <v>255</v>
      </c>
      <c r="D70" s="26" t="s">
        <v>254</v>
      </c>
      <c r="E70" s="26" t="s">
        <v>186</v>
      </c>
      <c r="F70" s="26"/>
      <c r="G70" s="69"/>
    </row>
    <row r="71" spans="1:8" ht="36" customHeight="1">
      <c r="A71" s="1302"/>
      <c r="B71" s="1318"/>
      <c r="C71" s="1309"/>
      <c r="D71" s="27" t="s">
        <v>253</v>
      </c>
      <c r="E71" s="27" t="s">
        <v>37</v>
      </c>
      <c r="F71" s="26"/>
      <c r="G71" s="25"/>
    </row>
    <row r="72" spans="1:8" ht="30" customHeight="1">
      <c r="A72" s="1302"/>
      <c r="B72" s="1318"/>
      <c r="C72" s="1310" t="s">
        <v>252</v>
      </c>
      <c r="D72" s="55" t="s">
        <v>242</v>
      </c>
      <c r="E72" s="54" t="s">
        <v>251</v>
      </c>
      <c r="F72" s="27"/>
      <c r="G72" s="25"/>
    </row>
    <row r="73" spans="1:8" ht="30" customHeight="1">
      <c r="A73" s="1302"/>
      <c r="B73" s="1318"/>
      <c r="C73" s="1309"/>
      <c r="D73" s="55" t="s">
        <v>73</v>
      </c>
      <c r="E73" s="54" t="s">
        <v>95</v>
      </c>
      <c r="F73" s="26"/>
      <c r="G73" s="25"/>
    </row>
    <row r="74" spans="1:8" ht="36" customHeight="1">
      <c r="A74" s="1302"/>
      <c r="B74" s="1318"/>
      <c r="C74" s="1310" t="s">
        <v>250</v>
      </c>
      <c r="D74" s="27" t="s">
        <v>249</v>
      </c>
      <c r="E74" s="27" t="s">
        <v>24</v>
      </c>
      <c r="F74" s="26"/>
      <c r="G74" s="25"/>
    </row>
    <row r="75" spans="1:8" ht="36" customHeight="1">
      <c r="A75" s="1302"/>
      <c r="B75" s="1318"/>
      <c r="C75" s="1309"/>
      <c r="D75" s="27" t="s">
        <v>120</v>
      </c>
      <c r="E75" s="27" t="s">
        <v>30</v>
      </c>
      <c r="F75" s="26"/>
      <c r="G75" s="25"/>
    </row>
    <row r="76" spans="1:8" ht="36" customHeight="1" thickBot="1">
      <c r="A76" s="1302"/>
      <c r="B76" s="1318"/>
      <c r="C76" s="42" t="s">
        <v>145</v>
      </c>
      <c r="D76" s="40" t="s">
        <v>20</v>
      </c>
      <c r="E76" s="39" t="s">
        <v>123</v>
      </c>
      <c r="F76" s="26"/>
      <c r="G76" s="25" t="s">
        <v>34</v>
      </c>
      <c r="H76" s="2" t="s">
        <v>248</v>
      </c>
    </row>
    <row r="77" spans="1:8" ht="36" customHeight="1" thickBot="1">
      <c r="A77" s="1303"/>
      <c r="B77" s="1319"/>
      <c r="C77" s="12"/>
      <c r="D77" s="11"/>
      <c r="E77" s="10"/>
      <c r="F77" s="10"/>
      <c r="G77" s="9"/>
    </row>
    <row r="78" spans="1:8" ht="36" customHeight="1">
      <c r="A78" s="1301">
        <v>44573</v>
      </c>
      <c r="B78" s="1314" t="s">
        <v>247</v>
      </c>
      <c r="C78" s="1307" t="s">
        <v>70</v>
      </c>
      <c r="D78" s="27" t="s">
        <v>246</v>
      </c>
      <c r="E78" s="27" t="s">
        <v>67</v>
      </c>
      <c r="F78" s="26"/>
      <c r="G78" s="25"/>
    </row>
    <row r="79" spans="1:8" ht="36" customHeight="1">
      <c r="A79" s="1302"/>
      <c r="B79" s="1315"/>
      <c r="C79" s="1308"/>
      <c r="D79" s="27" t="s">
        <v>174</v>
      </c>
      <c r="E79" s="27" t="s">
        <v>245</v>
      </c>
      <c r="F79" s="26"/>
      <c r="G79" s="25"/>
    </row>
    <row r="80" spans="1:8" ht="36" customHeight="1">
      <c r="A80" s="1302"/>
      <c r="B80" s="1315"/>
      <c r="C80" s="1308"/>
      <c r="D80" s="27" t="s">
        <v>189</v>
      </c>
      <c r="E80" s="27" t="s">
        <v>244</v>
      </c>
      <c r="F80" s="26"/>
      <c r="G80" s="25"/>
    </row>
    <row r="81" spans="1:8" ht="36" customHeight="1">
      <c r="A81" s="1302"/>
      <c r="B81" s="1315"/>
      <c r="C81" s="1308"/>
      <c r="D81" s="27" t="s">
        <v>243</v>
      </c>
      <c r="E81" s="27" t="s">
        <v>103</v>
      </c>
      <c r="F81" s="26"/>
      <c r="G81" s="25"/>
    </row>
    <row r="82" spans="1:8" ht="36" customHeight="1">
      <c r="A82" s="1302"/>
      <c r="B82" s="1315"/>
      <c r="C82" s="1308"/>
      <c r="D82" s="27" t="s">
        <v>242</v>
      </c>
      <c r="E82" s="27" t="s">
        <v>162</v>
      </c>
      <c r="F82" s="26"/>
      <c r="G82" s="25"/>
    </row>
    <row r="83" spans="1:8" ht="36" customHeight="1">
      <c r="A83" s="1302"/>
      <c r="B83" s="1315"/>
      <c r="C83" s="1309"/>
      <c r="D83" s="27" t="s">
        <v>189</v>
      </c>
      <c r="E83" s="27" t="s">
        <v>95</v>
      </c>
      <c r="F83" s="26" t="s">
        <v>241</v>
      </c>
      <c r="G83" s="25"/>
    </row>
    <row r="84" spans="1:8" ht="36" customHeight="1">
      <c r="A84" s="1302"/>
      <c r="B84" s="1315"/>
      <c r="C84" s="1310" t="s">
        <v>240</v>
      </c>
      <c r="D84" s="27" t="s">
        <v>183</v>
      </c>
      <c r="E84" s="27" t="s">
        <v>97</v>
      </c>
      <c r="F84" s="26" t="s">
        <v>239</v>
      </c>
      <c r="G84" s="25"/>
    </row>
    <row r="85" spans="1:8" ht="36" customHeight="1">
      <c r="A85" s="1302"/>
      <c r="B85" s="1315"/>
      <c r="C85" s="1309"/>
      <c r="D85" s="27" t="s">
        <v>238</v>
      </c>
      <c r="E85" s="27" t="s">
        <v>97</v>
      </c>
      <c r="F85" s="26" t="s">
        <v>237</v>
      </c>
      <c r="G85" s="25"/>
    </row>
    <row r="86" spans="1:8" ht="36" customHeight="1">
      <c r="A86" s="1302"/>
      <c r="B86" s="1315"/>
      <c r="C86" s="1310" t="s">
        <v>236</v>
      </c>
      <c r="D86" s="40" t="s">
        <v>20</v>
      </c>
      <c r="E86" s="39" t="s">
        <v>79</v>
      </c>
      <c r="F86" s="27"/>
      <c r="G86" s="1311"/>
    </row>
    <row r="87" spans="1:8" ht="36" customHeight="1">
      <c r="A87" s="1302"/>
      <c r="B87" s="1315"/>
      <c r="C87" s="1309"/>
      <c r="D87" s="40" t="s">
        <v>192</v>
      </c>
      <c r="E87" s="39" t="s">
        <v>235</v>
      </c>
      <c r="F87" s="26"/>
      <c r="G87" s="1313"/>
    </row>
    <row r="88" spans="1:8" ht="36" customHeight="1">
      <c r="A88" s="1302"/>
      <c r="B88" s="1315"/>
      <c r="C88" s="1310" t="s">
        <v>234</v>
      </c>
      <c r="D88" s="26" t="s">
        <v>73</v>
      </c>
      <c r="E88" s="26" t="s">
        <v>72</v>
      </c>
      <c r="F88" s="1323" t="s">
        <v>233</v>
      </c>
      <c r="G88" s="1311" t="s">
        <v>29</v>
      </c>
      <c r="H88" s="2" t="s">
        <v>232</v>
      </c>
    </row>
    <row r="89" spans="1:8" ht="36" customHeight="1">
      <c r="A89" s="1302"/>
      <c r="B89" s="1315"/>
      <c r="C89" s="1309"/>
      <c r="D89" s="40" t="s">
        <v>231</v>
      </c>
      <c r="E89" s="39" t="s">
        <v>9</v>
      </c>
      <c r="F89" s="1321"/>
      <c r="G89" s="1313"/>
    </row>
    <row r="90" spans="1:8" ht="36" hidden="1" customHeight="1">
      <c r="A90" s="1302"/>
      <c r="B90" s="1315"/>
      <c r="C90" s="77"/>
      <c r="D90" s="55"/>
      <c r="E90" s="54"/>
      <c r="F90" s="49"/>
      <c r="G90" s="25"/>
    </row>
    <row r="91" spans="1:8" ht="30" customHeight="1">
      <c r="A91" s="1302"/>
      <c r="B91" s="1315"/>
      <c r="C91" s="46" t="s">
        <v>230</v>
      </c>
      <c r="D91" s="27" t="s">
        <v>28</v>
      </c>
      <c r="E91" s="27" t="s">
        <v>135</v>
      </c>
      <c r="F91" s="27"/>
      <c r="G91" s="41" t="s">
        <v>229</v>
      </c>
      <c r="H91" s="2" t="s">
        <v>228</v>
      </c>
    </row>
    <row r="92" spans="1:8" ht="36" customHeight="1">
      <c r="A92" s="1302"/>
      <c r="B92" s="1315"/>
      <c r="C92" s="77" t="s">
        <v>227</v>
      </c>
      <c r="D92" s="55" t="s">
        <v>17</v>
      </c>
      <c r="E92" s="54" t="s">
        <v>140</v>
      </c>
      <c r="F92" s="49"/>
      <c r="G92" s="25" t="s">
        <v>226</v>
      </c>
      <c r="H92" s="2" t="s">
        <v>225</v>
      </c>
    </row>
    <row r="93" spans="1:8" ht="36" customHeight="1" thickBot="1">
      <c r="A93" s="1302"/>
      <c r="B93" s="1315"/>
      <c r="C93" s="76" t="s">
        <v>110</v>
      </c>
      <c r="D93" s="75" t="s">
        <v>109</v>
      </c>
      <c r="E93" s="74" t="s">
        <v>113</v>
      </c>
      <c r="F93" s="73" t="s">
        <v>107</v>
      </c>
      <c r="G93" s="72" t="s">
        <v>106</v>
      </c>
      <c r="H93" s="2" t="s">
        <v>224</v>
      </c>
    </row>
    <row r="94" spans="1:8" ht="36" customHeight="1" thickBot="1">
      <c r="A94" s="1303"/>
      <c r="B94" s="1316"/>
      <c r="C94" s="12"/>
      <c r="D94" s="11"/>
      <c r="E94" s="10"/>
      <c r="F94" s="10"/>
      <c r="G94" s="9"/>
    </row>
    <row r="95" spans="1:8" ht="36" customHeight="1">
      <c r="A95" s="1301">
        <v>44574</v>
      </c>
      <c r="B95" s="1314" t="s">
        <v>1</v>
      </c>
      <c r="C95" s="1307" t="s">
        <v>11</v>
      </c>
      <c r="D95" s="71" t="s">
        <v>86</v>
      </c>
      <c r="E95" s="71" t="s">
        <v>223</v>
      </c>
      <c r="F95" s="71"/>
      <c r="G95" s="70"/>
    </row>
    <row r="96" spans="1:8" ht="36" customHeight="1">
      <c r="A96" s="1302"/>
      <c r="B96" s="1315"/>
      <c r="C96" s="1309"/>
      <c r="D96" s="27" t="s">
        <v>222</v>
      </c>
      <c r="E96" s="27" t="s">
        <v>186</v>
      </c>
      <c r="F96" s="26"/>
      <c r="G96" s="41"/>
    </row>
    <row r="97" spans="1:8" ht="36" customHeight="1">
      <c r="A97" s="1302"/>
      <c r="B97" s="1315"/>
      <c r="C97" s="1310" t="s">
        <v>21</v>
      </c>
      <c r="D97" s="26" t="s">
        <v>78</v>
      </c>
      <c r="E97" s="26" t="s">
        <v>221</v>
      </c>
      <c r="F97" s="26"/>
      <c r="G97" s="69"/>
    </row>
    <row r="98" spans="1:8" ht="36" customHeight="1">
      <c r="A98" s="1302"/>
      <c r="B98" s="1315"/>
      <c r="C98" s="1308"/>
      <c r="D98" s="26" t="s">
        <v>31</v>
      </c>
      <c r="E98" s="26" t="s">
        <v>77</v>
      </c>
      <c r="F98" s="26"/>
      <c r="G98" s="41"/>
    </row>
    <row r="99" spans="1:8" ht="36" customHeight="1">
      <c r="A99" s="1302"/>
      <c r="B99" s="1315"/>
      <c r="C99" s="1308"/>
      <c r="D99" s="26" t="s">
        <v>220</v>
      </c>
      <c r="E99" s="26" t="s">
        <v>219</v>
      </c>
      <c r="F99" s="26"/>
      <c r="G99" s="41"/>
    </row>
    <row r="100" spans="1:8" ht="36" customHeight="1">
      <c r="A100" s="1302"/>
      <c r="B100" s="1315"/>
      <c r="C100" s="1308"/>
      <c r="D100" s="26" t="s">
        <v>28</v>
      </c>
      <c r="E100" s="26" t="s">
        <v>97</v>
      </c>
      <c r="F100" s="26"/>
      <c r="G100" s="41"/>
    </row>
    <row r="101" spans="1:8" ht="36" customHeight="1">
      <c r="A101" s="1302"/>
      <c r="B101" s="1315"/>
      <c r="C101" s="1309"/>
      <c r="D101" s="26" t="s">
        <v>218</v>
      </c>
      <c r="E101" s="26" t="s">
        <v>140</v>
      </c>
      <c r="F101" s="26"/>
      <c r="G101" s="41"/>
      <c r="H101" s="2" t="s">
        <v>217</v>
      </c>
    </row>
    <row r="102" spans="1:8" ht="36" customHeight="1">
      <c r="A102" s="1302"/>
      <c r="B102" s="1315"/>
      <c r="C102" s="42" t="s">
        <v>143</v>
      </c>
      <c r="D102" s="26" t="s">
        <v>31</v>
      </c>
      <c r="E102" s="26" t="s">
        <v>140</v>
      </c>
      <c r="F102" s="26" t="s">
        <v>107</v>
      </c>
      <c r="G102" s="41" t="s">
        <v>216</v>
      </c>
      <c r="H102" s="2" t="s">
        <v>215</v>
      </c>
    </row>
    <row r="103" spans="1:8" ht="36" customHeight="1" thickBot="1">
      <c r="A103" s="1302"/>
      <c r="B103" s="1315"/>
      <c r="C103" s="42" t="s">
        <v>36</v>
      </c>
      <c r="D103" s="26" t="s">
        <v>28</v>
      </c>
      <c r="E103" s="26" t="s">
        <v>35</v>
      </c>
      <c r="F103" s="26"/>
      <c r="G103" s="41" t="s">
        <v>39</v>
      </c>
      <c r="H103" s="2" t="s">
        <v>214</v>
      </c>
    </row>
    <row r="104" spans="1:8" ht="36" hidden="1" customHeight="1">
      <c r="A104" s="1302"/>
      <c r="B104" s="1315"/>
      <c r="C104" s="35"/>
      <c r="D104" s="18"/>
      <c r="E104" s="18"/>
      <c r="F104" s="18"/>
      <c r="G104" s="28"/>
    </row>
    <row r="105" spans="1:8" ht="36" hidden="1" customHeight="1">
      <c r="A105" s="1302"/>
      <c r="B105" s="1315"/>
      <c r="C105" s="23"/>
      <c r="D105" s="22"/>
      <c r="E105" s="22"/>
      <c r="F105" s="18"/>
      <c r="G105" s="13"/>
    </row>
    <row r="106" spans="1:8" ht="36" hidden="1" customHeight="1">
      <c r="A106" s="1302"/>
      <c r="B106" s="1315"/>
      <c r="C106" s="21"/>
      <c r="D106" s="20"/>
      <c r="E106" s="19"/>
      <c r="F106" s="18"/>
      <c r="G106" s="13"/>
    </row>
    <row r="107" spans="1:8" ht="36" hidden="1" customHeight="1" thickBot="1">
      <c r="A107" s="1302"/>
      <c r="B107" s="1315"/>
      <c r="C107" s="17"/>
      <c r="D107" s="16"/>
      <c r="E107" s="15"/>
      <c r="F107" s="14"/>
      <c r="G107" s="13"/>
    </row>
    <row r="108" spans="1:8" ht="36" customHeight="1" thickBot="1">
      <c r="A108" s="1303"/>
      <c r="B108" s="1316"/>
      <c r="C108" s="12" t="s">
        <v>94</v>
      </c>
      <c r="D108" s="11" t="s">
        <v>14</v>
      </c>
      <c r="E108" s="10" t="s">
        <v>213</v>
      </c>
      <c r="F108" s="10" t="s">
        <v>212</v>
      </c>
      <c r="G108" s="9"/>
    </row>
    <row r="109" spans="1:8" ht="36" customHeight="1">
      <c r="A109" s="1301">
        <v>44575</v>
      </c>
      <c r="B109" s="1314" t="s">
        <v>211</v>
      </c>
      <c r="C109" s="42" t="s">
        <v>11</v>
      </c>
      <c r="D109" s="27" t="s">
        <v>86</v>
      </c>
      <c r="E109" s="27" t="s">
        <v>210</v>
      </c>
      <c r="F109" s="26"/>
      <c r="G109" s="25"/>
    </row>
    <row r="110" spans="1:8" ht="36" customHeight="1" thickBot="1">
      <c r="A110" s="1302"/>
      <c r="B110" s="1315"/>
      <c r="C110" s="42" t="s">
        <v>209</v>
      </c>
      <c r="D110" s="27" t="s">
        <v>208</v>
      </c>
      <c r="E110" s="27" t="s">
        <v>207</v>
      </c>
      <c r="F110" s="26"/>
      <c r="G110" s="25" t="s">
        <v>39</v>
      </c>
    </row>
    <row r="111" spans="1:8" ht="36" customHeight="1" thickBot="1">
      <c r="A111" s="1302"/>
      <c r="B111" s="1315"/>
      <c r="C111" s="12" t="s">
        <v>206</v>
      </c>
      <c r="D111" s="11" t="s">
        <v>202</v>
      </c>
      <c r="E111" s="10" t="s">
        <v>205</v>
      </c>
      <c r="F111" s="10" t="s">
        <v>204</v>
      </c>
      <c r="G111" s="9"/>
    </row>
    <row r="112" spans="1:8" ht="36" customHeight="1" thickBot="1">
      <c r="A112" s="1302"/>
      <c r="B112" s="1315"/>
      <c r="C112" s="12" t="s">
        <v>203</v>
      </c>
      <c r="D112" s="11" t="s">
        <v>202</v>
      </c>
      <c r="E112" s="10" t="s">
        <v>201</v>
      </c>
      <c r="F112" s="10" t="s">
        <v>200</v>
      </c>
      <c r="G112" s="9"/>
    </row>
    <row r="113" spans="1:7" ht="36" customHeight="1" thickBot="1">
      <c r="A113" s="1302"/>
      <c r="B113" s="1315"/>
      <c r="C113" s="12" t="s">
        <v>199</v>
      </c>
      <c r="D113" s="11" t="s">
        <v>198</v>
      </c>
      <c r="E113" s="10" t="s">
        <v>197</v>
      </c>
      <c r="F113" s="10" t="s">
        <v>196</v>
      </c>
      <c r="G113" s="9"/>
    </row>
    <row r="114" spans="1:7" ht="60" customHeight="1" thickBot="1">
      <c r="A114" s="1298" t="s">
        <v>5</v>
      </c>
      <c r="B114" s="1299"/>
      <c r="C114" s="1299"/>
      <c r="D114" s="1299"/>
      <c r="E114" s="1299"/>
      <c r="F114" s="1299"/>
      <c r="G114" s="1300"/>
    </row>
    <row r="115" spans="1:7" ht="36" customHeight="1">
      <c r="A115" s="1301">
        <v>44578</v>
      </c>
      <c r="B115" s="1314" t="s">
        <v>4</v>
      </c>
      <c r="C115" s="1307" t="s">
        <v>36</v>
      </c>
      <c r="D115" s="27" t="s">
        <v>31</v>
      </c>
      <c r="E115" s="27" t="s">
        <v>195</v>
      </c>
      <c r="F115" s="26"/>
      <c r="G115" s="25"/>
    </row>
    <row r="116" spans="1:7" ht="36" customHeight="1">
      <c r="A116" s="1302"/>
      <c r="B116" s="1315"/>
      <c r="C116" s="1308"/>
      <c r="D116" s="27" t="s">
        <v>20</v>
      </c>
      <c r="E116" s="27" t="s">
        <v>194</v>
      </c>
      <c r="F116" s="26"/>
      <c r="G116" s="25"/>
    </row>
    <row r="117" spans="1:7" ht="36" customHeight="1">
      <c r="A117" s="1302"/>
      <c r="B117" s="1315"/>
      <c r="C117" s="1308"/>
      <c r="D117" s="27" t="s">
        <v>193</v>
      </c>
      <c r="E117" s="27" t="s">
        <v>79</v>
      </c>
      <c r="F117" s="26"/>
      <c r="G117" s="25"/>
    </row>
    <row r="118" spans="1:7" ht="36" customHeight="1">
      <c r="A118" s="1302"/>
      <c r="B118" s="1315"/>
      <c r="C118" s="1308"/>
      <c r="D118" s="27" t="s">
        <v>192</v>
      </c>
      <c r="E118" s="27" t="s">
        <v>191</v>
      </c>
      <c r="F118" s="26"/>
      <c r="G118" s="25"/>
    </row>
    <row r="119" spans="1:7" ht="36" customHeight="1">
      <c r="A119" s="1302"/>
      <c r="B119" s="1315"/>
      <c r="C119" s="1308"/>
      <c r="D119" s="27" t="s">
        <v>28</v>
      </c>
      <c r="E119" s="27" t="s">
        <v>190</v>
      </c>
      <c r="F119" s="26"/>
      <c r="G119" s="25"/>
    </row>
    <row r="120" spans="1:7" ht="36" customHeight="1">
      <c r="A120" s="1302"/>
      <c r="B120" s="1315"/>
      <c r="C120" s="1308"/>
      <c r="D120" s="27" t="s">
        <v>189</v>
      </c>
      <c r="E120" s="27" t="s">
        <v>188</v>
      </c>
      <c r="F120" s="26"/>
      <c r="G120" s="25"/>
    </row>
    <row r="121" spans="1:7" ht="36" customHeight="1">
      <c r="A121" s="1302"/>
      <c r="B121" s="1315"/>
      <c r="C121" s="1309"/>
      <c r="D121" s="27" t="s">
        <v>187</v>
      </c>
      <c r="E121" s="27" t="s">
        <v>186</v>
      </c>
      <c r="F121" s="26" t="s">
        <v>185</v>
      </c>
      <c r="G121" s="25"/>
    </row>
    <row r="122" spans="1:7" ht="36" customHeight="1">
      <c r="A122" s="1302"/>
      <c r="B122" s="1315"/>
      <c r="C122" s="42" t="s">
        <v>184</v>
      </c>
      <c r="D122" s="40" t="s">
        <v>183</v>
      </c>
      <c r="E122" s="39" t="s">
        <v>83</v>
      </c>
      <c r="F122" s="26" t="s">
        <v>182</v>
      </c>
      <c r="G122" s="25" t="s">
        <v>18</v>
      </c>
    </row>
    <row r="123" spans="1:7" ht="36" customHeight="1">
      <c r="A123" s="1302"/>
      <c r="B123" s="1315"/>
      <c r="C123" s="42" t="s">
        <v>181</v>
      </c>
      <c r="D123" s="27" t="s">
        <v>31</v>
      </c>
      <c r="E123" s="27" t="s">
        <v>108</v>
      </c>
      <c r="F123" s="26" t="s">
        <v>157</v>
      </c>
      <c r="G123" s="25" t="s">
        <v>180</v>
      </c>
    </row>
    <row r="124" spans="1:7" ht="36" customHeight="1">
      <c r="A124" s="1302"/>
      <c r="B124" s="1315"/>
      <c r="C124" s="1310" t="s">
        <v>32</v>
      </c>
      <c r="D124" s="40" t="s">
        <v>80</v>
      </c>
      <c r="E124" s="39" t="s">
        <v>30</v>
      </c>
      <c r="F124" s="26" t="s">
        <v>157</v>
      </c>
      <c r="G124" s="1311" t="s">
        <v>29</v>
      </c>
    </row>
    <row r="125" spans="1:7" ht="36" customHeight="1">
      <c r="A125" s="1302"/>
      <c r="B125" s="1315"/>
      <c r="C125" s="1309"/>
      <c r="D125" s="37" t="s">
        <v>179</v>
      </c>
      <c r="E125" s="36" t="s">
        <v>24</v>
      </c>
      <c r="F125" s="26"/>
      <c r="G125" s="1313"/>
    </row>
    <row r="126" spans="1:7" ht="36" customHeight="1">
      <c r="A126" s="1302"/>
      <c r="B126" s="1315"/>
      <c r="C126" s="46" t="s">
        <v>178</v>
      </c>
      <c r="D126" s="37" t="s">
        <v>31</v>
      </c>
      <c r="E126" s="36" t="s">
        <v>16</v>
      </c>
      <c r="F126" s="26" t="s">
        <v>157</v>
      </c>
      <c r="G126" s="45" t="s">
        <v>177</v>
      </c>
    </row>
    <row r="127" spans="1:7" ht="36" customHeight="1">
      <c r="A127" s="1302"/>
      <c r="B127" s="1315"/>
      <c r="C127" s="1310" t="s">
        <v>176</v>
      </c>
      <c r="D127" s="37" t="s">
        <v>98</v>
      </c>
      <c r="E127" s="36" t="s">
        <v>175</v>
      </c>
      <c r="F127" s="26"/>
      <c r="G127" s="45"/>
    </row>
    <row r="128" spans="1:7" ht="36" customHeight="1">
      <c r="A128" s="1302"/>
      <c r="B128" s="1315"/>
      <c r="C128" s="1308"/>
      <c r="D128" s="37" t="s">
        <v>96</v>
      </c>
      <c r="E128" s="36" t="s">
        <v>95</v>
      </c>
      <c r="F128" s="26"/>
      <c r="G128" s="45"/>
    </row>
    <row r="129" spans="1:8" ht="36" customHeight="1">
      <c r="A129" s="1302"/>
      <c r="B129" s="1315"/>
      <c r="C129" s="1309"/>
      <c r="D129" s="37" t="s">
        <v>80</v>
      </c>
      <c r="E129" s="36" t="s">
        <v>79</v>
      </c>
      <c r="F129" s="26" t="s">
        <v>157</v>
      </c>
      <c r="G129" s="45"/>
    </row>
    <row r="130" spans="1:8" ht="36" customHeight="1">
      <c r="A130" s="1302"/>
      <c r="B130" s="1315"/>
      <c r="C130" s="1310" t="s">
        <v>21</v>
      </c>
      <c r="D130" s="37" t="s">
        <v>28</v>
      </c>
      <c r="E130" s="36" t="s">
        <v>37</v>
      </c>
      <c r="F130" s="26"/>
      <c r="G130" s="1311" t="s">
        <v>153</v>
      </c>
    </row>
    <row r="131" spans="1:8" ht="36" customHeight="1" thickBot="1">
      <c r="A131" s="1302"/>
      <c r="B131" s="1315"/>
      <c r="C131" s="1324"/>
      <c r="D131" s="44" t="s">
        <v>174</v>
      </c>
      <c r="E131" s="43" t="s">
        <v>173</v>
      </c>
      <c r="F131" s="49"/>
      <c r="G131" s="1325"/>
    </row>
    <row r="132" spans="1:8" ht="36" customHeight="1" thickBot="1">
      <c r="A132" s="1303"/>
      <c r="B132" s="1316"/>
      <c r="C132" s="12"/>
      <c r="D132" s="11"/>
      <c r="E132" s="10"/>
      <c r="F132" s="10"/>
      <c r="G132" s="9"/>
    </row>
    <row r="133" spans="1:8" ht="36" customHeight="1">
      <c r="A133" s="1301">
        <v>44579</v>
      </c>
      <c r="B133" s="1314" t="s">
        <v>3</v>
      </c>
      <c r="C133" s="1307" t="s">
        <v>11</v>
      </c>
      <c r="D133" s="27" t="s">
        <v>8</v>
      </c>
      <c r="E133" s="27" t="s">
        <v>172</v>
      </c>
      <c r="F133" s="26"/>
      <c r="G133" s="25"/>
    </row>
    <row r="134" spans="1:8" ht="36" customHeight="1">
      <c r="A134" s="1302"/>
      <c r="B134" s="1315"/>
      <c r="C134" s="1309"/>
      <c r="D134" s="27" t="s">
        <v>38</v>
      </c>
      <c r="E134" s="27" t="s">
        <v>171</v>
      </c>
      <c r="F134" s="26"/>
      <c r="G134" s="25"/>
    </row>
    <row r="135" spans="1:8" ht="36" customHeight="1">
      <c r="A135" s="1302"/>
      <c r="B135" s="1315"/>
      <c r="C135" s="42" t="s">
        <v>170</v>
      </c>
      <c r="D135" s="27" t="s">
        <v>169</v>
      </c>
      <c r="E135" s="27" t="s">
        <v>168</v>
      </c>
      <c r="F135" s="27"/>
      <c r="G135" s="41"/>
    </row>
    <row r="136" spans="1:8" ht="36" customHeight="1">
      <c r="A136" s="1302"/>
      <c r="B136" s="1315"/>
      <c r="C136" s="1310" t="s">
        <v>167</v>
      </c>
      <c r="D136" s="27" t="s">
        <v>166</v>
      </c>
      <c r="E136" s="27" t="s">
        <v>97</v>
      </c>
      <c r="F136" s="27" t="s">
        <v>165</v>
      </c>
      <c r="G136" s="1311" t="s">
        <v>39</v>
      </c>
      <c r="H136" s="2" t="s">
        <v>164</v>
      </c>
    </row>
    <row r="137" spans="1:8" ht="36" customHeight="1">
      <c r="A137" s="1302"/>
      <c r="B137" s="1315"/>
      <c r="C137" s="1309"/>
      <c r="D137" s="27" t="s">
        <v>163</v>
      </c>
      <c r="E137" s="27" t="s">
        <v>162</v>
      </c>
      <c r="F137" s="26"/>
      <c r="G137" s="1313"/>
    </row>
    <row r="138" spans="1:8" ht="36" customHeight="1">
      <c r="A138" s="1302"/>
      <c r="B138" s="1315"/>
      <c r="C138" s="42" t="s">
        <v>161</v>
      </c>
      <c r="D138" s="40" t="s">
        <v>17</v>
      </c>
      <c r="E138" s="39" t="s">
        <v>123</v>
      </c>
      <c r="F138" s="27" t="s">
        <v>160</v>
      </c>
      <c r="G138" s="41" t="s">
        <v>159</v>
      </c>
    </row>
    <row r="139" spans="1:8" ht="36" customHeight="1">
      <c r="A139" s="1302"/>
      <c r="B139" s="1315"/>
      <c r="C139" s="46" t="s">
        <v>158</v>
      </c>
      <c r="D139" s="37" t="s">
        <v>80</v>
      </c>
      <c r="E139" s="36" t="s">
        <v>30</v>
      </c>
      <c r="F139" s="26" t="s">
        <v>157</v>
      </c>
      <c r="G139" s="45" t="s">
        <v>48</v>
      </c>
    </row>
    <row r="140" spans="1:8" ht="36" customHeight="1">
      <c r="A140" s="1302"/>
      <c r="B140" s="1315"/>
      <c r="C140" s="46" t="s">
        <v>21</v>
      </c>
      <c r="D140" s="37" t="s">
        <v>28</v>
      </c>
      <c r="E140" s="36" t="s">
        <v>24</v>
      </c>
      <c r="F140" s="26" t="s">
        <v>156</v>
      </c>
      <c r="G140" s="45" t="s">
        <v>155</v>
      </c>
      <c r="H140" s="2" t="s">
        <v>154</v>
      </c>
    </row>
    <row r="141" spans="1:8" ht="36" customHeight="1" thickBot="1">
      <c r="A141" s="1302"/>
      <c r="B141" s="1315"/>
      <c r="C141" s="52" t="s">
        <v>52</v>
      </c>
      <c r="D141" s="37" t="s">
        <v>25</v>
      </c>
      <c r="E141" s="26" t="s">
        <v>97</v>
      </c>
      <c r="F141" s="26"/>
      <c r="G141" s="69" t="s">
        <v>153</v>
      </c>
    </row>
    <row r="142" spans="1:8" ht="36" customHeight="1" thickBot="1">
      <c r="A142" s="1303"/>
      <c r="B142" s="1316"/>
      <c r="C142" s="12"/>
      <c r="D142" s="11"/>
      <c r="E142" s="10"/>
      <c r="F142" s="10"/>
      <c r="G142" s="9"/>
    </row>
    <row r="143" spans="1:8" ht="36" customHeight="1">
      <c r="A143" s="1301">
        <v>44580</v>
      </c>
      <c r="B143" s="1314" t="s">
        <v>2</v>
      </c>
      <c r="C143" s="1307" t="s">
        <v>152</v>
      </c>
      <c r="D143" s="27" t="s">
        <v>151</v>
      </c>
      <c r="E143" s="27" t="s">
        <v>150</v>
      </c>
      <c r="F143" s="26"/>
      <c r="G143" s="25"/>
    </row>
    <row r="144" spans="1:8" ht="36" customHeight="1">
      <c r="A144" s="1302"/>
      <c r="B144" s="1315"/>
      <c r="C144" s="1308"/>
      <c r="D144" s="27" t="s">
        <v>86</v>
      </c>
      <c r="E144" s="27" t="s">
        <v>149</v>
      </c>
      <c r="F144" s="26"/>
      <c r="G144" s="25"/>
    </row>
    <row r="145" spans="1:8" ht="36" customHeight="1">
      <c r="A145" s="1302"/>
      <c r="B145" s="1315"/>
      <c r="C145" s="1309"/>
      <c r="D145" s="27" t="s">
        <v>148</v>
      </c>
      <c r="E145" s="27" t="s">
        <v>147</v>
      </c>
      <c r="F145" s="26" t="s">
        <v>146</v>
      </c>
      <c r="G145" s="25"/>
    </row>
    <row r="146" spans="1:8" ht="36" customHeight="1">
      <c r="A146" s="1302"/>
      <c r="B146" s="1315"/>
      <c r="C146" s="42" t="s">
        <v>145</v>
      </c>
      <c r="D146" s="40" t="s">
        <v>31</v>
      </c>
      <c r="E146" s="39" t="s">
        <v>117</v>
      </c>
      <c r="F146" s="27" t="s">
        <v>107</v>
      </c>
      <c r="G146" s="25" t="s">
        <v>29</v>
      </c>
      <c r="H146" s="2" t="s">
        <v>144</v>
      </c>
    </row>
    <row r="147" spans="1:8" ht="36" customHeight="1">
      <c r="A147" s="1302"/>
      <c r="B147" s="1315"/>
      <c r="C147" s="42" t="s">
        <v>143</v>
      </c>
      <c r="D147" s="40" t="s">
        <v>80</v>
      </c>
      <c r="E147" s="39" t="s">
        <v>140</v>
      </c>
      <c r="F147" s="27" t="s">
        <v>107</v>
      </c>
      <c r="G147" s="41" t="s">
        <v>106</v>
      </c>
      <c r="H147" s="2" t="s">
        <v>142</v>
      </c>
    </row>
    <row r="148" spans="1:8" ht="36" customHeight="1">
      <c r="A148" s="1302"/>
      <c r="B148" s="1315"/>
      <c r="C148" s="42" t="s">
        <v>141</v>
      </c>
      <c r="D148" s="40" t="s">
        <v>31</v>
      </c>
      <c r="E148" s="39" t="s">
        <v>140</v>
      </c>
      <c r="F148" s="27" t="s">
        <v>139</v>
      </c>
      <c r="G148" s="41" t="s">
        <v>138</v>
      </c>
    </row>
    <row r="149" spans="1:8" ht="36" customHeight="1" thickBot="1">
      <c r="A149" s="1302"/>
      <c r="B149" s="1315"/>
      <c r="C149" s="42" t="s">
        <v>36</v>
      </c>
      <c r="D149" s="40" t="s">
        <v>28</v>
      </c>
      <c r="E149" s="39" t="s">
        <v>35</v>
      </c>
      <c r="F149" s="27"/>
      <c r="G149" s="41" t="s">
        <v>29</v>
      </c>
      <c r="H149" s="2" t="s">
        <v>137</v>
      </c>
    </row>
    <row r="150" spans="1:8" ht="36" hidden="1" customHeight="1">
      <c r="A150" s="1302"/>
      <c r="B150" s="1315"/>
      <c r="C150" s="68"/>
      <c r="D150" s="67"/>
      <c r="E150" s="19"/>
      <c r="F150" s="66"/>
      <c r="G150" s="65"/>
    </row>
    <row r="151" spans="1:8" ht="36" hidden="1" customHeight="1" thickBot="1">
      <c r="A151" s="1302"/>
      <c r="B151" s="1315"/>
      <c r="C151" s="31"/>
      <c r="D151" s="30"/>
      <c r="E151" s="29"/>
      <c r="F151" s="14"/>
      <c r="G151" s="57"/>
      <c r="H151" s="2" t="s">
        <v>115</v>
      </c>
    </row>
    <row r="152" spans="1:8" ht="36" customHeight="1" thickBot="1">
      <c r="A152" s="1303"/>
      <c r="B152" s="1316"/>
      <c r="C152" s="12"/>
      <c r="D152" s="11"/>
      <c r="E152" s="10"/>
      <c r="F152" s="10"/>
      <c r="G152" s="9"/>
    </row>
    <row r="153" spans="1:8" ht="36" customHeight="1">
      <c r="A153" s="1301">
        <v>44581</v>
      </c>
      <c r="B153" s="1314" t="s">
        <v>1</v>
      </c>
      <c r="C153" s="42" t="s">
        <v>136</v>
      </c>
      <c r="D153" s="27" t="s">
        <v>8</v>
      </c>
      <c r="E153" s="27" t="s">
        <v>135</v>
      </c>
      <c r="F153" s="26"/>
      <c r="G153" s="25"/>
    </row>
    <row r="154" spans="1:8" ht="36" customHeight="1">
      <c r="A154" s="1302"/>
      <c r="B154" s="1315"/>
      <c r="C154" s="1310" t="s">
        <v>134</v>
      </c>
      <c r="D154" s="27" t="s">
        <v>133</v>
      </c>
      <c r="E154" s="27" t="s">
        <v>37</v>
      </c>
      <c r="F154" s="26" t="s">
        <v>132</v>
      </c>
      <c r="G154" s="25"/>
    </row>
    <row r="155" spans="1:8" ht="36" customHeight="1">
      <c r="A155" s="1302"/>
      <c r="B155" s="1315"/>
      <c r="C155" s="1309"/>
      <c r="D155" s="27" t="s">
        <v>28</v>
      </c>
      <c r="E155" s="27" t="s">
        <v>131</v>
      </c>
      <c r="F155" s="26" t="s">
        <v>130</v>
      </c>
      <c r="G155" s="25"/>
    </row>
    <row r="156" spans="1:8" ht="36" customHeight="1">
      <c r="A156" s="1302"/>
      <c r="B156" s="1315"/>
      <c r="C156" s="42" t="s">
        <v>129</v>
      </c>
      <c r="D156" s="27" t="s">
        <v>128</v>
      </c>
      <c r="E156" s="27" t="s">
        <v>67</v>
      </c>
      <c r="F156" s="27" t="s">
        <v>127</v>
      </c>
      <c r="G156" s="25" t="s">
        <v>39</v>
      </c>
    </row>
    <row r="157" spans="1:8" ht="36" customHeight="1">
      <c r="A157" s="1302"/>
      <c r="B157" s="1315"/>
      <c r="C157" s="1310" t="s">
        <v>126</v>
      </c>
      <c r="D157" s="27" t="s">
        <v>53</v>
      </c>
      <c r="E157" s="27" t="s">
        <v>95</v>
      </c>
      <c r="F157" s="26"/>
      <c r="G157" s="1311" t="s">
        <v>39</v>
      </c>
    </row>
    <row r="158" spans="1:8" ht="36" customHeight="1">
      <c r="A158" s="1302"/>
      <c r="B158" s="1315"/>
      <c r="C158" s="1309"/>
      <c r="D158" s="27" t="s">
        <v>125</v>
      </c>
      <c r="E158" s="27" t="s">
        <v>124</v>
      </c>
      <c r="F158" s="26"/>
      <c r="G158" s="1313"/>
    </row>
    <row r="159" spans="1:8" ht="36" customHeight="1">
      <c r="A159" s="1302"/>
      <c r="B159" s="1315"/>
      <c r="C159" s="1310" t="s">
        <v>21</v>
      </c>
      <c r="D159" s="40" t="s">
        <v>28</v>
      </c>
      <c r="E159" s="39" t="s">
        <v>97</v>
      </c>
      <c r="F159" s="26"/>
      <c r="G159" s="1311" t="s">
        <v>81</v>
      </c>
    </row>
    <row r="160" spans="1:8" ht="36" customHeight="1">
      <c r="A160" s="1302"/>
      <c r="B160" s="1315"/>
      <c r="C160" s="1308"/>
      <c r="D160" s="55" t="s">
        <v>80</v>
      </c>
      <c r="E160" s="54" t="s">
        <v>123</v>
      </c>
      <c r="F160" s="27" t="s">
        <v>122</v>
      </c>
      <c r="G160" s="1312"/>
    </row>
    <row r="161" spans="1:8" ht="36" customHeight="1">
      <c r="A161" s="1302"/>
      <c r="B161" s="1315"/>
      <c r="C161" s="42" t="s">
        <v>121</v>
      </c>
      <c r="D161" s="40" t="s">
        <v>120</v>
      </c>
      <c r="E161" s="39" t="s">
        <v>119</v>
      </c>
      <c r="F161" s="27"/>
      <c r="G161" s="1311" t="s">
        <v>81</v>
      </c>
    </row>
    <row r="162" spans="1:8" ht="36" customHeight="1">
      <c r="A162" s="1302"/>
      <c r="B162" s="1315"/>
      <c r="C162" s="52" t="s">
        <v>118</v>
      </c>
      <c r="D162" s="44" t="s">
        <v>80</v>
      </c>
      <c r="E162" s="43" t="s">
        <v>117</v>
      </c>
      <c r="F162" s="49" t="s">
        <v>116</v>
      </c>
      <c r="G162" s="1313"/>
      <c r="H162" s="2" t="s">
        <v>115</v>
      </c>
    </row>
    <row r="163" spans="1:8" ht="36" customHeight="1">
      <c r="A163" s="1302"/>
      <c r="B163" s="1315"/>
      <c r="C163" s="42" t="s">
        <v>114</v>
      </c>
      <c r="D163" s="40" t="s">
        <v>109</v>
      </c>
      <c r="E163" s="39" t="s">
        <v>113</v>
      </c>
      <c r="F163" s="27" t="s">
        <v>112</v>
      </c>
      <c r="G163" s="45" t="s">
        <v>106</v>
      </c>
      <c r="H163" s="2" t="s">
        <v>111</v>
      </c>
    </row>
    <row r="164" spans="1:8" ht="36" customHeight="1" thickBot="1">
      <c r="A164" s="1302"/>
      <c r="B164" s="1315"/>
      <c r="C164" s="46" t="s">
        <v>110</v>
      </c>
      <c r="D164" s="37" t="s">
        <v>109</v>
      </c>
      <c r="E164" s="36" t="s">
        <v>108</v>
      </c>
      <c r="F164" s="26" t="s">
        <v>107</v>
      </c>
      <c r="G164" s="45" t="s">
        <v>106</v>
      </c>
      <c r="H164" s="2" t="s">
        <v>105</v>
      </c>
    </row>
    <row r="165" spans="1:8" ht="36" hidden="1" customHeight="1">
      <c r="A165" s="1302"/>
      <c r="B165" s="1315"/>
      <c r="C165" s="64"/>
      <c r="D165" s="63"/>
      <c r="E165" s="33"/>
      <c r="F165" s="62"/>
      <c r="G165" s="61"/>
    </row>
    <row r="166" spans="1:8" ht="36" hidden="1" customHeight="1" thickBot="1">
      <c r="A166" s="1302"/>
      <c r="B166" s="1315"/>
      <c r="C166" s="60"/>
      <c r="D166" s="59"/>
      <c r="E166" s="29"/>
      <c r="F166" s="58"/>
      <c r="G166" s="57"/>
    </row>
    <row r="167" spans="1:8" ht="36" customHeight="1" thickBot="1">
      <c r="A167" s="1303"/>
      <c r="B167" s="1316"/>
      <c r="C167" s="12"/>
      <c r="D167" s="11"/>
      <c r="E167" s="10"/>
      <c r="F167" s="10"/>
      <c r="G167" s="9"/>
    </row>
    <row r="168" spans="1:8" ht="36" customHeight="1">
      <c r="A168" s="1301">
        <v>44582</v>
      </c>
      <c r="B168" s="1314" t="s">
        <v>0</v>
      </c>
      <c r="C168" s="56" t="s">
        <v>104</v>
      </c>
      <c r="D168" s="37" t="s">
        <v>101</v>
      </c>
      <c r="E168" s="27" t="s">
        <v>103</v>
      </c>
      <c r="F168" s="26"/>
      <c r="G168" s="25"/>
    </row>
    <row r="169" spans="1:8" ht="36" customHeight="1">
      <c r="A169" s="1302"/>
      <c r="B169" s="1315"/>
      <c r="C169" s="42" t="s">
        <v>102</v>
      </c>
      <c r="D169" s="37" t="s">
        <v>101</v>
      </c>
      <c r="E169" s="27" t="s">
        <v>100</v>
      </c>
      <c r="F169" s="26"/>
      <c r="G169" s="25" t="s">
        <v>18</v>
      </c>
    </row>
    <row r="170" spans="1:8" ht="36" customHeight="1">
      <c r="A170" s="1302"/>
      <c r="B170" s="1315"/>
      <c r="C170" s="1310" t="s">
        <v>99</v>
      </c>
      <c r="D170" s="40" t="s">
        <v>98</v>
      </c>
      <c r="E170" s="39" t="s">
        <v>97</v>
      </c>
      <c r="F170" s="26"/>
      <c r="G170" s="25"/>
    </row>
    <row r="171" spans="1:8" ht="36" customHeight="1" thickBot="1">
      <c r="A171" s="1302"/>
      <c r="B171" s="1315"/>
      <c r="C171" s="1324"/>
      <c r="D171" s="55" t="s">
        <v>96</v>
      </c>
      <c r="E171" s="54" t="s">
        <v>95</v>
      </c>
      <c r="F171" s="49"/>
      <c r="G171" s="25"/>
    </row>
    <row r="172" spans="1:8" ht="36" customHeight="1" thickBot="1">
      <c r="A172" s="1302"/>
      <c r="B172" s="1315"/>
      <c r="C172" s="12"/>
      <c r="D172" s="11"/>
      <c r="E172" s="10"/>
      <c r="F172" s="10"/>
      <c r="G172" s="9"/>
    </row>
    <row r="173" spans="1:8" ht="36" hidden="1" customHeight="1" thickBot="1">
      <c r="A173" s="1303"/>
      <c r="B173" s="1316"/>
      <c r="C173" s="12" t="s">
        <v>94</v>
      </c>
      <c r="D173" s="11" t="s">
        <v>14</v>
      </c>
      <c r="E173" s="10" t="s">
        <v>93</v>
      </c>
      <c r="F173" s="10" t="s">
        <v>62</v>
      </c>
      <c r="G173" s="9"/>
    </row>
    <row r="174" spans="1:8" ht="60" customHeight="1" thickBot="1">
      <c r="A174" s="1298" t="s">
        <v>5</v>
      </c>
      <c r="B174" s="1299"/>
      <c r="C174" s="1299"/>
      <c r="D174" s="1299"/>
      <c r="E174" s="1299"/>
      <c r="F174" s="1299"/>
      <c r="G174" s="1300"/>
    </row>
    <row r="175" spans="1:8" ht="36" customHeight="1">
      <c r="A175" s="1301">
        <v>44585</v>
      </c>
      <c r="B175" s="1314" t="s">
        <v>4</v>
      </c>
      <c r="C175" s="53" t="s">
        <v>92</v>
      </c>
      <c r="D175" s="27" t="s">
        <v>73</v>
      </c>
      <c r="E175" s="27" t="s">
        <v>91</v>
      </c>
      <c r="F175" s="26"/>
      <c r="G175" s="25" t="s">
        <v>90</v>
      </c>
      <c r="H175" s="2" t="s">
        <v>89</v>
      </c>
    </row>
    <row r="176" spans="1:8" ht="36" customHeight="1" thickBot="1">
      <c r="A176" s="1302"/>
      <c r="B176" s="1315"/>
      <c r="C176" s="35"/>
      <c r="D176" s="22"/>
      <c r="E176" s="22"/>
      <c r="F176" s="18"/>
      <c r="G176" s="13"/>
    </row>
    <row r="177" spans="1:7" ht="36" hidden="1" customHeight="1">
      <c r="A177" s="1302"/>
      <c r="B177" s="1315"/>
      <c r="C177" s="21"/>
      <c r="D177" s="20"/>
      <c r="E177" s="19"/>
      <c r="F177" s="18"/>
      <c r="G177" s="13"/>
    </row>
    <row r="178" spans="1:7" ht="36" hidden="1" customHeight="1" thickBot="1">
      <c r="A178" s="1302"/>
      <c r="B178" s="1315"/>
      <c r="C178" s="17"/>
      <c r="D178" s="16"/>
      <c r="E178" s="15"/>
      <c r="F178" s="14"/>
      <c r="G178" s="13"/>
    </row>
    <row r="179" spans="1:7" ht="36" customHeight="1" thickBot="1">
      <c r="A179" s="1303"/>
      <c r="B179" s="1316"/>
      <c r="C179" s="12"/>
      <c r="D179" s="11"/>
      <c r="E179" s="10"/>
      <c r="F179" s="10"/>
      <c r="G179" s="9"/>
    </row>
    <row r="180" spans="1:7" ht="36" customHeight="1">
      <c r="A180" s="1302">
        <v>44586</v>
      </c>
      <c r="B180" s="1315" t="s">
        <v>88</v>
      </c>
      <c r="C180" s="1307" t="s">
        <v>11</v>
      </c>
      <c r="D180" s="27" t="s">
        <v>42</v>
      </c>
      <c r="E180" s="27" t="s">
        <v>87</v>
      </c>
      <c r="F180" s="26"/>
      <c r="G180" s="25"/>
    </row>
    <row r="181" spans="1:7" ht="36" customHeight="1">
      <c r="A181" s="1302"/>
      <c r="B181" s="1315"/>
      <c r="C181" s="1309"/>
      <c r="D181" s="27" t="s">
        <v>86</v>
      </c>
      <c r="E181" s="27" t="s">
        <v>85</v>
      </c>
      <c r="F181" s="26"/>
      <c r="G181" s="25"/>
    </row>
    <row r="182" spans="1:7" ht="36" customHeight="1">
      <c r="A182" s="1302"/>
      <c r="B182" s="1315"/>
      <c r="C182" s="1310" t="s">
        <v>21</v>
      </c>
      <c r="D182" s="26" t="s">
        <v>84</v>
      </c>
      <c r="E182" s="26" t="s">
        <v>83</v>
      </c>
      <c r="F182" s="1323" t="s">
        <v>82</v>
      </c>
      <c r="G182" s="1311" t="s">
        <v>81</v>
      </c>
    </row>
    <row r="183" spans="1:7" ht="36" customHeight="1">
      <c r="A183" s="1302"/>
      <c r="B183" s="1315"/>
      <c r="C183" s="1308"/>
      <c r="D183" s="26" t="s">
        <v>17</v>
      </c>
      <c r="E183" s="26" t="s">
        <v>19</v>
      </c>
      <c r="F183" s="1320"/>
      <c r="G183" s="1312"/>
    </row>
    <row r="184" spans="1:7" ht="36" customHeight="1">
      <c r="A184" s="1302"/>
      <c r="B184" s="1315"/>
      <c r="C184" s="1308"/>
      <c r="D184" s="26" t="s">
        <v>80</v>
      </c>
      <c r="E184" s="26" t="s">
        <v>79</v>
      </c>
      <c r="F184" s="1320"/>
      <c r="G184" s="1312"/>
    </row>
    <row r="185" spans="1:7" ht="36" customHeight="1">
      <c r="A185" s="1302"/>
      <c r="B185" s="1315"/>
      <c r="C185" s="1308"/>
      <c r="D185" s="26" t="s">
        <v>78</v>
      </c>
      <c r="E185" s="26" t="s">
        <v>77</v>
      </c>
      <c r="F185" s="1320"/>
      <c r="G185" s="1312"/>
    </row>
    <row r="186" spans="1:7" ht="36" customHeight="1">
      <c r="A186" s="1302"/>
      <c r="B186" s="1315"/>
      <c r="C186" s="1309"/>
      <c r="D186" s="26" t="s">
        <v>76</v>
      </c>
      <c r="E186" s="26" t="s">
        <v>75</v>
      </c>
      <c r="F186" s="1321"/>
      <c r="G186" s="1313"/>
    </row>
    <row r="187" spans="1:7" ht="36" customHeight="1">
      <c r="A187" s="1302"/>
      <c r="B187" s="1315"/>
      <c r="C187" s="52" t="s">
        <v>74</v>
      </c>
      <c r="D187" s="51" t="s">
        <v>73</v>
      </c>
      <c r="E187" s="51" t="s">
        <v>72</v>
      </c>
      <c r="F187" s="49" t="s">
        <v>71</v>
      </c>
      <c r="G187" s="25" t="s">
        <v>29</v>
      </c>
    </row>
    <row r="188" spans="1:7" ht="36" customHeight="1">
      <c r="A188" s="1302"/>
      <c r="B188" s="1315"/>
      <c r="C188" s="1310" t="s">
        <v>70</v>
      </c>
      <c r="D188" s="27" t="s">
        <v>69</v>
      </c>
      <c r="E188" s="27" t="s">
        <v>27</v>
      </c>
      <c r="F188" s="27"/>
      <c r="G188" s="1311" t="s">
        <v>34</v>
      </c>
    </row>
    <row r="189" spans="1:7" ht="36" customHeight="1">
      <c r="A189" s="1302"/>
      <c r="B189" s="1315"/>
      <c r="C189" s="1309"/>
      <c r="D189" s="27" t="s">
        <v>68</v>
      </c>
      <c r="E189" s="26" t="s">
        <v>67</v>
      </c>
      <c r="F189" s="26"/>
      <c r="G189" s="1313"/>
    </row>
    <row r="190" spans="1:7" ht="36" customHeight="1" thickBot="1">
      <c r="A190" s="1302"/>
      <c r="B190" s="1315"/>
      <c r="C190" s="50" t="s">
        <v>66</v>
      </c>
      <c r="D190" s="49" t="s">
        <v>31</v>
      </c>
      <c r="E190" s="49" t="s">
        <v>65</v>
      </c>
      <c r="F190" s="49"/>
      <c r="G190" s="48"/>
    </row>
    <row r="191" spans="1:7" ht="36" customHeight="1" thickBot="1">
      <c r="A191" s="1302"/>
      <c r="B191" s="1315"/>
      <c r="C191" s="12"/>
      <c r="D191" s="11"/>
      <c r="E191" s="10"/>
      <c r="F191" s="10"/>
      <c r="G191" s="9"/>
    </row>
    <row r="192" spans="1:7" ht="36" hidden="1" customHeight="1" thickBot="1">
      <c r="A192" s="1303"/>
      <c r="B192" s="1316"/>
      <c r="C192" s="12" t="s">
        <v>64</v>
      </c>
      <c r="D192" s="11" t="s">
        <v>14</v>
      </c>
      <c r="E192" s="10" t="s">
        <v>63</v>
      </c>
      <c r="F192" s="10" t="s">
        <v>62</v>
      </c>
      <c r="G192" s="9"/>
    </row>
    <row r="193" spans="1:8" ht="36" customHeight="1">
      <c r="A193" s="1301">
        <v>44587</v>
      </c>
      <c r="B193" s="1317" t="s">
        <v>2</v>
      </c>
      <c r="C193" s="42" t="s">
        <v>61</v>
      </c>
      <c r="D193" s="27" t="s">
        <v>8</v>
      </c>
      <c r="E193" s="27" t="s">
        <v>60</v>
      </c>
      <c r="F193" s="26"/>
      <c r="G193" s="25"/>
    </row>
    <row r="194" spans="1:8" ht="36" customHeight="1">
      <c r="A194" s="1302"/>
      <c r="B194" s="1318"/>
      <c r="C194" s="1310" t="s">
        <v>36</v>
      </c>
      <c r="D194" s="27" t="s">
        <v>28</v>
      </c>
      <c r="E194" s="27" t="s">
        <v>59</v>
      </c>
      <c r="F194" s="1323" t="s">
        <v>58</v>
      </c>
      <c r="G194" s="1311" t="s">
        <v>57</v>
      </c>
    </row>
    <row r="195" spans="1:8" ht="36" customHeight="1">
      <c r="A195" s="1302"/>
      <c r="B195" s="1318"/>
      <c r="C195" s="1309"/>
      <c r="D195" s="27" t="s">
        <v>56</v>
      </c>
      <c r="E195" s="27" t="s">
        <v>55</v>
      </c>
      <c r="F195" s="1321"/>
      <c r="G195" s="1313"/>
    </row>
    <row r="196" spans="1:8" ht="36" customHeight="1">
      <c r="A196" s="1302"/>
      <c r="B196" s="1318"/>
      <c r="C196" s="42" t="s">
        <v>54</v>
      </c>
      <c r="D196" s="27" t="s">
        <v>53</v>
      </c>
      <c r="E196" s="27" t="s">
        <v>37</v>
      </c>
      <c r="F196" s="27"/>
      <c r="G196" s="41" t="s">
        <v>18</v>
      </c>
    </row>
    <row r="197" spans="1:8" ht="36" customHeight="1">
      <c r="A197" s="1302"/>
      <c r="B197" s="1318"/>
      <c r="C197" s="42" t="s">
        <v>52</v>
      </c>
      <c r="D197" s="27" t="s">
        <v>28</v>
      </c>
      <c r="E197" s="27" t="s">
        <v>24</v>
      </c>
      <c r="F197" s="27"/>
      <c r="G197" s="41" t="s">
        <v>18</v>
      </c>
    </row>
    <row r="198" spans="1:8" ht="36" customHeight="1">
      <c r="A198" s="1302"/>
      <c r="B198" s="1318"/>
      <c r="C198" s="46" t="s">
        <v>51</v>
      </c>
      <c r="D198" s="26" t="s">
        <v>50</v>
      </c>
      <c r="E198" s="26" t="s">
        <v>27</v>
      </c>
      <c r="F198" s="26"/>
      <c r="G198" s="45" t="s">
        <v>29</v>
      </c>
    </row>
    <row r="199" spans="1:8" ht="36" customHeight="1" thickBot="1">
      <c r="A199" s="1302"/>
      <c r="B199" s="1318"/>
      <c r="C199" s="42" t="s">
        <v>21</v>
      </c>
      <c r="D199" s="40" t="s">
        <v>28</v>
      </c>
      <c r="E199" s="39" t="s">
        <v>49</v>
      </c>
      <c r="F199" s="26"/>
      <c r="G199" s="25" t="s">
        <v>48</v>
      </c>
    </row>
    <row r="200" spans="1:8" ht="36" hidden="1" customHeight="1" thickBot="1">
      <c r="A200" s="1302"/>
      <c r="B200" s="1318"/>
      <c r="C200" s="17"/>
      <c r="D200" s="16"/>
      <c r="E200" s="15"/>
      <c r="F200" s="14"/>
      <c r="G200" s="13"/>
    </row>
    <row r="201" spans="1:8" ht="36" customHeight="1" thickBot="1">
      <c r="A201" s="1302"/>
      <c r="B201" s="1318"/>
      <c r="C201" s="12" t="s">
        <v>47</v>
      </c>
      <c r="D201" s="11" t="s">
        <v>14</v>
      </c>
      <c r="E201" s="10" t="s">
        <v>46</v>
      </c>
      <c r="F201" s="10" t="s">
        <v>45</v>
      </c>
      <c r="G201" s="9"/>
    </row>
    <row r="202" spans="1:8" ht="36" customHeight="1" thickBot="1">
      <c r="A202" s="1302"/>
      <c r="B202" s="1318"/>
      <c r="C202" s="12" t="s">
        <v>44</v>
      </c>
      <c r="D202" s="11" t="s">
        <v>14</v>
      </c>
      <c r="E202" s="10"/>
      <c r="F202" s="10" t="s">
        <v>43</v>
      </c>
      <c r="G202" s="9"/>
    </row>
    <row r="203" spans="1:8" ht="36" customHeight="1">
      <c r="A203" s="1301">
        <v>44588</v>
      </c>
      <c r="B203" s="1314" t="s">
        <v>1</v>
      </c>
      <c r="C203" s="1307" t="s">
        <v>11</v>
      </c>
      <c r="D203" s="27" t="s">
        <v>42</v>
      </c>
      <c r="E203" s="27" t="s">
        <v>41</v>
      </c>
      <c r="F203" s="26"/>
      <c r="G203" s="25"/>
    </row>
    <row r="204" spans="1:8" ht="36" customHeight="1">
      <c r="A204" s="1302"/>
      <c r="B204" s="1315"/>
      <c r="C204" s="1308"/>
      <c r="D204" s="27" t="s">
        <v>8</v>
      </c>
      <c r="E204" s="27" t="s">
        <v>40</v>
      </c>
      <c r="F204" s="26"/>
      <c r="G204" s="25" t="s">
        <v>39</v>
      </c>
    </row>
    <row r="205" spans="1:8" ht="36" customHeight="1">
      <c r="A205" s="1302"/>
      <c r="B205" s="1315"/>
      <c r="C205" s="1309"/>
      <c r="D205" s="40" t="s">
        <v>38</v>
      </c>
      <c r="E205" s="39" t="s">
        <v>37</v>
      </c>
      <c r="F205" s="26"/>
      <c r="G205" s="25"/>
    </row>
    <row r="206" spans="1:8" ht="36" customHeight="1">
      <c r="A206" s="1302"/>
      <c r="B206" s="1315"/>
      <c r="C206" s="42" t="s">
        <v>36</v>
      </c>
      <c r="D206" s="40" t="s">
        <v>28</v>
      </c>
      <c r="E206" s="39" t="s">
        <v>35</v>
      </c>
      <c r="F206" s="27"/>
      <c r="G206" s="41" t="s">
        <v>34</v>
      </c>
      <c r="H206" s="2" t="s">
        <v>33</v>
      </c>
    </row>
    <row r="207" spans="1:8" ht="36" customHeight="1">
      <c r="A207" s="1302"/>
      <c r="B207" s="1315"/>
      <c r="C207" s="1308" t="s">
        <v>32</v>
      </c>
      <c r="D207" s="44" t="s">
        <v>31</v>
      </c>
      <c r="E207" s="43" t="s">
        <v>30</v>
      </c>
      <c r="F207" s="27"/>
      <c r="G207" s="1311" t="s">
        <v>29</v>
      </c>
    </row>
    <row r="208" spans="1:8" ht="36" customHeight="1">
      <c r="A208" s="1302"/>
      <c r="B208" s="1315"/>
      <c r="C208" s="1309"/>
      <c r="D208" s="40" t="s">
        <v>28</v>
      </c>
      <c r="E208" s="39" t="s">
        <v>27</v>
      </c>
      <c r="F208" s="26"/>
      <c r="G208" s="1313"/>
    </row>
    <row r="209" spans="1:7" ht="36" customHeight="1">
      <c r="A209" s="1302"/>
      <c r="B209" s="1315"/>
      <c r="C209" s="42" t="s">
        <v>26</v>
      </c>
      <c r="D209" s="40" t="s">
        <v>25</v>
      </c>
      <c r="E209" s="39" t="s">
        <v>24</v>
      </c>
      <c r="F209" s="27" t="s">
        <v>23</v>
      </c>
      <c r="G209" s="41" t="s">
        <v>22</v>
      </c>
    </row>
    <row r="210" spans="1:7" ht="36" customHeight="1">
      <c r="A210" s="1302"/>
      <c r="B210" s="1315"/>
      <c r="C210" s="1310" t="s">
        <v>21</v>
      </c>
      <c r="D210" s="40" t="s">
        <v>20</v>
      </c>
      <c r="E210" s="39" t="s">
        <v>19</v>
      </c>
      <c r="F210" s="27"/>
      <c r="G210" s="1311" t="s">
        <v>18</v>
      </c>
    </row>
    <row r="211" spans="1:7" ht="36" customHeight="1" thickBot="1">
      <c r="A211" s="1302"/>
      <c r="B211" s="1315"/>
      <c r="C211" s="1309"/>
      <c r="D211" s="37" t="s">
        <v>17</v>
      </c>
      <c r="E211" s="36" t="s">
        <v>16</v>
      </c>
      <c r="F211" s="26"/>
      <c r="G211" s="1313"/>
    </row>
    <row r="212" spans="1:7" ht="36" hidden="1" customHeight="1">
      <c r="A212" s="1302"/>
      <c r="B212" s="1315"/>
      <c r="C212" s="35"/>
      <c r="D212" s="34"/>
      <c r="E212" s="33"/>
      <c r="F212" s="18"/>
      <c r="G212" s="32"/>
    </row>
    <row r="213" spans="1:7" ht="36" hidden="1" customHeight="1" thickBot="1">
      <c r="A213" s="1302"/>
      <c r="B213" s="1315"/>
      <c r="C213" s="31"/>
      <c r="D213" s="30"/>
      <c r="E213" s="29"/>
      <c r="F213" s="14"/>
      <c r="G213" s="28"/>
    </row>
    <row r="214" spans="1:7" ht="36" customHeight="1" thickBot="1">
      <c r="A214" s="1303"/>
      <c r="B214" s="1316"/>
      <c r="C214" s="12" t="s">
        <v>15</v>
      </c>
      <c r="D214" s="11" t="s">
        <v>14</v>
      </c>
      <c r="E214" s="10" t="s">
        <v>13</v>
      </c>
      <c r="F214" s="10" t="s">
        <v>12</v>
      </c>
      <c r="G214" s="9"/>
    </row>
    <row r="215" spans="1:7" ht="36" customHeight="1">
      <c r="A215" s="1301">
        <v>44589</v>
      </c>
      <c r="B215" s="1314" t="s">
        <v>0</v>
      </c>
      <c r="C215" s="1307" t="s">
        <v>11</v>
      </c>
      <c r="D215" s="27" t="s">
        <v>10</v>
      </c>
      <c r="E215" s="27" t="s">
        <v>9</v>
      </c>
      <c r="F215" s="26"/>
      <c r="G215" s="25"/>
    </row>
    <row r="216" spans="1:7" ht="36" customHeight="1">
      <c r="A216" s="1302"/>
      <c r="B216" s="1315"/>
      <c r="C216" s="1309"/>
      <c r="D216" s="27" t="s">
        <v>8</v>
      </c>
      <c r="E216" s="27" t="s">
        <v>7</v>
      </c>
      <c r="F216" s="26"/>
      <c r="G216" s="25"/>
    </row>
    <row r="217" spans="1:7" ht="36" customHeight="1">
      <c r="A217" s="1302"/>
      <c r="B217" s="1315"/>
      <c r="C217" s="24"/>
      <c r="D217" s="22" t="s">
        <v>6</v>
      </c>
      <c r="E217" s="22"/>
      <c r="F217" s="18"/>
      <c r="G217" s="13"/>
    </row>
    <row r="218" spans="1:7" ht="36" customHeight="1" thickBot="1">
      <c r="A218" s="1302"/>
      <c r="B218" s="1315"/>
      <c r="C218" s="21"/>
      <c r="D218" s="22"/>
      <c r="E218" s="22"/>
      <c r="F218" s="18"/>
      <c r="G218" s="13"/>
    </row>
    <row r="219" spans="1:7" ht="36" hidden="1" customHeight="1">
      <c r="A219" s="1302"/>
      <c r="B219" s="1315"/>
      <c r="C219" s="24"/>
      <c r="D219" s="22"/>
      <c r="E219" s="22"/>
      <c r="F219" s="18"/>
      <c r="G219" s="13"/>
    </row>
    <row r="220" spans="1:7" ht="36" hidden="1" customHeight="1" thickBot="1">
      <c r="A220" s="1302"/>
      <c r="B220" s="1315"/>
      <c r="C220" s="23"/>
      <c r="D220" s="22"/>
      <c r="E220" s="22"/>
      <c r="F220" s="18"/>
      <c r="G220" s="13"/>
    </row>
    <row r="221" spans="1:7" ht="36" hidden="1" customHeight="1">
      <c r="A221" s="1302"/>
      <c r="B221" s="1315"/>
      <c r="C221" s="21"/>
      <c r="D221" s="20"/>
      <c r="E221" s="19"/>
      <c r="F221" s="18"/>
      <c r="G221" s="13"/>
    </row>
    <row r="222" spans="1:7" ht="36" hidden="1" customHeight="1" thickBot="1">
      <c r="A222" s="1302"/>
      <c r="B222" s="1315"/>
      <c r="C222" s="17"/>
      <c r="D222" s="16"/>
      <c r="E222" s="15"/>
      <c r="F222" s="14"/>
      <c r="G222" s="13"/>
    </row>
    <row r="223" spans="1:7" ht="36" customHeight="1" thickBot="1">
      <c r="A223" s="1303"/>
      <c r="B223" s="1316"/>
      <c r="C223" s="12"/>
      <c r="D223" s="11"/>
      <c r="E223" s="10"/>
      <c r="F223" s="10"/>
      <c r="G223" s="9"/>
    </row>
    <row r="224" spans="1:7" ht="60" customHeight="1" thickBot="1">
      <c r="A224" s="1298" t="s">
        <v>5</v>
      </c>
      <c r="B224" s="1299"/>
      <c r="C224" s="1299"/>
      <c r="D224" s="1299"/>
      <c r="E224" s="1299"/>
      <c r="F224" s="1299"/>
      <c r="G224" s="1300"/>
    </row>
    <row r="225" spans="1:7" ht="36" customHeight="1">
      <c r="A225" s="1301"/>
      <c r="B225" s="1314" t="s">
        <v>4</v>
      </c>
      <c r="C225" s="21"/>
      <c r="D225" s="22"/>
      <c r="E225" s="22"/>
      <c r="F225" s="18"/>
      <c r="G225" s="13"/>
    </row>
    <row r="226" spans="1:7" ht="36" customHeight="1">
      <c r="A226" s="1302"/>
      <c r="B226" s="1315"/>
      <c r="C226" s="21"/>
      <c r="D226" s="22"/>
      <c r="E226" s="22"/>
      <c r="F226" s="18"/>
      <c r="G226" s="13"/>
    </row>
    <row r="227" spans="1:7" ht="36" customHeight="1">
      <c r="A227" s="1302"/>
      <c r="B227" s="1315"/>
      <c r="C227" s="21"/>
      <c r="D227" s="20"/>
      <c r="E227" s="19"/>
      <c r="F227" s="18"/>
      <c r="G227" s="13"/>
    </row>
    <row r="228" spans="1:7" ht="36" customHeight="1" thickBot="1">
      <c r="A228" s="1302"/>
      <c r="B228" s="1315"/>
      <c r="C228" s="17"/>
      <c r="D228" s="16"/>
      <c r="E228" s="15"/>
      <c r="F228" s="14"/>
      <c r="G228" s="13"/>
    </row>
    <row r="229" spans="1:7" ht="36" customHeight="1" thickBot="1">
      <c r="A229" s="1303"/>
      <c r="B229" s="1316"/>
      <c r="C229" s="12"/>
      <c r="D229" s="11"/>
      <c r="E229" s="10"/>
      <c r="F229" s="10"/>
      <c r="G229" s="9"/>
    </row>
    <row r="230" spans="1:7" ht="36" customHeight="1">
      <c r="A230" s="1301"/>
      <c r="B230" s="1314" t="s">
        <v>3</v>
      </c>
      <c r="C230" s="21"/>
      <c r="D230" s="22"/>
      <c r="E230" s="22"/>
      <c r="F230" s="18"/>
      <c r="G230" s="13"/>
    </row>
    <row r="231" spans="1:7" ht="36" customHeight="1">
      <c r="A231" s="1302"/>
      <c r="B231" s="1315"/>
      <c r="C231" s="21"/>
      <c r="D231" s="22"/>
      <c r="E231" s="22"/>
      <c r="F231" s="18"/>
      <c r="G231" s="13"/>
    </row>
    <row r="232" spans="1:7" ht="36" customHeight="1">
      <c r="A232" s="1302"/>
      <c r="B232" s="1315"/>
      <c r="C232" s="21"/>
      <c r="D232" s="20"/>
      <c r="E232" s="19"/>
      <c r="F232" s="18"/>
      <c r="G232" s="13"/>
    </row>
    <row r="233" spans="1:7" ht="36" customHeight="1" thickBot="1">
      <c r="A233" s="1302"/>
      <c r="B233" s="1315"/>
      <c r="C233" s="17"/>
      <c r="D233" s="16"/>
      <c r="E233" s="15"/>
      <c r="F233" s="14"/>
      <c r="G233" s="13"/>
    </row>
    <row r="234" spans="1:7" ht="36" customHeight="1" thickBot="1">
      <c r="A234" s="1303"/>
      <c r="B234" s="1316"/>
      <c r="C234" s="12"/>
      <c r="D234" s="11"/>
      <c r="E234" s="10"/>
      <c r="F234" s="10"/>
      <c r="G234" s="9"/>
    </row>
    <row r="235" spans="1:7" ht="36" customHeight="1">
      <c r="A235" s="1301"/>
      <c r="B235" s="1314" t="s">
        <v>2</v>
      </c>
      <c r="C235" s="21"/>
      <c r="D235" s="22"/>
      <c r="E235" s="22"/>
      <c r="F235" s="18"/>
      <c r="G235" s="13"/>
    </row>
    <row r="236" spans="1:7" ht="36" customHeight="1">
      <c r="A236" s="1302"/>
      <c r="B236" s="1315"/>
      <c r="C236" s="21"/>
      <c r="D236" s="22"/>
      <c r="E236" s="22"/>
      <c r="F236" s="18"/>
      <c r="G236" s="13"/>
    </row>
    <row r="237" spans="1:7" ht="36" customHeight="1">
      <c r="A237" s="1302"/>
      <c r="B237" s="1315"/>
      <c r="C237" s="21"/>
      <c r="D237" s="20"/>
      <c r="E237" s="19"/>
      <c r="F237" s="18"/>
      <c r="G237" s="13"/>
    </row>
    <row r="238" spans="1:7" ht="36" customHeight="1" thickBot="1">
      <c r="A238" s="1302"/>
      <c r="B238" s="1315"/>
      <c r="C238" s="17"/>
      <c r="D238" s="16"/>
      <c r="E238" s="15"/>
      <c r="F238" s="14"/>
      <c r="G238" s="13"/>
    </row>
    <row r="239" spans="1:7" ht="36" customHeight="1" thickBot="1">
      <c r="A239" s="1303"/>
      <c r="B239" s="1316"/>
      <c r="C239" s="12"/>
      <c r="D239" s="11"/>
      <c r="E239" s="10"/>
      <c r="F239" s="10"/>
      <c r="G239" s="9"/>
    </row>
    <row r="240" spans="1:7" ht="36" customHeight="1">
      <c r="A240" s="1301"/>
      <c r="B240" s="1314" t="s">
        <v>1</v>
      </c>
      <c r="C240" s="21"/>
      <c r="D240" s="22"/>
      <c r="E240" s="22"/>
      <c r="F240" s="18"/>
      <c r="G240" s="13"/>
    </row>
    <row r="241" spans="1:7" ht="36" customHeight="1">
      <c r="A241" s="1302"/>
      <c r="B241" s="1315"/>
      <c r="C241" s="21"/>
      <c r="D241" s="22"/>
      <c r="E241" s="22"/>
      <c r="F241" s="18"/>
      <c r="G241" s="13"/>
    </row>
    <row r="242" spans="1:7" ht="36" customHeight="1">
      <c r="A242" s="1302"/>
      <c r="B242" s="1315"/>
      <c r="C242" s="21"/>
      <c r="D242" s="20"/>
      <c r="E242" s="19"/>
      <c r="F242" s="18"/>
      <c r="G242" s="13"/>
    </row>
    <row r="243" spans="1:7" ht="36" customHeight="1" thickBot="1">
      <c r="A243" s="1302"/>
      <c r="B243" s="1315"/>
      <c r="C243" s="17"/>
      <c r="D243" s="16"/>
      <c r="E243" s="15"/>
      <c r="F243" s="14"/>
      <c r="G243" s="13"/>
    </row>
    <row r="244" spans="1:7" ht="36" customHeight="1" thickBot="1">
      <c r="A244" s="1303"/>
      <c r="B244" s="1316"/>
      <c r="C244" s="12"/>
      <c r="D244" s="11"/>
      <c r="E244" s="10"/>
      <c r="F244" s="10"/>
      <c r="G244" s="9"/>
    </row>
    <row r="245" spans="1:7" ht="36" customHeight="1">
      <c r="A245" s="1301"/>
      <c r="B245" s="1314" t="s">
        <v>0</v>
      </c>
      <c r="C245" s="21"/>
      <c r="D245" s="22"/>
      <c r="E245" s="22"/>
      <c r="F245" s="18"/>
      <c r="G245" s="13"/>
    </row>
    <row r="246" spans="1:7" ht="36" customHeight="1">
      <c r="A246" s="1302"/>
      <c r="B246" s="1315"/>
      <c r="C246" s="21"/>
      <c r="D246" s="22"/>
      <c r="E246" s="22"/>
      <c r="F246" s="18"/>
      <c r="G246" s="13"/>
    </row>
    <row r="247" spans="1:7" ht="36" customHeight="1">
      <c r="A247" s="1302"/>
      <c r="B247" s="1315"/>
      <c r="C247" s="21"/>
      <c r="D247" s="20"/>
      <c r="E247" s="19"/>
      <c r="F247" s="18"/>
      <c r="G247" s="13"/>
    </row>
    <row r="248" spans="1:7" ht="36" customHeight="1" thickBot="1">
      <c r="A248" s="1302"/>
      <c r="B248" s="1315"/>
      <c r="C248" s="17"/>
      <c r="D248" s="16"/>
      <c r="E248" s="15"/>
      <c r="F248" s="14"/>
      <c r="G248" s="13"/>
    </row>
    <row r="249" spans="1:7" ht="36" customHeight="1" thickBot="1">
      <c r="A249" s="1303"/>
      <c r="B249" s="1316"/>
      <c r="C249" s="12"/>
      <c r="D249" s="11"/>
      <c r="E249" s="10"/>
      <c r="F249" s="10"/>
      <c r="G249" s="9"/>
    </row>
  </sheetData>
  <mergeCells count="126">
    <mergeCell ref="G159:G160"/>
    <mergeCell ref="F194:F195"/>
    <mergeCell ref="C194:C195"/>
    <mergeCell ref="G194:G195"/>
    <mergeCell ref="C182:C186"/>
    <mergeCell ref="F182:F186"/>
    <mergeCell ref="G182:G186"/>
    <mergeCell ref="C188:C189"/>
    <mergeCell ref="C124:C125"/>
    <mergeCell ref="G124:G125"/>
    <mergeCell ref="C127:C129"/>
    <mergeCell ref="C130:C131"/>
    <mergeCell ref="G130:G131"/>
    <mergeCell ref="C159:C160"/>
    <mergeCell ref="A115:A132"/>
    <mergeCell ref="B115:B132"/>
    <mergeCell ref="C95:C96"/>
    <mergeCell ref="C84:C85"/>
    <mergeCell ref="C97:C101"/>
    <mergeCell ref="C115:C121"/>
    <mergeCell ref="C88:C89"/>
    <mergeCell ref="C86:C87"/>
    <mergeCell ref="C67:C68"/>
    <mergeCell ref="A78:A94"/>
    <mergeCell ref="B78:B94"/>
    <mergeCell ref="C74:C75"/>
    <mergeCell ref="A95:A108"/>
    <mergeCell ref="B95:B108"/>
    <mergeCell ref="A109:A113"/>
    <mergeCell ref="B109:B113"/>
    <mergeCell ref="A114:G114"/>
    <mergeCell ref="G88:G89"/>
    <mergeCell ref="F88:F89"/>
    <mergeCell ref="G86:G87"/>
    <mergeCell ref="C78:C83"/>
    <mergeCell ref="B70:B77"/>
    <mergeCell ref="A70:A77"/>
    <mergeCell ref="C70:C71"/>
    <mergeCell ref="G67:G68"/>
    <mergeCell ref="B43:B52"/>
    <mergeCell ref="A58:G58"/>
    <mergeCell ref="G23:G25"/>
    <mergeCell ref="F23:F25"/>
    <mergeCell ref="C26:C28"/>
    <mergeCell ref="G26:G28"/>
    <mergeCell ref="G43:G44"/>
    <mergeCell ref="A43:A52"/>
    <mergeCell ref="C43:C44"/>
    <mergeCell ref="A59:A69"/>
    <mergeCell ref="B59:B69"/>
    <mergeCell ref="C59:C60"/>
    <mergeCell ref="C61:C63"/>
    <mergeCell ref="C45:C46"/>
    <mergeCell ref="C53:C54"/>
    <mergeCell ref="G45:G46"/>
    <mergeCell ref="G53:G54"/>
    <mergeCell ref="C64:C66"/>
    <mergeCell ref="A53:A57"/>
    <mergeCell ref="B53:B57"/>
    <mergeCell ref="F64:F66"/>
    <mergeCell ref="G64:G66"/>
    <mergeCell ref="A1:G1"/>
    <mergeCell ref="A2:A8"/>
    <mergeCell ref="B2:B8"/>
    <mergeCell ref="A9:A16"/>
    <mergeCell ref="B9:B16"/>
    <mergeCell ref="A17:A31"/>
    <mergeCell ref="B17:B31"/>
    <mergeCell ref="A32:A42"/>
    <mergeCell ref="B32:B42"/>
    <mergeCell ref="C23:C25"/>
    <mergeCell ref="C39:C40"/>
    <mergeCell ref="G18:G22"/>
    <mergeCell ref="C18:C22"/>
    <mergeCell ref="C10:C11"/>
    <mergeCell ref="G10:G11"/>
    <mergeCell ref="C35:C36"/>
    <mergeCell ref="C32:C33"/>
    <mergeCell ref="C72:C73"/>
    <mergeCell ref="A240:A244"/>
    <mergeCell ref="B240:B244"/>
    <mergeCell ref="A203:A214"/>
    <mergeCell ref="B203:B214"/>
    <mergeCell ref="A215:A223"/>
    <mergeCell ref="G136:G137"/>
    <mergeCell ref="C180:C181"/>
    <mergeCell ref="C157:C158"/>
    <mergeCell ref="G157:G158"/>
    <mergeCell ref="B180:B192"/>
    <mergeCell ref="A193:A202"/>
    <mergeCell ref="G188:G189"/>
    <mergeCell ref="A230:A234"/>
    <mergeCell ref="B230:B234"/>
    <mergeCell ref="A235:A239"/>
    <mergeCell ref="B235:B239"/>
    <mergeCell ref="C203:C205"/>
    <mergeCell ref="C215:C216"/>
    <mergeCell ref="C207:C208"/>
    <mergeCell ref="G207:G208"/>
    <mergeCell ref="C210:C211"/>
    <mergeCell ref="G210:G211"/>
    <mergeCell ref="G161:G162"/>
    <mergeCell ref="A245:A249"/>
    <mergeCell ref="B245:B249"/>
    <mergeCell ref="B215:B223"/>
    <mergeCell ref="A224:G224"/>
    <mergeCell ref="A225:A229"/>
    <mergeCell ref="B225:B229"/>
    <mergeCell ref="A168:A173"/>
    <mergeCell ref="B168:B173"/>
    <mergeCell ref="B133:B142"/>
    <mergeCell ref="C133:C134"/>
    <mergeCell ref="C143:C145"/>
    <mergeCell ref="C170:C171"/>
    <mergeCell ref="C136:C137"/>
    <mergeCell ref="A133:A142"/>
    <mergeCell ref="A143:A152"/>
    <mergeCell ref="B143:B152"/>
    <mergeCell ref="A153:A167"/>
    <mergeCell ref="B153:B167"/>
    <mergeCell ref="C154:C155"/>
    <mergeCell ref="B193:B202"/>
    <mergeCell ref="A174:G174"/>
    <mergeCell ref="A175:A179"/>
    <mergeCell ref="B175:B179"/>
    <mergeCell ref="A180:A192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4"/>
  <sheetViews>
    <sheetView topLeftCell="A137" zoomScale="70" zoomScaleNormal="70" zoomScaleSheetLayoutView="70" workbookViewId="0">
      <selection activeCell="C159" sqref="C159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" customWidth="1"/>
    <col min="9" max="16384" width="9" style="1"/>
  </cols>
  <sheetData>
    <row r="1" spans="1:7" s="2" customFormat="1" ht="60" customHeight="1" thickBot="1">
      <c r="A1" s="1298" t="s">
        <v>5</v>
      </c>
      <c r="B1" s="1299"/>
      <c r="C1" s="1299"/>
      <c r="D1" s="1299"/>
      <c r="E1" s="1299"/>
      <c r="F1" s="1299"/>
      <c r="G1" s="1300"/>
    </row>
    <row r="2" spans="1:7" ht="36" customHeight="1">
      <c r="A2" s="1301">
        <v>44595</v>
      </c>
      <c r="B2" s="1317" t="s">
        <v>1</v>
      </c>
      <c r="C2" s="1310" t="s">
        <v>70</v>
      </c>
      <c r="D2" s="27" t="s">
        <v>69</v>
      </c>
      <c r="E2" s="27" t="s">
        <v>27</v>
      </c>
      <c r="F2" s="26"/>
      <c r="G2" s="25"/>
    </row>
    <row r="3" spans="1:7" ht="36" customHeight="1">
      <c r="A3" s="1302"/>
      <c r="B3" s="1318"/>
      <c r="C3" s="1308"/>
      <c r="D3" s="27" t="s">
        <v>546</v>
      </c>
      <c r="E3" s="27" t="s">
        <v>67</v>
      </c>
      <c r="F3" s="26"/>
      <c r="G3" s="25"/>
    </row>
    <row r="4" spans="1:7" ht="36" customHeight="1">
      <c r="A4" s="1302"/>
      <c r="B4" s="1318"/>
      <c r="C4" s="1308"/>
      <c r="D4" s="27" t="s">
        <v>96</v>
      </c>
      <c r="E4" s="27" t="s">
        <v>27</v>
      </c>
      <c r="F4" s="26" t="s">
        <v>545</v>
      </c>
      <c r="G4" s="25"/>
    </row>
    <row r="5" spans="1:7" ht="36" customHeight="1">
      <c r="A5" s="1302"/>
      <c r="B5" s="1318"/>
      <c r="C5" s="1309"/>
      <c r="D5" s="27" t="s">
        <v>68</v>
      </c>
      <c r="E5" s="27" t="s">
        <v>67</v>
      </c>
      <c r="F5" s="26"/>
      <c r="G5" s="25"/>
    </row>
    <row r="6" spans="1:7" ht="30" customHeight="1">
      <c r="A6" s="1302"/>
      <c r="B6" s="1318"/>
      <c r="C6" s="42" t="s">
        <v>294</v>
      </c>
      <c r="D6" s="27" t="s">
        <v>528</v>
      </c>
      <c r="E6" s="27" t="s">
        <v>37</v>
      </c>
      <c r="F6" s="26"/>
      <c r="G6" s="25" t="s">
        <v>406</v>
      </c>
    </row>
    <row r="7" spans="1:7" ht="30" customHeight="1">
      <c r="A7" s="1302"/>
      <c r="B7" s="1318"/>
      <c r="C7" s="42" t="s">
        <v>308</v>
      </c>
      <c r="D7" s="40" t="s">
        <v>544</v>
      </c>
      <c r="E7" s="39" t="s">
        <v>35</v>
      </c>
      <c r="F7" s="26"/>
      <c r="G7" s="25"/>
    </row>
    <row r="8" spans="1:7" ht="30" customHeight="1">
      <c r="A8" s="1302"/>
      <c r="B8" s="1318"/>
      <c r="C8" s="42" t="s">
        <v>300</v>
      </c>
      <c r="D8" s="40" t="s">
        <v>109</v>
      </c>
      <c r="E8" s="39" t="s">
        <v>299</v>
      </c>
      <c r="F8" s="27" t="s">
        <v>298</v>
      </c>
      <c r="G8" s="41" t="s">
        <v>297</v>
      </c>
    </row>
    <row r="9" spans="1:7" ht="30" customHeight="1">
      <c r="A9" s="1302"/>
      <c r="B9" s="1318"/>
      <c r="C9" s="1308" t="s">
        <v>21</v>
      </c>
      <c r="D9" s="37" t="s">
        <v>28</v>
      </c>
      <c r="E9" s="36" t="s">
        <v>543</v>
      </c>
      <c r="F9" s="26"/>
      <c r="G9" s="45"/>
    </row>
    <row r="10" spans="1:7" ht="30" customHeight="1">
      <c r="A10" s="1302"/>
      <c r="B10" s="1318"/>
      <c r="C10" s="1308"/>
      <c r="D10" s="37" t="s">
        <v>31</v>
      </c>
      <c r="E10" s="36" t="s">
        <v>271</v>
      </c>
      <c r="F10" s="26" t="s">
        <v>122</v>
      </c>
      <c r="G10" s="45"/>
    </row>
    <row r="11" spans="1:7" ht="30" customHeight="1">
      <c r="A11" s="1302"/>
      <c r="B11" s="1318"/>
      <c r="C11" s="1308"/>
      <c r="D11" s="37" t="s">
        <v>17</v>
      </c>
      <c r="E11" s="36" t="s">
        <v>140</v>
      </c>
      <c r="F11" s="26"/>
      <c r="G11" s="45"/>
    </row>
    <row r="12" spans="1:7" ht="30" customHeight="1">
      <c r="A12" s="1302"/>
      <c r="B12" s="1318"/>
      <c r="C12" s="1309"/>
      <c r="D12" s="37" t="s">
        <v>193</v>
      </c>
      <c r="E12" s="36" t="s">
        <v>140</v>
      </c>
      <c r="F12" s="26"/>
      <c r="G12" s="45"/>
    </row>
    <row r="13" spans="1:7" ht="30" customHeight="1">
      <c r="A13" s="1302"/>
      <c r="B13" s="1318"/>
      <c r="C13" s="42" t="s">
        <v>542</v>
      </c>
      <c r="D13" s="40" t="s">
        <v>541</v>
      </c>
      <c r="E13" s="39" t="s">
        <v>540</v>
      </c>
      <c r="F13" s="27"/>
      <c r="G13" s="41" t="s">
        <v>539</v>
      </c>
    </row>
    <row r="14" spans="1:7" ht="30" customHeight="1" thickBot="1">
      <c r="A14" s="1302"/>
      <c r="B14" s="1318"/>
      <c r="C14" s="42" t="s">
        <v>538</v>
      </c>
      <c r="D14" s="40" t="s">
        <v>289</v>
      </c>
      <c r="E14" s="39" t="s">
        <v>108</v>
      </c>
      <c r="F14" s="27" t="s">
        <v>537</v>
      </c>
      <c r="G14" s="41" t="s">
        <v>297</v>
      </c>
    </row>
    <row r="15" spans="1:7" ht="30" hidden="1" customHeight="1" thickBot="1">
      <c r="A15" s="1302"/>
      <c r="B15" s="1318"/>
      <c r="C15" s="90"/>
      <c r="D15" s="59"/>
      <c r="E15" s="29"/>
      <c r="F15" s="58"/>
      <c r="G15" s="89"/>
    </row>
    <row r="16" spans="1:7" ht="30" customHeight="1" thickBot="1">
      <c r="A16" s="1303"/>
      <c r="B16" s="1319"/>
      <c r="C16" s="12" t="s">
        <v>536</v>
      </c>
      <c r="D16" s="11" t="s">
        <v>471</v>
      </c>
      <c r="E16" s="10" t="s">
        <v>535</v>
      </c>
      <c r="F16" s="10"/>
      <c r="G16" s="9"/>
    </row>
    <row r="17" spans="1:8" ht="30" customHeight="1">
      <c r="A17" s="1301">
        <v>44596</v>
      </c>
      <c r="B17" s="1314" t="s">
        <v>0</v>
      </c>
      <c r="C17" s="1307" t="s">
        <v>136</v>
      </c>
      <c r="D17" s="27" t="s">
        <v>42</v>
      </c>
      <c r="E17" s="27" t="s">
        <v>534</v>
      </c>
      <c r="F17" s="26"/>
      <c r="G17" s="25"/>
    </row>
    <row r="18" spans="1:8" ht="30" customHeight="1">
      <c r="A18" s="1302"/>
      <c r="B18" s="1315"/>
      <c r="C18" s="1308"/>
      <c r="D18" s="27" t="s">
        <v>86</v>
      </c>
      <c r="E18" s="27" t="s">
        <v>533</v>
      </c>
      <c r="F18" s="26"/>
      <c r="G18" s="25"/>
    </row>
    <row r="19" spans="1:8" ht="30" customHeight="1">
      <c r="A19" s="1302"/>
      <c r="B19" s="1315"/>
      <c r="C19" s="1309"/>
      <c r="D19" s="27" t="s">
        <v>532</v>
      </c>
      <c r="E19" s="27" t="s">
        <v>108</v>
      </c>
      <c r="F19" s="26"/>
      <c r="G19" s="25"/>
    </row>
    <row r="20" spans="1:8" ht="30" customHeight="1">
      <c r="A20" s="1302"/>
      <c r="B20" s="1315"/>
      <c r="C20" s="46" t="s">
        <v>145</v>
      </c>
      <c r="D20" s="27" t="s">
        <v>80</v>
      </c>
      <c r="E20" s="27" t="s">
        <v>119</v>
      </c>
      <c r="F20" s="26" t="s">
        <v>107</v>
      </c>
      <c r="G20" s="25" t="s">
        <v>323</v>
      </c>
      <c r="H20" s="2" t="s">
        <v>531</v>
      </c>
    </row>
    <row r="21" spans="1:8" ht="30" customHeight="1">
      <c r="A21" s="1302"/>
      <c r="B21" s="1315"/>
      <c r="C21" s="1310" t="s">
        <v>52</v>
      </c>
      <c r="D21" s="27" t="s">
        <v>231</v>
      </c>
      <c r="E21" s="27" t="s">
        <v>24</v>
      </c>
      <c r="F21" s="26"/>
      <c r="G21" s="1311" t="s">
        <v>34</v>
      </c>
    </row>
    <row r="22" spans="1:8" ht="30" customHeight="1" thickBot="1">
      <c r="A22" s="1302"/>
      <c r="B22" s="1315"/>
      <c r="C22" s="1309"/>
      <c r="D22" s="27" t="s">
        <v>530</v>
      </c>
      <c r="E22" s="27" t="s">
        <v>173</v>
      </c>
      <c r="F22" s="26"/>
      <c r="G22" s="1313"/>
    </row>
    <row r="23" spans="1:8" ht="30" hidden="1" customHeight="1">
      <c r="A23" s="1302"/>
      <c r="B23" s="1315"/>
      <c r="C23" s="23"/>
      <c r="D23" s="20"/>
      <c r="E23" s="19"/>
      <c r="F23" s="18"/>
      <c r="G23" s="13"/>
    </row>
    <row r="24" spans="1:8" ht="30" hidden="1" customHeight="1">
      <c r="A24" s="1302"/>
      <c r="B24" s="1315"/>
      <c r="C24" s="21"/>
      <c r="D24" s="22"/>
      <c r="E24" s="22"/>
      <c r="F24" s="18"/>
      <c r="G24" s="13"/>
    </row>
    <row r="25" spans="1:8" ht="30" hidden="1" customHeight="1">
      <c r="A25" s="1302"/>
      <c r="B25" s="1315"/>
      <c r="C25" s="21"/>
      <c r="D25" s="20"/>
      <c r="E25" s="19"/>
      <c r="F25" s="18"/>
      <c r="G25" s="13"/>
    </row>
    <row r="26" spans="1:8" ht="30" hidden="1" customHeight="1" thickBot="1">
      <c r="A26" s="1302"/>
      <c r="B26" s="1315"/>
      <c r="C26" s="17"/>
      <c r="D26" s="16"/>
      <c r="E26" s="15"/>
      <c r="F26" s="14"/>
      <c r="G26" s="13"/>
    </row>
    <row r="27" spans="1:8" ht="30" customHeight="1" thickBot="1">
      <c r="A27" s="1303"/>
      <c r="B27" s="1316"/>
      <c r="C27" s="12"/>
      <c r="D27" s="11"/>
      <c r="E27" s="10"/>
      <c r="F27" s="10"/>
      <c r="G27" s="9"/>
    </row>
    <row r="28" spans="1:8" ht="36" customHeight="1">
      <c r="A28" s="1301">
        <v>44597</v>
      </c>
      <c r="B28" s="1314" t="s">
        <v>529</v>
      </c>
      <c r="C28" s="1307" t="s">
        <v>294</v>
      </c>
      <c r="D28" s="27" t="s">
        <v>528</v>
      </c>
      <c r="E28" s="27" t="s">
        <v>401</v>
      </c>
      <c r="F28" s="26"/>
      <c r="G28" s="1322" t="s">
        <v>18</v>
      </c>
    </row>
    <row r="29" spans="1:8" ht="36" customHeight="1">
      <c r="A29" s="1302"/>
      <c r="B29" s="1315"/>
      <c r="C29" s="1309"/>
      <c r="D29" s="37" t="s">
        <v>31</v>
      </c>
      <c r="E29" s="27" t="s">
        <v>65</v>
      </c>
      <c r="F29" s="26" t="s">
        <v>157</v>
      </c>
      <c r="G29" s="1313"/>
    </row>
    <row r="30" spans="1:8" ht="36" customHeight="1">
      <c r="A30" s="1302"/>
      <c r="B30" s="1315"/>
      <c r="C30" s="21"/>
      <c r="D30" s="20"/>
      <c r="E30" s="19"/>
      <c r="F30" s="18"/>
      <c r="G30" s="13"/>
    </row>
    <row r="31" spans="1:8" ht="36" customHeight="1" thickBot="1">
      <c r="A31" s="1302"/>
      <c r="B31" s="1315"/>
      <c r="C31" s="17"/>
      <c r="D31" s="16"/>
      <c r="E31" s="15"/>
      <c r="F31" s="14"/>
      <c r="G31" s="13"/>
    </row>
    <row r="32" spans="1:8" ht="36" customHeight="1" thickBot="1">
      <c r="A32" s="1303"/>
      <c r="B32" s="1316"/>
      <c r="C32" s="12"/>
      <c r="D32" s="11"/>
      <c r="E32" s="10"/>
      <c r="F32" s="10"/>
      <c r="G32" s="9"/>
    </row>
    <row r="33" spans="1:8" ht="60" customHeight="1" thickBot="1">
      <c r="A33" s="1298" t="s">
        <v>5</v>
      </c>
      <c r="B33" s="1299"/>
      <c r="C33" s="1299"/>
      <c r="D33" s="1299"/>
      <c r="E33" s="1299"/>
      <c r="F33" s="1299"/>
      <c r="G33" s="1300"/>
    </row>
    <row r="34" spans="1:8" ht="36" customHeight="1">
      <c r="A34" s="1301">
        <v>44599</v>
      </c>
      <c r="B34" s="1314" t="s">
        <v>4</v>
      </c>
      <c r="C34" s="1307" t="s">
        <v>527</v>
      </c>
      <c r="D34" s="27" t="s">
        <v>526</v>
      </c>
      <c r="E34" s="27" t="s">
        <v>525</v>
      </c>
      <c r="F34" s="26"/>
      <c r="G34" s="25"/>
    </row>
    <row r="35" spans="1:8" ht="36" customHeight="1">
      <c r="A35" s="1302"/>
      <c r="B35" s="1315"/>
      <c r="C35" s="1308"/>
      <c r="D35" s="27" t="s">
        <v>524</v>
      </c>
      <c r="E35" s="27" t="s">
        <v>520</v>
      </c>
      <c r="F35" s="26"/>
      <c r="G35" s="25"/>
    </row>
    <row r="36" spans="1:8" ht="36" customHeight="1">
      <c r="A36" s="1302"/>
      <c r="B36" s="1315"/>
      <c r="C36" s="1308"/>
      <c r="D36" s="27" t="s">
        <v>523</v>
      </c>
      <c r="E36" s="27" t="s">
        <v>522</v>
      </c>
      <c r="F36" s="26"/>
      <c r="G36" s="25"/>
    </row>
    <row r="37" spans="1:8" ht="36" customHeight="1">
      <c r="A37" s="1302"/>
      <c r="B37" s="1315"/>
      <c r="C37" s="1308"/>
      <c r="D37" s="27" t="s">
        <v>521</v>
      </c>
      <c r="E37" s="27" t="s">
        <v>520</v>
      </c>
      <c r="F37" s="26"/>
      <c r="G37" s="25"/>
    </row>
    <row r="38" spans="1:8" ht="36" customHeight="1">
      <c r="A38" s="1302"/>
      <c r="B38" s="1315"/>
      <c r="C38" s="1309"/>
      <c r="D38" s="27" t="s">
        <v>109</v>
      </c>
      <c r="E38" s="27" t="s">
        <v>519</v>
      </c>
      <c r="F38" s="26" t="s">
        <v>157</v>
      </c>
      <c r="G38" s="25"/>
    </row>
    <row r="39" spans="1:8" ht="36" customHeight="1">
      <c r="A39" s="1302"/>
      <c r="B39" s="1315"/>
      <c r="C39" s="1310" t="s">
        <v>330</v>
      </c>
      <c r="D39" s="27" t="s">
        <v>101</v>
      </c>
      <c r="E39" s="27" t="s">
        <v>97</v>
      </c>
      <c r="F39" s="26"/>
      <c r="G39" s="25"/>
    </row>
    <row r="40" spans="1:8" ht="36" customHeight="1">
      <c r="A40" s="1302"/>
      <c r="B40" s="1315"/>
      <c r="C40" s="1308"/>
      <c r="D40" s="27" t="s">
        <v>96</v>
      </c>
      <c r="E40" s="27" t="s">
        <v>124</v>
      </c>
      <c r="F40" s="26"/>
      <c r="G40" s="25"/>
    </row>
    <row r="41" spans="1:8" ht="36" customHeight="1">
      <c r="A41" s="1302"/>
      <c r="B41" s="1315"/>
      <c r="C41" s="1309"/>
      <c r="D41" s="40" t="s">
        <v>80</v>
      </c>
      <c r="E41" s="39" t="s">
        <v>518</v>
      </c>
      <c r="F41" s="26"/>
      <c r="G41" s="25"/>
    </row>
    <row r="42" spans="1:8" ht="36" customHeight="1">
      <c r="A42" s="1302"/>
      <c r="B42" s="1315"/>
      <c r="C42" s="42" t="s">
        <v>267</v>
      </c>
      <c r="D42" s="40" t="s">
        <v>80</v>
      </c>
      <c r="E42" s="39" t="s">
        <v>517</v>
      </c>
      <c r="F42" s="27" t="s">
        <v>516</v>
      </c>
      <c r="G42" s="41" t="s">
        <v>229</v>
      </c>
    </row>
    <row r="43" spans="1:8" ht="36" customHeight="1">
      <c r="A43" s="1302"/>
      <c r="B43" s="1315"/>
      <c r="C43" s="1310" t="s">
        <v>21</v>
      </c>
      <c r="D43" s="37" t="s">
        <v>84</v>
      </c>
      <c r="E43" s="36" t="s">
        <v>97</v>
      </c>
      <c r="F43" s="26"/>
      <c r="G43" s="45"/>
    </row>
    <row r="44" spans="1:8" ht="36" customHeight="1">
      <c r="A44" s="1302"/>
      <c r="B44" s="1315"/>
      <c r="C44" s="1308"/>
      <c r="D44" s="37" t="s">
        <v>80</v>
      </c>
      <c r="E44" s="36" t="s">
        <v>65</v>
      </c>
      <c r="F44" s="26"/>
      <c r="G44" s="45"/>
    </row>
    <row r="45" spans="1:8" ht="36" customHeight="1">
      <c r="A45" s="1302"/>
      <c r="B45" s="1315"/>
      <c r="C45" s="1309"/>
      <c r="D45" s="37" t="s">
        <v>78</v>
      </c>
      <c r="E45" s="36" t="s">
        <v>65</v>
      </c>
      <c r="F45" s="26"/>
      <c r="G45" s="45"/>
    </row>
    <row r="46" spans="1:8" s="87" customFormat="1" ht="36" customHeight="1">
      <c r="A46" s="1302"/>
      <c r="B46" s="1315"/>
      <c r="C46" s="42" t="s">
        <v>54</v>
      </c>
      <c r="D46" s="27" t="s">
        <v>53</v>
      </c>
      <c r="E46" s="27" t="s">
        <v>37</v>
      </c>
      <c r="F46" s="27"/>
      <c r="G46" s="41" t="s">
        <v>18</v>
      </c>
      <c r="H46" s="88"/>
    </row>
    <row r="47" spans="1:8" ht="36" customHeight="1" thickBot="1">
      <c r="A47" s="1302"/>
      <c r="B47" s="1315"/>
      <c r="C47" s="31"/>
      <c r="D47" s="30"/>
      <c r="E47" s="29"/>
      <c r="F47" s="14"/>
      <c r="G47" s="28"/>
    </row>
    <row r="48" spans="1:8" ht="36" customHeight="1" thickBot="1">
      <c r="A48" s="1303"/>
      <c r="B48" s="1316"/>
      <c r="C48" s="12"/>
      <c r="D48" s="11"/>
      <c r="E48" s="10"/>
      <c r="F48" s="10"/>
      <c r="G48" s="9"/>
    </row>
    <row r="49" spans="1:8" ht="36" customHeight="1">
      <c r="A49" s="1301">
        <v>44600</v>
      </c>
      <c r="B49" s="1314" t="s">
        <v>3</v>
      </c>
      <c r="C49" s="1307" t="s">
        <v>11</v>
      </c>
      <c r="D49" s="27" t="s">
        <v>487</v>
      </c>
      <c r="E49" s="27" t="s">
        <v>103</v>
      </c>
      <c r="F49" s="26"/>
      <c r="G49" s="25"/>
    </row>
    <row r="50" spans="1:8" ht="36" customHeight="1">
      <c r="A50" s="1302"/>
      <c r="B50" s="1315"/>
      <c r="C50" s="1309"/>
      <c r="D50" s="27" t="s">
        <v>222</v>
      </c>
      <c r="E50" s="27" t="s">
        <v>131</v>
      </c>
      <c r="F50" s="26"/>
      <c r="G50" s="25"/>
    </row>
    <row r="51" spans="1:8" ht="36" customHeight="1">
      <c r="A51" s="1302"/>
      <c r="B51" s="1315"/>
      <c r="C51" s="42" t="s">
        <v>515</v>
      </c>
      <c r="D51" s="27" t="s">
        <v>514</v>
      </c>
      <c r="E51" s="27" t="s">
        <v>245</v>
      </c>
      <c r="F51" s="26" t="s">
        <v>513</v>
      </c>
      <c r="G51" s="25" t="s">
        <v>39</v>
      </c>
    </row>
    <row r="52" spans="1:8" ht="36" customHeight="1">
      <c r="A52" s="1302"/>
      <c r="B52" s="1315"/>
      <c r="C52" s="42" t="s">
        <v>512</v>
      </c>
      <c r="D52" s="27" t="s">
        <v>80</v>
      </c>
      <c r="E52" s="27" t="s">
        <v>65</v>
      </c>
      <c r="F52" s="26"/>
      <c r="G52" s="25"/>
      <c r="H52" s="2" t="s">
        <v>381</v>
      </c>
    </row>
    <row r="53" spans="1:8" ht="36" customHeight="1">
      <c r="A53" s="1302"/>
      <c r="B53" s="1315"/>
      <c r="C53" s="42" t="s">
        <v>102</v>
      </c>
      <c r="D53" s="27" t="s">
        <v>96</v>
      </c>
      <c r="E53" s="27" t="s">
        <v>37</v>
      </c>
      <c r="F53" s="27" t="s">
        <v>511</v>
      </c>
      <c r="G53" s="41"/>
    </row>
    <row r="54" spans="1:8" ht="36" customHeight="1">
      <c r="A54" s="1302"/>
      <c r="B54" s="1315"/>
      <c r="C54" s="52" t="s">
        <v>184</v>
      </c>
      <c r="D54" s="44" t="s">
        <v>510</v>
      </c>
      <c r="E54" s="43" t="s">
        <v>37</v>
      </c>
      <c r="F54" s="49"/>
      <c r="G54" s="69" t="s">
        <v>39</v>
      </c>
    </row>
    <row r="55" spans="1:8" ht="36" customHeight="1" thickBot="1">
      <c r="A55" s="1302"/>
      <c r="B55" s="1315"/>
      <c r="C55" s="76" t="s">
        <v>36</v>
      </c>
      <c r="D55" s="75" t="s">
        <v>84</v>
      </c>
      <c r="E55" s="74" t="s">
        <v>35</v>
      </c>
      <c r="F55" s="73"/>
      <c r="G55" s="72" t="s">
        <v>39</v>
      </c>
      <c r="H55" s="2" t="s">
        <v>509</v>
      </c>
    </row>
    <row r="56" spans="1:8" ht="36" customHeight="1" thickBot="1">
      <c r="A56" s="1303"/>
      <c r="B56" s="1316"/>
      <c r="C56" s="12"/>
      <c r="D56" s="11"/>
      <c r="E56" s="10"/>
      <c r="F56" s="10"/>
      <c r="G56" s="9"/>
    </row>
    <row r="57" spans="1:8" ht="36" customHeight="1">
      <c r="A57" s="1301">
        <v>44601</v>
      </c>
      <c r="B57" s="1314" t="s">
        <v>247</v>
      </c>
      <c r="C57" s="1307" t="s">
        <v>36</v>
      </c>
      <c r="D57" s="27" t="s">
        <v>109</v>
      </c>
      <c r="E57" s="27" t="s">
        <v>467</v>
      </c>
      <c r="F57" s="26"/>
      <c r="G57" s="1322" t="s">
        <v>39</v>
      </c>
    </row>
    <row r="58" spans="1:8" ht="36" customHeight="1">
      <c r="A58" s="1302"/>
      <c r="B58" s="1315"/>
      <c r="C58" s="1308"/>
      <c r="D58" s="27" t="s">
        <v>78</v>
      </c>
      <c r="E58" s="27" t="s">
        <v>508</v>
      </c>
      <c r="F58" s="26"/>
      <c r="G58" s="1312"/>
    </row>
    <row r="59" spans="1:8" ht="36" customHeight="1">
      <c r="A59" s="1302"/>
      <c r="B59" s="1315"/>
      <c r="C59" s="1308"/>
      <c r="D59" s="40" t="s">
        <v>28</v>
      </c>
      <c r="E59" s="39" t="s">
        <v>507</v>
      </c>
      <c r="F59" s="26"/>
      <c r="G59" s="1313"/>
    </row>
    <row r="60" spans="1:8" ht="36" customHeight="1">
      <c r="A60" s="1302"/>
      <c r="B60" s="1315"/>
      <c r="C60" s="1310" t="s">
        <v>129</v>
      </c>
      <c r="D60" s="37" t="s">
        <v>506</v>
      </c>
      <c r="E60" s="36" t="s">
        <v>37</v>
      </c>
      <c r="F60" s="26"/>
      <c r="G60" s="45"/>
    </row>
    <row r="61" spans="1:8" ht="36" customHeight="1">
      <c r="A61" s="1302"/>
      <c r="B61" s="1315"/>
      <c r="C61" s="1309"/>
      <c r="D61" s="37" t="s">
        <v>31</v>
      </c>
      <c r="E61" s="36" t="s">
        <v>505</v>
      </c>
      <c r="F61" s="26" t="s">
        <v>122</v>
      </c>
      <c r="G61" s="45"/>
    </row>
    <row r="62" spans="1:8" ht="36" customHeight="1">
      <c r="A62" s="1302"/>
      <c r="B62" s="1315"/>
      <c r="C62" s="52" t="s">
        <v>504</v>
      </c>
      <c r="D62" s="44" t="s">
        <v>80</v>
      </c>
      <c r="E62" s="43" t="s">
        <v>503</v>
      </c>
      <c r="F62" s="49" t="s">
        <v>502</v>
      </c>
      <c r="G62" s="69" t="s">
        <v>501</v>
      </c>
    </row>
    <row r="63" spans="1:8" s="87" customFormat="1" ht="30" customHeight="1" thickBot="1">
      <c r="A63" s="1302"/>
      <c r="B63" s="1315"/>
      <c r="C63" s="68"/>
      <c r="D63" s="67"/>
      <c r="E63" s="19"/>
      <c r="F63" s="66"/>
      <c r="G63" s="65"/>
      <c r="H63" s="88"/>
    </row>
    <row r="64" spans="1:8" ht="36" customHeight="1" thickBot="1">
      <c r="A64" s="1303"/>
      <c r="B64" s="1316"/>
      <c r="C64" s="12"/>
      <c r="D64" s="11"/>
      <c r="E64" s="10"/>
      <c r="F64" s="10"/>
      <c r="G64" s="9"/>
    </row>
    <row r="65" spans="1:8" ht="36" customHeight="1">
      <c r="A65" s="1301">
        <v>44602</v>
      </c>
      <c r="B65" s="1314" t="s">
        <v>1</v>
      </c>
      <c r="C65" s="42" t="s">
        <v>11</v>
      </c>
      <c r="D65" s="27" t="s">
        <v>86</v>
      </c>
      <c r="E65" s="27" t="s">
        <v>500</v>
      </c>
      <c r="F65" s="26"/>
      <c r="G65" s="25"/>
    </row>
    <row r="66" spans="1:8" ht="36" customHeight="1">
      <c r="A66" s="1302"/>
      <c r="B66" s="1315"/>
      <c r="C66" s="42" t="s">
        <v>499</v>
      </c>
      <c r="D66" s="27" t="s">
        <v>169</v>
      </c>
      <c r="E66" s="27" t="s">
        <v>382</v>
      </c>
      <c r="F66" s="26"/>
      <c r="G66" s="25"/>
    </row>
    <row r="67" spans="1:8" ht="36" customHeight="1">
      <c r="A67" s="1302"/>
      <c r="B67" s="1315"/>
      <c r="C67" s="42" t="s">
        <v>134</v>
      </c>
      <c r="D67" s="27" t="s">
        <v>498</v>
      </c>
      <c r="E67" s="27" t="s">
        <v>131</v>
      </c>
      <c r="F67" s="26" t="s">
        <v>130</v>
      </c>
      <c r="G67" s="41" t="s">
        <v>497</v>
      </c>
    </row>
    <row r="68" spans="1:8" ht="36" customHeight="1">
      <c r="A68" s="1302"/>
      <c r="B68" s="1315"/>
      <c r="C68" s="42"/>
      <c r="D68" s="40" t="s">
        <v>496</v>
      </c>
      <c r="E68" s="39"/>
      <c r="F68" s="26"/>
      <c r="G68" s="25"/>
    </row>
    <row r="69" spans="1:8" ht="36" customHeight="1">
      <c r="A69" s="1302"/>
      <c r="B69" s="1315"/>
      <c r="C69" s="42" t="s">
        <v>300</v>
      </c>
      <c r="D69" s="40" t="s">
        <v>109</v>
      </c>
      <c r="E69" s="39" t="s">
        <v>299</v>
      </c>
      <c r="F69" s="27" t="s">
        <v>298</v>
      </c>
      <c r="G69" s="41" t="s">
        <v>297</v>
      </c>
    </row>
    <row r="70" spans="1:8" ht="36" customHeight="1" thickBot="1">
      <c r="A70" s="1302"/>
      <c r="B70" s="1315"/>
      <c r="C70" s="31"/>
      <c r="D70" s="30"/>
      <c r="E70" s="29"/>
      <c r="F70" s="14"/>
      <c r="G70" s="28"/>
    </row>
    <row r="71" spans="1:8" ht="36" customHeight="1" thickBot="1">
      <c r="A71" s="1303"/>
      <c r="B71" s="1316"/>
      <c r="C71" s="12"/>
      <c r="D71" s="11"/>
      <c r="E71" s="10"/>
      <c r="F71" s="10"/>
      <c r="G71" s="9"/>
    </row>
    <row r="72" spans="1:8" ht="36" customHeight="1">
      <c r="A72" s="1301">
        <v>44603</v>
      </c>
      <c r="B72" s="1314" t="s">
        <v>0</v>
      </c>
      <c r="C72" s="1307" t="s">
        <v>11</v>
      </c>
      <c r="D72" s="27" t="s">
        <v>86</v>
      </c>
      <c r="E72" s="27" t="s">
        <v>495</v>
      </c>
      <c r="F72" s="26"/>
      <c r="G72" s="25"/>
    </row>
    <row r="73" spans="1:8" s="87" customFormat="1" ht="36" customHeight="1">
      <c r="A73" s="1302"/>
      <c r="B73" s="1315"/>
      <c r="C73" s="1309"/>
      <c r="D73" s="27" t="s">
        <v>38</v>
      </c>
      <c r="E73" s="27" t="s">
        <v>494</v>
      </c>
      <c r="F73" s="27"/>
      <c r="G73" s="41"/>
      <c r="H73" s="88"/>
    </row>
    <row r="74" spans="1:8" ht="36" customHeight="1">
      <c r="A74" s="1302"/>
      <c r="B74" s="1315"/>
      <c r="C74" s="42" t="s">
        <v>308</v>
      </c>
      <c r="D74" s="40" t="s">
        <v>307</v>
      </c>
      <c r="E74" s="39" t="s">
        <v>306</v>
      </c>
      <c r="F74" s="27"/>
      <c r="G74" s="1311" t="s">
        <v>159</v>
      </c>
    </row>
    <row r="75" spans="1:8" ht="36" customHeight="1">
      <c r="A75" s="1302"/>
      <c r="B75" s="1315"/>
      <c r="C75" s="1310" t="s">
        <v>303</v>
      </c>
      <c r="D75" s="37" t="s">
        <v>493</v>
      </c>
      <c r="E75" s="36" t="s">
        <v>268</v>
      </c>
      <c r="F75" s="27"/>
      <c r="G75" s="1312"/>
    </row>
    <row r="76" spans="1:8" ht="36" customHeight="1">
      <c r="A76" s="1302"/>
      <c r="B76" s="1315"/>
      <c r="C76" s="1309"/>
      <c r="D76" s="37" t="s">
        <v>492</v>
      </c>
      <c r="E76" s="36" t="s">
        <v>311</v>
      </c>
      <c r="F76" s="26"/>
      <c r="G76" s="1313"/>
    </row>
    <row r="77" spans="1:8" ht="36" customHeight="1">
      <c r="A77" s="1302"/>
      <c r="B77" s="1315"/>
      <c r="C77" s="1310" t="s">
        <v>52</v>
      </c>
      <c r="D77" s="37" t="s">
        <v>101</v>
      </c>
      <c r="E77" s="36" t="s">
        <v>24</v>
      </c>
      <c r="F77" s="26"/>
      <c r="G77" s="45"/>
    </row>
    <row r="78" spans="1:8" ht="36" customHeight="1">
      <c r="A78" s="1302"/>
      <c r="B78" s="1315"/>
      <c r="C78" s="1308"/>
      <c r="D78" s="37" t="s">
        <v>96</v>
      </c>
      <c r="E78" s="36" t="s">
        <v>147</v>
      </c>
      <c r="F78" s="26"/>
      <c r="G78" s="45"/>
    </row>
    <row r="79" spans="1:8" ht="36" customHeight="1">
      <c r="A79" s="1302"/>
      <c r="B79" s="1315"/>
      <c r="C79" s="1308"/>
      <c r="D79" s="37" t="s">
        <v>80</v>
      </c>
      <c r="E79" s="36" t="s">
        <v>79</v>
      </c>
      <c r="F79" s="26" t="s">
        <v>157</v>
      </c>
      <c r="G79" s="45"/>
    </row>
    <row r="80" spans="1:8" ht="36" customHeight="1">
      <c r="A80" s="1302"/>
      <c r="B80" s="1315"/>
      <c r="C80" s="1308"/>
      <c r="D80" s="37" t="s">
        <v>78</v>
      </c>
      <c r="E80" s="36" t="s">
        <v>260</v>
      </c>
      <c r="F80" s="26"/>
      <c r="G80" s="45"/>
    </row>
    <row r="81" spans="1:21" ht="36" customHeight="1">
      <c r="A81" s="1302"/>
      <c r="B81" s="1315"/>
      <c r="C81" s="1309"/>
      <c r="D81" s="37" t="s">
        <v>491</v>
      </c>
      <c r="E81" s="36" t="s">
        <v>438</v>
      </c>
      <c r="F81" s="26" t="s">
        <v>490</v>
      </c>
      <c r="G81" s="45" t="s">
        <v>29</v>
      </c>
      <c r="H81" s="2" t="s">
        <v>349</v>
      </c>
    </row>
    <row r="82" spans="1:21" ht="36" customHeight="1" thickBot="1">
      <c r="A82" s="1302"/>
      <c r="B82" s="1315"/>
      <c r="C82" s="46" t="s">
        <v>110</v>
      </c>
      <c r="D82" s="37" t="s">
        <v>109</v>
      </c>
      <c r="E82" s="36" t="s">
        <v>16</v>
      </c>
      <c r="F82" s="26" t="s">
        <v>107</v>
      </c>
      <c r="G82" s="45" t="s">
        <v>106</v>
      </c>
      <c r="H82" s="2" t="s">
        <v>489</v>
      </c>
    </row>
    <row r="83" spans="1:21" ht="36" hidden="1" customHeight="1" thickBot="1">
      <c r="A83" s="1302"/>
      <c r="B83" s="1315"/>
      <c r="C83" s="60"/>
      <c r="D83" s="59"/>
      <c r="E83" s="29"/>
      <c r="F83" s="14"/>
      <c r="G83" s="95"/>
    </row>
    <row r="84" spans="1:21" ht="36" customHeight="1" thickBot="1">
      <c r="A84" s="1302"/>
      <c r="B84" s="1315"/>
      <c r="C84" s="12" t="s">
        <v>94</v>
      </c>
      <c r="D84" s="11" t="s">
        <v>14</v>
      </c>
      <c r="E84" s="10" t="s">
        <v>93</v>
      </c>
      <c r="F84" s="10" t="s">
        <v>488</v>
      </c>
      <c r="G84" s="9"/>
    </row>
    <row r="85" spans="1:21" ht="60" customHeight="1" thickBot="1">
      <c r="A85" s="1298" t="s">
        <v>5</v>
      </c>
      <c r="B85" s="1299"/>
      <c r="C85" s="1299"/>
      <c r="D85" s="1299"/>
      <c r="E85" s="1299"/>
      <c r="F85" s="1299"/>
      <c r="G85" s="1300"/>
    </row>
    <row r="86" spans="1:21" ht="36" customHeight="1">
      <c r="A86" s="1301">
        <v>44606</v>
      </c>
      <c r="B86" s="1317" t="s">
        <v>4</v>
      </c>
      <c r="C86" s="53" t="s">
        <v>11</v>
      </c>
      <c r="D86" s="94" t="s">
        <v>487</v>
      </c>
      <c r="E86" s="93" t="s">
        <v>486</v>
      </c>
      <c r="F86" s="71"/>
      <c r="G86" s="92"/>
    </row>
    <row r="87" spans="1:21" ht="36" customHeight="1">
      <c r="A87" s="1302"/>
      <c r="B87" s="1318"/>
      <c r="C87" s="1308" t="s">
        <v>485</v>
      </c>
      <c r="D87" s="26" t="s">
        <v>484</v>
      </c>
      <c r="E87" s="26" t="s">
        <v>299</v>
      </c>
      <c r="F87" s="26"/>
      <c r="G87" s="1312" t="s">
        <v>483</v>
      </c>
      <c r="H87" s="1330" t="s">
        <v>482</v>
      </c>
      <c r="I87" s="1331"/>
      <c r="J87" s="1331"/>
      <c r="K87" s="1331"/>
      <c r="L87" s="1331"/>
      <c r="M87" s="1331"/>
      <c r="N87" s="1331"/>
      <c r="O87" s="1331"/>
      <c r="P87" s="1331"/>
      <c r="Q87" s="1331"/>
      <c r="R87" s="1331"/>
      <c r="S87" s="1331"/>
      <c r="T87" s="1331"/>
      <c r="U87" s="1331"/>
    </row>
    <row r="88" spans="1:21" ht="36" customHeight="1">
      <c r="A88" s="1302"/>
      <c r="B88" s="1318"/>
      <c r="C88" s="1309"/>
      <c r="D88" s="27" t="s">
        <v>109</v>
      </c>
      <c r="E88" s="27" t="s">
        <v>311</v>
      </c>
      <c r="F88" s="26" t="s">
        <v>481</v>
      </c>
      <c r="G88" s="1313"/>
      <c r="H88" s="1330"/>
      <c r="I88" s="1331"/>
      <c r="J88" s="1331"/>
      <c r="K88" s="1331"/>
      <c r="L88" s="1331"/>
      <c r="M88" s="1331"/>
      <c r="N88" s="1331"/>
      <c r="O88" s="1331"/>
      <c r="P88" s="1331"/>
      <c r="Q88" s="1331"/>
      <c r="R88" s="1331"/>
      <c r="S88" s="1331"/>
      <c r="T88" s="1331"/>
      <c r="U88" s="1331"/>
    </row>
    <row r="89" spans="1:21" ht="36" customHeight="1">
      <c r="A89" s="1302"/>
      <c r="B89" s="1318"/>
      <c r="C89" s="1310" t="s">
        <v>167</v>
      </c>
      <c r="D89" s="40" t="s">
        <v>480</v>
      </c>
      <c r="E89" s="39" t="s">
        <v>97</v>
      </c>
      <c r="F89" s="27"/>
      <c r="G89" s="41"/>
    </row>
    <row r="90" spans="1:21" ht="36" customHeight="1">
      <c r="A90" s="1302"/>
      <c r="B90" s="1318"/>
      <c r="C90" s="1308"/>
      <c r="D90" s="37" t="s">
        <v>249</v>
      </c>
      <c r="E90" s="36" t="s">
        <v>377</v>
      </c>
      <c r="F90" s="26"/>
      <c r="G90" s="45"/>
    </row>
    <row r="91" spans="1:21" ht="36" customHeight="1">
      <c r="A91" s="1302"/>
      <c r="B91" s="1318"/>
      <c r="C91" s="1308"/>
      <c r="D91" s="37" t="s">
        <v>189</v>
      </c>
      <c r="E91" s="36" t="s">
        <v>244</v>
      </c>
      <c r="F91" s="26"/>
      <c r="G91" s="45"/>
    </row>
    <row r="92" spans="1:21" ht="36" customHeight="1">
      <c r="A92" s="1302"/>
      <c r="B92" s="1318"/>
      <c r="C92" s="1309"/>
      <c r="D92" s="37" t="s">
        <v>333</v>
      </c>
      <c r="E92" s="36" t="s">
        <v>175</v>
      </c>
      <c r="F92" s="26"/>
      <c r="G92" s="45"/>
    </row>
    <row r="93" spans="1:21" ht="36" customHeight="1">
      <c r="A93" s="1302"/>
      <c r="B93" s="1318"/>
      <c r="C93" s="1310" t="s">
        <v>184</v>
      </c>
      <c r="D93" s="37" t="s">
        <v>479</v>
      </c>
      <c r="E93" s="36" t="s">
        <v>377</v>
      </c>
      <c r="F93" s="1323" t="s">
        <v>460</v>
      </c>
      <c r="G93" s="1311" t="s">
        <v>229</v>
      </c>
    </row>
    <row r="94" spans="1:21" ht="36" customHeight="1">
      <c r="A94" s="1302"/>
      <c r="B94" s="1318"/>
      <c r="C94" s="1308"/>
      <c r="D94" s="37" t="s">
        <v>478</v>
      </c>
      <c r="E94" s="36" t="s">
        <v>377</v>
      </c>
      <c r="F94" s="1320"/>
      <c r="G94" s="1312"/>
    </row>
    <row r="95" spans="1:21" ht="36" customHeight="1">
      <c r="A95" s="1302"/>
      <c r="B95" s="1318"/>
      <c r="C95" s="1309"/>
      <c r="D95" s="37" t="s">
        <v>477</v>
      </c>
      <c r="E95" s="36" t="s">
        <v>103</v>
      </c>
      <c r="F95" s="1321"/>
      <c r="G95" s="1313"/>
    </row>
    <row r="96" spans="1:21" ht="36" hidden="1" customHeight="1">
      <c r="A96" s="1302"/>
      <c r="B96" s="1318"/>
      <c r="C96" s="64"/>
      <c r="D96" s="63"/>
      <c r="E96" s="33"/>
      <c r="F96" s="62"/>
      <c r="G96" s="61"/>
    </row>
    <row r="97" spans="1:8" ht="36" hidden="1" customHeight="1">
      <c r="A97" s="1302"/>
      <c r="B97" s="1318"/>
      <c r="C97" s="64"/>
      <c r="D97" s="63"/>
      <c r="E97" s="33"/>
      <c r="F97" s="62"/>
      <c r="G97" s="61"/>
    </row>
    <row r="98" spans="1:8" ht="36" hidden="1" customHeight="1" thickBot="1">
      <c r="A98" s="1302"/>
      <c r="B98" s="1318"/>
      <c r="C98" s="31"/>
      <c r="D98" s="30"/>
      <c r="E98" s="29"/>
      <c r="F98" s="14"/>
      <c r="G98" s="28"/>
    </row>
    <row r="99" spans="1:8" ht="36" customHeight="1">
      <c r="A99" s="1302"/>
      <c r="B99" s="1318"/>
      <c r="C99" s="46" t="s">
        <v>36</v>
      </c>
      <c r="D99" s="37" t="s">
        <v>476</v>
      </c>
      <c r="E99" s="36" t="s">
        <v>162</v>
      </c>
      <c r="F99" s="26"/>
      <c r="G99" s="45"/>
    </row>
    <row r="100" spans="1:8" ht="36" customHeight="1">
      <c r="A100" s="1302"/>
      <c r="B100" s="1318"/>
      <c r="C100" s="46" t="s">
        <v>475</v>
      </c>
      <c r="D100" s="37" t="s">
        <v>109</v>
      </c>
      <c r="E100" s="36" t="s">
        <v>474</v>
      </c>
      <c r="F100" s="26" t="s">
        <v>112</v>
      </c>
      <c r="G100" s="45" t="s">
        <v>106</v>
      </c>
      <c r="H100" s="2" t="s">
        <v>111</v>
      </c>
    </row>
    <row r="101" spans="1:8" ht="36" customHeight="1">
      <c r="A101" s="1302"/>
      <c r="B101" s="1318"/>
      <c r="C101" s="42" t="s">
        <v>143</v>
      </c>
      <c r="D101" s="40" t="s">
        <v>109</v>
      </c>
      <c r="E101" s="39" t="s">
        <v>140</v>
      </c>
      <c r="F101" s="27" t="s">
        <v>107</v>
      </c>
      <c r="G101" s="41" t="s">
        <v>106</v>
      </c>
      <c r="H101" s="2" t="s">
        <v>473</v>
      </c>
    </row>
    <row r="102" spans="1:8" ht="36" customHeight="1">
      <c r="A102" s="1302"/>
      <c r="B102" s="1318"/>
      <c r="C102" s="1310" t="s">
        <v>21</v>
      </c>
      <c r="D102" s="40" t="s">
        <v>109</v>
      </c>
      <c r="E102" s="39" t="s">
        <v>65</v>
      </c>
      <c r="F102" s="27" t="s">
        <v>107</v>
      </c>
      <c r="G102" s="1311" t="s">
        <v>18</v>
      </c>
    </row>
    <row r="103" spans="1:8" ht="36" customHeight="1" thickBot="1">
      <c r="A103" s="1302"/>
      <c r="B103" s="1318"/>
      <c r="C103" s="1324"/>
      <c r="D103" s="44" t="s">
        <v>192</v>
      </c>
      <c r="E103" s="43" t="s">
        <v>79</v>
      </c>
      <c r="F103" s="49"/>
      <c r="G103" s="1325"/>
    </row>
    <row r="104" spans="1:8" ht="36" customHeight="1" thickBot="1">
      <c r="A104" s="1302"/>
      <c r="B104" s="1318"/>
      <c r="C104" s="12" t="s">
        <v>94</v>
      </c>
      <c r="D104" s="11" t="s">
        <v>471</v>
      </c>
      <c r="E104" s="10" t="s">
        <v>472</v>
      </c>
      <c r="F104" s="10" t="s">
        <v>43</v>
      </c>
      <c r="G104" s="9"/>
    </row>
    <row r="105" spans="1:8" ht="36" customHeight="1" thickBot="1">
      <c r="A105" s="1303"/>
      <c r="B105" s="1319"/>
      <c r="C105" s="12" t="s">
        <v>203</v>
      </c>
      <c r="D105" s="11" t="s">
        <v>471</v>
      </c>
      <c r="E105" s="10" t="s">
        <v>470</v>
      </c>
      <c r="F105" s="10" t="s">
        <v>422</v>
      </c>
      <c r="G105" s="9"/>
    </row>
    <row r="106" spans="1:8" ht="36" customHeight="1">
      <c r="A106" s="1301">
        <v>44607</v>
      </c>
      <c r="B106" s="1318" t="s">
        <v>88</v>
      </c>
      <c r="C106" s="56" t="s">
        <v>11</v>
      </c>
      <c r="D106" s="94" t="s">
        <v>86</v>
      </c>
      <c r="E106" s="93" t="s">
        <v>469</v>
      </c>
      <c r="F106" s="71"/>
      <c r="G106" s="92"/>
    </row>
    <row r="107" spans="1:8" ht="36" customHeight="1">
      <c r="A107" s="1302"/>
      <c r="B107" s="1318"/>
      <c r="C107" s="42" t="s">
        <v>468</v>
      </c>
      <c r="D107" s="27" t="s">
        <v>80</v>
      </c>
      <c r="E107" s="27" t="s">
        <v>467</v>
      </c>
      <c r="F107" s="26" t="s">
        <v>139</v>
      </c>
      <c r="G107" s="25"/>
    </row>
    <row r="108" spans="1:8" ht="48" customHeight="1">
      <c r="A108" s="1302"/>
      <c r="B108" s="1318"/>
      <c r="C108" s="42" t="s">
        <v>466</v>
      </c>
      <c r="D108" s="27" t="s">
        <v>465</v>
      </c>
      <c r="E108" s="27" t="s">
        <v>464</v>
      </c>
      <c r="F108" s="26"/>
      <c r="G108" s="91" t="s">
        <v>463</v>
      </c>
      <c r="H108" s="2" t="s">
        <v>462</v>
      </c>
    </row>
    <row r="109" spans="1:8" ht="36" customHeight="1">
      <c r="A109" s="1302"/>
      <c r="B109" s="1318"/>
      <c r="C109" s="1310" t="s">
        <v>184</v>
      </c>
      <c r="D109" s="37" t="s">
        <v>461</v>
      </c>
      <c r="E109" s="36" t="s">
        <v>97</v>
      </c>
      <c r="F109" s="1323" t="s">
        <v>460</v>
      </c>
      <c r="G109" s="1311" t="s">
        <v>229</v>
      </c>
    </row>
    <row r="110" spans="1:8" ht="36" customHeight="1">
      <c r="A110" s="1302"/>
      <c r="B110" s="1318"/>
      <c r="C110" s="1309"/>
      <c r="D110" s="37" t="s">
        <v>459</v>
      </c>
      <c r="E110" s="36" t="s">
        <v>97</v>
      </c>
      <c r="F110" s="1321"/>
      <c r="G110" s="1313"/>
    </row>
    <row r="111" spans="1:8" s="87" customFormat="1" ht="36" customHeight="1">
      <c r="A111" s="1302"/>
      <c r="B111" s="1318"/>
      <c r="C111" s="1310" t="s">
        <v>52</v>
      </c>
      <c r="D111" s="37" t="s">
        <v>277</v>
      </c>
      <c r="E111" s="36" t="s">
        <v>97</v>
      </c>
      <c r="F111" s="26"/>
      <c r="G111" s="41"/>
      <c r="H111" s="88"/>
    </row>
    <row r="112" spans="1:8" s="87" customFormat="1" ht="36" customHeight="1">
      <c r="A112" s="1302"/>
      <c r="B112" s="1318"/>
      <c r="C112" s="1308"/>
      <c r="D112" s="37" t="s">
        <v>101</v>
      </c>
      <c r="E112" s="36" t="s">
        <v>97</v>
      </c>
      <c r="F112" s="26"/>
      <c r="G112" s="69"/>
      <c r="H112" s="88"/>
    </row>
    <row r="113" spans="1:8" ht="36" customHeight="1">
      <c r="A113" s="1302"/>
      <c r="B113" s="1318"/>
      <c r="C113" s="1308"/>
      <c r="D113" s="40" t="s">
        <v>80</v>
      </c>
      <c r="E113" s="39" t="s">
        <v>19</v>
      </c>
      <c r="F113" s="26" t="s">
        <v>157</v>
      </c>
      <c r="G113" s="25"/>
    </row>
    <row r="114" spans="1:8" ht="36" customHeight="1">
      <c r="A114" s="1302"/>
      <c r="B114" s="1318"/>
      <c r="C114" s="1309"/>
      <c r="D114" s="37" t="s">
        <v>101</v>
      </c>
      <c r="E114" s="54" t="s">
        <v>334</v>
      </c>
      <c r="F114" s="27" t="s">
        <v>458</v>
      </c>
      <c r="G114" s="25" t="s">
        <v>29</v>
      </c>
      <c r="H114" s="2" t="s">
        <v>457</v>
      </c>
    </row>
    <row r="115" spans="1:8" ht="36" customHeight="1">
      <c r="A115" s="1302"/>
      <c r="B115" s="1318"/>
      <c r="C115" s="42" t="s">
        <v>456</v>
      </c>
      <c r="D115" s="40" t="s">
        <v>109</v>
      </c>
      <c r="E115" s="39" t="s">
        <v>299</v>
      </c>
      <c r="F115" s="27" t="s">
        <v>298</v>
      </c>
      <c r="G115" s="41" t="s">
        <v>297</v>
      </c>
    </row>
    <row r="116" spans="1:8" ht="36" customHeight="1" thickBot="1">
      <c r="A116" s="1302"/>
      <c r="B116" s="1318"/>
      <c r="C116" s="52" t="s">
        <v>455</v>
      </c>
      <c r="D116" s="44" t="s">
        <v>454</v>
      </c>
      <c r="E116" s="43" t="s">
        <v>219</v>
      </c>
      <c r="F116" s="49"/>
      <c r="G116" s="69" t="s">
        <v>323</v>
      </c>
    </row>
    <row r="117" spans="1:8" ht="36" customHeight="1" thickBot="1">
      <c r="A117" s="1303"/>
      <c r="B117" s="1319"/>
      <c r="C117" s="12"/>
      <c r="D117" s="11"/>
      <c r="E117" s="10"/>
      <c r="F117" s="10"/>
      <c r="G117" s="9"/>
    </row>
    <row r="118" spans="1:8" ht="36" customHeight="1">
      <c r="A118" s="1301">
        <v>44608</v>
      </c>
      <c r="B118" s="1314" t="s">
        <v>2</v>
      </c>
      <c r="C118" s="1307" t="s">
        <v>11</v>
      </c>
      <c r="D118" s="27" t="s">
        <v>86</v>
      </c>
      <c r="E118" s="27" t="s">
        <v>453</v>
      </c>
      <c r="F118" s="26"/>
      <c r="G118" s="25"/>
    </row>
    <row r="119" spans="1:8" ht="36" customHeight="1">
      <c r="A119" s="1302"/>
      <c r="B119" s="1315"/>
      <c r="C119" s="1308"/>
      <c r="D119" s="27" t="s">
        <v>38</v>
      </c>
      <c r="E119" s="27" t="s">
        <v>452</v>
      </c>
      <c r="F119" s="26"/>
      <c r="G119" s="25"/>
    </row>
    <row r="120" spans="1:8" ht="36" customHeight="1">
      <c r="A120" s="1302"/>
      <c r="B120" s="1315"/>
      <c r="C120" s="1309"/>
      <c r="D120" s="27" t="s">
        <v>451</v>
      </c>
      <c r="E120" s="27" t="s">
        <v>260</v>
      </c>
      <c r="F120" s="49"/>
      <c r="G120" s="25"/>
    </row>
    <row r="121" spans="1:8" ht="36" customHeight="1">
      <c r="A121" s="1302"/>
      <c r="B121" s="1315"/>
      <c r="C121" s="1310" t="s">
        <v>36</v>
      </c>
      <c r="D121" s="40" t="s">
        <v>84</v>
      </c>
      <c r="E121" s="39" t="s">
        <v>450</v>
      </c>
      <c r="F121" s="1323" t="s">
        <v>58</v>
      </c>
      <c r="G121" s="1311" t="s">
        <v>57</v>
      </c>
    </row>
    <row r="122" spans="1:8" ht="36" customHeight="1">
      <c r="A122" s="1302"/>
      <c r="B122" s="1315"/>
      <c r="C122" s="1309"/>
      <c r="D122" s="40" t="s">
        <v>449</v>
      </c>
      <c r="E122" s="39" t="s">
        <v>67</v>
      </c>
      <c r="F122" s="1321"/>
      <c r="G122" s="1313"/>
    </row>
    <row r="123" spans="1:8" ht="36" customHeight="1">
      <c r="A123" s="1302"/>
      <c r="B123" s="1315"/>
      <c r="C123" s="42" t="s">
        <v>184</v>
      </c>
      <c r="D123" s="40" t="s">
        <v>435</v>
      </c>
      <c r="E123" s="39" t="s">
        <v>37</v>
      </c>
      <c r="F123" s="27"/>
      <c r="G123" s="41" t="s">
        <v>18</v>
      </c>
    </row>
    <row r="124" spans="1:8" ht="36" customHeight="1">
      <c r="A124" s="1302"/>
      <c r="B124" s="1315"/>
      <c r="C124" s="46" t="s">
        <v>110</v>
      </c>
      <c r="D124" s="37" t="s">
        <v>109</v>
      </c>
      <c r="E124" s="36" t="s">
        <v>113</v>
      </c>
      <c r="F124" s="26" t="s">
        <v>107</v>
      </c>
      <c r="G124" s="45" t="s">
        <v>106</v>
      </c>
      <c r="H124" s="2" t="s">
        <v>448</v>
      </c>
    </row>
    <row r="125" spans="1:8" ht="36" customHeight="1" thickBot="1">
      <c r="A125" s="1302"/>
      <c r="B125" s="1315"/>
      <c r="C125" s="42" t="s">
        <v>36</v>
      </c>
      <c r="D125" s="40" t="s">
        <v>447</v>
      </c>
      <c r="E125" s="39" t="s">
        <v>306</v>
      </c>
      <c r="F125" s="27"/>
      <c r="G125" s="41" t="s">
        <v>446</v>
      </c>
      <c r="H125" s="2" t="s">
        <v>445</v>
      </c>
    </row>
    <row r="126" spans="1:8" ht="36" customHeight="1" thickBot="1">
      <c r="A126" s="1303"/>
      <c r="B126" s="1316"/>
      <c r="C126" s="12"/>
      <c r="D126" s="11"/>
      <c r="E126" s="10"/>
      <c r="F126" s="10"/>
      <c r="G126" s="9"/>
    </row>
    <row r="127" spans="1:8" ht="36" customHeight="1">
      <c r="A127" s="1302">
        <v>44609</v>
      </c>
      <c r="B127" s="1315" t="s">
        <v>1</v>
      </c>
      <c r="C127" s="1310" t="s">
        <v>240</v>
      </c>
      <c r="D127" s="27" t="s">
        <v>444</v>
      </c>
      <c r="E127" s="27" t="s">
        <v>97</v>
      </c>
      <c r="F127" s="1323" t="s">
        <v>239</v>
      </c>
      <c r="G127" s="25"/>
    </row>
    <row r="128" spans="1:8" ht="36" customHeight="1">
      <c r="A128" s="1302"/>
      <c r="B128" s="1315"/>
      <c r="C128" s="1308"/>
      <c r="D128" s="40" t="s">
        <v>443</v>
      </c>
      <c r="E128" s="39" t="s">
        <v>175</v>
      </c>
      <c r="F128" s="1320"/>
      <c r="G128" s="25"/>
    </row>
    <row r="129" spans="1:8" ht="36" customHeight="1">
      <c r="A129" s="1302"/>
      <c r="B129" s="1315"/>
      <c r="C129" s="1308"/>
      <c r="D129" s="27" t="s">
        <v>442</v>
      </c>
      <c r="E129" s="27" t="s">
        <v>175</v>
      </c>
      <c r="F129" s="1320"/>
      <c r="G129" s="25"/>
    </row>
    <row r="130" spans="1:8" ht="36" customHeight="1">
      <c r="A130" s="1302"/>
      <c r="B130" s="1315"/>
      <c r="C130" s="1309"/>
      <c r="D130" s="40" t="s">
        <v>441</v>
      </c>
      <c r="E130" s="39" t="s">
        <v>95</v>
      </c>
      <c r="F130" s="1321"/>
      <c r="G130" s="25"/>
    </row>
    <row r="131" spans="1:8" ht="36" customHeight="1">
      <c r="A131" s="1302"/>
      <c r="B131" s="1315"/>
      <c r="C131" s="42" t="s">
        <v>21</v>
      </c>
      <c r="D131" s="27" t="s">
        <v>109</v>
      </c>
      <c r="E131" s="27" t="s">
        <v>168</v>
      </c>
      <c r="F131" s="26" t="s">
        <v>107</v>
      </c>
      <c r="G131" s="25"/>
      <c r="H131" s="2" t="s">
        <v>440</v>
      </c>
    </row>
    <row r="132" spans="1:8" ht="36" customHeight="1">
      <c r="A132" s="1302"/>
      <c r="B132" s="1315"/>
      <c r="C132" s="42" t="s">
        <v>439</v>
      </c>
      <c r="D132" s="40" t="s">
        <v>73</v>
      </c>
      <c r="E132" s="39" t="s">
        <v>37</v>
      </c>
      <c r="F132" s="26"/>
      <c r="G132" s="25"/>
    </row>
    <row r="133" spans="1:8" ht="36" customHeight="1">
      <c r="A133" s="1302"/>
      <c r="B133" s="1315"/>
      <c r="C133" s="42" t="s">
        <v>52</v>
      </c>
      <c r="D133" s="40" t="s">
        <v>305</v>
      </c>
      <c r="E133" s="39" t="s">
        <v>438</v>
      </c>
      <c r="F133" s="27" t="s">
        <v>437</v>
      </c>
      <c r="G133" s="41" t="s">
        <v>29</v>
      </c>
      <c r="H133" s="2" t="s">
        <v>436</v>
      </c>
    </row>
    <row r="134" spans="1:8" s="87" customFormat="1" ht="36" customHeight="1" thickBot="1">
      <c r="A134" s="1302"/>
      <c r="B134" s="1315"/>
      <c r="C134" s="42" t="s">
        <v>184</v>
      </c>
      <c r="D134" s="40" t="s">
        <v>435</v>
      </c>
      <c r="E134" s="39" t="s">
        <v>37</v>
      </c>
      <c r="F134" s="27"/>
      <c r="G134" s="41" t="s">
        <v>18</v>
      </c>
      <c r="H134" s="88"/>
    </row>
    <row r="135" spans="1:8" s="87" customFormat="1" ht="36" hidden="1" customHeight="1" thickBot="1">
      <c r="A135" s="1302"/>
      <c r="B135" s="1315"/>
      <c r="C135" s="90"/>
      <c r="D135" s="59"/>
      <c r="E135" s="29"/>
      <c r="F135" s="58"/>
      <c r="G135" s="89"/>
      <c r="H135" s="88"/>
    </row>
    <row r="136" spans="1:8" ht="36" customHeight="1" thickBot="1">
      <c r="A136" s="1303"/>
      <c r="B136" s="1316"/>
      <c r="C136" s="12" t="s">
        <v>64</v>
      </c>
      <c r="D136" s="11" t="s">
        <v>14</v>
      </c>
      <c r="E136" s="10" t="s">
        <v>63</v>
      </c>
      <c r="F136" s="10" t="s">
        <v>12</v>
      </c>
      <c r="G136" s="9"/>
    </row>
    <row r="137" spans="1:8" ht="36" customHeight="1">
      <c r="A137" s="1301">
        <v>44610</v>
      </c>
      <c r="B137" s="1314" t="s">
        <v>0</v>
      </c>
      <c r="C137" s="42" t="s">
        <v>11</v>
      </c>
      <c r="D137" s="27" t="s">
        <v>86</v>
      </c>
      <c r="E137" s="27" t="s">
        <v>306</v>
      </c>
      <c r="F137" s="26"/>
      <c r="G137" s="25"/>
    </row>
    <row r="138" spans="1:8" ht="36" customHeight="1">
      <c r="A138" s="1302"/>
      <c r="B138" s="1315"/>
      <c r="C138" s="1310" t="s">
        <v>434</v>
      </c>
      <c r="D138" s="27" t="s">
        <v>433</v>
      </c>
      <c r="E138" s="27" t="s">
        <v>97</v>
      </c>
      <c r="F138" s="26"/>
      <c r="G138" s="25"/>
    </row>
    <row r="139" spans="1:8" ht="36" customHeight="1">
      <c r="A139" s="1302"/>
      <c r="B139" s="1315"/>
      <c r="C139" s="1308"/>
      <c r="D139" s="27" t="s">
        <v>432</v>
      </c>
      <c r="E139" s="27" t="s">
        <v>97</v>
      </c>
      <c r="F139" s="26"/>
      <c r="G139" s="25"/>
    </row>
    <row r="140" spans="1:8" ht="36" customHeight="1">
      <c r="A140" s="1302"/>
      <c r="B140" s="1315"/>
      <c r="C140" s="1309"/>
      <c r="D140" s="27" t="s">
        <v>431</v>
      </c>
      <c r="E140" s="27" t="s">
        <v>430</v>
      </c>
      <c r="F140" s="26"/>
      <c r="G140" s="25"/>
    </row>
    <row r="141" spans="1:8" ht="36" customHeight="1">
      <c r="A141" s="1302"/>
      <c r="B141" s="1315"/>
      <c r="C141" s="42" t="s">
        <v>429</v>
      </c>
      <c r="D141" s="27" t="s">
        <v>109</v>
      </c>
      <c r="E141" s="27" t="s">
        <v>108</v>
      </c>
      <c r="F141" s="26" t="s">
        <v>122</v>
      </c>
      <c r="G141" s="25" t="s">
        <v>177</v>
      </c>
      <c r="H141" s="2" t="s">
        <v>395</v>
      </c>
    </row>
    <row r="142" spans="1:8" ht="36" customHeight="1">
      <c r="A142" s="1302"/>
      <c r="B142" s="1315"/>
      <c r="C142" s="1310" t="s">
        <v>184</v>
      </c>
      <c r="D142" s="27" t="s">
        <v>428</v>
      </c>
      <c r="E142" s="27" t="s">
        <v>401</v>
      </c>
      <c r="F142" s="1323" t="s">
        <v>427</v>
      </c>
      <c r="G142" s="1311" t="s">
        <v>229</v>
      </c>
    </row>
    <row r="143" spans="1:8" ht="36" customHeight="1">
      <c r="A143" s="1302"/>
      <c r="B143" s="1315"/>
      <c r="C143" s="1309"/>
      <c r="D143" s="27" t="s">
        <v>426</v>
      </c>
      <c r="E143" s="27" t="s">
        <v>67</v>
      </c>
      <c r="F143" s="1321"/>
      <c r="G143" s="1313"/>
    </row>
    <row r="144" spans="1:8" ht="36" customHeight="1">
      <c r="A144" s="1302"/>
      <c r="B144" s="1315"/>
      <c r="C144" s="1310" t="s">
        <v>32</v>
      </c>
      <c r="D144" s="27" t="s">
        <v>109</v>
      </c>
      <c r="E144" s="39" t="s">
        <v>79</v>
      </c>
      <c r="F144" s="26" t="s">
        <v>425</v>
      </c>
      <c r="G144" s="1311" t="s">
        <v>29</v>
      </c>
    </row>
    <row r="145" spans="1:7" ht="36" customHeight="1" thickBot="1">
      <c r="A145" s="1302"/>
      <c r="B145" s="1315"/>
      <c r="C145" s="1324"/>
      <c r="D145" s="55" t="s">
        <v>98</v>
      </c>
      <c r="E145" s="54" t="s">
        <v>424</v>
      </c>
      <c r="F145" s="49"/>
      <c r="G145" s="1325"/>
    </row>
    <row r="146" spans="1:7" ht="36" customHeight="1" thickBot="1">
      <c r="A146" s="1302"/>
      <c r="B146" s="1315"/>
      <c r="C146" s="12" t="s">
        <v>15</v>
      </c>
      <c r="D146" s="11" t="s">
        <v>14</v>
      </c>
      <c r="E146" s="10"/>
      <c r="F146" s="10" t="s">
        <v>45</v>
      </c>
      <c r="G146" s="9"/>
    </row>
    <row r="147" spans="1:7" ht="36" customHeight="1" thickBot="1">
      <c r="A147" s="1303"/>
      <c r="B147" s="1316"/>
      <c r="C147" s="12" t="s">
        <v>206</v>
      </c>
      <c r="D147" s="11" t="s">
        <v>423</v>
      </c>
      <c r="E147" s="10" t="s">
        <v>205</v>
      </c>
      <c r="F147" s="10" t="s">
        <v>422</v>
      </c>
      <c r="G147" s="9"/>
    </row>
    <row r="148" spans="1:7" ht="60" customHeight="1" thickBot="1">
      <c r="A148" s="1298" t="s">
        <v>5</v>
      </c>
      <c r="B148" s="1299"/>
      <c r="C148" s="1299"/>
      <c r="D148" s="1299"/>
      <c r="E148" s="1299"/>
      <c r="F148" s="1299"/>
      <c r="G148" s="1300"/>
    </row>
    <row r="149" spans="1:7" ht="36" hidden="1" customHeight="1">
      <c r="A149" s="1301">
        <v>44613</v>
      </c>
      <c r="B149" s="1314" t="s">
        <v>4</v>
      </c>
      <c r="C149" s="21"/>
      <c r="D149" s="22"/>
      <c r="E149" s="22"/>
      <c r="F149" s="18"/>
      <c r="G149" s="13"/>
    </row>
    <row r="150" spans="1:7" ht="36" customHeight="1">
      <c r="A150" s="1302"/>
      <c r="B150" s="1315"/>
      <c r="C150" s="1310" t="s">
        <v>21</v>
      </c>
      <c r="D150" s="27" t="s">
        <v>17</v>
      </c>
      <c r="E150" s="27" t="s">
        <v>77</v>
      </c>
      <c r="F150" s="26"/>
      <c r="G150" s="1311" t="s">
        <v>421</v>
      </c>
    </row>
    <row r="151" spans="1:7" ht="36" customHeight="1">
      <c r="A151" s="1302"/>
      <c r="B151" s="1315"/>
      <c r="C151" s="1308"/>
      <c r="D151" s="27" t="s">
        <v>28</v>
      </c>
      <c r="E151" s="27" t="s">
        <v>95</v>
      </c>
      <c r="F151" s="26"/>
      <c r="G151" s="1313"/>
    </row>
    <row r="152" spans="1:7" ht="36" customHeight="1">
      <c r="A152" s="1302"/>
      <c r="B152" s="1315"/>
      <c r="C152" s="1309"/>
      <c r="D152" s="27" t="s">
        <v>80</v>
      </c>
      <c r="E152" s="27" t="s">
        <v>347</v>
      </c>
      <c r="F152" s="26" t="s">
        <v>107</v>
      </c>
      <c r="G152" s="69" t="s">
        <v>279</v>
      </c>
    </row>
    <row r="153" spans="1:7" ht="36" customHeight="1">
      <c r="A153" s="1302"/>
      <c r="B153" s="1315"/>
      <c r="C153" s="1310" t="s">
        <v>129</v>
      </c>
      <c r="D153" s="40" t="s">
        <v>415</v>
      </c>
      <c r="E153" s="39" t="s">
        <v>420</v>
      </c>
      <c r="F153" s="26"/>
      <c r="G153" s="25"/>
    </row>
    <row r="154" spans="1:7" ht="36" customHeight="1" thickBot="1">
      <c r="A154" s="1302"/>
      <c r="B154" s="1315"/>
      <c r="C154" s="1324"/>
      <c r="D154" s="55" t="s">
        <v>419</v>
      </c>
      <c r="E154" s="54" t="s">
        <v>67</v>
      </c>
      <c r="F154" s="49" t="s">
        <v>127</v>
      </c>
      <c r="G154" s="25"/>
    </row>
    <row r="155" spans="1:7" ht="36" customHeight="1" thickBot="1">
      <c r="A155" s="1303"/>
      <c r="B155" s="1316"/>
      <c r="C155" s="12"/>
      <c r="D155" s="11"/>
      <c r="E155" s="10"/>
      <c r="F155" s="10"/>
      <c r="G155" s="9"/>
    </row>
    <row r="156" spans="1:7" ht="36" customHeight="1">
      <c r="A156" s="1301">
        <v>44614</v>
      </c>
      <c r="B156" s="1314" t="s">
        <v>3</v>
      </c>
      <c r="C156" s="1307" t="s">
        <v>11</v>
      </c>
      <c r="D156" s="27" t="s">
        <v>10</v>
      </c>
      <c r="E156" s="27" t="s">
        <v>72</v>
      </c>
      <c r="F156" s="26"/>
      <c r="G156" s="25"/>
    </row>
    <row r="157" spans="1:7" ht="36" customHeight="1">
      <c r="A157" s="1302"/>
      <c r="B157" s="1315"/>
      <c r="C157" s="1309"/>
      <c r="D157" s="27" t="s">
        <v>8</v>
      </c>
      <c r="E157" s="27" t="s">
        <v>418</v>
      </c>
      <c r="F157" s="26"/>
      <c r="G157" s="25"/>
    </row>
    <row r="158" spans="1:7" ht="36" customHeight="1">
      <c r="A158" s="1302"/>
      <c r="B158" s="1315"/>
      <c r="C158" s="42" t="s">
        <v>184</v>
      </c>
      <c r="D158" s="27" t="s">
        <v>417</v>
      </c>
      <c r="E158" s="27" t="s">
        <v>186</v>
      </c>
      <c r="F158" s="26"/>
      <c r="G158" s="25" t="s">
        <v>416</v>
      </c>
    </row>
    <row r="159" spans="1:7" ht="36" customHeight="1">
      <c r="A159" s="1302"/>
      <c r="B159" s="1315"/>
      <c r="C159" s="42" t="s">
        <v>129</v>
      </c>
      <c r="D159" s="40" t="s">
        <v>415</v>
      </c>
      <c r="E159" s="39" t="s">
        <v>245</v>
      </c>
      <c r="F159" s="26"/>
      <c r="G159" s="25" t="s">
        <v>39</v>
      </c>
    </row>
    <row r="160" spans="1:7" ht="36" customHeight="1">
      <c r="A160" s="1302"/>
      <c r="B160" s="1315"/>
      <c r="C160" s="77" t="s">
        <v>414</v>
      </c>
      <c r="D160" s="55" t="s">
        <v>413</v>
      </c>
      <c r="E160" s="54" t="s">
        <v>317</v>
      </c>
      <c r="F160" s="27" t="s">
        <v>412</v>
      </c>
      <c r="G160" s="25" t="s">
        <v>155</v>
      </c>
    </row>
    <row r="161" spans="1:8" ht="36" customHeight="1">
      <c r="A161" s="1302"/>
      <c r="B161" s="1315"/>
      <c r="C161" s="1310" t="s">
        <v>52</v>
      </c>
      <c r="D161" s="55" t="s">
        <v>101</v>
      </c>
      <c r="E161" s="54" t="s">
        <v>24</v>
      </c>
      <c r="F161" s="49"/>
      <c r="G161" s="1311" t="s">
        <v>18</v>
      </c>
    </row>
    <row r="162" spans="1:8" ht="36" customHeight="1">
      <c r="A162" s="1302"/>
      <c r="B162" s="1315"/>
      <c r="C162" s="1309"/>
      <c r="D162" s="55" t="s">
        <v>231</v>
      </c>
      <c r="E162" s="54" t="s">
        <v>173</v>
      </c>
      <c r="F162" s="27"/>
      <c r="G162" s="1313"/>
    </row>
    <row r="163" spans="1:8" ht="36" customHeight="1">
      <c r="A163" s="1302"/>
      <c r="B163" s="1315"/>
      <c r="C163" s="1310" t="s">
        <v>36</v>
      </c>
      <c r="D163" s="55" t="s">
        <v>109</v>
      </c>
      <c r="E163" s="54" t="s">
        <v>30</v>
      </c>
      <c r="F163" s="51"/>
      <c r="G163" s="1311" t="s">
        <v>39</v>
      </c>
    </row>
    <row r="164" spans="1:8" ht="36" customHeight="1" thickBot="1">
      <c r="A164" s="1302"/>
      <c r="B164" s="1315"/>
      <c r="C164" s="1309"/>
      <c r="D164" s="55" t="s">
        <v>78</v>
      </c>
      <c r="E164" s="54" t="s">
        <v>235</v>
      </c>
      <c r="F164" s="51"/>
      <c r="G164" s="1313"/>
    </row>
    <row r="165" spans="1:8" ht="36" customHeight="1" thickBot="1">
      <c r="A165" s="1303"/>
      <c r="B165" s="1316"/>
      <c r="C165" s="12"/>
      <c r="D165" s="11"/>
      <c r="E165" s="10"/>
      <c r="F165" s="10"/>
      <c r="G165" s="9"/>
    </row>
    <row r="166" spans="1:8" ht="36" customHeight="1">
      <c r="A166" s="1301">
        <v>44615</v>
      </c>
      <c r="B166" s="1314" t="s">
        <v>2</v>
      </c>
      <c r="C166" s="42" t="s">
        <v>61</v>
      </c>
      <c r="D166" s="27" t="s">
        <v>8</v>
      </c>
      <c r="E166" s="27" t="s">
        <v>411</v>
      </c>
      <c r="F166" s="26"/>
      <c r="G166" s="25"/>
    </row>
    <row r="167" spans="1:8" ht="36" customHeight="1">
      <c r="A167" s="1302"/>
      <c r="B167" s="1315"/>
      <c r="C167" s="42" t="s">
        <v>410</v>
      </c>
      <c r="D167" s="27" t="s">
        <v>409</v>
      </c>
      <c r="E167" s="27" t="s">
        <v>408</v>
      </c>
      <c r="F167" s="26"/>
      <c r="G167" s="25" t="s">
        <v>39</v>
      </c>
    </row>
    <row r="168" spans="1:8" ht="36" customHeight="1">
      <c r="A168" s="1302"/>
      <c r="B168" s="1315"/>
      <c r="C168" s="42" t="s">
        <v>102</v>
      </c>
      <c r="D168" s="40" t="s">
        <v>407</v>
      </c>
      <c r="E168" s="39" t="s">
        <v>377</v>
      </c>
      <c r="F168" s="26"/>
      <c r="G168" s="25"/>
    </row>
    <row r="169" spans="1:8" ht="36" customHeight="1">
      <c r="A169" s="1302"/>
      <c r="B169" s="1315"/>
      <c r="C169" s="42" t="s">
        <v>294</v>
      </c>
      <c r="D169" s="40" t="s">
        <v>292</v>
      </c>
      <c r="E169" s="39" t="s">
        <v>37</v>
      </c>
      <c r="F169" s="27"/>
      <c r="G169" s="41" t="s">
        <v>406</v>
      </c>
    </row>
    <row r="170" spans="1:8" ht="36" customHeight="1">
      <c r="A170" s="1302"/>
      <c r="B170" s="1315"/>
      <c r="C170" s="42" t="s">
        <v>32</v>
      </c>
      <c r="D170" s="27" t="s">
        <v>109</v>
      </c>
      <c r="E170" s="39" t="s">
        <v>405</v>
      </c>
      <c r="F170" s="27"/>
      <c r="G170" s="41" t="s">
        <v>323</v>
      </c>
    </row>
    <row r="171" spans="1:8" ht="36" customHeight="1">
      <c r="A171" s="1302"/>
      <c r="B171" s="1315"/>
      <c r="C171" s="52" t="s">
        <v>70</v>
      </c>
      <c r="D171" s="49" t="s">
        <v>68</v>
      </c>
      <c r="E171" s="43" t="s">
        <v>404</v>
      </c>
      <c r="F171" s="49"/>
      <c r="G171" s="69" t="s">
        <v>403</v>
      </c>
    </row>
    <row r="172" spans="1:8" ht="36" customHeight="1" thickBot="1">
      <c r="A172" s="1302"/>
      <c r="B172" s="1315"/>
      <c r="C172" s="42" t="s">
        <v>184</v>
      </c>
      <c r="D172" s="27" t="s">
        <v>402</v>
      </c>
      <c r="E172" s="39" t="s">
        <v>401</v>
      </c>
      <c r="F172" s="27"/>
      <c r="G172" s="41" t="s">
        <v>18</v>
      </c>
    </row>
    <row r="173" spans="1:8" ht="36" customHeight="1" thickBot="1">
      <c r="A173" s="1303"/>
      <c r="B173" s="1316"/>
      <c r="C173" s="12" t="s">
        <v>400</v>
      </c>
      <c r="D173" s="11" t="s">
        <v>14</v>
      </c>
      <c r="E173" s="10" t="s">
        <v>399</v>
      </c>
      <c r="F173" s="10" t="s">
        <v>398</v>
      </c>
      <c r="G173" s="9"/>
    </row>
    <row r="174" spans="1:8" ht="36" customHeight="1">
      <c r="A174" s="1301">
        <v>44616</v>
      </c>
      <c r="B174" s="1314" t="s">
        <v>1</v>
      </c>
      <c r="C174" s="42" t="s">
        <v>397</v>
      </c>
      <c r="D174" s="27" t="s">
        <v>109</v>
      </c>
      <c r="E174" s="27" t="s">
        <v>396</v>
      </c>
      <c r="F174" s="26" t="s">
        <v>387</v>
      </c>
      <c r="G174" s="25" t="s">
        <v>39</v>
      </c>
      <c r="H174" s="2" t="s">
        <v>395</v>
      </c>
    </row>
    <row r="175" spans="1:8" ht="36" customHeight="1">
      <c r="A175" s="1302"/>
      <c r="B175" s="1315"/>
      <c r="C175" s="1310" t="s">
        <v>394</v>
      </c>
      <c r="D175" s="27" t="s">
        <v>393</v>
      </c>
      <c r="E175" s="27" t="s">
        <v>97</v>
      </c>
      <c r="F175" s="26" t="s">
        <v>392</v>
      </c>
      <c r="G175" s="1311"/>
    </row>
    <row r="176" spans="1:8" ht="36" customHeight="1">
      <c r="A176" s="1302"/>
      <c r="B176" s="1315"/>
      <c r="C176" s="1309"/>
      <c r="D176" s="27" t="s">
        <v>109</v>
      </c>
      <c r="E176" s="27" t="s">
        <v>65</v>
      </c>
      <c r="F176" s="26" t="s">
        <v>387</v>
      </c>
      <c r="G176" s="1313"/>
    </row>
    <row r="177" spans="1:8" ht="36" customHeight="1">
      <c r="A177" s="1302"/>
      <c r="B177" s="1315"/>
      <c r="C177" s="1310" t="s">
        <v>52</v>
      </c>
      <c r="D177" s="27" t="s">
        <v>305</v>
      </c>
      <c r="E177" s="27" t="s">
        <v>97</v>
      </c>
      <c r="F177" s="26"/>
      <c r="G177" s="25"/>
    </row>
    <row r="178" spans="1:8" ht="36" customHeight="1">
      <c r="A178" s="1302"/>
      <c r="B178" s="1315"/>
      <c r="C178" s="1308"/>
      <c r="D178" s="27" t="s">
        <v>391</v>
      </c>
      <c r="E178" s="27" t="s">
        <v>97</v>
      </c>
      <c r="F178" s="26"/>
      <c r="G178" s="25"/>
    </row>
    <row r="179" spans="1:8" ht="36" customHeight="1">
      <c r="A179" s="1302"/>
      <c r="B179" s="1315"/>
      <c r="C179" s="1308"/>
      <c r="D179" s="27" t="s">
        <v>109</v>
      </c>
      <c r="E179" s="27" t="s">
        <v>19</v>
      </c>
      <c r="F179" s="26"/>
      <c r="G179" s="25"/>
    </row>
    <row r="180" spans="1:8" ht="36" customHeight="1">
      <c r="A180" s="1302"/>
      <c r="B180" s="1315"/>
      <c r="C180" s="1309"/>
      <c r="D180" s="27" t="s">
        <v>327</v>
      </c>
      <c r="E180" s="27" t="s">
        <v>390</v>
      </c>
      <c r="F180" s="26"/>
      <c r="G180" s="25"/>
    </row>
    <row r="181" spans="1:8" ht="36" customHeight="1">
      <c r="A181" s="1302"/>
      <c r="B181" s="1315"/>
      <c r="C181" s="77" t="s">
        <v>273</v>
      </c>
      <c r="D181" s="27" t="s">
        <v>109</v>
      </c>
      <c r="E181" s="27" t="s">
        <v>79</v>
      </c>
      <c r="F181" s="26" t="s">
        <v>387</v>
      </c>
      <c r="G181" s="25" t="s">
        <v>389</v>
      </c>
    </row>
    <row r="182" spans="1:8" ht="36" customHeight="1">
      <c r="A182" s="1302"/>
      <c r="B182" s="1315"/>
      <c r="C182" s="42" t="s">
        <v>110</v>
      </c>
      <c r="D182" s="27" t="s">
        <v>109</v>
      </c>
      <c r="E182" s="39" t="s">
        <v>113</v>
      </c>
      <c r="F182" s="27" t="s">
        <v>107</v>
      </c>
      <c r="G182" s="41" t="s">
        <v>106</v>
      </c>
      <c r="H182" s="2" t="s">
        <v>388</v>
      </c>
    </row>
    <row r="183" spans="1:8" ht="36" customHeight="1">
      <c r="A183" s="1302"/>
      <c r="B183" s="1315"/>
      <c r="C183" s="1310" t="s">
        <v>21</v>
      </c>
      <c r="D183" s="26" t="s">
        <v>109</v>
      </c>
      <c r="E183" s="36" t="s">
        <v>77</v>
      </c>
      <c r="F183" s="26" t="s">
        <v>387</v>
      </c>
      <c r="G183" s="1311" t="s">
        <v>18</v>
      </c>
    </row>
    <row r="184" spans="1:8" ht="36" customHeight="1">
      <c r="A184" s="1302"/>
      <c r="B184" s="1315"/>
      <c r="C184" s="1309"/>
      <c r="D184" s="37" t="s">
        <v>327</v>
      </c>
      <c r="E184" s="36" t="s">
        <v>77</v>
      </c>
      <c r="F184" s="26"/>
      <c r="G184" s="1313"/>
    </row>
    <row r="185" spans="1:8" ht="36" customHeight="1" thickBot="1">
      <c r="A185" s="1302"/>
      <c r="B185" s="1315"/>
      <c r="C185" s="77" t="s">
        <v>52</v>
      </c>
      <c r="D185" s="55" t="s">
        <v>101</v>
      </c>
      <c r="E185" s="54" t="s">
        <v>386</v>
      </c>
      <c r="F185" s="49" t="s">
        <v>385</v>
      </c>
      <c r="G185" s="25" t="s">
        <v>29</v>
      </c>
      <c r="H185" s="2" t="s">
        <v>384</v>
      </c>
    </row>
    <row r="186" spans="1:8" ht="36" customHeight="1" thickBot="1">
      <c r="A186" s="1303"/>
      <c r="B186" s="1316"/>
      <c r="C186" s="12"/>
      <c r="D186" s="11"/>
      <c r="E186" s="10"/>
      <c r="F186" s="10"/>
      <c r="G186" s="9"/>
    </row>
    <row r="187" spans="1:8" ht="36" customHeight="1">
      <c r="A187" s="1301">
        <v>44617</v>
      </c>
      <c r="B187" s="1314" t="s">
        <v>0</v>
      </c>
      <c r="C187" s="42" t="s">
        <v>383</v>
      </c>
      <c r="D187" s="27" t="s">
        <v>109</v>
      </c>
      <c r="E187" s="27" t="s">
        <v>382</v>
      </c>
      <c r="F187" s="26" t="s">
        <v>112</v>
      </c>
      <c r="G187" s="25"/>
    </row>
    <row r="188" spans="1:8" ht="36" customHeight="1">
      <c r="A188" s="1302"/>
      <c r="B188" s="1315"/>
      <c r="C188" s="1310" t="s">
        <v>255</v>
      </c>
      <c r="D188" s="27" t="s">
        <v>189</v>
      </c>
      <c r="E188" s="27" t="s">
        <v>97</v>
      </c>
      <c r="F188" s="26"/>
      <c r="G188" s="25"/>
      <c r="H188" s="2" t="s">
        <v>381</v>
      </c>
    </row>
    <row r="189" spans="1:8" ht="36" customHeight="1">
      <c r="A189" s="1302"/>
      <c r="B189" s="1315"/>
      <c r="C189" s="1309"/>
      <c r="D189" s="40" t="s">
        <v>380</v>
      </c>
      <c r="E189" s="39" t="s">
        <v>379</v>
      </c>
      <c r="F189" s="26"/>
      <c r="G189" s="25"/>
    </row>
    <row r="190" spans="1:8" ht="36" customHeight="1">
      <c r="A190" s="1302"/>
      <c r="B190" s="1315"/>
      <c r="C190" s="1310" t="s">
        <v>378</v>
      </c>
      <c r="D190" s="55" t="s">
        <v>335</v>
      </c>
      <c r="E190" s="54" t="s">
        <v>377</v>
      </c>
      <c r="F190" s="27"/>
      <c r="G190" s="25"/>
    </row>
    <row r="191" spans="1:8" ht="36" customHeight="1">
      <c r="A191" s="1302"/>
      <c r="B191" s="1315"/>
      <c r="C191" s="1309"/>
      <c r="D191" s="40" t="s">
        <v>73</v>
      </c>
      <c r="E191" s="39" t="s">
        <v>175</v>
      </c>
      <c r="F191" s="26"/>
      <c r="G191" s="41"/>
    </row>
    <row r="192" spans="1:8" ht="36" customHeight="1">
      <c r="A192" s="1302"/>
      <c r="B192" s="1315"/>
      <c r="C192" s="42" t="s">
        <v>102</v>
      </c>
      <c r="D192" s="40" t="s">
        <v>68</v>
      </c>
      <c r="E192" s="39" t="s">
        <v>97</v>
      </c>
      <c r="F192" s="27"/>
      <c r="G192" s="41" t="s">
        <v>18</v>
      </c>
    </row>
    <row r="193" spans="1:8" ht="36" customHeight="1">
      <c r="A193" s="1302"/>
      <c r="B193" s="1315"/>
      <c r="C193" s="46" t="s">
        <v>273</v>
      </c>
      <c r="D193" s="26" t="s">
        <v>376</v>
      </c>
      <c r="E193" s="26" t="s">
        <v>375</v>
      </c>
      <c r="F193" s="26"/>
      <c r="G193" s="45" t="s">
        <v>374</v>
      </c>
    </row>
    <row r="194" spans="1:8" ht="36" customHeight="1">
      <c r="A194" s="1302"/>
      <c r="B194" s="1315"/>
      <c r="C194" s="42" t="s">
        <v>373</v>
      </c>
      <c r="D194" s="27" t="s">
        <v>372</v>
      </c>
      <c r="E194" s="27" t="s">
        <v>371</v>
      </c>
      <c r="F194" s="27" t="s">
        <v>370</v>
      </c>
      <c r="G194" s="41" t="s">
        <v>350</v>
      </c>
    </row>
    <row r="195" spans="1:8" ht="36" customHeight="1">
      <c r="A195" s="1302"/>
      <c r="B195" s="1315"/>
      <c r="C195" s="1310" t="s">
        <v>36</v>
      </c>
      <c r="D195" s="27" t="s">
        <v>109</v>
      </c>
      <c r="E195" s="27" t="s">
        <v>369</v>
      </c>
      <c r="F195" s="27"/>
      <c r="G195" s="1311" t="s">
        <v>39</v>
      </c>
    </row>
    <row r="196" spans="1:8" ht="36" customHeight="1" thickBot="1">
      <c r="A196" s="1302"/>
      <c r="B196" s="1315"/>
      <c r="C196" s="1324"/>
      <c r="D196" s="49" t="s">
        <v>28</v>
      </c>
      <c r="E196" s="49" t="s">
        <v>190</v>
      </c>
      <c r="F196" s="49"/>
      <c r="G196" s="1325"/>
      <c r="H196" s="2" t="s">
        <v>368</v>
      </c>
    </row>
    <row r="197" spans="1:8" ht="36" customHeight="1" thickBot="1">
      <c r="A197" s="1303"/>
      <c r="B197" s="1316"/>
      <c r="C197" s="12"/>
      <c r="D197" s="11"/>
      <c r="E197" s="10"/>
      <c r="F197" s="10"/>
      <c r="G197" s="9"/>
    </row>
    <row r="198" spans="1:8" ht="60" customHeight="1" thickBot="1">
      <c r="A198" s="1298" t="s">
        <v>5</v>
      </c>
      <c r="B198" s="1299"/>
      <c r="C198" s="1299"/>
      <c r="D198" s="1299"/>
      <c r="E198" s="1299"/>
      <c r="F198" s="1299"/>
      <c r="G198" s="1300"/>
    </row>
    <row r="199" spans="1:8" ht="36" customHeight="1">
      <c r="A199" s="1301">
        <v>44620</v>
      </c>
      <c r="B199" s="1314" t="s">
        <v>4</v>
      </c>
      <c r="C199" s="1307" t="s">
        <v>11</v>
      </c>
      <c r="D199" s="27" t="s">
        <v>8</v>
      </c>
      <c r="E199" s="27" t="s">
        <v>367</v>
      </c>
      <c r="F199" s="26"/>
      <c r="G199" s="25"/>
    </row>
    <row r="200" spans="1:8" ht="36" customHeight="1">
      <c r="A200" s="1302"/>
      <c r="B200" s="1315"/>
      <c r="C200" s="1309"/>
      <c r="D200" s="27" t="s">
        <v>38</v>
      </c>
      <c r="E200" s="27" t="s">
        <v>131</v>
      </c>
      <c r="F200" s="26"/>
      <c r="G200" s="25"/>
    </row>
    <row r="201" spans="1:8" ht="36" customHeight="1">
      <c r="A201" s="1302"/>
      <c r="B201" s="1315"/>
      <c r="C201" s="77" t="s">
        <v>366</v>
      </c>
      <c r="D201" s="55" t="s">
        <v>109</v>
      </c>
      <c r="E201" s="54" t="s">
        <v>326</v>
      </c>
      <c r="F201" s="27" t="s">
        <v>365</v>
      </c>
      <c r="G201" s="25" t="s">
        <v>106</v>
      </c>
      <c r="H201" s="2" t="s">
        <v>364</v>
      </c>
    </row>
    <row r="202" spans="1:8" ht="36" customHeight="1">
      <c r="A202" s="1302"/>
      <c r="B202" s="1315"/>
      <c r="C202" s="42" t="s">
        <v>363</v>
      </c>
      <c r="D202" s="40" t="s">
        <v>362</v>
      </c>
      <c r="E202" s="39" t="s">
        <v>361</v>
      </c>
      <c r="F202" s="27"/>
      <c r="G202" s="41" t="s">
        <v>360</v>
      </c>
      <c r="H202" s="2" t="s">
        <v>359</v>
      </c>
    </row>
    <row r="203" spans="1:8" ht="36" customHeight="1" thickBot="1">
      <c r="A203" s="1302"/>
      <c r="B203" s="1315"/>
      <c r="C203" s="52" t="s">
        <v>354</v>
      </c>
      <c r="D203" s="44" t="s">
        <v>305</v>
      </c>
      <c r="E203" s="43" t="s">
        <v>49</v>
      </c>
      <c r="F203" s="49" t="s">
        <v>358</v>
      </c>
      <c r="G203" s="69" t="s">
        <v>350</v>
      </c>
      <c r="H203" s="2" t="s">
        <v>357</v>
      </c>
    </row>
    <row r="204" spans="1:8" ht="36" customHeight="1" thickBot="1">
      <c r="A204" s="1303"/>
      <c r="B204" s="1316"/>
      <c r="C204" s="12"/>
      <c r="D204" s="11"/>
      <c r="E204" s="10"/>
      <c r="F204" s="10"/>
      <c r="G204" s="9"/>
    </row>
  </sheetData>
  <mergeCells count="104">
    <mergeCell ref="G109:G110"/>
    <mergeCell ref="H87:U88"/>
    <mergeCell ref="C89:C92"/>
    <mergeCell ref="F121:F122"/>
    <mergeCell ref="C121:C122"/>
    <mergeCell ref="G121:G122"/>
    <mergeCell ref="C93:C95"/>
    <mergeCell ref="F93:F95"/>
    <mergeCell ref="G93:G95"/>
    <mergeCell ref="C111:C114"/>
    <mergeCell ref="F109:F110"/>
    <mergeCell ref="C199:C200"/>
    <mergeCell ref="C153:C154"/>
    <mergeCell ref="C138:C140"/>
    <mergeCell ref="C150:C152"/>
    <mergeCell ref="C190:C191"/>
    <mergeCell ref="G175:G176"/>
    <mergeCell ref="C183:C184"/>
    <mergeCell ref="G183:G184"/>
    <mergeCell ref="C195:C196"/>
    <mergeCell ref="G195:G196"/>
    <mergeCell ref="C142:C143"/>
    <mergeCell ref="F142:F143"/>
    <mergeCell ref="G142:G143"/>
    <mergeCell ref="C144:C145"/>
    <mergeCell ref="G144:G145"/>
    <mergeCell ref="C156:C157"/>
    <mergeCell ref="B166:B173"/>
    <mergeCell ref="A174:A186"/>
    <mergeCell ref="B174:B186"/>
    <mergeCell ref="A187:A197"/>
    <mergeCell ref="B187:B197"/>
    <mergeCell ref="A198:G198"/>
    <mergeCell ref="A137:A147"/>
    <mergeCell ref="B137:B147"/>
    <mergeCell ref="A199:A204"/>
    <mergeCell ref="B199:B204"/>
    <mergeCell ref="A148:G148"/>
    <mergeCell ref="A149:A155"/>
    <mergeCell ref="B149:B155"/>
    <mergeCell ref="A156:A165"/>
    <mergeCell ref="B156:B165"/>
    <mergeCell ref="A166:A173"/>
    <mergeCell ref="C177:C180"/>
    <mergeCell ref="C161:C162"/>
    <mergeCell ref="G161:G162"/>
    <mergeCell ref="C163:C164"/>
    <mergeCell ref="G163:G164"/>
    <mergeCell ref="C175:C176"/>
    <mergeCell ref="C188:C189"/>
    <mergeCell ref="G150:G151"/>
    <mergeCell ref="B72:B84"/>
    <mergeCell ref="A85:G85"/>
    <mergeCell ref="A86:A105"/>
    <mergeCell ref="B86:B105"/>
    <mergeCell ref="C75:C76"/>
    <mergeCell ref="G74:G76"/>
    <mergeCell ref="C72:C73"/>
    <mergeCell ref="G102:G103"/>
    <mergeCell ref="G87:G88"/>
    <mergeCell ref="A33:G33"/>
    <mergeCell ref="C34:C38"/>
    <mergeCell ref="A28:A32"/>
    <mergeCell ref="B28:B32"/>
    <mergeCell ref="C28:C29"/>
    <mergeCell ref="C39:C41"/>
    <mergeCell ref="A1:G1"/>
    <mergeCell ref="C2:C5"/>
    <mergeCell ref="A2:A16"/>
    <mergeCell ref="B2:B16"/>
    <mergeCell ref="A17:A27"/>
    <mergeCell ref="B17:B27"/>
    <mergeCell ref="C9:C12"/>
    <mergeCell ref="C21:C22"/>
    <mergeCell ref="G21:G22"/>
    <mergeCell ref="C17:C19"/>
    <mergeCell ref="G28:G29"/>
    <mergeCell ref="A34:A48"/>
    <mergeCell ref="B34:B48"/>
    <mergeCell ref="C43:C45"/>
    <mergeCell ref="G57:G59"/>
    <mergeCell ref="C60:C61"/>
    <mergeCell ref="F127:F130"/>
    <mergeCell ref="A49:A56"/>
    <mergeCell ref="B49:B56"/>
    <mergeCell ref="A57:A64"/>
    <mergeCell ref="B57:B64"/>
    <mergeCell ref="A65:A71"/>
    <mergeCell ref="B65:B71"/>
    <mergeCell ref="A118:A126"/>
    <mergeCell ref="B118:B126"/>
    <mergeCell ref="A127:A136"/>
    <mergeCell ref="C77:C81"/>
    <mergeCell ref="C57:C59"/>
    <mergeCell ref="C49:C50"/>
    <mergeCell ref="B127:B136"/>
    <mergeCell ref="C87:C88"/>
    <mergeCell ref="A106:A117"/>
    <mergeCell ref="B106:B117"/>
    <mergeCell ref="C118:C120"/>
    <mergeCell ref="C127:C130"/>
    <mergeCell ref="C109:C110"/>
    <mergeCell ref="C102:C103"/>
    <mergeCell ref="A72:A84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0"/>
  <sheetViews>
    <sheetView topLeftCell="A34" zoomScale="70" zoomScaleNormal="70" zoomScaleSheetLayoutView="70" workbookViewId="0">
      <selection activeCell="F43" sqref="F43:F45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" customWidth="1"/>
    <col min="9" max="16384" width="9" style="1"/>
  </cols>
  <sheetData>
    <row r="1" spans="1:8" s="2" customFormat="1" ht="60" customHeight="1" thickBot="1">
      <c r="A1" s="1298" t="s">
        <v>5</v>
      </c>
      <c r="B1" s="1299"/>
      <c r="C1" s="1299"/>
      <c r="D1" s="1299"/>
      <c r="E1" s="1299"/>
      <c r="F1" s="1299"/>
      <c r="G1" s="1300"/>
    </row>
    <row r="2" spans="1:8" ht="30" customHeight="1">
      <c r="A2" s="1301">
        <v>44622</v>
      </c>
      <c r="B2" s="1314" t="s">
        <v>2</v>
      </c>
      <c r="C2" s="1307" t="s">
        <v>11</v>
      </c>
      <c r="D2" s="27" t="s">
        <v>151</v>
      </c>
      <c r="E2" s="27" t="s">
        <v>49</v>
      </c>
      <c r="F2" s="26"/>
      <c r="G2" s="25"/>
    </row>
    <row r="3" spans="1:8" ht="30" customHeight="1">
      <c r="A3" s="1302"/>
      <c r="B3" s="1315"/>
      <c r="C3" s="1309"/>
      <c r="D3" s="27" t="s">
        <v>86</v>
      </c>
      <c r="E3" s="27" t="s">
        <v>707</v>
      </c>
      <c r="F3" s="26"/>
      <c r="G3" s="25"/>
    </row>
    <row r="4" spans="1:8" ht="30" customHeight="1">
      <c r="A4" s="1302"/>
      <c r="B4" s="1315"/>
      <c r="C4" s="42" t="s">
        <v>706</v>
      </c>
      <c r="D4" s="27" t="s">
        <v>705</v>
      </c>
      <c r="E4" s="27" t="s">
        <v>704</v>
      </c>
      <c r="F4" s="26" t="s">
        <v>703</v>
      </c>
      <c r="G4" s="25"/>
    </row>
    <row r="5" spans="1:8" ht="30" customHeight="1">
      <c r="A5" s="1302"/>
      <c r="B5" s="1315"/>
      <c r="C5" s="1310" t="s">
        <v>227</v>
      </c>
      <c r="D5" s="37" t="s">
        <v>31</v>
      </c>
      <c r="E5" s="27" t="s">
        <v>552</v>
      </c>
      <c r="F5" s="26" t="s">
        <v>280</v>
      </c>
      <c r="G5" s="1311" t="s">
        <v>282</v>
      </c>
    </row>
    <row r="6" spans="1:8" ht="30" customHeight="1">
      <c r="A6" s="1302"/>
      <c r="B6" s="1315"/>
      <c r="C6" s="1308"/>
      <c r="D6" s="37" t="s">
        <v>192</v>
      </c>
      <c r="E6" s="27" t="s">
        <v>552</v>
      </c>
      <c r="F6" s="26"/>
      <c r="G6" s="1312"/>
    </row>
    <row r="7" spans="1:8" ht="30" customHeight="1" thickBot="1">
      <c r="A7" s="1302"/>
      <c r="B7" s="1315"/>
      <c r="C7" s="1309"/>
      <c r="D7" s="40" t="s">
        <v>28</v>
      </c>
      <c r="E7" s="39" t="s">
        <v>97</v>
      </c>
      <c r="F7" s="26"/>
      <c r="G7" s="1313"/>
    </row>
    <row r="8" spans="1:8" ht="30" customHeight="1" thickBot="1">
      <c r="A8" s="1303"/>
      <c r="B8" s="1316"/>
      <c r="C8" s="12" t="s">
        <v>702</v>
      </c>
      <c r="D8" s="11" t="s">
        <v>14</v>
      </c>
      <c r="E8" s="10" t="s">
        <v>701</v>
      </c>
      <c r="F8" s="10" t="s">
        <v>12</v>
      </c>
      <c r="G8" s="9"/>
    </row>
    <row r="9" spans="1:8" ht="30" customHeight="1">
      <c r="A9" s="1301">
        <v>44623</v>
      </c>
      <c r="B9" s="1314" t="s">
        <v>1</v>
      </c>
      <c r="C9" s="1307" t="s">
        <v>234</v>
      </c>
      <c r="D9" s="27" t="s">
        <v>700</v>
      </c>
      <c r="E9" s="27" t="s">
        <v>186</v>
      </c>
      <c r="F9" s="1332" t="s">
        <v>699</v>
      </c>
      <c r="G9" s="25"/>
    </row>
    <row r="10" spans="1:8" ht="30" customHeight="1">
      <c r="A10" s="1302"/>
      <c r="B10" s="1315"/>
      <c r="C10" s="1308"/>
      <c r="D10" s="27" t="s">
        <v>691</v>
      </c>
      <c r="E10" s="27" t="s">
        <v>37</v>
      </c>
      <c r="F10" s="1320"/>
      <c r="G10" s="25"/>
    </row>
    <row r="11" spans="1:8" ht="30" customHeight="1">
      <c r="A11" s="1302"/>
      <c r="B11" s="1315"/>
      <c r="C11" s="1309"/>
      <c r="D11" s="40" t="s">
        <v>671</v>
      </c>
      <c r="E11" s="39" t="s">
        <v>698</v>
      </c>
      <c r="F11" s="1321"/>
      <c r="G11" s="25"/>
    </row>
    <row r="12" spans="1:8" ht="30" customHeight="1">
      <c r="A12" s="1302"/>
      <c r="B12" s="1315"/>
      <c r="C12" s="1310" t="s">
        <v>697</v>
      </c>
      <c r="D12" s="37" t="s">
        <v>69</v>
      </c>
      <c r="E12" s="36" t="s">
        <v>438</v>
      </c>
      <c r="F12" s="26"/>
      <c r="G12" s="45"/>
    </row>
    <row r="13" spans="1:8" ht="30" customHeight="1">
      <c r="A13" s="1302"/>
      <c r="B13" s="1315"/>
      <c r="C13" s="1309"/>
      <c r="D13" s="37" t="s">
        <v>80</v>
      </c>
      <c r="E13" s="36" t="s">
        <v>65</v>
      </c>
      <c r="F13" s="26" t="s">
        <v>157</v>
      </c>
      <c r="G13" s="45"/>
    </row>
    <row r="14" spans="1:8" ht="30" customHeight="1">
      <c r="A14" s="1302"/>
      <c r="B14" s="1315"/>
      <c r="C14" s="1310" t="s">
        <v>52</v>
      </c>
      <c r="D14" s="40" t="s">
        <v>691</v>
      </c>
      <c r="E14" s="39" t="s">
        <v>696</v>
      </c>
      <c r="F14" s="27"/>
      <c r="G14" s="1311" t="s">
        <v>153</v>
      </c>
    </row>
    <row r="15" spans="1:8" ht="30" customHeight="1">
      <c r="A15" s="1302"/>
      <c r="B15" s="1315"/>
      <c r="C15" s="1309"/>
      <c r="D15" s="37" t="s">
        <v>31</v>
      </c>
      <c r="E15" s="36" t="s">
        <v>19</v>
      </c>
      <c r="F15" s="26" t="s">
        <v>293</v>
      </c>
      <c r="G15" s="1313"/>
    </row>
    <row r="16" spans="1:8" ht="30" customHeight="1">
      <c r="A16" s="1302"/>
      <c r="B16" s="1315"/>
      <c r="C16" s="46" t="s">
        <v>695</v>
      </c>
      <c r="D16" s="37" t="s">
        <v>109</v>
      </c>
      <c r="E16" s="36" t="s">
        <v>694</v>
      </c>
      <c r="F16" s="26" t="s">
        <v>649</v>
      </c>
      <c r="G16" s="45" t="s">
        <v>34</v>
      </c>
      <c r="H16" s="2" t="s">
        <v>693</v>
      </c>
    </row>
    <row r="17" spans="1:8" ht="30" customHeight="1" thickBot="1">
      <c r="A17" s="1302"/>
      <c r="B17" s="1315"/>
      <c r="C17" s="50" t="s">
        <v>36</v>
      </c>
      <c r="D17" s="44" t="s">
        <v>84</v>
      </c>
      <c r="E17" s="43" t="s">
        <v>306</v>
      </c>
      <c r="F17" s="49"/>
      <c r="G17" s="69" t="s">
        <v>29</v>
      </c>
      <c r="H17" s="2" t="s">
        <v>692</v>
      </c>
    </row>
    <row r="18" spans="1:8" ht="30" customHeight="1" thickBot="1">
      <c r="A18" s="1303"/>
      <c r="B18" s="1316"/>
      <c r="C18" s="12"/>
      <c r="D18" s="11"/>
      <c r="E18" s="10"/>
      <c r="F18" s="10"/>
      <c r="G18" s="9"/>
    </row>
    <row r="19" spans="1:8" ht="30" customHeight="1">
      <c r="A19" s="1302">
        <v>44624</v>
      </c>
      <c r="B19" s="1315" t="s">
        <v>0</v>
      </c>
      <c r="C19" s="1307" t="s">
        <v>52</v>
      </c>
      <c r="D19" s="94" t="s">
        <v>691</v>
      </c>
      <c r="E19" s="93" t="s">
        <v>636</v>
      </c>
      <c r="F19" s="71"/>
      <c r="G19" s="70"/>
    </row>
    <row r="20" spans="1:8" ht="30" customHeight="1">
      <c r="A20" s="1302"/>
      <c r="B20" s="1315"/>
      <c r="C20" s="1308"/>
      <c r="D20" s="37" t="s">
        <v>80</v>
      </c>
      <c r="E20" s="43" t="s">
        <v>77</v>
      </c>
      <c r="F20" s="26"/>
      <c r="G20" s="25"/>
    </row>
    <row r="21" spans="1:8" ht="30" customHeight="1">
      <c r="A21" s="1302"/>
      <c r="B21" s="1315"/>
      <c r="C21" s="1309"/>
      <c r="D21" s="37" t="s">
        <v>78</v>
      </c>
      <c r="E21" s="39" t="s">
        <v>219</v>
      </c>
      <c r="F21" s="26"/>
      <c r="G21" s="41"/>
    </row>
    <row r="22" spans="1:8" ht="30" customHeight="1">
      <c r="A22" s="1302"/>
      <c r="B22" s="1315"/>
      <c r="C22" s="42" t="s">
        <v>690</v>
      </c>
      <c r="D22" s="27" t="s">
        <v>109</v>
      </c>
      <c r="E22" s="27" t="s">
        <v>140</v>
      </c>
      <c r="F22" s="27" t="s">
        <v>649</v>
      </c>
      <c r="G22" s="25" t="s">
        <v>689</v>
      </c>
    </row>
    <row r="23" spans="1:8" ht="30" customHeight="1">
      <c r="A23" s="1302"/>
      <c r="B23" s="1315"/>
      <c r="C23" s="42" t="s">
        <v>688</v>
      </c>
      <c r="D23" s="37" t="s">
        <v>31</v>
      </c>
      <c r="E23" s="39" t="s">
        <v>260</v>
      </c>
      <c r="F23" s="27" t="s">
        <v>687</v>
      </c>
      <c r="G23" s="41" t="s">
        <v>216</v>
      </c>
    </row>
    <row r="24" spans="1:8" ht="30" customHeight="1" thickBot="1">
      <c r="A24" s="1302"/>
      <c r="B24" s="1315"/>
      <c r="C24" s="50" t="s">
        <v>178</v>
      </c>
      <c r="D24" s="37" t="s">
        <v>31</v>
      </c>
      <c r="E24" s="43" t="s">
        <v>16</v>
      </c>
      <c r="F24" s="49" t="s">
        <v>157</v>
      </c>
      <c r="G24" s="69" t="s">
        <v>297</v>
      </c>
    </row>
    <row r="25" spans="1:8" ht="30" customHeight="1" thickBot="1">
      <c r="A25" s="1303"/>
      <c r="B25" s="1316"/>
      <c r="C25" s="12"/>
      <c r="D25" s="11"/>
      <c r="E25" s="10"/>
      <c r="F25" s="10"/>
      <c r="G25" s="9"/>
    </row>
    <row r="26" spans="1:8" ht="60" customHeight="1" thickBot="1">
      <c r="A26" s="1298" t="s">
        <v>5</v>
      </c>
      <c r="B26" s="1299"/>
      <c r="C26" s="1299"/>
      <c r="D26" s="1299"/>
      <c r="E26" s="1299"/>
      <c r="F26" s="1299"/>
      <c r="G26" s="1300"/>
    </row>
    <row r="27" spans="1:8" ht="36" customHeight="1">
      <c r="A27" s="1301">
        <v>44627</v>
      </c>
      <c r="B27" s="1314" t="s">
        <v>4</v>
      </c>
      <c r="C27" s="53" t="s">
        <v>136</v>
      </c>
      <c r="D27" s="27" t="s">
        <v>42</v>
      </c>
      <c r="E27" s="71" t="s">
        <v>686</v>
      </c>
      <c r="F27" s="26"/>
      <c r="G27" s="25"/>
    </row>
    <row r="28" spans="1:8" ht="36" customHeight="1">
      <c r="A28" s="1302"/>
      <c r="B28" s="1315"/>
      <c r="C28" s="1310" t="s">
        <v>52</v>
      </c>
      <c r="D28" s="27" t="s">
        <v>101</v>
      </c>
      <c r="E28" s="27" t="s">
        <v>95</v>
      </c>
      <c r="F28" s="26"/>
      <c r="G28" s="1311" t="s">
        <v>81</v>
      </c>
    </row>
    <row r="29" spans="1:8" ht="36" customHeight="1">
      <c r="A29" s="1302"/>
      <c r="B29" s="1315"/>
      <c r="C29" s="1309"/>
      <c r="D29" s="27" t="s">
        <v>25</v>
      </c>
      <c r="E29" s="27" t="s">
        <v>97</v>
      </c>
      <c r="F29" s="26"/>
      <c r="G29" s="1313"/>
    </row>
    <row r="30" spans="1:8" ht="36" customHeight="1" thickBot="1">
      <c r="A30" s="1302"/>
      <c r="B30" s="1315"/>
      <c r="C30" s="42" t="s">
        <v>685</v>
      </c>
      <c r="D30" s="40" t="s">
        <v>109</v>
      </c>
      <c r="E30" s="39" t="s">
        <v>108</v>
      </c>
      <c r="F30" s="26" t="s">
        <v>107</v>
      </c>
      <c r="G30" s="25" t="s">
        <v>106</v>
      </c>
      <c r="H30" s="2" t="s">
        <v>684</v>
      </c>
    </row>
    <row r="31" spans="1:8" ht="36" hidden="1" customHeight="1" thickBot="1">
      <c r="A31" s="1302"/>
      <c r="B31" s="1315"/>
      <c r="C31" s="17"/>
      <c r="D31" s="16"/>
      <c r="E31" s="15"/>
      <c r="F31" s="14"/>
      <c r="G31" s="13"/>
    </row>
    <row r="32" spans="1:8" ht="36" customHeight="1" thickBot="1">
      <c r="A32" s="1303"/>
      <c r="B32" s="1316"/>
      <c r="C32" s="12"/>
      <c r="D32" s="11"/>
      <c r="E32" s="10"/>
      <c r="F32" s="10"/>
      <c r="G32" s="9"/>
    </row>
    <row r="33" spans="1:8" ht="36" customHeight="1">
      <c r="A33" s="1301">
        <v>44628</v>
      </c>
      <c r="B33" s="1317" t="s">
        <v>3</v>
      </c>
      <c r="C33" s="1307" t="s">
        <v>11</v>
      </c>
      <c r="D33" s="27" t="s">
        <v>151</v>
      </c>
      <c r="E33" s="27" t="s">
        <v>683</v>
      </c>
      <c r="F33" s="26"/>
      <c r="G33" s="25"/>
    </row>
    <row r="34" spans="1:8" ht="36" customHeight="1">
      <c r="A34" s="1302"/>
      <c r="B34" s="1318"/>
      <c r="C34" s="1308"/>
      <c r="D34" s="27" t="s">
        <v>86</v>
      </c>
      <c r="E34" s="27" t="s">
        <v>682</v>
      </c>
      <c r="F34" s="26"/>
      <c r="G34" s="25"/>
    </row>
    <row r="35" spans="1:8" ht="36" customHeight="1">
      <c r="A35" s="1302"/>
      <c r="B35" s="1318"/>
      <c r="C35" s="1308"/>
      <c r="D35" s="27" t="s">
        <v>222</v>
      </c>
      <c r="E35" s="27" t="s">
        <v>37</v>
      </c>
      <c r="F35" s="26"/>
      <c r="G35" s="25"/>
    </row>
    <row r="36" spans="1:8" ht="36" customHeight="1">
      <c r="A36" s="1302"/>
      <c r="B36" s="1318"/>
      <c r="C36" s="1309"/>
      <c r="D36" s="27" t="s">
        <v>681</v>
      </c>
      <c r="E36" s="27" t="s">
        <v>584</v>
      </c>
      <c r="F36" s="26"/>
      <c r="G36" s="25"/>
    </row>
    <row r="37" spans="1:8" ht="36" customHeight="1">
      <c r="A37" s="1302"/>
      <c r="B37" s="1318"/>
      <c r="C37" s="1310" t="s">
        <v>273</v>
      </c>
      <c r="D37" s="40" t="s">
        <v>272</v>
      </c>
      <c r="E37" s="39" t="s">
        <v>221</v>
      </c>
      <c r="F37" s="27"/>
      <c r="G37" s="1311" t="s">
        <v>630</v>
      </c>
      <c r="H37" s="2" t="s">
        <v>680</v>
      </c>
    </row>
    <row r="38" spans="1:8" ht="36" customHeight="1">
      <c r="A38" s="1302"/>
      <c r="B38" s="1318"/>
      <c r="C38" s="1308"/>
      <c r="D38" s="44" t="s">
        <v>270</v>
      </c>
      <c r="E38" s="43" t="s">
        <v>311</v>
      </c>
      <c r="F38" s="49"/>
      <c r="G38" s="1312"/>
    </row>
    <row r="39" spans="1:8" ht="36" customHeight="1" thickBot="1">
      <c r="A39" s="1302"/>
      <c r="B39" s="1318"/>
      <c r="C39" s="76" t="s">
        <v>36</v>
      </c>
      <c r="D39" s="75" t="s">
        <v>78</v>
      </c>
      <c r="E39" s="74" t="s">
        <v>79</v>
      </c>
      <c r="F39" s="73"/>
      <c r="G39" s="72" t="s">
        <v>34</v>
      </c>
      <c r="H39" s="2" t="s">
        <v>679</v>
      </c>
    </row>
    <row r="40" spans="1:8" ht="36" customHeight="1" thickBot="1">
      <c r="A40" s="1303"/>
      <c r="B40" s="1319"/>
      <c r="C40" s="12" t="s">
        <v>678</v>
      </c>
      <c r="D40" s="11" t="s">
        <v>14</v>
      </c>
      <c r="E40" s="10" t="s">
        <v>677</v>
      </c>
      <c r="F40" s="10" t="s">
        <v>676</v>
      </c>
      <c r="G40" s="9"/>
    </row>
    <row r="41" spans="1:8" ht="36" customHeight="1">
      <c r="A41" s="1302">
        <v>44629</v>
      </c>
      <c r="B41" s="1318" t="s">
        <v>2</v>
      </c>
      <c r="C41" s="1336" t="s">
        <v>675</v>
      </c>
      <c r="D41" s="1337"/>
      <c r="E41" s="1337"/>
      <c r="F41" s="1337"/>
      <c r="G41" s="1338"/>
    </row>
    <row r="42" spans="1:8" ht="36" customHeight="1">
      <c r="A42" s="1302"/>
      <c r="B42" s="1318"/>
      <c r="C42" s="46" t="s">
        <v>230</v>
      </c>
      <c r="D42" s="40" t="s">
        <v>28</v>
      </c>
      <c r="E42" s="39" t="s">
        <v>135</v>
      </c>
      <c r="F42" s="26" t="s">
        <v>674</v>
      </c>
      <c r="G42" s="25" t="s">
        <v>229</v>
      </c>
    </row>
    <row r="43" spans="1:8" ht="36" customHeight="1">
      <c r="A43" s="1302"/>
      <c r="B43" s="1318"/>
      <c r="C43" s="1310" t="s">
        <v>36</v>
      </c>
      <c r="D43" s="40" t="s">
        <v>84</v>
      </c>
      <c r="E43" s="39" t="s">
        <v>263</v>
      </c>
      <c r="F43" s="1323" t="s">
        <v>58</v>
      </c>
      <c r="G43" s="1311" t="s">
        <v>57</v>
      </c>
    </row>
    <row r="44" spans="1:8" ht="36" customHeight="1">
      <c r="A44" s="1302"/>
      <c r="B44" s="1318"/>
      <c r="C44" s="1308"/>
      <c r="D44" s="40" t="s">
        <v>128</v>
      </c>
      <c r="E44" s="39" t="s">
        <v>67</v>
      </c>
      <c r="F44" s="1320"/>
      <c r="G44" s="1312"/>
    </row>
    <row r="45" spans="1:8" ht="36" customHeight="1">
      <c r="A45" s="1302"/>
      <c r="B45" s="1318"/>
      <c r="C45" s="1309"/>
      <c r="D45" s="37" t="s">
        <v>673</v>
      </c>
      <c r="E45" s="36" t="s">
        <v>672</v>
      </c>
      <c r="F45" s="1321"/>
      <c r="G45" s="1313"/>
    </row>
    <row r="46" spans="1:8" ht="36" customHeight="1" thickBot="1">
      <c r="A46" s="1302"/>
      <c r="B46" s="1318"/>
      <c r="C46" s="21"/>
      <c r="D46" s="22"/>
      <c r="E46" s="22"/>
      <c r="F46" s="18"/>
      <c r="G46" s="13"/>
    </row>
    <row r="47" spans="1:8" ht="36" hidden="1" customHeight="1">
      <c r="A47" s="1302"/>
      <c r="B47" s="1318"/>
      <c r="C47" s="21"/>
      <c r="D47" s="20"/>
      <c r="E47" s="19"/>
      <c r="F47" s="18"/>
      <c r="G47" s="13"/>
    </row>
    <row r="48" spans="1:8" ht="36" hidden="1" customHeight="1" thickBot="1">
      <c r="A48" s="1302"/>
      <c r="B48" s="1318"/>
      <c r="C48" s="17"/>
      <c r="D48" s="16"/>
      <c r="E48" s="15"/>
      <c r="F48" s="14"/>
      <c r="G48" s="13"/>
    </row>
    <row r="49" spans="1:8" ht="36" customHeight="1" thickBot="1">
      <c r="A49" s="1303"/>
      <c r="B49" s="1319"/>
      <c r="C49" s="12"/>
      <c r="D49" s="11"/>
      <c r="E49" s="10"/>
      <c r="F49" s="10"/>
      <c r="G49" s="9"/>
    </row>
    <row r="50" spans="1:8" ht="36" customHeight="1">
      <c r="A50" s="1302">
        <v>44630</v>
      </c>
      <c r="B50" s="1318" t="s">
        <v>1</v>
      </c>
      <c r="C50" s="1310" t="s">
        <v>70</v>
      </c>
      <c r="D50" s="27" t="s">
        <v>546</v>
      </c>
      <c r="E50" s="27" t="s">
        <v>67</v>
      </c>
      <c r="F50" s="26"/>
      <c r="G50" s="1322" t="s">
        <v>572</v>
      </c>
    </row>
    <row r="51" spans="1:8" ht="36" customHeight="1">
      <c r="A51" s="1302"/>
      <c r="B51" s="1318"/>
      <c r="C51" s="1308"/>
      <c r="D51" s="27" t="s">
        <v>671</v>
      </c>
      <c r="E51" s="27" t="s">
        <v>244</v>
      </c>
      <c r="F51" s="26"/>
      <c r="G51" s="1312"/>
    </row>
    <row r="52" spans="1:8" ht="36" customHeight="1">
      <c r="A52" s="1302"/>
      <c r="B52" s="1318"/>
      <c r="C52" s="1308"/>
      <c r="D52" s="27" t="s">
        <v>242</v>
      </c>
      <c r="E52" s="27" t="s">
        <v>97</v>
      </c>
      <c r="F52" s="26"/>
      <c r="G52" s="1312"/>
    </row>
    <row r="53" spans="1:8" ht="36" customHeight="1">
      <c r="A53" s="1302"/>
      <c r="B53" s="1318"/>
      <c r="C53" s="1308"/>
      <c r="D53" s="27" t="s">
        <v>670</v>
      </c>
      <c r="E53" s="27" t="s">
        <v>162</v>
      </c>
      <c r="F53" s="26"/>
      <c r="G53" s="1312"/>
    </row>
    <row r="54" spans="1:8" ht="36" customHeight="1">
      <c r="A54" s="1302"/>
      <c r="B54" s="1318"/>
      <c r="C54" s="1308"/>
      <c r="D54" s="40" t="s">
        <v>669</v>
      </c>
      <c r="E54" s="39" t="s">
        <v>95</v>
      </c>
      <c r="F54" s="26"/>
      <c r="G54" s="1312"/>
    </row>
    <row r="55" spans="1:8" ht="36" customHeight="1">
      <c r="A55" s="1302"/>
      <c r="B55" s="1318"/>
      <c r="C55" s="1309"/>
      <c r="D55" s="27" t="s">
        <v>668</v>
      </c>
      <c r="E55" s="27" t="s">
        <v>505</v>
      </c>
      <c r="F55" s="26" t="s">
        <v>560</v>
      </c>
      <c r="G55" s="1313"/>
    </row>
    <row r="56" spans="1:8" ht="36" customHeight="1">
      <c r="A56" s="1302"/>
      <c r="B56" s="1318"/>
      <c r="C56" s="42" t="s">
        <v>667</v>
      </c>
      <c r="D56" s="27" t="s">
        <v>73</v>
      </c>
      <c r="E56" s="27" t="s">
        <v>37</v>
      </c>
      <c r="F56" s="26" t="s">
        <v>666</v>
      </c>
      <c r="G56" s="41" t="s">
        <v>34</v>
      </c>
    </row>
    <row r="57" spans="1:8" ht="36" customHeight="1">
      <c r="A57" s="1302"/>
      <c r="B57" s="1318"/>
      <c r="C57" s="1310" t="s">
        <v>267</v>
      </c>
      <c r="D57" s="26" t="s">
        <v>31</v>
      </c>
      <c r="E57" s="26" t="s">
        <v>30</v>
      </c>
      <c r="F57" s="26"/>
      <c r="G57" s="1311" t="s">
        <v>34</v>
      </c>
      <c r="H57" s="2">
        <v>7</v>
      </c>
    </row>
    <row r="58" spans="1:8" ht="36" customHeight="1">
      <c r="A58" s="1302"/>
      <c r="B58" s="1318"/>
      <c r="C58" s="1308"/>
      <c r="D58" s="27" t="s">
        <v>17</v>
      </c>
      <c r="E58" s="27" t="s">
        <v>19</v>
      </c>
      <c r="F58" s="26"/>
      <c r="G58" s="1312"/>
    </row>
    <row r="59" spans="1:8" ht="36" customHeight="1">
      <c r="A59" s="1302"/>
      <c r="B59" s="1318"/>
      <c r="C59" s="1308"/>
      <c r="D59" s="27" t="s">
        <v>192</v>
      </c>
      <c r="E59" s="27" t="s">
        <v>665</v>
      </c>
      <c r="F59" s="26"/>
      <c r="G59" s="1312"/>
    </row>
    <row r="60" spans="1:8" ht="36" customHeight="1">
      <c r="A60" s="1302"/>
      <c r="B60" s="1318"/>
      <c r="C60" s="1309"/>
      <c r="D60" s="27" t="s">
        <v>28</v>
      </c>
      <c r="E60" s="27" t="s">
        <v>190</v>
      </c>
      <c r="F60" s="26"/>
      <c r="G60" s="1313"/>
    </row>
    <row r="61" spans="1:8" ht="36" customHeight="1">
      <c r="A61" s="1302"/>
      <c r="B61" s="1318"/>
      <c r="C61" s="1308" t="s">
        <v>565</v>
      </c>
      <c r="D61" s="26" t="s">
        <v>69</v>
      </c>
      <c r="E61" s="26" t="s">
        <v>361</v>
      </c>
      <c r="F61" s="26"/>
      <c r="G61" s="69"/>
    </row>
    <row r="62" spans="1:8" ht="36" customHeight="1">
      <c r="A62" s="1302"/>
      <c r="B62" s="1318"/>
      <c r="C62" s="1308"/>
      <c r="D62" s="27" t="s">
        <v>335</v>
      </c>
      <c r="E62" s="27" t="s">
        <v>175</v>
      </c>
      <c r="F62" s="26"/>
      <c r="G62" s="25"/>
    </row>
    <row r="63" spans="1:8" ht="36" customHeight="1">
      <c r="A63" s="1302"/>
      <c r="B63" s="1318"/>
      <c r="C63" s="1308"/>
      <c r="D63" s="27" t="s">
        <v>28</v>
      </c>
      <c r="E63" s="27" t="s">
        <v>24</v>
      </c>
      <c r="F63" s="26"/>
      <c r="G63" s="25"/>
    </row>
    <row r="64" spans="1:8" ht="36" customHeight="1">
      <c r="A64" s="1302"/>
      <c r="B64" s="1318"/>
      <c r="C64" s="1308"/>
      <c r="D64" s="27" t="s">
        <v>31</v>
      </c>
      <c r="E64" s="27" t="s">
        <v>30</v>
      </c>
      <c r="F64" s="26" t="s">
        <v>298</v>
      </c>
      <c r="G64" s="25"/>
    </row>
    <row r="65" spans="1:8" ht="36" customHeight="1">
      <c r="A65" s="1302"/>
      <c r="B65" s="1318"/>
      <c r="C65" s="1308"/>
      <c r="D65" s="51" t="s">
        <v>333</v>
      </c>
      <c r="E65" s="51" t="s">
        <v>175</v>
      </c>
      <c r="F65" s="49"/>
      <c r="G65" s="25"/>
    </row>
    <row r="66" spans="1:8" ht="36" customHeight="1">
      <c r="A66" s="1302"/>
      <c r="B66" s="1318"/>
      <c r="C66" s="42" t="s">
        <v>121</v>
      </c>
      <c r="D66" s="27" t="s">
        <v>120</v>
      </c>
      <c r="E66" s="27" t="s">
        <v>79</v>
      </c>
      <c r="F66" s="27"/>
      <c r="G66" s="41"/>
    </row>
    <row r="67" spans="1:8" ht="36" customHeight="1">
      <c r="A67" s="1302"/>
      <c r="B67" s="1318"/>
      <c r="C67" s="1310" t="s">
        <v>167</v>
      </c>
      <c r="D67" s="27" t="s">
        <v>664</v>
      </c>
      <c r="E67" s="27" t="s">
        <v>244</v>
      </c>
      <c r="F67" s="26"/>
      <c r="G67" s="1311" t="s">
        <v>39</v>
      </c>
    </row>
    <row r="68" spans="1:8" ht="36" customHeight="1">
      <c r="A68" s="1302"/>
      <c r="B68" s="1318"/>
      <c r="C68" s="1309"/>
      <c r="D68" s="27" t="s">
        <v>189</v>
      </c>
      <c r="E68" s="27" t="s">
        <v>67</v>
      </c>
      <c r="F68" s="26"/>
      <c r="G68" s="1313"/>
    </row>
    <row r="69" spans="1:8" ht="36" customHeight="1">
      <c r="A69" s="1302"/>
      <c r="B69" s="1318"/>
      <c r="C69" s="42" t="s">
        <v>134</v>
      </c>
      <c r="D69" s="27" t="s">
        <v>28</v>
      </c>
      <c r="E69" s="27" t="s">
        <v>438</v>
      </c>
      <c r="F69" s="26"/>
      <c r="G69" s="41" t="s">
        <v>323</v>
      </c>
      <c r="H69" s="2" t="s">
        <v>663</v>
      </c>
    </row>
    <row r="70" spans="1:8" ht="36" customHeight="1" thickBot="1">
      <c r="A70" s="1302"/>
      <c r="B70" s="1318"/>
      <c r="C70" s="52" t="s">
        <v>662</v>
      </c>
      <c r="D70" s="49" t="s">
        <v>31</v>
      </c>
      <c r="E70" s="49" t="s">
        <v>117</v>
      </c>
      <c r="F70" s="49"/>
      <c r="G70" s="69" t="s">
        <v>29</v>
      </c>
    </row>
    <row r="71" spans="1:8" ht="36" customHeight="1" thickBot="1">
      <c r="A71" s="1302"/>
      <c r="B71" s="1318"/>
      <c r="C71" s="12" t="s">
        <v>661</v>
      </c>
      <c r="D71" s="11" t="s">
        <v>660</v>
      </c>
      <c r="E71" s="10" t="s">
        <v>659</v>
      </c>
      <c r="F71" s="10" t="s">
        <v>12</v>
      </c>
      <c r="G71" s="9"/>
    </row>
    <row r="72" spans="1:8" ht="36" customHeight="1" thickBot="1">
      <c r="A72" s="1303"/>
      <c r="B72" s="1319"/>
      <c r="C72" s="12" t="s">
        <v>658</v>
      </c>
      <c r="D72" s="11" t="s">
        <v>471</v>
      </c>
      <c r="E72" s="10" t="s">
        <v>657</v>
      </c>
      <c r="F72" s="10" t="s">
        <v>656</v>
      </c>
      <c r="G72" s="9"/>
    </row>
    <row r="73" spans="1:8" ht="36" customHeight="1">
      <c r="A73" s="1301">
        <v>44631</v>
      </c>
      <c r="B73" s="1317" t="s">
        <v>0</v>
      </c>
      <c r="C73" s="53" t="s">
        <v>11</v>
      </c>
      <c r="D73" s="94" t="s">
        <v>487</v>
      </c>
      <c r="E73" s="93" t="s">
        <v>655</v>
      </c>
      <c r="F73" s="71"/>
      <c r="G73" s="92"/>
    </row>
    <row r="74" spans="1:8" ht="36" customHeight="1">
      <c r="A74" s="1302"/>
      <c r="B74" s="1318"/>
      <c r="C74" s="46" t="s">
        <v>184</v>
      </c>
      <c r="D74" s="26" t="s">
        <v>654</v>
      </c>
      <c r="E74" s="26" t="s">
        <v>245</v>
      </c>
      <c r="F74" s="26"/>
      <c r="G74" s="45" t="s">
        <v>229</v>
      </c>
    </row>
    <row r="75" spans="1:8" ht="36" customHeight="1">
      <c r="A75" s="1302"/>
      <c r="B75" s="1318"/>
      <c r="C75" s="1310" t="s">
        <v>134</v>
      </c>
      <c r="D75" s="27" t="s">
        <v>84</v>
      </c>
      <c r="E75" s="27" t="s">
        <v>379</v>
      </c>
      <c r="F75" s="26" t="s">
        <v>130</v>
      </c>
      <c r="G75" s="1311" t="s">
        <v>653</v>
      </c>
    </row>
    <row r="76" spans="1:8" ht="36" customHeight="1">
      <c r="A76" s="1302"/>
      <c r="B76" s="1318"/>
      <c r="C76" s="1308"/>
      <c r="D76" s="27" t="s">
        <v>249</v>
      </c>
      <c r="E76" s="27" t="s">
        <v>344</v>
      </c>
      <c r="F76" s="27" t="s">
        <v>652</v>
      </c>
      <c r="G76" s="1313"/>
    </row>
    <row r="77" spans="1:8" ht="36" customHeight="1">
      <c r="A77" s="1302"/>
      <c r="B77" s="1318"/>
      <c r="C77" s="1308"/>
      <c r="D77" s="27" t="s">
        <v>28</v>
      </c>
      <c r="E77" s="27" t="s">
        <v>35</v>
      </c>
      <c r="F77" s="26"/>
      <c r="G77" s="25" t="s">
        <v>323</v>
      </c>
      <c r="H77" s="2" t="s">
        <v>651</v>
      </c>
    </row>
    <row r="78" spans="1:8" ht="36" customHeight="1">
      <c r="A78" s="1302"/>
      <c r="B78" s="1318"/>
      <c r="C78" s="42"/>
      <c r="D78" s="27" t="s">
        <v>6</v>
      </c>
      <c r="E78" s="27"/>
      <c r="F78" s="26"/>
      <c r="G78" s="25"/>
    </row>
    <row r="79" spans="1:8" ht="36" customHeight="1">
      <c r="A79" s="1302"/>
      <c r="B79" s="1318"/>
      <c r="C79" s="42" t="s">
        <v>625</v>
      </c>
      <c r="D79" s="40" t="s">
        <v>650</v>
      </c>
      <c r="E79" s="39" t="s">
        <v>311</v>
      </c>
      <c r="F79" s="26"/>
      <c r="G79" s="25" t="s">
        <v>18</v>
      </c>
    </row>
    <row r="80" spans="1:8" ht="36" customHeight="1">
      <c r="A80" s="1302"/>
      <c r="B80" s="1318"/>
      <c r="C80" s="42" t="s">
        <v>21</v>
      </c>
      <c r="D80" s="40" t="s">
        <v>31</v>
      </c>
      <c r="E80" s="39" t="s">
        <v>331</v>
      </c>
      <c r="F80" s="27"/>
      <c r="G80" s="41" t="s">
        <v>18</v>
      </c>
    </row>
    <row r="81" spans="1:8" ht="36" customHeight="1" thickBot="1">
      <c r="A81" s="1302"/>
      <c r="B81" s="1318"/>
      <c r="C81" s="52" t="s">
        <v>143</v>
      </c>
      <c r="D81" s="44" t="s">
        <v>109</v>
      </c>
      <c r="E81" s="43" t="s">
        <v>108</v>
      </c>
      <c r="F81" s="49" t="s">
        <v>649</v>
      </c>
      <c r="G81" s="69" t="s">
        <v>177</v>
      </c>
      <c r="H81" s="2" t="s">
        <v>648</v>
      </c>
    </row>
    <row r="82" spans="1:8" ht="36" customHeight="1" thickBot="1">
      <c r="A82" s="1303"/>
      <c r="B82" s="1319"/>
      <c r="C82" s="12"/>
      <c r="D82" s="11"/>
      <c r="E82" s="10"/>
      <c r="F82" s="10"/>
      <c r="G82" s="9"/>
    </row>
    <row r="83" spans="1:8" ht="60" customHeight="1" thickBot="1">
      <c r="A83" s="1298" t="s">
        <v>5</v>
      </c>
      <c r="B83" s="1299"/>
      <c r="C83" s="1299"/>
      <c r="D83" s="1299"/>
      <c r="E83" s="1299"/>
      <c r="F83" s="1299"/>
      <c r="G83" s="1300"/>
    </row>
    <row r="84" spans="1:8" ht="36" customHeight="1">
      <c r="A84" s="1301">
        <v>44634</v>
      </c>
      <c r="B84" s="1304" t="s">
        <v>4</v>
      </c>
      <c r="C84" s="1307" t="s">
        <v>348</v>
      </c>
      <c r="D84" s="71" t="s">
        <v>419</v>
      </c>
      <c r="E84" s="71" t="s">
        <v>647</v>
      </c>
      <c r="F84" s="71" t="s">
        <v>646</v>
      </c>
      <c r="G84" s="92"/>
    </row>
    <row r="85" spans="1:8" ht="36" customHeight="1">
      <c r="A85" s="1302"/>
      <c r="B85" s="1305"/>
      <c r="C85" s="1308"/>
      <c r="D85" s="27" t="s">
        <v>645</v>
      </c>
      <c r="E85" s="27" t="s">
        <v>37</v>
      </c>
      <c r="F85" s="26" t="s">
        <v>641</v>
      </c>
      <c r="G85" s="1312" t="s">
        <v>644</v>
      </c>
    </row>
    <row r="86" spans="1:8" ht="36" customHeight="1">
      <c r="A86" s="1302"/>
      <c r="B86" s="1305"/>
      <c r="C86" s="1309"/>
      <c r="D86" s="27" t="s">
        <v>643</v>
      </c>
      <c r="E86" s="27" t="s">
        <v>642</v>
      </c>
      <c r="F86" s="26" t="s">
        <v>641</v>
      </c>
      <c r="G86" s="1313"/>
    </row>
    <row r="87" spans="1:8" ht="36" customHeight="1">
      <c r="A87" s="1302"/>
      <c r="B87" s="1305"/>
      <c r="C87" s="1310" t="s">
        <v>70</v>
      </c>
      <c r="D87" s="27" t="s">
        <v>640</v>
      </c>
      <c r="E87" s="27" t="s">
        <v>244</v>
      </c>
      <c r="F87" s="26"/>
      <c r="G87" s="41"/>
    </row>
    <row r="88" spans="1:8" ht="36" customHeight="1">
      <c r="A88" s="1302"/>
      <c r="B88" s="1305"/>
      <c r="C88" s="1308"/>
      <c r="D88" s="27" t="s">
        <v>69</v>
      </c>
      <c r="E88" s="27" t="s">
        <v>344</v>
      </c>
      <c r="F88" s="26"/>
      <c r="G88" s="41"/>
    </row>
    <row r="89" spans="1:8" ht="36" customHeight="1">
      <c r="A89" s="1302"/>
      <c r="B89" s="1305"/>
      <c r="C89" s="1308"/>
      <c r="D89" s="27" t="s">
        <v>333</v>
      </c>
      <c r="E89" s="27" t="s">
        <v>377</v>
      </c>
      <c r="F89" s="26"/>
      <c r="G89" s="41"/>
    </row>
    <row r="90" spans="1:8" ht="36" customHeight="1">
      <c r="A90" s="1302"/>
      <c r="B90" s="1305"/>
      <c r="C90" s="1308"/>
      <c r="D90" s="27" t="s">
        <v>639</v>
      </c>
      <c r="E90" s="27" t="s">
        <v>27</v>
      </c>
      <c r="F90" s="26"/>
      <c r="G90" s="41"/>
    </row>
    <row r="91" spans="1:8" ht="36" customHeight="1">
      <c r="A91" s="1302"/>
      <c r="B91" s="1305"/>
      <c r="C91" s="1308"/>
      <c r="D91" s="27" t="s">
        <v>491</v>
      </c>
      <c r="E91" s="27" t="s">
        <v>334</v>
      </c>
      <c r="F91" s="26"/>
      <c r="G91" s="41"/>
    </row>
    <row r="92" spans="1:8" ht="36" customHeight="1">
      <c r="A92" s="1302"/>
      <c r="B92" s="1305"/>
      <c r="C92" s="1309"/>
      <c r="D92" s="27" t="s">
        <v>84</v>
      </c>
      <c r="E92" s="27" t="s">
        <v>95</v>
      </c>
      <c r="F92" s="26"/>
      <c r="G92" s="41"/>
    </row>
    <row r="93" spans="1:8" ht="36" customHeight="1">
      <c r="A93" s="1302"/>
      <c r="B93" s="1305"/>
      <c r="C93" s="1310" t="s">
        <v>52</v>
      </c>
      <c r="D93" s="27" t="s">
        <v>101</v>
      </c>
      <c r="E93" s="27" t="s">
        <v>97</v>
      </c>
      <c r="F93" s="27"/>
      <c r="G93" s="1311" t="s">
        <v>18</v>
      </c>
    </row>
    <row r="94" spans="1:8" ht="36" customHeight="1">
      <c r="A94" s="1302"/>
      <c r="B94" s="1305"/>
      <c r="C94" s="1308"/>
      <c r="D94" s="27" t="s">
        <v>25</v>
      </c>
      <c r="E94" s="27" t="s">
        <v>638</v>
      </c>
      <c r="F94" s="26"/>
      <c r="G94" s="1312"/>
    </row>
    <row r="95" spans="1:8" ht="36" customHeight="1">
      <c r="A95" s="1302"/>
      <c r="B95" s="1305"/>
      <c r="C95" s="1309"/>
      <c r="D95" s="40" t="s">
        <v>637</v>
      </c>
      <c r="E95" s="39" t="s">
        <v>636</v>
      </c>
      <c r="F95" s="26"/>
      <c r="G95" s="1313"/>
    </row>
    <row r="96" spans="1:8" ht="36" customHeight="1" thickBot="1">
      <c r="A96" s="1302"/>
      <c r="B96" s="1305"/>
      <c r="C96" s="46" t="s">
        <v>635</v>
      </c>
      <c r="D96" s="37" t="s">
        <v>80</v>
      </c>
      <c r="E96" s="36" t="s">
        <v>518</v>
      </c>
      <c r="F96" s="26" t="s">
        <v>634</v>
      </c>
      <c r="G96" s="45" t="s">
        <v>177</v>
      </c>
      <c r="H96" s="2" t="s">
        <v>633</v>
      </c>
    </row>
    <row r="97" spans="1:8" ht="36" hidden="1" customHeight="1">
      <c r="A97" s="1302"/>
      <c r="B97" s="1305"/>
      <c r="C97" s="64"/>
      <c r="D97" s="63"/>
      <c r="E97" s="33"/>
      <c r="F97" s="62"/>
      <c r="G97" s="61"/>
    </row>
    <row r="98" spans="1:8" ht="36" hidden="1" customHeight="1" thickBot="1">
      <c r="A98" s="1302"/>
      <c r="B98" s="1305"/>
      <c r="C98" s="60"/>
      <c r="D98" s="59"/>
      <c r="E98" s="29"/>
      <c r="F98" s="58"/>
      <c r="G98" s="57"/>
    </row>
    <row r="99" spans="1:8" ht="36" customHeight="1" thickBot="1">
      <c r="A99" s="1303"/>
      <c r="B99" s="1306"/>
      <c r="C99" s="12"/>
      <c r="D99" s="11"/>
      <c r="E99" s="10"/>
      <c r="F99" s="10"/>
      <c r="G99" s="9"/>
    </row>
    <row r="100" spans="1:8" ht="36" customHeight="1">
      <c r="A100" s="1301">
        <v>44635</v>
      </c>
      <c r="B100" s="1314" t="s">
        <v>88</v>
      </c>
      <c r="C100" s="42" t="s">
        <v>11</v>
      </c>
      <c r="D100" s="27" t="s">
        <v>487</v>
      </c>
      <c r="E100" s="27" t="s">
        <v>632</v>
      </c>
      <c r="F100" s="26"/>
      <c r="G100" s="25"/>
    </row>
    <row r="101" spans="1:8" ht="36" customHeight="1">
      <c r="A101" s="1302"/>
      <c r="B101" s="1315"/>
      <c r="C101" s="42" t="s">
        <v>294</v>
      </c>
      <c r="D101" s="27" t="s">
        <v>528</v>
      </c>
      <c r="E101" s="27" t="s">
        <v>186</v>
      </c>
      <c r="F101" s="26" t="s">
        <v>631</v>
      </c>
      <c r="G101" s="25" t="s">
        <v>630</v>
      </c>
      <c r="H101" s="2" t="s">
        <v>406</v>
      </c>
    </row>
    <row r="102" spans="1:8" ht="36" customHeight="1">
      <c r="A102" s="1302"/>
      <c r="B102" s="1315"/>
      <c r="C102" s="1310" t="s">
        <v>330</v>
      </c>
      <c r="D102" s="27" t="s">
        <v>101</v>
      </c>
      <c r="E102" s="27" t="s">
        <v>629</v>
      </c>
      <c r="F102" s="27"/>
      <c r="G102" s="1311" t="s">
        <v>81</v>
      </c>
    </row>
    <row r="103" spans="1:8" ht="36" customHeight="1">
      <c r="A103" s="1302"/>
      <c r="B103" s="1315"/>
      <c r="C103" s="1308"/>
      <c r="D103" s="27" t="s">
        <v>628</v>
      </c>
      <c r="E103" s="27" t="s">
        <v>627</v>
      </c>
      <c r="F103" s="26"/>
      <c r="G103" s="1312"/>
    </row>
    <row r="104" spans="1:8" ht="36" customHeight="1">
      <c r="A104" s="1302"/>
      <c r="B104" s="1315"/>
      <c r="C104" s="1308"/>
      <c r="D104" s="40" t="s">
        <v>626</v>
      </c>
      <c r="E104" s="39" t="s">
        <v>95</v>
      </c>
      <c r="F104" s="26"/>
      <c r="G104" s="1312"/>
    </row>
    <row r="105" spans="1:8" ht="36" customHeight="1">
      <c r="A105" s="1302"/>
      <c r="B105" s="1315"/>
      <c r="C105" s="1309"/>
      <c r="D105" s="40" t="s">
        <v>109</v>
      </c>
      <c r="E105" s="39" t="s">
        <v>30</v>
      </c>
      <c r="F105" s="26" t="s">
        <v>157</v>
      </c>
      <c r="G105" s="1313"/>
    </row>
    <row r="106" spans="1:8" ht="36" customHeight="1">
      <c r="A106" s="1302"/>
      <c r="B106" s="1315"/>
      <c r="C106" s="42" t="s">
        <v>625</v>
      </c>
      <c r="D106" s="40" t="s">
        <v>169</v>
      </c>
      <c r="E106" s="39" t="s">
        <v>382</v>
      </c>
      <c r="F106" s="26"/>
      <c r="G106" s="25" t="s">
        <v>416</v>
      </c>
    </row>
    <row r="107" spans="1:8" ht="36" customHeight="1">
      <c r="A107" s="1302"/>
      <c r="B107" s="1315"/>
      <c r="C107" s="42" t="s">
        <v>468</v>
      </c>
      <c r="D107" s="40" t="s">
        <v>109</v>
      </c>
      <c r="E107" s="39" t="s">
        <v>467</v>
      </c>
      <c r="F107" s="27" t="s">
        <v>280</v>
      </c>
      <c r="G107" s="41" t="s">
        <v>81</v>
      </c>
    </row>
    <row r="108" spans="1:8" ht="36" customHeight="1">
      <c r="A108" s="1302"/>
      <c r="B108" s="1315"/>
      <c r="C108" s="46" t="s">
        <v>267</v>
      </c>
      <c r="D108" s="40" t="s">
        <v>78</v>
      </c>
      <c r="E108" s="36" t="s">
        <v>311</v>
      </c>
      <c r="F108" s="26"/>
      <c r="G108" s="45" t="s">
        <v>39</v>
      </c>
    </row>
    <row r="109" spans="1:8" s="87" customFormat="1" ht="33" customHeight="1">
      <c r="A109" s="1302"/>
      <c r="B109" s="1315"/>
      <c r="C109" s="42" t="s">
        <v>624</v>
      </c>
      <c r="D109" s="40" t="s">
        <v>109</v>
      </c>
      <c r="E109" s="39" t="s">
        <v>140</v>
      </c>
      <c r="F109" s="27" t="s">
        <v>157</v>
      </c>
      <c r="G109" s="41" t="s">
        <v>177</v>
      </c>
      <c r="H109" s="88"/>
    </row>
    <row r="110" spans="1:8" s="87" customFormat="1" ht="33" customHeight="1">
      <c r="A110" s="1302"/>
      <c r="B110" s="1315"/>
      <c r="C110" s="42" t="s">
        <v>36</v>
      </c>
      <c r="D110" s="40" t="s">
        <v>84</v>
      </c>
      <c r="E110" s="39" t="s">
        <v>35</v>
      </c>
      <c r="F110" s="27"/>
      <c r="G110" s="41" t="s">
        <v>29</v>
      </c>
      <c r="H110" s="88" t="s">
        <v>623</v>
      </c>
    </row>
    <row r="111" spans="1:8" ht="36" customHeight="1" thickBot="1">
      <c r="A111" s="1302"/>
      <c r="B111" s="1315"/>
      <c r="C111" s="31"/>
      <c r="D111" s="30"/>
      <c r="E111" s="29"/>
      <c r="F111" s="14"/>
      <c r="G111" s="28"/>
    </row>
    <row r="112" spans="1:8" ht="36" customHeight="1" thickBot="1">
      <c r="A112" s="1303"/>
      <c r="B112" s="1316"/>
      <c r="C112" s="12"/>
      <c r="D112" s="11"/>
      <c r="E112" s="10"/>
      <c r="F112" s="10"/>
      <c r="G112" s="9"/>
    </row>
    <row r="113" spans="1:8" ht="36" customHeight="1">
      <c r="A113" s="1301">
        <v>44636</v>
      </c>
      <c r="B113" s="1314" t="s">
        <v>2</v>
      </c>
      <c r="C113" s="53" t="s">
        <v>11</v>
      </c>
      <c r="D113" s="27" t="s">
        <v>8</v>
      </c>
      <c r="E113" s="27" t="s">
        <v>622</v>
      </c>
      <c r="F113" s="26"/>
      <c r="G113" s="25"/>
    </row>
    <row r="114" spans="1:8" ht="36" customHeight="1">
      <c r="A114" s="1302"/>
      <c r="B114" s="1315"/>
      <c r="C114" s="42" t="s">
        <v>184</v>
      </c>
      <c r="D114" s="40" t="s">
        <v>621</v>
      </c>
      <c r="E114" s="39" t="s">
        <v>620</v>
      </c>
      <c r="F114" s="27" t="s">
        <v>619</v>
      </c>
      <c r="G114" s="41"/>
    </row>
    <row r="115" spans="1:8" ht="36" customHeight="1">
      <c r="A115" s="1302"/>
      <c r="B115" s="1315"/>
      <c r="C115" s="46" t="s">
        <v>618</v>
      </c>
      <c r="D115" s="40" t="s">
        <v>109</v>
      </c>
      <c r="E115" s="36" t="s">
        <v>119</v>
      </c>
      <c r="F115" s="26" t="s">
        <v>157</v>
      </c>
      <c r="G115" s="45" t="s">
        <v>177</v>
      </c>
    </row>
    <row r="116" spans="1:8" ht="36" customHeight="1">
      <c r="A116" s="1302"/>
      <c r="B116" s="1315"/>
      <c r="C116" s="42" t="s">
        <v>110</v>
      </c>
      <c r="D116" s="40" t="s">
        <v>109</v>
      </c>
      <c r="E116" s="39" t="s">
        <v>140</v>
      </c>
      <c r="F116" s="27" t="s">
        <v>107</v>
      </c>
      <c r="G116" s="41" t="s">
        <v>106</v>
      </c>
      <c r="H116" s="2" t="s">
        <v>617</v>
      </c>
    </row>
    <row r="117" spans="1:8" ht="36" customHeight="1">
      <c r="A117" s="1302"/>
      <c r="B117" s="1315"/>
      <c r="C117" s="46" t="s">
        <v>36</v>
      </c>
      <c r="D117" s="37" t="s">
        <v>419</v>
      </c>
      <c r="E117" s="36" t="s">
        <v>49</v>
      </c>
      <c r="F117" s="26" t="s">
        <v>616</v>
      </c>
      <c r="G117" s="45" t="s">
        <v>29</v>
      </c>
    </row>
    <row r="118" spans="1:8" ht="36" customHeight="1" thickBot="1">
      <c r="A118" s="1302"/>
      <c r="B118" s="1315"/>
      <c r="C118" s="105"/>
      <c r="D118" s="30"/>
      <c r="E118" s="29"/>
      <c r="F118" s="14"/>
      <c r="G118" s="28"/>
    </row>
    <row r="119" spans="1:8" ht="36" customHeight="1" thickBot="1">
      <c r="A119" s="1303"/>
      <c r="B119" s="1316"/>
      <c r="C119" s="12"/>
      <c r="D119" s="11"/>
      <c r="E119" s="10"/>
      <c r="F119" s="10"/>
      <c r="G119" s="9"/>
    </row>
    <row r="120" spans="1:8" ht="36" customHeight="1">
      <c r="A120" s="1301">
        <v>44637</v>
      </c>
      <c r="B120" s="1314" t="s">
        <v>1</v>
      </c>
      <c r="C120" s="42" t="s">
        <v>11</v>
      </c>
      <c r="D120" s="27" t="s">
        <v>86</v>
      </c>
      <c r="E120" s="27" t="s">
        <v>615</v>
      </c>
      <c r="F120" s="26"/>
      <c r="G120" s="25"/>
    </row>
    <row r="121" spans="1:8" ht="36" customHeight="1">
      <c r="A121" s="1302"/>
      <c r="B121" s="1315"/>
      <c r="C121" s="42" t="s">
        <v>614</v>
      </c>
      <c r="D121" s="40" t="s">
        <v>109</v>
      </c>
      <c r="E121" s="27" t="s">
        <v>65</v>
      </c>
      <c r="F121" s="26" t="s">
        <v>502</v>
      </c>
      <c r="G121" s="25" t="s">
        <v>39</v>
      </c>
    </row>
    <row r="122" spans="1:8" ht="36" customHeight="1">
      <c r="A122" s="1302"/>
      <c r="B122" s="1315"/>
      <c r="C122" s="1310" t="s">
        <v>32</v>
      </c>
      <c r="D122" s="40" t="s">
        <v>447</v>
      </c>
      <c r="E122" s="39" t="s">
        <v>324</v>
      </c>
      <c r="F122" s="27"/>
      <c r="G122" s="1311" t="s">
        <v>29</v>
      </c>
    </row>
    <row r="123" spans="1:8" ht="36" customHeight="1">
      <c r="A123" s="1302"/>
      <c r="B123" s="1315"/>
      <c r="C123" s="1308"/>
      <c r="D123" s="37" t="s">
        <v>613</v>
      </c>
      <c r="E123" s="36" t="s">
        <v>612</v>
      </c>
      <c r="F123" s="26"/>
      <c r="G123" s="1312"/>
    </row>
    <row r="124" spans="1:8" ht="36" customHeight="1">
      <c r="A124" s="1302"/>
      <c r="B124" s="1315"/>
      <c r="C124" s="1309"/>
      <c r="D124" s="37" t="s">
        <v>109</v>
      </c>
      <c r="E124" s="36" t="s">
        <v>79</v>
      </c>
      <c r="F124" s="26"/>
      <c r="G124" s="1313"/>
    </row>
    <row r="125" spans="1:8" ht="36" customHeight="1">
      <c r="A125" s="1302"/>
      <c r="B125" s="1315"/>
      <c r="C125" s="46" t="s">
        <v>110</v>
      </c>
      <c r="D125" s="37" t="s">
        <v>109</v>
      </c>
      <c r="E125" s="36" t="s">
        <v>108</v>
      </c>
      <c r="F125" s="26" t="s">
        <v>107</v>
      </c>
      <c r="G125" s="45" t="s">
        <v>106</v>
      </c>
      <c r="H125" s="2" t="s">
        <v>611</v>
      </c>
    </row>
    <row r="126" spans="1:8" ht="36" customHeight="1">
      <c r="A126" s="1302"/>
      <c r="B126" s="1315"/>
      <c r="C126" s="42" t="s">
        <v>587</v>
      </c>
      <c r="D126" s="40" t="s">
        <v>73</v>
      </c>
      <c r="E126" s="39" t="s">
        <v>97</v>
      </c>
      <c r="F126" s="27"/>
      <c r="G126" s="41"/>
    </row>
    <row r="127" spans="1:8" ht="36" customHeight="1">
      <c r="A127" s="1302"/>
      <c r="B127" s="1315"/>
      <c r="C127" s="46" t="s">
        <v>52</v>
      </c>
      <c r="D127" s="37" t="s">
        <v>96</v>
      </c>
      <c r="E127" s="36" t="s">
        <v>103</v>
      </c>
      <c r="F127" s="26"/>
      <c r="G127" s="45" t="s">
        <v>18</v>
      </c>
    </row>
    <row r="128" spans="1:8" ht="36" customHeight="1" thickBot="1">
      <c r="A128" s="1302"/>
      <c r="B128" s="1315"/>
      <c r="C128" s="52" t="s">
        <v>397</v>
      </c>
      <c r="D128" s="44" t="s">
        <v>109</v>
      </c>
      <c r="E128" s="43" t="s">
        <v>140</v>
      </c>
      <c r="F128" s="49" t="s">
        <v>107</v>
      </c>
      <c r="G128" s="69" t="s">
        <v>279</v>
      </c>
    </row>
    <row r="129" spans="1:8" ht="36" customHeight="1" thickBot="1">
      <c r="A129" s="1303"/>
      <c r="B129" s="1316"/>
      <c r="C129" s="12"/>
      <c r="D129" s="11"/>
      <c r="E129" s="10"/>
      <c r="F129" s="10"/>
      <c r="G129" s="9"/>
    </row>
    <row r="130" spans="1:8" ht="36" customHeight="1">
      <c r="A130" s="1301">
        <v>44638</v>
      </c>
      <c r="B130" s="1314" t="s">
        <v>211</v>
      </c>
      <c r="C130" s="1307" t="s">
        <v>240</v>
      </c>
      <c r="D130" s="27" t="s">
        <v>435</v>
      </c>
      <c r="E130" s="27" t="s">
        <v>37</v>
      </c>
      <c r="F130" s="26" t="s">
        <v>610</v>
      </c>
      <c r="G130" s="25"/>
    </row>
    <row r="131" spans="1:8" ht="36" customHeight="1">
      <c r="A131" s="1302"/>
      <c r="B131" s="1315"/>
      <c r="C131" s="1309"/>
      <c r="D131" s="27" t="s">
        <v>609</v>
      </c>
      <c r="E131" s="27" t="s">
        <v>97</v>
      </c>
      <c r="F131" s="26" t="s">
        <v>608</v>
      </c>
      <c r="G131" s="25"/>
    </row>
    <row r="132" spans="1:8" ht="36" customHeight="1">
      <c r="A132" s="1302"/>
      <c r="B132" s="1315"/>
      <c r="C132" s="42" t="s">
        <v>607</v>
      </c>
      <c r="D132" s="40" t="s">
        <v>606</v>
      </c>
      <c r="E132" s="39" t="s">
        <v>131</v>
      </c>
      <c r="F132" s="26" t="s">
        <v>127</v>
      </c>
      <c r="G132" s="41"/>
    </row>
    <row r="133" spans="1:8" ht="36" customHeight="1">
      <c r="A133" s="1302"/>
      <c r="B133" s="1315"/>
      <c r="C133" s="1310" t="s">
        <v>605</v>
      </c>
      <c r="D133" s="40" t="s">
        <v>109</v>
      </c>
      <c r="E133" s="39" t="s">
        <v>168</v>
      </c>
      <c r="F133" s="26" t="s">
        <v>298</v>
      </c>
      <c r="G133" s="1311" t="s">
        <v>416</v>
      </c>
    </row>
    <row r="134" spans="1:8" ht="36" customHeight="1">
      <c r="A134" s="1302"/>
      <c r="B134" s="1315"/>
      <c r="C134" s="1309"/>
      <c r="D134" s="37" t="s">
        <v>292</v>
      </c>
      <c r="E134" s="36" t="s">
        <v>95</v>
      </c>
      <c r="F134" s="26"/>
      <c r="G134" s="1313"/>
    </row>
    <row r="135" spans="1:8" ht="36" customHeight="1">
      <c r="A135" s="1302"/>
      <c r="B135" s="1315"/>
      <c r="C135" s="1310" t="s">
        <v>167</v>
      </c>
      <c r="D135" s="40" t="s">
        <v>604</v>
      </c>
      <c r="E135" s="39" t="s">
        <v>244</v>
      </c>
      <c r="F135" s="27" t="s">
        <v>603</v>
      </c>
      <c r="G135" s="1311" t="s">
        <v>39</v>
      </c>
    </row>
    <row r="136" spans="1:8" ht="36" customHeight="1">
      <c r="A136" s="1302"/>
      <c r="B136" s="1315"/>
      <c r="C136" s="1309"/>
      <c r="D136" s="37" t="s">
        <v>189</v>
      </c>
      <c r="E136" s="36" t="s">
        <v>67</v>
      </c>
      <c r="F136" s="26"/>
      <c r="G136" s="1313"/>
    </row>
    <row r="137" spans="1:8" ht="36" customHeight="1" thickBot="1">
      <c r="A137" s="1302"/>
      <c r="B137" s="1315"/>
      <c r="C137" s="50" t="s">
        <v>110</v>
      </c>
      <c r="D137" s="44" t="s">
        <v>109</v>
      </c>
      <c r="E137" s="43" t="s">
        <v>584</v>
      </c>
      <c r="F137" s="49" t="s">
        <v>107</v>
      </c>
      <c r="G137" s="69" t="s">
        <v>106</v>
      </c>
      <c r="H137" s="2" t="s">
        <v>602</v>
      </c>
    </row>
    <row r="138" spans="1:8" ht="36" customHeight="1" thickBot="1">
      <c r="A138" s="1302"/>
      <c r="B138" s="1315"/>
      <c r="C138" s="12" t="s">
        <v>569</v>
      </c>
      <c r="D138" s="11" t="s">
        <v>568</v>
      </c>
      <c r="E138" s="10" t="s">
        <v>601</v>
      </c>
      <c r="F138" s="10" t="s">
        <v>600</v>
      </c>
      <c r="G138" s="9"/>
    </row>
    <row r="139" spans="1:8" ht="36" customHeight="1" thickBot="1">
      <c r="A139" s="1303"/>
      <c r="B139" s="1316"/>
      <c r="C139" s="12" t="s">
        <v>569</v>
      </c>
      <c r="D139" s="11" t="s">
        <v>568</v>
      </c>
      <c r="E139" s="10" t="s">
        <v>599</v>
      </c>
      <c r="F139" s="10" t="s">
        <v>212</v>
      </c>
      <c r="G139" s="9"/>
    </row>
    <row r="140" spans="1:8" ht="36" customHeight="1">
      <c r="A140" s="1302">
        <v>44639</v>
      </c>
      <c r="B140" s="1315" t="s">
        <v>598</v>
      </c>
      <c r="C140" s="1310" t="s">
        <v>21</v>
      </c>
      <c r="D140" s="40" t="s">
        <v>109</v>
      </c>
      <c r="E140" s="39" t="s">
        <v>221</v>
      </c>
      <c r="F140" s="27"/>
      <c r="G140" s="1311"/>
    </row>
    <row r="141" spans="1:8" ht="36" customHeight="1">
      <c r="A141" s="1302"/>
      <c r="B141" s="1315"/>
      <c r="C141" s="1308"/>
      <c r="D141" s="40" t="s">
        <v>327</v>
      </c>
      <c r="E141" s="39" t="s">
        <v>65</v>
      </c>
      <c r="F141" s="26"/>
      <c r="G141" s="1312"/>
    </row>
    <row r="142" spans="1:8" ht="36" customHeight="1" thickBot="1">
      <c r="A142" s="1302"/>
      <c r="B142" s="1315"/>
      <c r="C142" s="1309"/>
      <c r="D142" s="40" t="s">
        <v>28</v>
      </c>
      <c r="E142" s="39" t="s">
        <v>97</v>
      </c>
      <c r="F142" s="26"/>
      <c r="G142" s="1313"/>
    </row>
    <row r="143" spans="1:8" ht="36" hidden="1" customHeight="1">
      <c r="A143" s="1302"/>
      <c r="B143" s="1315"/>
      <c r="C143" s="21"/>
      <c r="D143" s="22"/>
      <c r="E143" s="22"/>
      <c r="F143" s="18"/>
      <c r="G143" s="13"/>
    </row>
    <row r="144" spans="1:8" ht="36" hidden="1" customHeight="1">
      <c r="A144" s="1302"/>
      <c r="B144" s="1315"/>
      <c r="C144" s="21"/>
      <c r="D144" s="20"/>
      <c r="E144" s="19"/>
      <c r="F144" s="18"/>
      <c r="G144" s="13"/>
    </row>
    <row r="145" spans="1:7" ht="36" hidden="1" customHeight="1" thickBot="1">
      <c r="A145" s="1302"/>
      <c r="B145" s="1315"/>
      <c r="C145" s="17"/>
      <c r="D145" s="16"/>
      <c r="E145" s="15"/>
      <c r="F145" s="14"/>
      <c r="G145" s="13"/>
    </row>
    <row r="146" spans="1:7" ht="36" customHeight="1" thickBot="1">
      <c r="A146" s="1303"/>
      <c r="B146" s="1316"/>
      <c r="C146" s="12"/>
      <c r="D146" s="11"/>
      <c r="E146" s="10"/>
      <c r="F146" s="10"/>
      <c r="G146" s="9"/>
    </row>
    <row r="147" spans="1:7" ht="60" customHeight="1" thickBot="1">
      <c r="A147" s="1298" t="s">
        <v>5</v>
      </c>
      <c r="B147" s="1299"/>
      <c r="C147" s="1299"/>
      <c r="D147" s="1299"/>
      <c r="E147" s="1299"/>
      <c r="F147" s="1299"/>
      <c r="G147" s="1300"/>
    </row>
    <row r="148" spans="1:7" ht="36" customHeight="1">
      <c r="A148" s="1301">
        <v>44641</v>
      </c>
      <c r="B148" s="1314" t="s">
        <v>4</v>
      </c>
      <c r="C148" s="53" t="s">
        <v>597</v>
      </c>
      <c r="D148" s="104" t="s">
        <v>174</v>
      </c>
      <c r="E148" s="103" t="s">
        <v>37</v>
      </c>
      <c r="F148" s="71"/>
      <c r="G148" s="70"/>
    </row>
    <row r="149" spans="1:7" ht="36" customHeight="1">
      <c r="A149" s="1302"/>
      <c r="B149" s="1315"/>
      <c r="C149" s="1310" t="s">
        <v>52</v>
      </c>
      <c r="D149" s="55" t="s">
        <v>596</v>
      </c>
      <c r="E149" s="54" t="s">
        <v>97</v>
      </c>
      <c r="F149" s="26"/>
      <c r="G149" s="25"/>
    </row>
    <row r="150" spans="1:7" ht="36" customHeight="1">
      <c r="A150" s="1302"/>
      <c r="B150" s="1315"/>
      <c r="C150" s="1308"/>
      <c r="D150" s="40" t="s">
        <v>595</v>
      </c>
      <c r="E150" s="39" t="s">
        <v>97</v>
      </c>
      <c r="F150" s="26"/>
      <c r="G150" s="25"/>
    </row>
    <row r="151" spans="1:7" ht="36" customHeight="1">
      <c r="A151" s="1302"/>
      <c r="B151" s="1315"/>
      <c r="C151" s="1309"/>
      <c r="D151" s="40" t="s">
        <v>594</v>
      </c>
      <c r="E151" s="39" t="s">
        <v>19</v>
      </c>
      <c r="F151" s="26"/>
      <c r="G151" s="25"/>
    </row>
    <row r="152" spans="1:7" ht="36" customHeight="1" thickBot="1">
      <c r="A152" s="1302"/>
      <c r="B152" s="1315"/>
      <c r="C152" s="102"/>
      <c r="D152" s="101"/>
      <c r="E152" s="101"/>
      <c r="F152" s="100"/>
      <c r="G152" s="99"/>
    </row>
    <row r="153" spans="1:7" ht="36" hidden="1" customHeight="1">
      <c r="A153" s="1302"/>
      <c r="B153" s="1315"/>
      <c r="C153" s="35"/>
      <c r="D153" s="34"/>
      <c r="E153" s="33"/>
      <c r="F153" s="18"/>
      <c r="G153" s="28"/>
    </row>
    <row r="154" spans="1:7" ht="36" hidden="1" customHeight="1" thickBot="1">
      <c r="A154" s="1302"/>
      <c r="B154" s="1315"/>
      <c r="C154" s="17"/>
      <c r="D154" s="16"/>
      <c r="E154" s="15"/>
      <c r="F154" s="14"/>
      <c r="G154" s="13"/>
    </row>
    <row r="155" spans="1:7" ht="36" customHeight="1" thickBot="1">
      <c r="A155" s="1303"/>
      <c r="B155" s="1316"/>
      <c r="C155" s="12"/>
      <c r="D155" s="11"/>
      <c r="E155" s="10"/>
      <c r="F155" s="10"/>
      <c r="G155" s="9"/>
    </row>
    <row r="156" spans="1:7" ht="36" customHeight="1">
      <c r="A156" s="1301">
        <v>44642</v>
      </c>
      <c r="B156" s="1314" t="s">
        <v>3</v>
      </c>
      <c r="C156" s="56" t="s">
        <v>70</v>
      </c>
      <c r="D156" s="27" t="s">
        <v>593</v>
      </c>
      <c r="E156" s="27" t="s">
        <v>592</v>
      </c>
      <c r="F156" s="26"/>
      <c r="G156" s="25"/>
    </row>
    <row r="157" spans="1:7" ht="36" customHeight="1">
      <c r="A157" s="1302"/>
      <c r="B157" s="1315"/>
      <c r="C157" s="1310" t="s">
        <v>184</v>
      </c>
      <c r="D157" s="27" t="s">
        <v>591</v>
      </c>
      <c r="E157" s="27" t="s">
        <v>590</v>
      </c>
      <c r="F157" s="26"/>
      <c r="G157" s="25" t="s">
        <v>229</v>
      </c>
    </row>
    <row r="158" spans="1:7" ht="36" customHeight="1">
      <c r="A158" s="1302"/>
      <c r="B158" s="1315"/>
      <c r="C158" s="1309"/>
      <c r="D158" s="40" t="s">
        <v>589</v>
      </c>
      <c r="E158" s="39" t="s">
        <v>588</v>
      </c>
      <c r="F158" s="26"/>
      <c r="G158" s="25" t="s">
        <v>153</v>
      </c>
    </row>
    <row r="159" spans="1:7" ht="36" customHeight="1">
      <c r="A159" s="1302"/>
      <c r="B159" s="1315"/>
      <c r="C159" s="52" t="s">
        <v>587</v>
      </c>
      <c r="D159" s="55" t="s">
        <v>586</v>
      </c>
      <c r="E159" s="54" t="s">
        <v>311</v>
      </c>
      <c r="F159" s="27"/>
      <c r="G159" s="25"/>
    </row>
    <row r="160" spans="1:7" ht="36" customHeight="1">
      <c r="A160" s="1302"/>
      <c r="B160" s="1315"/>
      <c r="C160" s="1333" t="s">
        <v>585</v>
      </c>
      <c r="D160" s="1334"/>
      <c r="E160" s="1335"/>
      <c r="F160" s="27"/>
      <c r="G160" s="25"/>
    </row>
    <row r="161" spans="1:8" ht="36" customHeight="1" thickBot="1">
      <c r="A161" s="1302"/>
      <c r="B161" s="1315"/>
      <c r="C161" s="42" t="s">
        <v>143</v>
      </c>
      <c r="D161" s="40" t="s">
        <v>109</v>
      </c>
      <c r="E161" s="39" t="s">
        <v>584</v>
      </c>
      <c r="F161" s="27" t="s">
        <v>107</v>
      </c>
      <c r="G161" s="41" t="s">
        <v>106</v>
      </c>
      <c r="H161" s="2" t="s">
        <v>583</v>
      </c>
    </row>
    <row r="162" spans="1:8" ht="36" customHeight="1" thickBot="1">
      <c r="A162" s="1303"/>
      <c r="B162" s="1316"/>
      <c r="C162" s="12" t="s">
        <v>400</v>
      </c>
      <c r="D162" s="11" t="s">
        <v>14</v>
      </c>
      <c r="E162" s="10" t="s">
        <v>582</v>
      </c>
      <c r="F162" s="10" t="s">
        <v>581</v>
      </c>
      <c r="G162" s="9"/>
    </row>
    <row r="163" spans="1:8" ht="36" customHeight="1">
      <c r="A163" s="1301">
        <v>44643</v>
      </c>
      <c r="B163" s="1314" t="s">
        <v>2</v>
      </c>
      <c r="C163" s="1307" t="s">
        <v>11</v>
      </c>
      <c r="D163" s="27" t="s">
        <v>42</v>
      </c>
      <c r="E163" s="27" t="s">
        <v>9</v>
      </c>
      <c r="F163" s="26"/>
      <c r="G163" s="25"/>
    </row>
    <row r="164" spans="1:8" ht="36" customHeight="1">
      <c r="A164" s="1302"/>
      <c r="B164" s="1315"/>
      <c r="C164" s="1308"/>
      <c r="D164" s="27" t="s">
        <v>86</v>
      </c>
      <c r="E164" s="27" t="s">
        <v>580</v>
      </c>
      <c r="F164" s="26"/>
      <c r="G164" s="25"/>
    </row>
    <row r="165" spans="1:8" ht="36" customHeight="1">
      <c r="A165" s="1302"/>
      <c r="B165" s="1315"/>
      <c r="C165" s="1309"/>
      <c r="D165" s="40" t="s">
        <v>222</v>
      </c>
      <c r="E165" s="39" t="s">
        <v>37</v>
      </c>
      <c r="F165" s="26"/>
      <c r="G165" s="25"/>
    </row>
    <row r="166" spans="1:8" ht="36" customHeight="1">
      <c r="A166" s="1302"/>
      <c r="B166" s="1315"/>
      <c r="C166" s="52" t="s">
        <v>145</v>
      </c>
      <c r="D166" s="27" t="s">
        <v>80</v>
      </c>
      <c r="E166" s="54" t="s">
        <v>311</v>
      </c>
      <c r="F166" s="27" t="s">
        <v>579</v>
      </c>
      <c r="G166" s="25"/>
    </row>
    <row r="167" spans="1:8" ht="36" customHeight="1">
      <c r="A167" s="1302"/>
      <c r="B167" s="1315"/>
      <c r="C167" s="42" t="s">
        <v>227</v>
      </c>
      <c r="D167" s="40" t="s">
        <v>546</v>
      </c>
      <c r="E167" s="39" t="s">
        <v>578</v>
      </c>
      <c r="F167" s="27" t="s">
        <v>577</v>
      </c>
      <c r="G167" s="41" t="s">
        <v>29</v>
      </c>
      <c r="H167" s="2" t="s">
        <v>576</v>
      </c>
    </row>
    <row r="168" spans="1:8" ht="36" customHeight="1">
      <c r="A168" s="1302"/>
      <c r="B168" s="1315"/>
      <c r="C168" s="1310" t="s">
        <v>330</v>
      </c>
      <c r="D168" s="40" t="s">
        <v>96</v>
      </c>
      <c r="E168" s="39" t="s">
        <v>175</v>
      </c>
      <c r="F168" s="27"/>
      <c r="G168" s="1311" t="s">
        <v>18</v>
      </c>
    </row>
    <row r="169" spans="1:8" ht="36" customHeight="1" thickBot="1">
      <c r="A169" s="1302"/>
      <c r="B169" s="1315"/>
      <c r="C169" s="1309"/>
      <c r="D169" s="37" t="s">
        <v>101</v>
      </c>
      <c r="E169" s="36" t="s">
        <v>175</v>
      </c>
      <c r="F169" s="26"/>
      <c r="G169" s="1313"/>
    </row>
    <row r="170" spans="1:8" ht="36" customHeight="1" thickBot="1">
      <c r="A170" s="1303"/>
      <c r="B170" s="1316"/>
      <c r="C170" s="12"/>
      <c r="D170" s="11"/>
      <c r="E170" s="10"/>
      <c r="F170" s="10"/>
      <c r="G170" s="9"/>
    </row>
    <row r="171" spans="1:8" ht="36" customHeight="1">
      <c r="A171" s="1301">
        <v>44644</v>
      </c>
      <c r="B171" s="1314" t="s">
        <v>1</v>
      </c>
      <c r="C171" s="1307" t="s">
        <v>36</v>
      </c>
      <c r="D171" s="27" t="s">
        <v>80</v>
      </c>
      <c r="E171" s="27" t="s">
        <v>575</v>
      </c>
      <c r="F171" s="26"/>
      <c r="G171" s="25"/>
      <c r="H171" s="98" t="s">
        <v>574</v>
      </c>
    </row>
    <row r="172" spans="1:8" ht="36" customHeight="1">
      <c r="A172" s="1302"/>
      <c r="B172" s="1315"/>
      <c r="C172" s="1308"/>
      <c r="D172" s="27" t="s">
        <v>17</v>
      </c>
      <c r="E172" s="27" t="s">
        <v>79</v>
      </c>
      <c r="F172" s="26"/>
      <c r="G172" s="25"/>
    </row>
    <row r="173" spans="1:8" ht="36" customHeight="1">
      <c r="A173" s="1302"/>
      <c r="B173" s="1315"/>
      <c r="C173" s="1308"/>
      <c r="D173" s="27" t="s">
        <v>78</v>
      </c>
      <c r="E173" s="27" t="s">
        <v>191</v>
      </c>
      <c r="F173" s="26"/>
      <c r="G173" s="25"/>
    </row>
    <row r="174" spans="1:8" ht="36" customHeight="1">
      <c r="A174" s="1302"/>
      <c r="B174" s="1315"/>
      <c r="C174" s="1308"/>
      <c r="D174" s="27" t="s">
        <v>28</v>
      </c>
      <c r="E174" s="27" t="s">
        <v>573</v>
      </c>
      <c r="F174" s="26"/>
      <c r="G174" s="25"/>
    </row>
    <row r="175" spans="1:8" ht="36" customHeight="1">
      <c r="A175" s="1302"/>
      <c r="B175" s="1315"/>
      <c r="C175" s="42" t="s">
        <v>134</v>
      </c>
      <c r="D175" s="27" t="s">
        <v>28</v>
      </c>
      <c r="E175" s="27" t="s">
        <v>131</v>
      </c>
      <c r="F175" s="26" t="s">
        <v>130</v>
      </c>
      <c r="G175" s="25" t="s">
        <v>572</v>
      </c>
    </row>
    <row r="176" spans="1:8" ht="36" customHeight="1">
      <c r="A176" s="1302"/>
      <c r="B176" s="1315"/>
      <c r="C176" s="42" t="s">
        <v>145</v>
      </c>
      <c r="D176" s="40" t="s">
        <v>109</v>
      </c>
      <c r="E176" s="39" t="s">
        <v>571</v>
      </c>
      <c r="F176" s="26" t="s">
        <v>107</v>
      </c>
      <c r="G176" s="25" t="s">
        <v>155</v>
      </c>
      <c r="H176" s="2" t="s">
        <v>570</v>
      </c>
    </row>
    <row r="177" spans="1:8" ht="36" customHeight="1" thickBot="1">
      <c r="A177" s="1302"/>
      <c r="B177" s="1315"/>
      <c r="C177" s="42" t="s">
        <v>184</v>
      </c>
      <c r="D177" s="40" t="s">
        <v>435</v>
      </c>
      <c r="E177" s="39" t="s">
        <v>186</v>
      </c>
      <c r="F177" s="27"/>
      <c r="G177" s="41" t="s">
        <v>18</v>
      </c>
    </row>
    <row r="178" spans="1:8" ht="36" customHeight="1" thickBot="1">
      <c r="A178" s="1302"/>
      <c r="B178" s="1315"/>
      <c r="C178" s="12" t="s">
        <v>569</v>
      </c>
      <c r="D178" s="11" t="s">
        <v>568</v>
      </c>
      <c r="E178" s="10" t="s">
        <v>567</v>
      </c>
      <c r="F178" s="10" t="s">
        <v>43</v>
      </c>
      <c r="G178" s="9"/>
    </row>
    <row r="179" spans="1:8" ht="36" customHeight="1" thickBot="1">
      <c r="A179" s="1303"/>
      <c r="B179" s="1316"/>
      <c r="C179" s="12" t="s">
        <v>569</v>
      </c>
      <c r="D179" s="11" t="s">
        <v>568</v>
      </c>
      <c r="E179" s="10" t="s">
        <v>567</v>
      </c>
      <c r="F179" s="10" t="s">
        <v>566</v>
      </c>
      <c r="G179" s="9"/>
    </row>
    <row r="180" spans="1:8" ht="36" customHeight="1">
      <c r="A180" s="1301">
        <v>44645</v>
      </c>
      <c r="B180" s="1314" t="s">
        <v>211</v>
      </c>
      <c r="C180" s="53" t="s">
        <v>565</v>
      </c>
      <c r="D180" s="71" t="s">
        <v>69</v>
      </c>
      <c r="E180" s="71" t="s">
        <v>377</v>
      </c>
      <c r="F180" s="71"/>
      <c r="G180" s="92"/>
      <c r="H180" s="2" t="s">
        <v>564</v>
      </c>
    </row>
    <row r="181" spans="1:8" ht="36" customHeight="1">
      <c r="A181" s="1302"/>
      <c r="B181" s="1315"/>
      <c r="C181" s="1310" t="s">
        <v>255</v>
      </c>
      <c r="D181" s="26" t="s">
        <v>563</v>
      </c>
      <c r="E181" s="26" t="s">
        <v>97</v>
      </c>
      <c r="F181" s="26"/>
      <c r="G181" s="69"/>
    </row>
    <row r="182" spans="1:8" ht="36" customHeight="1">
      <c r="A182" s="1302"/>
      <c r="B182" s="1315"/>
      <c r="C182" s="1308"/>
      <c r="D182" s="40" t="s">
        <v>541</v>
      </c>
      <c r="E182" s="39" t="s">
        <v>379</v>
      </c>
      <c r="F182" s="26"/>
      <c r="G182" s="25"/>
    </row>
    <row r="183" spans="1:8" ht="36" customHeight="1">
      <c r="A183" s="1302"/>
      <c r="B183" s="1315"/>
      <c r="C183" s="1309"/>
      <c r="D183" s="40" t="s">
        <v>231</v>
      </c>
      <c r="E183" s="39" t="s">
        <v>97</v>
      </c>
      <c r="F183" s="27"/>
      <c r="G183" s="41"/>
      <c r="H183" s="2" t="s">
        <v>562</v>
      </c>
    </row>
    <row r="184" spans="1:8" ht="36" customHeight="1">
      <c r="A184" s="1302"/>
      <c r="B184" s="1315"/>
      <c r="C184" s="42" t="s">
        <v>1231</v>
      </c>
      <c r="D184" s="40" t="s">
        <v>1232</v>
      </c>
      <c r="E184" s="39" t="s">
        <v>1233</v>
      </c>
      <c r="F184" s="27" t="s">
        <v>1234</v>
      </c>
      <c r="G184" s="41" t="s">
        <v>1235</v>
      </c>
      <c r="H184" s="2" t="s">
        <v>1236</v>
      </c>
    </row>
    <row r="185" spans="1:8" ht="36" customHeight="1" thickBot="1">
      <c r="A185" s="1302"/>
      <c r="B185" s="1315"/>
      <c r="C185" s="31"/>
      <c r="D185" s="30"/>
      <c r="E185" s="29"/>
      <c r="F185" s="14"/>
      <c r="G185" s="28"/>
    </row>
    <row r="186" spans="1:8" ht="36" customHeight="1" thickBot="1">
      <c r="A186" s="1303"/>
      <c r="B186" s="1316"/>
      <c r="C186" s="12"/>
      <c r="D186" s="11"/>
      <c r="E186" s="10"/>
      <c r="F186" s="10"/>
      <c r="G186" s="9"/>
    </row>
    <row r="187" spans="1:8" ht="60" customHeight="1" thickBot="1">
      <c r="A187" s="1298" t="s">
        <v>5</v>
      </c>
      <c r="B187" s="1299"/>
      <c r="C187" s="1299"/>
      <c r="D187" s="1299"/>
      <c r="E187" s="1299"/>
      <c r="F187" s="1299"/>
      <c r="G187" s="1300"/>
    </row>
    <row r="188" spans="1:8" ht="36" customHeight="1">
      <c r="A188" s="1301">
        <v>44648</v>
      </c>
      <c r="B188" s="1314" t="s">
        <v>4</v>
      </c>
      <c r="C188" s="1307" t="s">
        <v>313</v>
      </c>
      <c r="D188" s="27" t="s">
        <v>272</v>
      </c>
      <c r="E188" s="27" t="s">
        <v>561</v>
      </c>
      <c r="F188" s="1332" t="s">
        <v>560</v>
      </c>
      <c r="G188" s="38"/>
    </row>
    <row r="189" spans="1:8" ht="36" customHeight="1">
      <c r="A189" s="1302"/>
      <c r="B189" s="1315"/>
      <c r="C189" s="1309"/>
      <c r="D189" s="27" t="s">
        <v>559</v>
      </c>
      <c r="E189" s="27" t="s">
        <v>311</v>
      </c>
      <c r="F189" s="1321"/>
      <c r="G189" s="38"/>
    </row>
    <row r="190" spans="1:8" ht="36" customHeight="1">
      <c r="A190" s="1302"/>
      <c r="B190" s="1315"/>
      <c r="C190" s="82" t="s">
        <v>558</v>
      </c>
      <c r="D190" s="40" t="s">
        <v>109</v>
      </c>
      <c r="E190" s="39" t="s">
        <v>65</v>
      </c>
      <c r="F190" s="47" t="s">
        <v>1004</v>
      </c>
      <c r="G190" s="38"/>
    </row>
    <row r="191" spans="1:8" ht="36" customHeight="1">
      <c r="A191" s="1302"/>
      <c r="B191" s="1315"/>
      <c r="C191" s="1310" t="s">
        <v>184</v>
      </c>
      <c r="D191" s="40" t="s">
        <v>1244</v>
      </c>
      <c r="E191" s="39" t="s">
        <v>1245</v>
      </c>
      <c r="F191" s="1323" t="s">
        <v>1249</v>
      </c>
      <c r="G191" s="1311" t="s">
        <v>1248</v>
      </c>
    </row>
    <row r="192" spans="1:8" ht="36" customHeight="1">
      <c r="A192" s="1302"/>
      <c r="B192" s="1315"/>
      <c r="C192" s="1309"/>
      <c r="D192" s="40" t="s">
        <v>1246</v>
      </c>
      <c r="E192" s="39" t="s">
        <v>1247</v>
      </c>
      <c r="F192" s="1321"/>
      <c r="G192" s="1313"/>
    </row>
    <row r="193" spans="1:8" ht="36" customHeight="1">
      <c r="A193" s="1302"/>
      <c r="B193" s="1315"/>
      <c r="C193" s="82" t="s">
        <v>70</v>
      </c>
      <c r="D193" s="40" t="s">
        <v>69</v>
      </c>
      <c r="E193" s="39" t="s">
        <v>1250</v>
      </c>
      <c r="F193" s="47"/>
      <c r="G193" s="38" t="s">
        <v>34</v>
      </c>
    </row>
    <row r="194" spans="1:8" ht="36" customHeight="1" thickBot="1">
      <c r="A194" s="1302"/>
      <c r="B194" s="1315"/>
      <c r="C194" s="17"/>
      <c r="D194" s="16"/>
      <c r="E194" s="15"/>
      <c r="F194" s="14"/>
      <c r="G194" s="13"/>
    </row>
    <row r="195" spans="1:8" ht="36" customHeight="1" thickBot="1">
      <c r="A195" s="1303"/>
      <c r="B195" s="1316"/>
      <c r="C195" s="12"/>
      <c r="D195" s="11"/>
      <c r="E195" s="10"/>
      <c r="F195" s="10"/>
      <c r="G195" s="9"/>
    </row>
    <row r="196" spans="1:8" ht="36" customHeight="1">
      <c r="A196" s="1301">
        <v>44649</v>
      </c>
      <c r="B196" s="1314" t="s">
        <v>3</v>
      </c>
      <c r="C196" s="202" t="s">
        <v>557</v>
      </c>
      <c r="D196" s="27" t="s">
        <v>249</v>
      </c>
      <c r="E196" s="27" t="s">
        <v>556</v>
      </c>
      <c r="F196" s="201"/>
      <c r="G196" s="198"/>
    </row>
    <row r="197" spans="1:8" ht="36" customHeight="1">
      <c r="A197" s="1302"/>
      <c r="B197" s="1315"/>
      <c r="C197" s="202" t="s">
        <v>1230</v>
      </c>
      <c r="D197" s="27" t="s">
        <v>528</v>
      </c>
      <c r="E197" s="27" t="s">
        <v>186</v>
      </c>
      <c r="F197" s="201" t="s">
        <v>631</v>
      </c>
      <c r="G197" s="198"/>
      <c r="H197" s="2" t="s">
        <v>406</v>
      </c>
    </row>
    <row r="198" spans="1:8" ht="36" customHeight="1">
      <c r="A198" s="1302"/>
      <c r="B198" s="1315"/>
      <c r="C198" s="202" t="s">
        <v>1262</v>
      </c>
      <c r="D198" s="40" t="s">
        <v>109</v>
      </c>
      <c r="E198" s="39" t="s">
        <v>584</v>
      </c>
      <c r="F198" s="201" t="s">
        <v>107</v>
      </c>
      <c r="G198" s="198" t="s">
        <v>106</v>
      </c>
      <c r="H198" s="2" t="s">
        <v>1263</v>
      </c>
    </row>
    <row r="199" spans="1:8" ht="36" customHeight="1">
      <c r="A199" s="1302"/>
      <c r="B199" s="1315"/>
      <c r="C199" s="1310" t="s">
        <v>1264</v>
      </c>
      <c r="D199" s="40" t="s">
        <v>1265</v>
      </c>
      <c r="E199" s="39" t="s">
        <v>1266</v>
      </c>
      <c r="F199" s="27"/>
      <c r="G199" s="1311" t="s">
        <v>153</v>
      </c>
    </row>
    <row r="200" spans="1:8" ht="36" customHeight="1" thickBot="1">
      <c r="A200" s="1302"/>
      <c r="B200" s="1315"/>
      <c r="C200" s="1324"/>
      <c r="D200" s="44" t="s">
        <v>1268</v>
      </c>
      <c r="E200" s="43" t="s">
        <v>1267</v>
      </c>
      <c r="F200" s="200"/>
      <c r="G200" s="1325"/>
    </row>
    <row r="201" spans="1:8" ht="36" customHeight="1" thickBot="1">
      <c r="A201" s="1303"/>
      <c r="B201" s="1316"/>
      <c r="C201" s="12"/>
      <c r="D201" s="11"/>
      <c r="E201" s="10"/>
      <c r="F201" s="10"/>
      <c r="G201" s="9"/>
    </row>
    <row r="202" spans="1:8" ht="36" customHeight="1">
      <c r="A202" s="1301">
        <v>44650</v>
      </c>
      <c r="B202" s="1314" t="s">
        <v>2</v>
      </c>
      <c r="C202" s="1307" t="s">
        <v>11</v>
      </c>
      <c r="D202" s="27" t="s">
        <v>42</v>
      </c>
      <c r="E202" s="27" t="s">
        <v>72</v>
      </c>
      <c r="F202" s="201"/>
      <c r="G202" s="198"/>
    </row>
    <row r="203" spans="1:8" ht="36" customHeight="1">
      <c r="A203" s="1302"/>
      <c r="B203" s="1315"/>
      <c r="C203" s="1309"/>
      <c r="D203" s="27" t="s">
        <v>86</v>
      </c>
      <c r="E203" s="27" t="s">
        <v>555</v>
      </c>
      <c r="F203" s="201"/>
      <c r="G203" s="198"/>
    </row>
    <row r="204" spans="1:8" ht="36" customHeight="1">
      <c r="A204" s="1302"/>
      <c r="B204" s="1315"/>
      <c r="C204" s="1310" t="s">
        <v>70</v>
      </c>
      <c r="D204" s="40" t="s">
        <v>69</v>
      </c>
      <c r="E204" s="39" t="s">
        <v>27</v>
      </c>
      <c r="F204" s="27"/>
      <c r="G204" s="220"/>
      <c r="H204" s="2" t="s">
        <v>1251</v>
      </c>
    </row>
    <row r="205" spans="1:8" ht="36" customHeight="1">
      <c r="A205" s="1302"/>
      <c r="B205" s="1315"/>
      <c r="C205" s="1308"/>
      <c r="D205" s="55" t="s">
        <v>546</v>
      </c>
      <c r="E205" s="54" t="s">
        <v>245</v>
      </c>
      <c r="F205" s="27"/>
      <c r="G205" s="220"/>
    </row>
    <row r="206" spans="1:8" ht="36" customHeight="1">
      <c r="A206" s="1302"/>
      <c r="B206" s="1315"/>
      <c r="C206" s="1308"/>
      <c r="D206" s="40" t="s">
        <v>189</v>
      </c>
      <c r="E206" s="39" t="s">
        <v>244</v>
      </c>
      <c r="F206" s="27" t="s">
        <v>554</v>
      </c>
      <c r="G206" s="220"/>
    </row>
    <row r="207" spans="1:8" ht="36" customHeight="1">
      <c r="A207" s="1302"/>
      <c r="B207" s="1315"/>
      <c r="C207" s="1308"/>
      <c r="D207" s="55" t="s">
        <v>68</v>
      </c>
      <c r="E207" s="54" t="s">
        <v>245</v>
      </c>
      <c r="F207" s="27"/>
      <c r="G207" s="220"/>
    </row>
    <row r="208" spans="1:8" ht="36" customHeight="1">
      <c r="A208" s="1302"/>
      <c r="B208" s="1315"/>
      <c r="C208" s="1309"/>
      <c r="D208" s="40" t="s">
        <v>553</v>
      </c>
      <c r="E208" s="39" t="s">
        <v>552</v>
      </c>
      <c r="F208" s="27"/>
      <c r="G208" s="41"/>
    </row>
    <row r="209" spans="1:8" ht="36" customHeight="1">
      <c r="A209" s="1302"/>
      <c r="B209" s="1315"/>
      <c r="C209" s="1310" t="s">
        <v>1242</v>
      </c>
      <c r="D209" s="37" t="s">
        <v>1255</v>
      </c>
      <c r="E209" s="36" t="s">
        <v>1256</v>
      </c>
      <c r="F209" s="201"/>
      <c r="G209" s="1311" t="s">
        <v>1257</v>
      </c>
    </row>
    <row r="210" spans="1:8" ht="36" customHeight="1">
      <c r="A210" s="1302"/>
      <c r="B210" s="1315"/>
      <c r="C210" s="1309"/>
      <c r="D210" s="201" t="s">
        <v>109</v>
      </c>
      <c r="E210" s="201" t="s">
        <v>1243</v>
      </c>
      <c r="F210" s="201" t="s">
        <v>1278</v>
      </c>
      <c r="G210" s="1312"/>
    </row>
    <row r="211" spans="1:8" ht="36" customHeight="1">
      <c r="A211" s="1302"/>
      <c r="B211" s="1315"/>
      <c r="C211" s="202" t="s">
        <v>1252</v>
      </c>
      <c r="D211" s="40" t="s">
        <v>1253</v>
      </c>
      <c r="E211" s="39" t="s">
        <v>1254</v>
      </c>
      <c r="F211" s="201"/>
      <c r="G211" s="1313"/>
    </row>
    <row r="212" spans="1:8" ht="36" customHeight="1">
      <c r="A212" s="1302"/>
      <c r="B212" s="1315"/>
      <c r="C212" s="202" t="s">
        <v>1241</v>
      </c>
      <c r="D212" s="40" t="s">
        <v>25</v>
      </c>
      <c r="E212" s="39" t="s">
        <v>103</v>
      </c>
      <c r="F212" s="27"/>
      <c r="G212" s="41" t="s">
        <v>29</v>
      </c>
      <c r="H212" s="2" t="s">
        <v>547</v>
      </c>
    </row>
    <row r="213" spans="1:8" ht="36" customHeight="1">
      <c r="A213" s="1302"/>
      <c r="B213" s="1315"/>
      <c r="C213" s="202" t="s">
        <v>26</v>
      </c>
      <c r="D213" s="40" t="s">
        <v>25</v>
      </c>
      <c r="E213" s="39" t="s">
        <v>24</v>
      </c>
      <c r="F213" s="27" t="s">
        <v>23</v>
      </c>
      <c r="G213" s="41" t="s">
        <v>22</v>
      </c>
    </row>
    <row r="214" spans="1:8" ht="36" customHeight="1">
      <c r="A214" s="1302"/>
      <c r="B214" s="1315"/>
      <c r="C214" s="202" t="s">
        <v>1274</v>
      </c>
      <c r="D214" s="40" t="s">
        <v>1275</v>
      </c>
      <c r="E214" s="39" t="s">
        <v>1276</v>
      </c>
      <c r="F214" s="201" t="s">
        <v>58</v>
      </c>
      <c r="G214" s="198" t="s">
        <v>1277</v>
      </c>
    </row>
    <row r="215" spans="1:8" ht="36" customHeight="1">
      <c r="A215" s="1302"/>
      <c r="B215" s="1315"/>
      <c r="C215" s="1310" t="s">
        <v>325</v>
      </c>
      <c r="D215" s="201" t="s">
        <v>109</v>
      </c>
      <c r="E215" s="39" t="s">
        <v>1279</v>
      </c>
      <c r="F215" s="27"/>
      <c r="G215" s="1311" t="s">
        <v>1283</v>
      </c>
    </row>
    <row r="216" spans="1:8" ht="36" customHeight="1">
      <c r="A216" s="1302"/>
      <c r="B216" s="1315"/>
      <c r="C216" s="1308"/>
      <c r="D216" s="37" t="s">
        <v>447</v>
      </c>
      <c r="E216" s="36" t="s">
        <v>1280</v>
      </c>
      <c r="F216" s="201"/>
      <c r="G216" s="1312"/>
    </row>
    <row r="217" spans="1:8" ht="36" customHeight="1">
      <c r="A217" s="1302"/>
      <c r="B217" s="1315"/>
      <c r="C217" s="1309"/>
      <c r="D217" s="44" t="s">
        <v>1282</v>
      </c>
      <c r="E217" s="43" t="s">
        <v>1281</v>
      </c>
      <c r="F217" s="27"/>
      <c r="G217" s="1313"/>
    </row>
    <row r="218" spans="1:8" ht="36" customHeight="1">
      <c r="A218" s="1302"/>
      <c r="B218" s="1315"/>
      <c r="C218" s="1310" t="s">
        <v>1293</v>
      </c>
      <c r="D218" s="40" t="s">
        <v>1294</v>
      </c>
      <c r="E218" s="39" t="s">
        <v>1295</v>
      </c>
      <c r="F218" s="27" t="s">
        <v>1296</v>
      </c>
      <c r="G218" s="41" t="s">
        <v>1297</v>
      </c>
      <c r="H218" s="2" t="s">
        <v>1298</v>
      </c>
    </row>
    <row r="219" spans="1:8" ht="36" customHeight="1">
      <c r="A219" s="1302"/>
      <c r="B219" s="1315"/>
      <c r="C219" s="1309"/>
      <c r="D219" s="37" t="s">
        <v>1299</v>
      </c>
      <c r="E219" s="36" t="s">
        <v>1295</v>
      </c>
      <c r="F219" s="201" t="s">
        <v>1300</v>
      </c>
      <c r="G219" s="199" t="s">
        <v>1301</v>
      </c>
      <c r="H219" s="2" t="s">
        <v>1302</v>
      </c>
    </row>
    <row r="220" spans="1:8" ht="36" customHeight="1" thickBot="1">
      <c r="A220" s="1302"/>
      <c r="B220" s="1315"/>
      <c r="C220" s="205"/>
      <c r="D220" s="30"/>
      <c r="E220" s="29"/>
      <c r="F220" s="14"/>
      <c r="G220" s="203"/>
    </row>
    <row r="221" spans="1:8" ht="36" customHeight="1" thickBot="1">
      <c r="A221" s="1303"/>
      <c r="B221" s="1316"/>
      <c r="C221" s="12"/>
      <c r="D221" s="11"/>
      <c r="E221" s="10"/>
      <c r="F221" s="10"/>
      <c r="G221" s="9"/>
    </row>
    <row r="222" spans="1:8" ht="36" customHeight="1">
      <c r="A222" s="1301">
        <v>44651</v>
      </c>
      <c r="B222" s="1314" t="s">
        <v>1</v>
      </c>
      <c r="C222" s="53" t="s">
        <v>36</v>
      </c>
      <c r="D222" s="94" t="s">
        <v>109</v>
      </c>
      <c r="E222" s="93" t="s">
        <v>309</v>
      </c>
      <c r="F222" s="71" t="s">
        <v>230</v>
      </c>
      <c r="G222" s="92" t="s">
        <v>229</v>
      </c>
    </row>
    <row r="223" spans="1:8" ht="36" customHeight="1">
      <c r="A223" s="1302"/>
      <c r="B223" s="1315"/>
      <c r="C223" s="207" t="s">
        <v>549</v>
      </c>
      <c r="D223" s="210" t="s">
        <v>109</v>
      </c>
      <c r="E223" s="36" t="s">
        <v>311</v>
      </c>
      <c r="F223" s="210" t="s">
        <v>298</v>
      </c>
      <c r="G223" s="208" t="s">
        <v>548</v>
      </c>
    </row>
    <row r="224" spans="1:8" ht="36" customHeight="1">
      <c r="A224" s="1302"/>
      <c r="B224" s="1315"/>
      <c r="C224" s="211" t="s">
        <v>1261</v>
      </c>
      <c r="D224" s="40" t="s">
        <v>1258</v>
      </c>
      <c r="E224" s="39" t="s">
        <v>1259</v>
      </c>
      <c r="F224" s="27"/>
      <c r="G224" s="41" t="s">
        <v>1260</v>
      </c>
      <c r="H224" s="2" t="s">
        <v>547</v>
      </c>
    </row>
    <row r="225" spans="1:7" ht="36" customHeight="1">
      <c r="A225" s="1302"/>
      <c r="B225" s="1315"/>
      <c r="C225" s="1310" t="s">
        <v>1269</v>
      </c>
      <c r="D225" s="27" t="s">
        <v>1270</v>
      </c>
      <c r="E225" s="27" t="s">
        <v>1266</v>
      </c>
      <c r="F225" s="27"/>
      <c r="G225" s="41"/>
    </row>
    <row r="226" spans="1:7" ht="36" customHeight="1">
      <c r="A226" s="1302"/>
      <c r="B226" s="1315"/>
      <c r="C226" s="1308"/>
      <c r="D226" s="27" t="s">
        <v>1271</v>
      </c>
      <c r="E226" s="27" t="s">
        <v>1266</v>
      </c>
      <c r="F226" s="27"/>
      <c r="G226" s="41"/>
    </row>
    <row r="227" spans="1:7" ht="36" customHeight="1">
      <c r="A227" s="1302"/>
      <c r="B227" s="1315"/>
      <c r="C227" s="1309"/>
      <c r="D227" s="40" t="s">
        <v>1272</v>
      </c>
      <c r="E227" s="39" t="s">
        <v>1273</v>
      </c>
      <c r="F227" s="210"/>
      <c r="G227" s="209"/>
    </row>
    <row r="228" spans="1:7" ht="36" customHeight="1">
      <c r="A228" s="1302"/>
      <c r="B228" s="1315"/>
      <c r="C228" s="206"/>
      <c r="D228" s="34"/>
      <c r="E228" s="33"/>
      <c r="F228" s="97"/>
      <c r="G228" s="204"/>
    </row>
    <row r="229" spans="1:7" ht="36" customHeight="1" thickBot="1">
      <c r="A229" s="1302"/>
      <c r="B229" s="1315"/>
      <c r="C229" s="205"/>
      <c r="D229" s="30"/>
      <c r="E229" s="29"/>
      <c r="F229" s="14"/>
      <c r="G229" s="203"/>
    </row>
    <row r="230" spans="1:7" ht="36" customHeight="1" thickBot="1">
      <c r="A230" s="1303"/>
      <c r="B230" s="1316"/>
      <c r="C230" s="12"/>
      <c r="D230" s="11"/>
      <c r="E230" s="10"/>
      <c r="F230" s="10"/>
      <c r="G230" s="9"/>
    </row>
  </sheetData>
  <mergeCells count="117">
    <mergeCell ref="G102:G105"/>
    <mergeCell ref="C102:C105"/>
    <mergeCell ref="G140:G142"/>
    <mergeCell ref="G135:G136"/>
    <mergeCell ref="G133:G134"/>
    <mergeCell ref="A130:A139"/>
    <mergeCell ref="B130:B139"/>
    <mergeCell ref="C130:C131"/>
    <mergeCell ref="A100:A112"/>
    <mergeCell ref="B100:B112"/>
    <mergeCell ref="A113:A119"/>
    <mergeCell ref="B113:B119"/>
    <mergeCell ref="A140:A146"/>
    <mergeCell ref="B140:B146"/>
    <mergeCell ref="C133:C134"/>
    <mergeCell ref="G122:G124"/>
    <mergeCell ref="A120:A129"/>
    <mergeCell ref="B120:B129"/>
    <mergeCell ref="C140:C142"/>
    <mergeCell ref="C135:C136"/>
    <mergeCell ref="C122:C124"/>
    <mergeCell ref="A84:A99"/>
    <mergeCell ref="B84:B99"/>
    <mergeCell ref="G37:G38"/>
    <mergeCell ref="G50:G55"/>
    <mergeCell ref="G85:G86"/>
    <mergeCell ref="C43:C45"/>
    <mergeCell ref="F43:F45"/>
    <mergeCell ref="A73:A82"/>
    <mergeCell ref="B73:B82"/>
    <mergeCell ref="G75:G76"/>
    <mergeCell ref="C75:C77"/>
    <mergeCell ref="C61:C65"/>
    <mergeCell ref="C87:C92"/>
    <mergeCell ref="C84:C86"/>
    <mergeCell ref="C93:C95"/>
    <mergeCell ref="G93:G95"/>
    <mergeCell ref="A83:G83"/>
    <mergeCell ref="A50:A72"/>
    <mergeCell ref="B27:B32"/>
    <mergeCell ref="G43:G45"/>
    <mergeCell ref="A41:A49"/>
    <mergeCell ref="B41:B49"/>
    <mergeCell ref="C41:G41"/>
    <mergeCell ref="B50:B72"/>
    <mergeCell ref="C50:C55"/>
    <mergeCell ref="C57:C60"/>
    <mergeCell ref="G57:G60"/>
    <mergeCell ref="C67:C68"/>
    <mergeCell ref="G67:G68"/>
    <mergeCell ref="A1:G1"/>
    <mergeCell ref="A2:A8"/>
    <mergeCell ref="B2:B8"/>
    <mergeCell ref="A9:A18"/>
    <mergeCell ref="B9:B18"/>
    <mergeCell ref="C2:C3"/>
    <mergeCell ref="C33:C36"/>
    <mergeCell ref="C37:C38"/>
    <mergeCell ref="A33:A40"/>
    <mergeCell ref="B33:B40"/>
    <mergeCell ref="A19:A25"/>
    <mergeCell ref="B19:B25"/>
    <mergeCell ref="A26:G26"/>
    <mergeCell ref="C19:C21"/>
    <mergeCell ref="C28:C29"/>
    <mergeCell ref="G28:G29"/>
    <mergeCell ref="C9:C11"/>
    <mergeCell ref="F9:F11"/>
    <mergeCell ref="C12:C13"/>
    <mergeCell ref="C14:C15"/>
    <mergeCell ref="C5:C7"/>
    <mergeCell ref="G14:G15"/>
    <mergeCell ref="G5:G7"/>
    <mergeCell ref="A27:A32"/>
    <mergeCell ref="A147:G147"/>
    <mergeCell ref="A148:A155"/>
    <mergeCell ref="B148:B155"/>
    <mergeCell ref="A156:A162"/>
    <mergeCell ref="B156:B162"/>
    <mergeCell ref="G191:G192"/>
    <mergeCell ref="B180:B186"/>
    <mergeCell ref="C168:C169"/>
    <mergeCell ref="C163:C165"/>
    <mergeCell ref="C171:C174"/>
    <mergeCell ref="C157:C158"/>
    <mergeCell ref="A163:A170"/>
    <mergeCell ref="B163:B170"/>
    <mergeCell ref="A187:G187"/>
    <mergeCell ref="C188:C189"/>
    <mergeCell ref="F188:F189"/>
    <mergeCell ref="C181:C183"/>
    <mergeCell ref="G168:G169"/>
    <mergeCell ref="A180:A186"/>
    <mergeCell ref="A171:A179"/>
    <mergeCell ref="B171:B179"/>
    <mergeCell ref="C149:C151"/>
    <mergeCell ref="C160:E160"/>
    <mergeCell ref="G209:G211"/>
    <mergeCell ref="C204:C208"/>
    <mergeCell ref="A196:A201"/>
    <mergeCell ref="B196:B201"/>
    <mergeCell ref="A202:A221"/>
    <mergeCell ref="B202:B221"/>
    <mergeCell ref="A222:A230"/>
    <mergeCell ref="B222:B230"/>
    <mergeCell ref="C191:C192"/>
    <mergeCell ref="F191:F192"/>
    <mergeCell ref="C209:C210"/>
    <mergeCell ref="C202:C203"/>
    <mergeCell ref="C199:C200"/>
    <mergeCell ref="G199:G200"/>
    <mergeCell ref="A188:A195"/>
    <mergeCell ref="B188:B195"/>
    <mergeCell ref="C215:C217"/>
    <mergeCell ref="G215:G217"/>
    <mergeCell ref="C225:C227"/>
    <mergeCell ref="C218:C21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2"/>
  <sheetViews>
    <sheetView topLeftCell="A184" zoomScale="70" zoomScaleNormal="70" zoomScaleSheetLayoutView="70" workbookViewId="0">
      <selection activeCell="C206" sqref="C206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" customWidth="1"/>
    <col min="9" max="16384" width="9" style="1"/>
  </cols>
  <sheetData>
    <row r="1" spans="1:8" ht="36" customHeight="1">
      <c r="A1" s="1301">
        <v>44652</v>
      </c>
      <c r="B1" s="1314" t="s">
        <v>0</v>
      </c>
      <c r="C1" s="216" t="s">
        <v>1303</v>
      </c>
      <c r="D1" s="27" t="s">
        <v>1304</v>
      </c>
      <c r="E1" s="27" t="s">
        <v>1305</v>
      </c>
      <c r="F1" s="214"/>
      <c r="G1" s="212"/>
    </row>
    <row r="2" spans="1:8" ht="36" customHeight="1">
      <c r="A2" s="1302"/>
      <c r="B2" s="1315"/>
      <c r="C2" s="1308" t="s">
        <v>1289</v>
      </c>
      <c r="D2" s="27" t="s">
        <v>523</v>
      </c>
      <c r="E2" s="27" t="s">
        <v>1290</v>
      </c>
      <c r="F2" s="214"/>
      <c r="G2" s="212"/>
    </row>
    <row r="3" spans="1:8" ht="36" customHeight="1">
      <c r="A3" s="1302"/>
      <c r="B3" s="1315"/>
      <c r="C3" s="1309"/>
      <c r="D3" s="40" t="s">
        <v>1291</v>
      </c>
      <c r="E3" s="39" t="s">
        <v>168</v>
      </c>
      <c r="F3" s="214"/>
      <c r="G3" s="212"/>
    </row>
    <row r="4" spans="1:8" ht="36" customHeight="1">
      <c r="A4" s="1302"/>
      <c r="B4" s="1315"/>
      <c r="C4" s="216" t="s">
        <v>706</v>
      </c>
      <c r="D4" s="40" t="s">
        <v>1292</v>
      </c>
      <c r="E4" s="39" t="s">
        <v>1364</v>
      </c>
      <c r="F4" s="27"/>
      <c r="G4" s="41"/>
    </row>
    <row r="5" spans="1:8" ht="36" customHeight="1">
      <c r="A5" s="1302"/>
      <c r="B5" s="1315"/>
      <c r="C5" s="216" t="s">
        <v>1314</v>
      </c>
      <c r="D5" s="40" t="s">
        <v>1322</v>
      </c>
      <c r="E5" s="39" t="s">
        <v>1315</v>
      </c>
      <c r="F5" s="27" t="s">
        <v>1316</v>
      </c>
      <c r="G5" s="41"/>
      <c r="H5" s="2" t="s">
        <v>1323</v>
      </c>
    </row>
    <row r="6" spans="1:8" ht="30" customHeight="1">
      <c r="A6" s="1302"/>
      <c r="B6" s="1315"/>
      <c r="C6" s="1310" t="s">
        <v>1329</v>
      </c>
      <c r="D6" s="27" t="s">
        <v>1330</v>
      </c>
      <c r="E6" s="27" t="s">
        <v>1358</v>
      </c>
      <c r="F6" s="27"/>
      <c r="G6" s="1311" t="s">
        <v>1338</v>
      </c>
    </row>
    <row r="7" spans="1:8" ht="30" customHeight="1">
      <c r="A7" s="1302"/>
      <c r="B7" s="1315"/>
      <c r="C7" s="1308"/>
      <c r="D7" s="27" t="s">
        <v>1334</v>
      </c>
      <c r="E7" s="27" t="s">
        <v>1359</v>
      </c>
      <c r="F7" s="214"/>
      <c r="G7" s="1312"/>
    </row>
    <row r="8" spans="1:8" ht="30" customHeight="1">
      <c r="A8" s="1302"/>
      <c r="B8" s="1315"/>
      <c r="C8" s="1308"/>
      <c r="D8" s="40" t="s">
        <v>1335</v>
      </c>
      <c r="E8" s="39" t="s">
        <v>1331</v>
      </c>
      <c r="F8" s="214"/>
      <c r="G8" s="1312"/>
    </row>
    <row r="9" spans="1:8" ht="30" customHeight="1">
      <c r="A9" s="1302"/>
      <c r="B9" s="1315"/>
      <c r="C9" s="1308"/>
      <c r="D9" s="27" t="s">
        <v>1336</v>
      </c>
      <c r="E9" s="27" t="s">
        <v>1332</v>
      </c>
      <c r="F9" s="214"/>
      <c r="G9" s="1312"/>
    </row>
    <row r="10" spans="1:8" ht="30" customHeight="1">
      <c r="A10" s="1302"/>
      <c r="B10" s="1315"/>
      <c r="C10" s="1308"/>
      <c r="D10" s="40" t="s">
        <v>1337</v>
      </c>
      <c r="E10" s="39" t="s">
        <v>1333</v>
      </c>
      <c r="F10" s="214"/>
      <c r="G10" s="1312"/>
    </row>
    <row r="11" spans="1:8" ht="36" customHeight="1">
      <c r="A11" s="1302"/>
      <c r="B11" s="1315"/>
      <c r="C11" s="1309"/>
      <c r="D11" s="27" t="s">
        <v>1352</v>
      </c>
      <c r="E11" s="39" t="s">
        <v>1353</v>
      </c>
      <c r="F11" s="214"/>
      <c r="G11" s="1313"/>
    </row>
    <row r="12" spans="1:8" ht="36" customHeight="1">
      <c r="A12" s="1302"/>
      <c r="B12" s="1315"/>
      <c r="C12" s="216" t="s">
        <v>1360</v>
      </c>
      <c r="D12" s="27" t="s">
        <v>1361</v>
      </c>
      <c r="E12" s="39" t="s">
        <v>1362</v>
      </c>
      <c r="F12" s="27" t="s">
        <v>1363</v>
      </c>
      <c r="G12" s="41" t="s">
        <v>1257</v>
      </c>
    </row>
    <row r="13" spans="1:8" ht="36" customHeight="1">
      <c r="A13" s="1302"/>
      <c r="B13" s="1315"/>
      <c r="C13" s="1310" t="s">
        <v>1365</v>
      </c>
      <c r="D13" s="214" t="s">
        <v>109</v>
      </c>
      <c r="E13" s="36" t="s">
        <v>1367</v>
      </c>
      <c r="F13" s="1323" t="s">
        <v>1369</v>
      </c>
      <c r="G13" s="1311" t="s">
        <v>1370</v>
      </c>
    </row>
    <row r="14" spans="1:8" ht="36" customHeight="1">
      <c r="A14" s="1302"/>
      <c r="B14" s="1315"/>
      <c r="C14" s="1308"/>
      <c r="D14" s="214" t="s">
        <v>1366</v>
      </c>
      <c r="E14" s="36" t="s">
        <v>1367</v>
      </c>
      <c r="F14" s="1321"/>
      <c r="G14" s="1313"/>
    </row>
    <row r="15" spans="1:8" ht="36" customHeight="1" thickBot="1">
      <c r="A15" s="1302"/>
      <c r="B15" s="1315"/>
      <c r="C15" s="1324"/>
      <c r="D15" s="213" t="s">
        <v>109</v>
      </c>
      <c r="E15" s="43" t="s">
        <v>1368</v>
      </c>
      <c r="F15" s="213" t="s">
        <v>1371</v>
      </c>
      <c r="G15" s="215" t="s">
        <v>1372</v>
      </c>
    </row>
    <row r="16" spans="1:8" ht="36" customHeight="1" thickBot="1">
      <c r="A16" s="1303"/>
      <c r="B16" s="1316"/>
      <c r="C16" s="12"/>
      <c r="D16" s="11"/>
      <c r="E16" s="10"/>
      <c r="F16" s="10"/>
      <c r="G16" s="9"/>
    </row>
    <row r="17" spans="1:8" s="2" customFormat="1" ht="60" customHeight="1" thickBot="1">
      <c r="A17" s="1298" t="s">
        <v>5</v>
      </c>
      <c r="B17" s="1299"/>
      <c r="C17" s="1299"/>
      <c r="D17" s="1299"/>
      <c r="E17" s="1299"/>
      <c r="F17" s="1299"/>
      <c r="G17" s="1300"/>
    </row>
    <row r="18" spans="1:8" s="2" customFormat="1" ht="30" customHeight="1">
      <c r="A18" s="1301">
        <v>44655</v>
      </c>
      <c r="B18" s="1314" t="s">
        <v>4</v>
      </c>
      <c r="C18" s="1307" t="s">
        <v>1373</v>
      </c>
      <c r="D18" s="27" t="s">
        <v>1384</v>
      </c>
      <c r="E18" s="27" t="s">
        <v>1385</v>
      </c>
      <c r="F18" s="224"/>
      <c r="G18" s="220"/>
    </row>
    <row r="19" spans="1:8" s="2" customFormat="1" ht="30" customHeight="1">
      <c r="A19" s="1302"/>
      <c r="B19" s="1315"/>
      <c r="C19" s="1308"/>
      <c r="D19" s="40" t="s">
        <v>1387</v>
      </c>
      <c r="E19" s="27" t="s">
        <v>1386</v>
      </c>
      <c r="F19" s="224"/>
      <c r="G19" s="220"/>
    </row>
    <row r="20" spans="1:8" s="2" customFormat="1" ht="30" customHeight="1">
      <c r="A20" s="1302"/>
      <c r="B20" s="1315"/>
      <c r="C20" s="1309"/>
      <c r="D20" s="40" t="s">
        <v>1388</v>
      </c>
      <c r="E20" s="39" t="s">
        <v>1389</v>
      </c>
      <c r="F20" s="224"/>
      <c r="G20" s="220"/>
    </row>
    <row r="21" spans="1:8" s="2" customFormat="1" ht="30" customHeight="1">
      <c r="A21" s="1302"/>
      <c r="B21" s="1315"/>
      <c r="C21" s="225" t="s">
        <v>1379</v>
      </c>
      <c r="D21" s="40" t="s">
        <v>109</v>
      </c>
      <c r="E21" s="39" t="s">
        <v>1381</v>
      </c>
      <c r="F21" s="27" t="s">
        <v>1380</v>
      </c>
      <c r="G21" s="41" t="s">
        <v>374</v>
      </c>
    </row>
    <row r="22" spans="1:8" s="2" customFormat="1" ht="30" customHeight="1">
      <c r="A22" s="1302"/>
      <c r="B22" s="1315"/>
      <c r="C22" s="225" t="s">
        <v>1382</v>
      </c>
      <c r="D22" s="40" t="s">
        <v>1383</v>
      </c>
      <c r="E22" s="39" t="s">
        <v>1401</v>
      </c>
      <c r="F22" s="27"/>
      <c r="G22" s="41"/>
    </row>
    <row r="23" spans="1:8" s="2" customFormat="1" ht="30" customHeight="1">
      <c r="A23" s="1302"/>
      <c r="B23" s="1315"/>
      <c r="C23" s="219" t="s">
        <v>1390</v>
      </c>
      <c r="D23" s="37" t="s">
        <v>109</v>
      </c>
      <c r="E23" s="36" t="s">
        <v>1391</v>
      </c>
      <c r="F23" s="224"/>
      <c r="G23" s="222"/>
    </row>
    <row r="24" spans="1:8" ht="30" customHeight="1">
      <c r="A24" s="1302"/>
      <c r="B24" s="1315"/>
      <c r="C24" s="1308" t="s">
        <v>1402</v>
      </c>
      <c r="D24" s="37" t="s">
        <v>1403</v>
      </c>
      <c r="E24" s="36" t="s">
        <v>1404</v>
      </c>
      <c r="F24" s="224"/>
      <c r="G24" s="221"/>
    </row>
    <row r="25" spans="1:8" ht="30" customHeight="1">
      <c r="A25" s="1302"/>
      <c r="B25" s="1315"/>
      <c r="C25" s="1309"/>
      <c r="D25" s="40" t="s">
        <v>1405</v>
      </c>
      <c r="E25" s="39" t="s">
        <v>1406</v>
      </c>
      <c r="F25" s="224"/>
      <c r="G25" s="41"/>
    </row>
    <row r="26" spans="1:8" ht="30" customHeight="1">
      <c r="A26" s="1302"/>
      <c r="B26" s="1315"/>
      <c r="C26" s="225" t="s">
        <v>1390</v>
      </c>
      <c r="D26" s="40" t="s">
        <v>1407</v>
      </c>
      <c r="E26" s="39" t="s">
        <v>1408</v>
      </c>
      <c r="F26" s="27"/>
      <c r="G26" s="41" t="s">
        <v>1409</v>
      </c>
      <c r="H26" s="2" t="s">
        <v>1410</v>
      </c>
    </row>
    <row r="27" spans="1:8" ht="30" customHeight="1">
      <c r="A27" s="1302"/>
      <c r="B27" s="1315"/>
      <c r="C27" s="218" t="s">
        <v>1390</v>
      </c>
      <c r="D27" s="44" t="s">
        <v>1407</v>
      </c>
      <c r="E27" s="43" t="s">
        <v>1415</v>
      </c>
      <c r="F27" s="223"/>
      <c r="G27" s="221" t="s">
        <v>1409</v>
      </c>
      <c r="H27" s="2" t="s">
        <v>1416</v>
      </c>
    </row>
    <row r="28" spans="1:8" ht="33" customHeight="1" thickBot="1">
      <c r="A28" s="1302"/>
      <c r="B28" s="1315"/>
      <c r="C28" s="226" t="s">
        <v>1420</v>
      </c>
      <c r="D28" s="73" t="s">
        <v>1421</v>
      </c>
      <c r="E28" s="73" t="s">
        <v>1423</v>
      </c>
      <c r="F28" s="73" t="s">
        <v>1422</v>
      </c>
      <c r="G28" s="72" t="s">
        <v>180</v>
      </c>
    </row>
    <row r="29" spans="1:8" s="2" customFormat="1" ht="30" customHeight="1" thickBot="1">
      <c r="A29" s="1303"/>
      <c r="B29" s="1316"/>
      <c r="C29" s="12"/>
      <c r="D29" s="11"/>
      <c r="E29" s="10"/>
      <c r="F29" s="10"/>
      <c r="G29" s="9"/>
    </row>
    <row r="30" spans="1:8" ht="30" customHeight="1">
      <c r="A30" s="1301">
        <v>44656</v>
      </c>
      <c r="B30" s="1314" t="s">
        <v>3</v>
      </c>
      <c r="C30" s="1307" t="s">
        <v>1324</v>
      </c>
      <c r="D30" s="27" t="s">
        <v>1325</v>
      </c>
      <c r="E30" s="27" t="s">
        <v>1326</v>
      </c>
      <c r="F30" s="234"/>
      <c r="G30" s="231"/>
    </row>
    <row r="31" spans="1:8" ht="30" customHeight="1">
      <c r="A31" s="1302"/>
      <c r="B31" s="1315"/>
      <c r="C31" s="1309"/>
      <c r="D31" s="27" t="s">
        <v>1327</v>
      </c>
      <c r="E31" s="27" t="s">
        <v>1328</v>
      </c>
      <c r="F31" s="234"/>
      <c r="G31" s="231"/>
    </row>
    <row r="32" spans="1:8" ht="30" customHeight="1">
      <c r="A32" s="1302"/>
      <c r="B32" s="1315"/>
      <c r="C32" s="235" t="s">
        <v>1424</v>
      </c>
      <c r="D32" s="40" t="s">
        <v>1425</v>
      </c>
      <c r="E32" s="39" t="s">
        <v>1426</v>
      </c>
      <c r="F32" s="234"/>
      <c r="G32" s="231" t="s">
        <v>1427</v>
      </c>
    </row>
    <row r="33" spans="1:8" ht="30" customHeight="1">
      <c r="A33" s="1302"/>
      <c r="B33" s="1315"/>
      <c r="C33" s="1310" t="s">
        <v>1439</v>
      </c>
      <c r="D33" s="40" t="s">
        <v>1444</v>
      </c>
      <c r="E33" s="39" t="s">
        <v>1440</v>
      </c>
      <c r="F33" s="27"/>
      <c r="G33" s="1311" t="s">
        <v>1442</v>
      </c>
    </row>
    <row r="34" spans="1:8" ht="30" customHeight="1">
      <c r="A34" s="1302"/>
      <c r="B34" s="1315"/>
      <c r="C34" s="1309"/>
      <c r="D34" s="37" t="s">
        <v>1443</v>
      </c>
      <c r="E34" s="36" t="s">
        <v>1441</v>
      </c>
      <c r="F34" s="234"/>
      <c r="G34" s="1313"/>
    </row>
    <row r="35" spans="1:8" ht="30" customHeight="1">
      <c r="A35" s="1302"/>
      <c r="B35" s="1315"/>
      <c r="C35" s="235" t="s">
        <v>1445</v>
      </c>
      <c r="D35" s="40" t="s">
        <v>109</v>
      </c>
      <c r="E35" s="39" t="s">
        <v>584</v>
      </c>
      <c r="F35" s="234" t="s">
        <v>107</v>
      </c>
      <c r="G35" s="41" t="s">
        <v>106</v>
      </c>
      <c r="H35" s="2" t="s">
        <v>1446</v>
      </c>
    </row>
    <row r="36" spans="1:8" ht="30" customHeight="1" thickBot="1">
      <c r="A36" s="1302"/>
      <c r="B36" s="1315"/>
      <c r="C36" s="230" t="s">
        <v>1447</v>
      </c>
      <c r="D36" s="44" t="s">
        <v>1448</v>
      </c>
      <c r="E36" s="43" t="s">
        <v>1449</v>
      </c>
      <c r="F36" s="233"/>
      <c r="G36" s="232" t="s">
        <v>1450</v>
      </c>
      <c r="H36" s="2" t="s">
        <v>1467</v>
      </c>
    </row>
    <row r="37" spans="1:8" ht="30" customHeight="1" thickBot="1">
      <c r="A37" s="1303"/>
      <c r="B37" s="1316"/>
      <c r="C37" s="12"/>
      <c r="D37" s="11"/>
      <c r="E37" s="10"/>
      <c r="F37" s="10"/>
      <c r="G37" s="9"/>
    </row>
    <row r="38" spans="1:8" ht="30" customHeight="1">
      <c r="A38" s="1301">
        <v>44657</v>
      </c>
      <c r="B38" s="1314" t="s">
        <v>2</v>
      </c>
      <c r="C38" s="1307" t="s">
        <v>1339</v>
      </c>
      <c r="D38" s="27" t="s">
        <v>1340</v>
      </c>
      <c r="E38" s="27" t="s">
        <v>1341</v>
      </c>
      <c r="F38" s="238"/>
      <c r="G38" s="237"/>
    </row>
    <row r="39" spans="1:8" ht="30" customHeight="1">
      <c r="A39" s="1302"/>
      <c r="B39" s="1315"/>
      <c r="C39" s="1308"/>
      <c r="D39" s="27" t="s">
        <v>1342</v>
      </c>
      <c r="E39" s="27" t="s">
        <v>1343</v>
      </c>
      <c r="F39" s="238"/>
      <c r="G39" s="237"/>
    </row>
    <row r="40" spans="1:8" ht="30" customHeight="1">
      <c r="A40" s="1302"/>
      <c r="B40" s="1315"/>
      <c r="C40" s="1308"/>
      <c r="D40" s="40" t="s">
        <v>1349</v>
      </c>
      <c r="E40" s="39" t="s">
        <v>1344</v>
      </c>
      <c r="F40" s="238"/>
      <c r="G40" s="237"/>
    </row>
    <row r="41" spans="1:8" ht="30" customHeight="1">
      <c r="A41" s="1302"/>
      <c r="B41" s="1315"/>
      <c r="C41" s="1308"/>
      <c r="D41" s="27" t="s">
        <v>1345</v>
      </c>
      <c r="E41" s="27" t="s">
        <v>1346</v>
      </c>
      <c r="F41" s="238"/>
      <c r="G41" s="237"/>
    </row>
    <row r="42" spans="1:8" ht="30" customHeight="1">
      <c r="A42" s="1302"/>
      <c r="B42" s="1315"/>
      <c r="C42" s="1308"/>
      <c r="D42" s="40" t="s">
        <v>1468</v>
      </c>
      <c r="E42" s="39" t="s">
        <v>1347</v>
      </c>
      <c r="F42" s="238"/>
      <c r="G42" s="237"/>
    </row>
    <row r="43" spans="1:8" ht="30" customHeight="1">
      <c r="A43" s="1302"/>
      <c r="B43" s="1315"/>
      <c r="C43" s="1309"/>
      <c r="D43" s="27" t="s">
        <v>1330</v>
      </c>
      <c r="E43" s="27" t="s">
        <v>1348</v>
      </c>
      <c r="F43" s="238" t="s">
        <v>157</v>
      </c>
      <c r="G43" s="237"/>
    </row>
    <row r="44" spans="1:8" ht="30" customHeight="1">
      <c r="A44" s="1302"/>
      <c r="B44" s="1315"/>
      <c r="C44" s="1310" t="s">
        <v>1451</v>
      </c>
      <c r="D44" s="27" t="s">
        <v>1452</v>
      </c>
      <c r="E44" s="27" t="s">
        <v>1453</v>
      </c>
      <c r="F44" s="238"/>
      <c r="G44" s="237"/>
    </row>
    <row r="45" spans="1:8" ht="30" customHeight="1">
      <c r="A45" s="1302"/>
      <c r="B45" s="1315"/>
      <c r="C45" s="1308"/>
      <c r="D45" s="27" t="s">
        <v>1454</v>
      </c>
      <c r="E45" s="27" t="s">
        <v>1455</v>
      </c>
      <c r="F45" s="238"/>
      <c r="G45" s="237"/>
    </row>
    <row r="46" spans="1:8" ht="30" customHeight="1">
      <c r="A46" s="1302"/>
      <c r="B46" s="1315"/>
      <c r="C46" s="1309"/>
      <c r="D46" s="40" t="s">
        <v>1456</v>
      </c>
      <c r="E46" s="39" t="s">
        <v>1457</v>
      </c>
      <c r="F46" s="238"/>
      <c r="G46" s="237"/>
    </row>
    <row r="47" spans="1:8" ht="30" customHeight="1" thickBot="1">
      <c r="A47" s="1302"/>
      <c r="B47" s="1315"/>
      <c r="C47" s="239" t="s">
        <v>1484</v>
      </c>
      <c r="D47" s="40" t="s">
        <v>1485</v>
      </c>
      <c r="E47" s="39" t="s">
        <v>1486</v>
      </c>
      <c r="F47" s="238"/>
      <c r="G47" s="237" t="s">
        <v>1487</v>
      </c>
      <c r="H47" s="2" t="s">
        <v>1488</v>
      </c>
    </row>
    <row r="48" spans="1:8" ht="30" hidden="1" customHeight="1" thickBot="1">
      <c r="A48" s="1302"/>
      <c r="B48" s="1315"/>
      <c r="C48" s="228"/>
      <c r="D48" s="20"/>
      <c r="E48" s="19"/>
      <c r="F48" s="97"/>
      <c r="G48" s="13"/>
    </row>
    <row r="49" spans="1:8" ht="30" hidden="1" customHeight="1">
      <c r="A49" s="1302"/>
      <c r="B49" s="1315"/>
      <c r="C49" s="21"/>
      <c r="D49" s="20"/>
      <c r="E49" s="19"/>
      <c r="F49" s="18"/>
      <c r="G49" s="13"/>
    </row>
    <row r="50" spans="1:8" ht="30" hidden="1" customHeight="1" thickBot="1">
      <c r="A50" s="1302"/>
      <c r="B50" s="1315"/>
      <c r="C50" s="17"/>
      <c r="D50" s="16"/>
      <c r="E50" s="15"/>
      <c r="F50" s="14"/>
      <c r="G50" s="13"/>
    </row>
    <row r="51" spans="1:8" ht="30" customHeight="1" thickBot="1">
      <c r="A51" s="1303"/>
      <c r="B51" s="1316"/>
      <c r="C51" s="12" t="s">
        <v>569</v>
      </c>
      <c r="D51" s="11" t="s">
        <v>568</v>
      </c>
      <c r="E51" s="10" t="s">
        <v>1287</v>
      </c>
      <c r="F51" s="10" t="s">
        <v>43</v>
      </c>
      <c r="G51" s="9"/>
    </row>
    <row r="52" spans="1:8" ht="30" customHeight="1">
      <c r="A52" s="1301">
        <v>44658</v>
      </c>
      <c r="B52" s="1314" t="s">
        <v>1</v>
      </c>
      <c r="C52" s="242" t="s">
        <v>61</v>
      </c>
      <c r="D52" s="241" t="s">
        <v>8</v>
      </c>
      <c r="E52" s="27" t="s">
        <v>1307</v>
      </c>
      <c r="F52" s="241"/>
      <c r="G52" s="240"/>
    </row>
    <row r="53" spans="1:8" ht="30" customHeight="1">
      <c r="A53" s="1302"/>
      <c r="B53" s="1315"/>
      <c r="C53" s="242" t="s">
        <v>1306</v>
      </c>
      <c r="D53" s="27" t="s">
        <v>109</v>
      </c>
      <c r="E53" s="27" t="s">
        <v>571</v>
      </c>
      <c r="F53" s="241" t="s">
        <v>1511</v>
      </c>
      <c r="G53" s="1311" t="s">
        <v>1500</v>
      </c>
    </row>
    <row r="54" spans="1:8" ht="30" customHeight="1">
      <c r="A54" s="1302"/>
      <c r="B54" s="1315"/>
      <c r="C54" s="1310" t="s">
        <v>1439</v>
      </c>
      <c r="D54" s="27" t="s">
        <v>1492</v>
      </c>
      <c r="E54" s="27" t="s">
        <v>1493</v>
      </c>
      <c r="F54" s="241"/>
      <c r="G54" s="1312"/>
    </row>
    <row r="55" spans="1:8" ht="30" customHeight="1">
      <c r="A55" s="1302"/>
      <c r="B55" s="1315"/>
      <c r="C55" s="1308"/>
      <c r="D55" s="27" t="s">
        <v>1501</v>
      </c>
      <c r="E55" s="27" t="s">
        <v>1494</v>
      </c>
      <c r="F55" s="241"/>
      <c r="G55" s="1312"/>
    </row>
    <row r="56" spans="1:8" ht="30" customHeight="1">
      <c r="A56" s="1302"/>
      <c r="B56" s="1315"/>
      <c r="C56" s="1308"/>
      <c r="D56" s="27" t="s">
        <v>1330</v>
      </c>
      <c r="E56" s="27" t="s">
        <v>1486</v>
      </c>
      <c r="F56" s="241" t="s">
        <v>157</v>
      </c>
      <c r="G56" s="1312"/>
    </row>
    <row r="57" spans="1:8" ht="30" customHeight="1">
      <c r="A57" s="1302"/>
      <c r="B57" s="1315"/>
      <c r="C57" s="1309"/>
      <c r="D57" s="27" t="s">
        <v>1512</v>
      </c>
      <c r="E57" s="27" t="s">
        <v>1513</v>
      </c>
      <c r="F57" s="241"/>
      <c r="G57" s="1312"/>
    </row>
    <row r="58" spans="1:8" ht="30" customHeight="1">
      <c r="A58" s="1302"/>
      <c r="B58" s="1315"/>
      <c r="C58" s="1310" t="s">
        <v>1495</v>
      </c>
      <c r="D58" s="27" t="s">
        <v>1496</v>
      </c>
      <c r="E58" s="27" t="s">
        <v>1497</v>
      </c>
      <c r="F58" s="241"/>
      <c r="G58" s="1312"/>
    </row>
    <row r="59" spans="1:8" ht="30" customHeight="1">
      <c r="A59" s="1302"/>
      <c r="B59" s="1315"/>
      <c r="C59" s="1309"/>
      <c r="D59" s="27" t="s">
        <v>1498</v>
      </c>
      <c r="E59" s="27" t="s">
        <v>1499</v>
      </c>
      <c r="F59" s="241"/>
      <c r="G59" s="1313"/>
    </row>
    <row r="60" spans="1:8" ht="30" customHeight="1" thickBot="1">
      <c r="A60" s="1302"/>
      <c r="B60" s="1315"/>
      <c r="C60" s="242" t="s">
        <v>1506</v>
      </c>
      <c r="D60" s="40" t="s">
        <v>1507</v>
      </c>
      <c r="E60" s="39" t="s">
        <v>1509</v>
      </c>
      <c r="F60" s="241"/>
      <c r="G60" s="240" t="s">
        <v>1508</v>
      </c>
      <c r="H60" s="2" t="s">
        <v>1510</v>
      </c>
    </row>
    <row r="61" spans="1:8" ht="30" hidden="1" customHeight="1" thickBot="1">
      <c r="A61" s="1302"/>
      <c r="B61" s="1315"/>
      <c r="C61" s="17"/>
      <c r="D61" s="16"/>
      <c r="E61" s="15"/>
      <c r="F61" s="14"/>
      <c r="G61" s="13"/>
    </row>
    <row r="62" spans="1:8" ht="30" customHeight="1" thickBot="1">
      <c r="A62" s="1303"/>
      <c r="B62" s="1316"/>
      <c r="C62" s="12" t="s">
        <v>536</v>
      </c>
      <c r="D62" s="11" t="s">
        <v>1417</v>
      </c>
      <c r="E62" s="10" t="s">
        <v>1418</v>
      </c>
      <c r="F62" s="10" t="s">
        <v>1419</v>
      </c>
      <c r="G62" s="9"/>
    </row>
    <row r="63" spans="1:8" ht="30" customHeight="1">
      <c r="A63" s="1301">
        <v>44659</v>
      </c>
      <c r="B63" s="1314" t="s">
        <v>211</v>
      </c>
      <c r="C63" s="1307" t="s">
        <v>61</v>
      </c>
      <c r="D63" s="27" t="s">
        <v>8</v>
      </c>
      <c r="E63" s="27" t="s">
        <v>1308</v>
      </c>
      <c r="F63" s="245"/>
      <c r="G63" s="243"/>
    </row>
    <row r="64" spans="1:8" ht="30" customHeight="1">
      <c r="A64" s="1302"/>
      <c r="B64" s="1315"/>
      <c r="C64" s="1309"/>
      <c r="D64" s="27" t="s">
        <v>1310</v>
      </c>
      <c r="E64" s="27" t="s">
        <v>1309</v>
      </c>
      <c r="F64" s="245"/>
      <c r="G64" s="243"/>
    </row>
    <row r="65" spans="1:8" ht="30" customHeight="1">
      <c r="A65" s="1302"/>
      <c r="B65" s="1315"/>
      <c r="C65" s="248" t="s">
        <v>1350</v>
      </c>
      <c r="D65" s="40" t="s">
        <v>1351</v>
      </c>
      <c r="E65" s="39" t="s">
        <v>1331</v>
      </c>
      <c r="F65" s="245"/>
      <c r="G65" s="243"/>
    </row>
    <row r="66" spans="1:8" ht="30" customHeight="1">
      <c r="A66" s="1302"/>
      <c r="B66" s="1315"/>
      <c r="C66" s="248" t="s">
        <v>1522</v>
      </c>
      <c r="D66" s="40" t="s">
        <v>1523</v>
      </c>
      <c r="E66" s="39" t="s">
        <v>1524</v>
      </c>
      <c r="F66" s="245"/>
      <c r="G66" s="243"/>
    </row>
    <row r="67" spans="1:8" ht="30" customHeight="1">
      <c r="A67" s="1302"/>
      <c r="B67" s="1315"/>
      <c r="C67" s="1310" t="s">
        <v>1525</v>
      </c>
      <c r="D67" s="55" t="s">
        <v>109</v>
      </c>
      <c r="E67" s="54" t="s">
        <v>1527</v>
      </c>
      <c r="F67" s="1323" t="s">
        <v>1380</v>
      </c>
      <c r="G67" s="1311" t="s">
        <v>1530</v>
      </c>
      <c r="H67" s="2" t="s">
        <v>1532</v>
      </c>
    </row>
    <row r="68" spans="1:8" ht="30" customHeight="1">
      <c r="A68" s="1302"/>
      <c r="B68" s="1315"/>
      <c r="C68" s="1309"/>
      <c r="D68" s="40" t="s">
        <v>109</v>
      </c>
      <c r="E68" s="39" t="s">
        <v>1527</v>
      </c>
      <c r="F68" s="1321"/>
      <c r="G68" s="1313"/>
      <c r="H68" s="2" t="s">
        <v>1533</v>
      </c>
    </row>
    <row r="69" spans="1:8" ht="30" customHeight="1">
      <c r="A69" s="1302"/>
      <c r="B69" s="1315"/>
      <c r="C69" s="248" t="s">
        <v>1526</v>
      </c>
      <c r="D69" s="40" t="s">
        <v>109</v>
      </c>
      <c r="E69" s="39" t="s">
        <v>1528</v>
      </c>
      <c r="F69" s="27" t="s">
        <v>1529</v>
      </c>
      <c r="G69" s="41" t="s">
        <v>1531</v>
      </c>
    </row>
    <row r="70" spans="1:8" ht="30" customHeight="1" thickBot="1">
      <c r="A70" s="1302"/>
      <c r="B70" s="1315"/>
      <c r="C70" s="246" t="s">
        <v>1534</v>
      </c>
      <c r="D70" s="44" t="s">
        <v>1535</v>
      </c>
      <c r="E70" s="43" t="s">
        <v>1536</v>
      </c>
      <c r="F70" s="244"/>
      <c r="G70" s="247" t="s">
        <v>1537</v>
      </c>
      <c r="H70" s="2" t="s">
        <v>1538</v>
      </c>
    </row>
    <row r="71" spans="1:8" ht="30" customHeight="1" thickBot="1">
      <c r="A71" s="1303"/>
      <c r="B71" s="1316"/>
      <c r="C71" s="12" t="s">
        <v>1284</v>
      </c>
      <c r="D71" s="11" t="s">
        <v>1285</v>
      </c>
      <c r="E71" s="10" t="s">
        <v>1286</v>
      </c>
      <c r="F71" s="10" t="s">
        <v>1514</v>
      </c>
      <c r="G71" s="9"/>
    </row>
    <row r="72" spans="1:8" ht="36" customHeight="1">
      <c r="A72" s="1301">
        <v>44660</v>
      </c>
      <c r="B72" s="1317" t="s">
        <v>278</v>
      </c>
      <c r="C72" s="1307" t="s">
        <v>1495</v>
      </c>
      <c r="D72" s="27" t="s">
        <v>109</v>
      </c>
      <c r="E72" s="27" t="s">
        <v>1502</v>
      </c>
      <c r="F72" s="253"/>
      <c r="G72" s="251"/>
    </row>
    <row r="73" spans="1:8" ht="36" customHeight="1">
      <c r="A73" s="1302"/>
      <c r="B73" s="1318"/>
      <c r="C73" s="1308"/>
      <c r="D73" s="27" t="s">
        <v>1503</v>
      </c>
      <c r="E73" s="27" t="s">
        <v>1504</v>
      </c>
      <c r="F73" s="253"/>
      <c r="G73" s="251"/>
    </row>
    <row r="74" spans="1:8" ht="36" customHeight="1">
      <c r="A74" s="1302"/>
      <c r="B74" s="1318"/>
      <c r="C74" s="1308"/>
      <c r="D74" s="27" t="s">
        <v>1498</v>
      </c>
      <c r="E74" s="39" t="s">
        <v>1505</v>
      </c>
      <c r="F74" s="253"/>
      <c r="G74" s="251"/>
    </row>
    <row r="75" spans="1:8" ht="36" customHeight="1" thickBot="1">
      <c r="A75" s="1302"/>
      <c r="B75" s="1318"/>
      <c r="C75" s="1324"/>
      <c r="D75" s="55" t="s">
        <v>1539</v>
      </c>
      <c r="E75" s="54" t="s">
        <v>1527</v>
      </c>
      <c r="F75" s="252"/>
      <c r="G75" s="251"/>
    </row>
    <row r="76" spans="1:8" ht="36" customHeight="1" thickBot="1">
      <c r="A76" s="1303"/>
      <c r="B76" s="1319"/>
      <c r="C76" s="12"/>
      <c r="D76" s="11"/>
      <c r="E76" s="10"/>
      <c r="F76" s="10"/>
      <c r="G76" s="9"/>
    </row>
    <row r="77" spans="1:8" ht="60" customHeight="1" thickBot="1">
      <c r="A77" s="1298" t="s">
        <v>5</v>
      </c>
      <c r="B77" s="1299"/>
      <c r="C77" s="1299"/>
      <c r="D77" s="1299"/>
      <c r="E77" s="1299"/>
      <c r="F77" s="1299"/>
      <c r="G77" s="1300"/>
    </row>
    <row r="78" spans="1:8" ht="36" customHeight="1">
      <c r="A78" s="1301">
        <v>44662</v>
      </c>
      <c r="B78" s="1317" t="s">
        <v>4</v>
      </c>
      <c r="C78" s="254" t="s">
        <v>61</v>
      </c>
      <c r="D78" s="27" t="s">
        <v>8</v>
      </c>
      <c r="E78" s="27" t="s">
        <v>1311</v>
      </c>
      <c r="F78" s="253"/>
      <c r="G78" s="251"/>
    </row>
    <row r="79" spans="1:8" ht="36" customHeight="1">
      <c r="A79" s="1302"/>
      <c r="B79" s="1318"/>
      <c r="C79" s="1310" t="s">
        <v>1428</v>
      </c>
      <c r="D79" s="27" t="s">
        <v>1429</v>
      </c>
      <c r="E79" s="27" t="s">
        <v>1515</v>
      </c>
      <c r="F79" s="253"/>
      <c r="G79" s="251"/>
    </row>
    <row r="80" spans="1:8" ht="36" customHeight="1">
      <c r="A80" s="1302"/>
      <c r="B80" s="1318"/>
      <c r="C80" s="1308"/>
      <c r="D80" s="27" t="s">
        <v>1516</v>
      </c>
      <c r="E80" s="27" t="s">
        <v>1517</v>
      </c>
      <c r="F80" s="253"/>
      <c r="G80" s="251"/>
    </row>
    <row r="81" spans="1:8" ht="36" customHeight="1">
      <c r="A81" s="1302"/>
      <c r="B81" s="1318"/>
      <c r="C81" s="1309"/>
      <c r="D81" s="27" t="s">
        <v>1518</v>
      </c>
      <c r="E81" s="27" t="s">
        <v>1519</v>
      </c>
      <c r="F81" s="253"/>
      <c r="G81" s="251"/>
    </row>
    <row r="82" spans="1:8" ht="36" customHeight="1">
      <c r="A82" s="1302"/>
      <c r="B82" s="1318"/>
      <c r="C82" s="254" t="s">
        <v>110</v>
      </c>
      <c r="D82" s="40" t="s">
        <v>109</v>
      </c>
      <c r="E82" s="39" t="s">
        <v>584</v>
      </c>
      <c r="F82" s="253" t="s">
        <v>107</v>
      </c>
      <c r="G82" s="251" t="s">
        <v>106</v>
      </c>
      <c r="H82" s="2" t="s">
        <v>1543</v>
      </c>
    </row>
    <row r="83" spans="1:8" ht="36" customHeight="1" thickBot="1">
      <c r="A83" s="1302"/>
      <c r="B83" s="1318"/>
      <c r="C83" s="250" t="s">
        <v>1545</v>
      </c>
      <c r="D83" s="55" t="s">
        <v>1544</v>
      </c>
      <c r="E83" s="54" t="s">
        <v>352</v>
      </c>
      <c r="F83" s="252" t="s">
        <v>351</v>
      </c>
      <c r="G83" s="251" t="s">
        <v>350</v>
      </c>
      <c r="H83" s="2" t="s">
        <v>349</v>
      </c>
    </row>
    <row r="84" spans="1:8" ht="36" customHeight="1" thickBot="1">
      <c r="A84" s="1303"/>
      <c r="B84" s="1319"/>
      <c r="C84" s="12" t="s">
        <v>551</v>
      </c>
      <c r="D84" s="11" t="s">
        <v>14</v>
      </c>
      <c r="E84" s="10" t="s">
        <v>550</v>
      </c>
      <c r="F84" s="10" t="s">
        <v>12</v>
      </c>
      <c r="G84" s="9"/>
    </row>
    <row r="85" spans="1:8" ht="30" customHeight="1">
      <c r="A85" s="1302">
        <v>44663</v>
      </c>
      <c r="B85" s="1318" t="s">
        <v>3</v>
      </c>
      <c r="C85" s="1307" t="s">
        <v>1469</v>
      </c>
      <c r="D85" s="27" t="s">
        <v>1470</v>
      </c>
      <c r="E85" s="27" t="s">
        <v>1471</v>
      </c>
      <c r="F85" s="259"/>
      <c r="G85" s="1322" t="s">
        <v>1474</v>
      </c>
    </row>
    <row r="86" spans="1:8" ht="30" customHeight="1">
      <c r="A86" s="1302"/>
      <c r="B86" s="1318"/>
      <c r="C86" s="1308"/>
      <c r="D86" s="27" t="s">
        <v>1454</v>
      </c>
      <c r="E86" s="27" t="s">
        <v>1436</v>
      </c>
      <c r="F86" s="259"/>
      <c r="G86" s="1312"/>
    </row>
    <row r="87" spans="1:8" ht="36" customHeight="1">
      <c r="A87" s="1302"/>
      <c r="B87" s="1318"/>
      <c r="C87" s="1309"/>
      <c r="D87" s="40" t="s">
        <v>1472</v>
      </c>
      <c r="E87" s="39" t="s">
        <v>1436</v>
      </c>
      <c r="F87" s="259"/>
      <c r="G87" s="1313"/>
    </row>
    <row r="88" spans="1:8" ht="36" customHeight="1">
      <c r="A88" s="1302"/>
      <c r="B88" s="1318"/>
      <c r="C88" s="1310" t="s">
        <v>1475</v>
      </c>
      <c r="D88" s="40" t="s">
        <v>1459</v>
      </c>
      <c r="E88" s="39" t="s">
        <v>1471</v>
      </c>
      <c r="F88" s="259"/>
      <c r="G88" s="1311" t="s">
        <v>1481</v>
      </c>
    </row>
    <row r="89" spans="1:8" ht="36" customHeight="1">
      <c r="A89" s="1302"/>
      <c r="B89" s="1318"/>
      <c r="C89" s="1308"/>
      <c r="D89" s="40" t="s">
        <v>1482</v>
      </c>
      <c r="E89" s="39" t="s">
        <v>1483</v>
      </c>
      <c r="F89" s="259"/>
      <c r="G89" s="1312"/>
    </row>
    <row r="90" spans="1:8" ht="36" customHeight="1">
      <c r="A90" s="1302"/>
      <c r="B90" s="1318"/>
      <c r="C90" s="1308"/>
      <c r="D90" s="40" t="s">
        <v>1547</v>
      </c>
      <c r="E90" s="39" t="s">
        <v>1548</v>
      </c>
      <c r="F90" s="259"/>
      <c r="G90" s="1312"/>
    </row>
    <row r="91" spans="1:8" ht="36" customHeight="1">
      <c r="A91" s="1302"/>
      <c r="B91" s="1318"/>
      <c r="C91" s="1309"/>
      <c r="D91" s="40" t="s">
        <v>1470</v>
      </c>
      <c r="E91" s="39" t="s">
        <v>1549</v>
      </c>
      <c r="F91" s="259"/>
      <c r="G91" s="1313"/>
    </row>
    <row r="92" spans="1:8" ht="36" customHeight="1">
      <c r="A92" s="1302"/>
      <c r="B92" s="1318"/>
      <c r="C92" s="1310" t="s">
        <v>1476</v>
      </c>
      <c r="D92" s="40" t="s">
        <v>1438</v>
      </c>
      <c r="E92" s="39" t="s">
        <v>1477</v>
      </c>
      <c r="F92" s="27" t="s">
        <v>157</v>
      </c>
      <c r="G92" s="1311" t="s">
        <v>1480</v>
      </c>
    </row>
    <row r="93" spans="1:8" ht="36" customHeight="1">
      <c r="A93" s="1302"/>
      <c r="B93" s="1318"/>
      <c r="C93" s="1309"/>
      <c r="D93" s="37" t="s">
        <v>1478</v>
      </c>
      <c r="E93" s="36" t="s">
        <v>1479</v>
      </c>
      <c r="F93" s="259"/>
      <c r="G93" s="1313"/>
    </row>
    <row r="94" spans="1:8" ht="36" customHeight="1">
      <c r="A94" s="1302"/>
      <c r="B94" s="1318"/>
      <c r="C94" s="261" t="s">
        <v>1506</v>
      </c>
      <c r="D94" s="37" t="s">
        <v>1556</v>
      </c>
      <c r="E94" s="36" t="s">
        <v>1557</v>
      </c>
      <c r="F94" s="259"/>
      <c r="G94" s="257"/>
    </row>
    <row r="95" spans="1:8" ht="36" customHeight="1">
      <c r="A95" s="1302"/>
      <c r="B95" s="1318"/>
      <c r="C95" s="261" t="s">
        <v>1568</v>
      </c>
      <c r="D95" s="27" t="s">
        <v>109</v>
      </c>
      <c r="E95" s="27" t="s">
        <v>1569</v>
      </c>
      <c r="F95" s="27"/>
      <c r="G95" s="41" t="s">
        <v>1570</v>
      </c>
      <c r="H95" s="2" t="s">
        <v>1571</v>
      </c>
    </row>
    <row r="96" spans="1:8" ht="36" customHeight="1">
      <c r="A96" s="1302"/>
      <c r="B96" s="1318"/>
      <c r="C96" s="256" t="s">
        <v>1572</v>
      </c>
      <c r="D96" s="259" t="s">
        <v>1573</v>
      </c>
      <c r="E96" s="259" t="s">
        <v>1574</v>
      </c>
      <c r="F96" s="259" t="s">
        <v>1576</v>
      </c>
      <c r="G96" s="257" t="s">
        <v>1570</v>
      </c>
      <c r="H96" s="2" t="s">
        <v>1582</v>
      </c>
    </row>
    <row r="97" spans="1:21" ht="36" customHeight="1">
      <c r="A97" s="1302"/>
      <c r="B97" s="1318"/>
      <c r="C97" s="1310" t="s">
        <v>1586</v>
      </c>
      <c r="D97" s="40" t="s">
        <v>1573</v>
      </c>
      <c r="E97" s="39" t="s">
        <v>1587</v>
      </c>
      <c r="F97" s="27"/>
      <c r="G97" s="1311" t="s">
        <v>1591</v>
      </c>
    </row>
    <row r="98" spans="1:21" ht="36" customHeight="1">
      <c r="A98" s="1302"/>
      <c r="B98" s="1318"/>
      <c r="C98" s="1308"/>
      <c r="D98" s="37" t="s">
        <v>1590</v>
      </c>
      <c r="E98" s="36" t="s">
        <v>1588</v>
      </c>
      <c r="F98" s="259"/>
      <c r="G98" s="1312"/>
    </row>
    <row r="99" spans="1:21" ht="36" customHeight="1">
      <c r="A99" s="1302"/>
      <c r="B99" s="1318"/>
      <c r="C99" s="1308"/>
      <c r="D99" s="37" t="s">
        <v>1589</v>
      </c>
      <c r="E99" s="36" t="s">
        <v>1599</v>
      </c>
      <c r="F99" s="259"/>
      <c r="G99" s="1313"/>
    </row>
    <row r="100" spans="1:21" ht="36" customHeight="1" thickBot="1">
      <c r="A100" s="1302"/>
      <c r="B100" s="1318"/>
      <c r="C100" s="1324"/>
      <c r="D100" s="44" t="s">
        <v>1592</v>
      </c>
      <c r="E100" s="43" t="s">
        <v>1593</v>
      </c>
      <c r="F100" s="258" t="s">
        <v>1595</v>
      </c>
      <c r="G100" s="260" t="s">
        <v>1594</v>
      </c>
      <c r="H100" s="2" t="s">
        <v>1596</v>
      </c>
    </row>
    <row r="101" spans="1:21" ht="36" customHeight="1" thickBot="1">
      <c r="A101" s="1303"/>
      <c r="B101" s="1319"/>
      <c r="C101" s="12" t="s">
        <v>1540</v>
      </c>
      <c r="D101" s="11" t="s">
        <v>198</v>
      </c>
      <c r="E101" s="10" t="s">
        <v>1541</v>
      </c>
      <c r="F101" s="10" t="s">
        <v>1546</v>
      </c>
      <c r="G101" s="9"/>
    </row>
    <row r="102" spans="1:21" ht="36" customHeight="1">
      <c r="A102" s="1301">
        <v>44664</v>
      </c>
      <c r="B102" s="1314" t="s">
        <v>2</v>
      </c>
      <c r="C102" s="1307" t="s">
        <v>61</v>
      </c>
      <c r="D102" s="27" t="s">
        <v>1312</v>
      </c>
      <c r="E102" s="27" t="s">
        <v>1313</v>
      </c>
      <c r="F102" s="264"/>
      <c r="G102" s="263"/>
    </row>
    <row r="103" spans="1:21" ht="36" customHeight="1">
      <c r="A103" s="1302"/>
      <c r="B103" s="1315"/>
      <c r="C103" s="1309"/>
      <c r="D103" s="27" t="s">
        <v>8</v>
      </c>
      <c r="E103" s="27" t="s">
        <v>1392</v>
      </c>
      <c r="F103" s="264"/>
      <c r="G103" s="263"/>
    </row>
    <row r="104" spans="1:21" ht="30" customHeight="1">
      <c r="A104" s="1302"/>
      <c r="B104" s="1315"/>
      <c r="C104" s="1310" t="s">
        <v>1374</v>
      </c>
      <c r="D104" s="27" t="s">
        <v>1375</v>
      </c>
      <c r="E104" s="27" t="s">
        <v>1376</v>
      </c>
      <c r="F104" s="264"/>
      <c r="G104" s="1311" t="s">
        <v>1618</v>
      </c>
      <c r="H104" s="1330" t="s">
        <v>482</v>
      </c>
      <c r="I104" s="1331"/>
      <c r="J104" s="1331"/>
      <c r="K104" s="1331"/>
      <c r="L104" s="1331"/>
      <c r="M104" s="1331"/>
      <c r="N104" s="1331"/>
      <c r="O104" s="1331"/>
      <c r="P104" s="1331"/>
      <c r="Q104" s="1331"/>
      <c r="R104" s="1331"/>
      <c r="S104" s="1331"/>
      <c r="T104" s="1331"/>
      <c r="U104" s="1331"/>
    </row>
    <row r="105" spans="1:21" ht="30" customHeight="1">
      <c r="A105" s="1302"/>
      <c r="B105" s="1315"/>
      <c r="C105" s="1309"/>
      <c r="D105" s="27" t="s">
        <v>1377</v>
      </c>
      <c r="E105" s="27" t="s">
        <v>1378</v>
      </c>
      <c r="F105" s="264"/>
      <c r="G105" s="1313"/>
      <c r="H105" s="1330"/>
      <c r="I105" s="1331"/>
      <c r="J105" s="1331"/>
      <c r="K105" s="1331"/>
      <c r="L105" s="1331"/>
      <c r="M105" s="1331"/>
      <c r="N105" s="1331"/>
      <c r="O105" s="1331"/>
      <c r="P105" s="1331"/>
      <c r="Q105" s="1331"/>
      <c r="R105" s="1331"/>
      <c r="S105" s="1331"/>
      <c r="T105" s="1331"/>
      <c r="U105" s="1331"/>
    </row>
    <row r="106" spans="1:21" ht="36" customHeight="1">
      <c r="A106" s="1302"/>
      <c r="B106" s="1315"/>
      <c r="C106" s="1310" t="s">
        <v>1439</v>
      </c>
      <c r="D106" s="27" t="s">
        <v>1443</v>
      </c>
      <c r="E106" s="27" t="s">
        <v>1552</v>
      </c>
      <c r="F106" s="264"/>
      <c r="G106" s="1311" t="s">
        <v>1554</v>
      </c>
    </row>
    <row r="107" spans="1:21" ht="36" customHeight="1">
      <c r="A107" s="1302"/>
      <c r="B107" s="1315"/>
      <c r="C107" s="1308"/>
      <c r="D107" s="27" t="s">
        <v>1551</v>
      </c>
      <c r="E107" s="27" t="s">
        <v>1552</v>
      </c>
      <c r="F107" s="264"/>
      <c r="G107" s="1312"/>
    </row>
    <row r="108" spans="1:21" ht="36" customHeight="1">
      <c r="A108" s="1302"/>
      <c r="B108" s="1315"/>
      <c r="C108" s="1309"/>
      <c r="D108" s="27" t="s">
        <v>109</v>
      </c>
      <c r="E108" s="27" t="s">
        <v>1553</v>
      </c>
      <c r="F108" s="27" t="s">
        <v>1555</v>
      </c>
      <c r="G108" s="1313"/>
    </row>
    <row r="109" spans="1:21" ht="36" customHeight="1">
      <c r="A109" s="1302"/>
      <c r="B109" s="1315"/>
      <c r="C109" s="1310" t="s">
        <v>1542</v>
      </c>
      <c r="D109" s="264" t="s">
        <v>1560</v>
      </c>
      <c r="E109" s="264" t="s">
        <v>1561</v>
      </c>
      <c r="F109" s="264"/>
      <c r="G109" s="1311" t="s">
        <v>1608</v>
      </c>
    </row>
    <row r="110" spans="1:21" ht="36" customHeight="1">
      <c r="A110" s="1302"/>
      <c r="B110" s="1315"/>
      <c r="C110" s="1308"/>
      <c r="D110" s="264" t="s">
        <v>1567</v>
      </c>
      <c r="E110" s="264" t="s">
        <v>1562</v>
      </c>
      <c r="F110" s="264"/>
      <c r="G110" s="1312"/>
    </row>
    <row r="111" spans="1:21" ht="36" customHeight="1">
      <c r="A111" s="1302"/>
      <c r="B111" s="1315"/>
      <c r="C111" s="1308"/>
      <c r="D111" s="264" t="s">
        <v>1565</v>
      </c>
      <c r="E111" s="264" t="s">
        <v>1562</v>
      </c>
      <c r="F111" s="264" t="s">
        <v>1566</v>
      </c>
      <c r="G111" s="1312"/>
    </row>
    <row r="112" spans="1:21" ht="36" customHeight="1">
      <c r="A112" s="1302"/>
      <c r="B112" s="1315"/>
      <c r="C112" s="1308"/>
      <c r="D112" s="264" t="s">
        <v>1268</v>
      </c>
      <c r="E112" s="264" t="s">
        <v>1563</v>
      </c>
      <c r="F112" s="264"/>
      <c r="G112" s="1312"/>
    </row>
    <row r="113" spans="1:7" ht="36" customHeight="1">
      <c r="A113" s="1302"/>
      <c r="B113" s="1315"/>
      <c r="C113" s="1308"/>
      <c r="D113" s="264" t="s">
        <v>1609</v>
      </c>
      <c r="E113" s="264" t="s">
        <v>1564</v>
      </c>
      <c r="F113" s="264"/>
      <c r="G113" s="1312"/>
    </row>
    <row r="114" spans="1:7" ht="36" customHeight="1">
      <c r="A114" s="1302"/>
      <c r="B114" s="1315"/>
      <c r="C114" s="1309"/>
      <c r="D114" s="40" t="s">
        <v>109</v>
      </c>
      <c r="E114" s="39" t="s">
        <v>1610</v>
      </c>
      <c r="F114" s="27"/>
      <c r="G114" s="1313"/>
    </row>
    <row r="115" spans="1:7" ht="36" customHeight="1">
      <c r="A115" s="1302"/>
      <c r="B115" s="1315"/>
      <c r="C115" s="1310" t="s">
        <v>1600</v>
      </c>
      <c r="D115" s="264" t="s">
        <v>1601</v>
      </c>
      <c r="E115" s="264" t="s">
        <v>1602</v>
      </c>
      <c r="F115" s="264"/>
      <c r="G115" s="1311" t="s">
        <v>1607</v>
      </c>
    </row>
    <row r="116" spans="1:7" ht="36" customHeight="1">
      <c r="A116" s="1302"/>
      <c r="B116" s="1315"/>
      <c r="C116" s="1308"/>
      <c r="D116" s="264" t="s">
        <v>1603</v>
      </c>
      <c r="E116" s="264" t="s">
        <v>1604</v>
      </c>
      <c r="F116" s="264"/>
      <c r="G116" s="1312"/>
    </row>
    <row r="117" spans="1:7" ht="36" customHeight="1" thickBot="1">
      <c r="A117" s="1302"/>
      <c r="B117" s="1315"/>
      <c r="C117" s="1309"/>
      <c r="D117" s="27" t="s">
        <v>1605</v>
      </c>
      <c r="E117" s="27" t="s">
        <v>1606</v>
      </c>
      <c r="F117" s="27"/>
      <c r="G117" s="1313"/>
    </row>
    <row r="118" spans="1:7" ht="36" customHeight="1" thickBot="1">
      <c r="A118" s="1303"/>
      <c r="B118" s="1316"/>
      <c r="C118" s="12"/>
      <c r="D118" s="11"/>
      <c r="E118" s="10"/>
      <c r="F118" s="10"/>
      <c r="G118" s="9"/>
    </row>
    <row r="119" spans="1:7" ht="36" customHeight="1">
      <c r="A119" s="1301">
        <v>44665</v>
      </c>
      <c r="B119" s="1314" t="s">
        <v>1</v>
      </c>
      <c r="C119" s="1307" t="s">
        <v>1463</v>
      </c>
      <c r="D119" s="94" t="s">
        <v>1464</v>
      </c>
      <c r="E119" s="93" t="s">
        <v>1465</v>
      </c>
      <c r="F119" s="71"/>
      <c r="G119" s="269"/>
    </row>
    <row r="120" spans="1:7" ht="36" customHeight="1">
      <c r="A120" s="1302"/>
      <c r="B120" s="1315"/>
      <c r="C120" s="1309"/>
      <c r="D120" s="40" t="s">
        <v>1466</v>
      </c>
      <c r="E120" s="39" t="s">
        <v>1259</v>
      </c>
      <c r="F120" s="268"/>
      <c r="G120" s="41"/>
    </row>
    <row r="121" spans="1:7" ht="36" customHeight="1">
      <c r="A121" s="1302"/>
      <c r="B121" s="1315"/>
      <c r="C121" s="266" t="s">
        <v>1526</v>
      </c>
      <c r="D121" s="27" t="s">
        <v>1375</v>
      </c>
      <c r="E121" s="36" t="s">
        <v>1550</v>
      </c>
      <c r="F121" s="268" t="s">
        <v>1619</v>
      </c>
      <c r="G121" s="41" t="s">
        <v>1620</v>
      </c>
    </row>
    <row r="122" spans="1:7" ht="36" customHeight="1">
      <c r="A122" s="1302"/>
      <c r="B122" s="1315"/>
      <c r="C122" s="1310" t="s">
        <v>1611</v>
      </c>
      <c r="D122" s="27" t="s">
        <v>1612</v>
      </c>
      <c r="E122" s="27" t="s">
        <v>1613</v>
      </c>
      <c r="F122" s="27"/>
      <c r="G122" s="41" t="s">
        <v>1635</v>
      </c>
    </row>
    <row r="123" spans="1:7" ht="36" customHeight="1">
      <c r="A123" s="1302"/>
      <c r="B123" s="1315"/>
      <c r="C123" s="1308"/>
      <c r="D123" s="268" t="s">
        <v>1614</v>
      </c>
      <c r="E123" s="268" t="s">
        <v>1615</v>
      </c>
      <c r="F123" s="27"/>
      <c r="G123" s="1311" t="s">
        <v>1636</v>
      </c>
    </row>
    <row r="124" spans="1:7" ht="36" customHeight="1">
      <c r="A124" s="1302"/>
      <c r="B124" s="1315"/>
      <c r="C124" s="1308"/>
      <c r="D124" s="37" t="s">
        <v>1616</v>
      </c>
      <c r="E124" s="36" t="s">
        <v>1638</v>
      </c>
      <c r="F124" s="268"/>
      <c r="G124" s="1313"/>
    </row>
    <row r="125" spans="1:7" ht="36" customHeight="1">
      <c r="A125" s="1302"/>
      <c r="B125" s="1315"/>
      <c r="C125" s="1309"/>
      <c r="D125" s="37" t="s">
        <v>1639</v>
      </c>
      <c r="E125" s="36" t="s">
        <v>1640</v>
      </c>
      <c r="F125" s="268"/>
      <c r="G125" s="267" t="s">
        <v>1641</v>
      </c>
    </row>
    <row r="126" spans="1:7" ht="36" customHeight="1" thickBot="1">
      <c r="A126" s="1302"/>
      <c r="B126" s="1315"/>
      <c r="C126" s="266" t="s">
        <v>1642</v>
      </c>
      <c r="D126" s="37" t="s">
        <v>1643</v>
      </c>
      <c r="E126" s="36" t="s">
        <v>1644</v>
      </c>
      <c r="F126" s="268"/>
      <c r="G126" s="267" t="s">
        <v>1645</v>
      </c>
    </row>
    <row r="127" spans="1:7" ht="36" hidden="1" customHeight="1">
      <c r="A127" s="1302"/>
      <c r="B127" s="1315"/>
      <c r="C127" s="68"/>
      <c r="D127" s="66"/>
      <c r="E127" s="66"/>
      <c r="F127" s="66"/>
      <c r="G127" s="65"/>
    </row>
    <row r="128" spans="1:7" ht="36" hidden="1" customHeight="1" thickBot="1">
      <c r="A128" s="1302"/>
      <c r="B128" s="1315"/>
      <c r="C128" s="270"/>
      <c r="D128" s="30"/>
      <c r="E128" s="29"/>
      <c r="F128" s="14"/>
      <c r="G128" s="265"/>
    </row>
    <row r="129" spans="1:8" ht="36" customHeight="1" thickBot="1">
      <c r="A129" s="1303"/>
      <c r="B129" s="1316"/>
      <c r="C129" s="12"/>
      <c r="D129" s="11"/>
      <c r="E129" s="10"/>
      <c r="F129" s="10"/>
      <c r="G129" s="9"/>
    </row>
    <row r="130" spans="1:8" ht="36" customHeight="1">
      <c r="A130" s="1301">
        <v>44666</v>
      </c>
      <c r="B130" s="1314" t="s">
        <v>0</v>
      </c>
      <c r="C130" s="271" t="s">
        <v>1617</v>
      </c>
      <c r="D130" s="94" t="s">
        <v>1663</v>
      </c>
      <c r="E130" s="93" t="s">
        <v>612</v>
      </c>
      <c r="F130" s="71"/>
      <c r="G130" s="92" t="s">
        <v>1664</v>
      </c>
    </row>
    <row r="131" spans="1:8" ht="36" customHeight="1">
      <c r="A131" s="1302"/>
      <c r="B131" s="1315"/>
      <c r="C131" s="275" t="s">
        <v>1484</v>
      </c>
      <c r="D131" s="40" t="s">
        <v>1448</v>
      </c>
      <c r="E131" s="39" t="s">
        <v>1621</v>
      </c>
      <c r="F131" s="27"/>
      <c r="G131" s="41" t="s">
        <v>1235</v>
      </c>
      <c r="H131" s="2" t="s">
        <v>1655</v>
      </c>
    </row>
    <row r="132" spans="1:8" ht="36" customHeight="1">
      <c r="A132" s="1302"/>
      <c r="B132" s="1315"/>
      <c r="C132" s="272" t="s">
        <v>1650</v>
      </c>
      <c r="D132" s="37" t="s">
        <v>289</v>
      </c>
      <c r="E132" s="36" t="s">
        <v>288</v>
      </c>
      <c r="F132" s="274" t="s">
        <v>287</v>
      </c>
      <c r="G132" s="273" t="s">
        <v>1651</v>
      </c>
      <c r="H132" s="2" t="s">
        <v>285</v>
      </c>
    </row>
    <row r="133" spans="1:8" ht="36" customHeight="1">
      <c r="A133" s="1302"/>
      <c r="B133" s="1315"/>
      <c r="C133" s="275" t="s">
        <v>1473</v>
      </c>
      <c r="D133" s="27" t="s">
        <v>109</v>
      </c>
      <c r="E133" s="27" t="s">
        <v>168</v>
      </c>
      <c r="F133" s="274" t="s">
        <v>1004</v>
      </c>
      <c r="G133" s="41"/>
    </row>
    <row r="134" spans="1:8" ht="36" customHeight="1">
      <c r="A134" s="1302"/>
      <c r="B134" s="1315"/>
      <c r="C134" s="275" t="s">
        <v>1652</v>
      </c>
      <c r="D134" s="27" t="s">
        <v>1653</v>
      </c>
      <c r="E134" s="27" t="s">
        <v>1654</v>
      </c>
      <c r="F134" s="274"/>
      <c r="G134" s="41"/>
    </row>
    <row r="135" spans="1:8" ht="36" customHeight="1">
      <c r="A135" s="1302"/>
      <c r="B135" s="1315"/>
      <c r="C135" s="272" t="s">
        <v>1439</v>
      </c>
      <c r="D135" s="37" t="s">
        <v>305</v>
      </c>
      <c r="E135" s="36" t="s">
        <v>1661</v>
      </c>
      <c r="F135" s="274" t="s">
        <v>1662</v>
      </c>
      <c r="G135" s="273" t="s">
        <v>350</v>
      </c>
      <c r="H135" s="2" t="s">
        <v>436</v>
      </c>
    </row>
    <row r="136" spans="1:8" ht="36" customHeight="1">
      <c r="A136" s="1302"/>
      <c r="B136" s="1315"/>
      <c r="C136" s="1310" t="s">
        <v>110</v>
      </c>
      <c r="D136" s="40" t="s">
        <v>109</v>
      </c>
      <c r="E136" s="39" t="s">
        <v>584</v>
      </c>
      <c r="F136" s="27" t="s">
        <v>107</v>
      </c>
      <c r="G136" s="41" t="s">
        <v>106</v>
      </c>
      <c r="H136" s="2" t="s">
        <v>1665</v>
      </c>
    </row>
    <row r="137" spans="1:8" ht="36" customHeight="1" thickBot="1">
      <c r="A137" s="1302"/>
      <c r="B137" s="1315"/>
      <c r="C137" s="1324"/>
      <c r="D137" s="44" t="s">
        <v>1666</v>
      </c>
      <c r="E137" s="43" t="s">
        <v>113</v>
      </c>
      <c r="F137" s="278" t="s">
        <v>107</v>
      </c>
      <c r="G137" s="277" t="s">
        <v>106</v>
      </c>
      <c r="H137" s="2" t="s">
        <v>1667</v>
      </c>
    </row>
    <row r="138" spans="1:8" ht="36" customHeight="1" thickBot="1">
      <c r="A138" s="1303"/>
      <c r="B138" s="1316"/>
      <c r="C138" s="12"/>
      <c r="D138" s="11"/>
      <c r="E138" s="10"/>
      <c r="F138" s="10"/>
      <c r="G138" s="9"/>
    </row>
    <row r="139" spans="1:8" ht="60" customHeight="1" thickBot="1">
      <c r="A139" s="1298" t="s">
        <v>5</v>
      </c>
      <c r="B139" s="1299"/>
      <c r="C139" s="1299"/>
      <c r="D139" s="1299"/>
      <c r="E139" s="1299"/>
      <c r="F139" s="1299"/>
      <c r="G139" s="1300"/>
    </row>
    <row r="140" spans="1:8" ht="36" customHeight="1">
      <c r="A140" s="1301">
        <v>44669</v>
      </c>
      <c r="B140" s="1314" t="s">
        <v>4</v>
      </c>
      <c r="C140" s="1307" t="s">
        <v>1622</v>
      </c>
      <c r="D140" s="27" t="s">
        <v>1623</v>
      </c>
      <c r="E140" s="27" t="s">
        <v>1624</v>
      </c>
      <c r="F140" s="279"/>
      <c r="G140" s="276"/>
      <c r="H140" s="2" t="s">
        <v>1559</v>
      </c>
    </row>
    <row r="141" spans="1:8" ht="36" customHeight="1">
      <c r="A141" s="1302"/>
      <c r="B141" s="1315"/>
      <c r="C141" s="1308"/>
      <c r="D141" s="27" t="s">
        <v>1625</v>
      </c>
      <c r="E141" s="27" t="s">
        <v>1626</v>
      </c>
      <c r="F141" s="279"/>
      <c r="G141" s="276"/>
    </row>
    <row r="142" spans="1:8" ht="36" customHeight="1">
      <c r="A142" s="1302"/>
      <c r="B142" s="1315"/>
      <c r="C142" s="1308"/>
      <c r="D142" s="40" t="s">
        <v>1627</v>
      </c>
      <c r="E142" s="39" t="s">
        <v>1628</v>
      </c>
      <c r="F142" s="279"/>
      <c r="G142" s="276"/>
    </row>
    <row r="143" spans="1:8" ht="36" customHeight="1">
      <c r="A143" s="1302"/>
      <c r="B143" s="1315"/>
      <c r="C143" s="1309"/>
      <c r="D143" s="27" t="s">
        <v>1458</v>
      </c>
      <c r="E143" s="39" t="s">
        <v>1668</v>
      </c>
      <c r="F143" s="279" t="s">
        <v>1669</v>
      </c>
      <c r="G143" s="276" t="s">
        <v>1670</v>
      </c>
    </row>
    <row r="144" spans="1:8" ht="36" customHeight="1">
      <c r="A144" s="1302"/>
      <c r="B144" s="1315"/>
      <c r="C144" s="280" t="s">
        <v>1646</v>
      </c>
      <c r="D144" s="40" t="s">
        <v>1647</v>
      </c>
      <c r="E144" s="39" t="s">
        <v>1648</v>
      </c>
      <c r="F144" s="27"/>
      <c r="G144" s="41" t="s">
        <v>1649</v>
      </c>
    </row>
    <row r="145" spans="1:8" ht="36" customHeight="1" thickBot="1">
      <c r="A145" s="1302"/>
      <c r="B145" s="1315"/>
      <c r="C145" s="270"/>
      <c r="D145" s="30"/>
      <c r="E145" s="29"/>
      <c r="F145" s="22"/>
      <c r="G145" s="265"/>
    </row>
    <row r="146" spans="1:8" ht="36" hidden="1" customHeight="1" thickBot="1">
      <c r="A146" s="1302"/>
      <c r="B146" s="1315"/>
      <c r="C146" s="17"/>
      <c r="D146" s="16"/>
      <c r="E146" s="15"/>
      <c r="F146" s="14"/>
      <c r="G146" s="13"/>
    </row>
    <row r="147" spans="1:8" ht="36" customHeight="1" thickBot="1">
      <c r="A147" s="1303"/>
      <c r="B147" s="1316"/>
      <c r="C147" s="12"/>
      <c r="D147" s="11"/>
      <c r="E147" s="10"/>
      <c r="F147" s="10"/>
      <c r="G147" s="9"/>
    </row>
    <row r="148" spans="1:8" ht="36" customHeight="1">
      <c r="A148" s="1301">
        <v>44670</v>
      </c>
      <c r="B148" s="1314" t="s">
        <v>88</v>
      </c>
      <c r="C148" s="285" t="s">
        <v>1597</v>
      </c>
      <c r="D148" s="27" t="s">
        <v>109</v>
      </c>
      <c r="E148" s="27" t="s">
        <v>1553</v>
      </c>
      <c r="F148" s="284" t="s">
        <v>1558</v>
      </c>
      <c r="G148" s="282" t="s">
        <v>1598</v>
      </c>
      <c r="H148" s="2" t="s">
        <v>1631</v>
      </c>
    </row>
    <row r="149" spans="1:8" ht="36" customHeight="1">
      <c r="A149" s="1302"/>
      <c r="B149" s="1315"/>
      <c r="C149" s="1310" t="s">
        <v>1671</v>
      </c>
      <c r="D149" s="27" t="s">
        <v>1672</v>
      </c>
      <c r="E149" s="27" t="s">
        <v>1673</v>
      </c>
      <c r="F149" s="284"/>
      <c r="G149" s="282"/>
    </row>
    <row r="150" spans="1:8" ht="36" customHeight="1">
      <c r="A150" s="1302"/>
      <c r="B150" s="1315"/>
      <c r="C150" s="1309"/>
      <c r="D150" s="40" t="s">
        <v>523</v>
      </c>
      <c r="E150" s="39" t="s">
        <v>1674</v>
      </c>
      <c r="F150" s="284"/>
      <c r="G150" s="282"/>
    </row>
    <row r="151" spans="1:8" ht="36" customHeight="1">
      <c r="A151" s="1302"/>
      <c r="B151" s="1315"/>
      <c r="C151" s="285"/>
      <c r="D151" s="40" t="s">
        <v>1675</v>
      </c>
      <c r="E151" s="39"/>
      <c r="F151" s="27"/>
      <c r="G151" s="41"/>
    </row>
    <row r="152" spans="1:8" s="87" customFormat="1" ht="36" customHeight="1" thickBot="1">
      <c r="A152" s="1302"/>
      <c r="B152" s="1315"/>
      <c r="C152" s="281" t="s">
        <v>475</v>
      </c>
      <c r="D152" s="37" t="s">
        <v>109</v>
      </c>
      <c r="E152" s="36" t="s">
        <v>1680</v>
      </c>
      <c r="F152" s="284" t="s">
        <v>112</v>
      </c>
      <c r="G152" s="283" t="s">
        <v>106</v>
      </c>
      <c r="H152" s="88" t="s">
        <v>111</v>
      </c>
    </row>
    <row r="153" spans="1:8" ht="36" customHeight="1" thickBot="1">
      <c r="A153" s="1303"/>
      <c r="B153" s="1316"/>
      <c r="C153" s="12"/>
      <c r="D153" s="11"/>
      <c r="E153" s="10"/>
      <c r="F153" s="10"/>
      <c r="G153" s="9"/>
    </row>
    <row r="154" spans="1:8" ht="36" customHeight="1">
      <c r="A154" s="1301">
        <v>44671</v>
      </c>
      <c r="B154" s="1314" t="s">
        <v>2</v>
      </c>
      <c r="C154" s="1307" t="s">
        <v>1393</v>
      </c>
      <c r="D154" s="27" t="s">
        <v>1395</v>
      </c>
      <c r="E154" s="27" t="s">
        <v>1396</v>
      </c>
      <c r="F154" s="284"/>
      <c r="G154" s="282"/>
    </row>
    <row r="155" spans="1:8" ht="36" customHeight="1">
      <c r="A155" s="1302"/>
      <c r="B155" s="1315"/>
      <c r="C155" s="1308"/>
      <c r="D155" s="27" t="s">
        <v>8</v>
      </c>
      <c r="E155" s="27" t="s">
        <v>1397</v>
      </c>
      <c r="F155" s="284"/>
      <c r="G155" s="282"/>
    </row>
    <row r="156" spans="1:8" ht="36" customHeight="1">
      <c r="A156" s="1302"/>
      <c r="B156" s="1315"/>
      <c r="C156" s="1309"/>
      <c r="D156" s="40" t="s">
        <v>1398</v>
      </c>
      <c r="E156" s="39" t="s">
        <v>1399</v>
      </c>
      <c r="F156" s="284"/>
      <c r="G156" s="282"/>
    </row>
    <row r="157" spans="1:8" ht="36" customHeight="1">
      <c r="A157" s="1302"/>
      <c r="B157" s="1315"/>
      <c r="C157" s="285" t="s">
        <v>1701</v>
      </c>
      <c r="D157" s="40" t="s">
        <v>1334</v>
      </c>
      <c r="E157" s="39" t="s">
        <v>1699</v>
      </c>
      <c r="F157" s="27"/>
      <c r="G157" s="41" t="s">
        <v>1700</v>
      </c>
    </row>
    <row r="158" spans="1:8" ht="36" customHeight="1" thickBot="1">
      <c r="A158" s="1302"/>
      <c r="B158" s="1315"/>
      <c r="C158" s="281"/>
      <c r="D158" s="37"/>
      <c r="E158" s="36"/>
      <c r="F158" s="284"/>
      <c r="G158" s="283"/>
    </row>
    <row r="159" spans="1:8" ht="36" hidden="1" customHeight="1">
      <c r="A159" s="1302"/>
      <c r="B159" s="1315"/>
      <c r="C159" s="228"/>
      <c r="D159" s="34"/>
      <c r="E159" s="33"/>
      <c r="F159" s="97"/>
      <c r="G159" s="204"/>
    </row>
    <row r="160" spans="1:8" ht="36" hidden="1" customHeight="1" thickBot="1">
      <c r="A160" s="1302"/>
      <c r="B160" s="1315"/>
      <c r="C160" s="227"/>
      <c r="D160" s="30"/>
      <c r="E160" s="29"/>
      <c r="F160" s="14"/>
      <c r="G160" s="203"/>
    </row>
    <row r="161" spans="1:8" ht="36" customHeight="1" thickBot="1">
      <c r="A161" s="1303"/>
      <c r="B161" s="1316"/>
      <c r="C161" s="12" t="s">
        <v>1676</v>
      </c>
      <c r="D161" s="11" t="s">
        <v>1677</v>
      </c>
      <c r="E161" s="10" t="s">
        <v>1678</v>
      </c>
      <c r="F161" s="10" t="s">
        <v>1679</v>
      </c>
      <c r="G161" s="9"/>
    </row>
    <row r="162" spans="1:8" ht="36" customHeight="1">
      <c r="A162" s="1301">
        <v>44672</v>
      </c>
      <c r="B162" s="1314" t="s">
        <v>1</v>
      </c>
      <c r="C162" s="292" t="s">
        <v>1230</v>
      </c>
      <c r="D162" s="27" t="s">
        <v>1690</v>
      </c>
      <c r="E162" s="27" t="s">
        <v>1691</v>
      </c>
      <c r="F162" s="290"/>
      <c r="G162" s="286" t="s">
        <v>1733</v>
      </c>
      <c r="H162" s="2" t="s">
        <v>1632</v>
      </c>
    </row>
    <row r="163" spans="1:8" ht="36" customHeight="1">
      <c r="A163" s="1302"/>
      <c r="B163" s="1315"/>
      <c r="C163" s="1310" t="s">
        <v>1542</v>
      </c>
      <c r="D163" s="27" t="s">
        <v>447</v>
      </c>
      <c r="E163" s="27" t="s">
        <v>1681</v>
      </c>
      <c r="F163" s="290"/>
      <c r="G163" s="1311" t="s">
        <v>1283</v>
      </c>
      <c r="H163" s="2" t="s">
        <v>1632</v>
      </c>
    </row>
    <row r="164" spans="1:8" ht="36" customHeight="1">
      <c r="A164" s="1302"/>
      <c r="B164" s="1315"/>
      <c r="C164" s="1309"/>
      <c r="D164" s="27" t="s">
        <v>109</v>
      </c>
      <c r="E164" s="27" t="s">
        <v>1731</v>
      </c>
      <c r="F164" s="290"/>
      <c r="G164" s="1313"/>
      <c r="H164" s="2" t="s">
        <v>1633</v>
      </c>
    </row>
    <row r="165" spans="1:8" ht="36" customHeight="1">
      <c r="A165" s="1302"/>
      <c r="B165" s="1315"/>
      <c r="C165" s="1310" t="s">
        <v>1469</v>
      </c>
      <c r="D165" s="40" t="s">
        <v>1612</v>
      </c>
      <c r="E165" s="39" t="s">
        <v>1629</v>
      </c>
      <c r="F165" s="27" t="s">
        <v>1694</v>
      </c>
      <c r="G165" s="1311" t="s">
        <v>1693</v>
      </c>
      <c r="H165" s="2" t="s">
        <v>1633</v>
      </c>
    </row>
    <row r="166" spans="1:8" ht="36" customHeight="1">
      <c r="A166" s="1302"/>
      <c r="B166" s="1315"/>
      <c r="C166" s="1308"/>
      <c r="D166" s="40" t="s">
        <v>1630</v>
      </c>
      <c r="E166" s="39" t="s">
        <v>1710</v>
      </c>
      <c r="F166" s="27"/>
      <c r="G166" s="1313"/>
      <c r="H166" s="2" t="s">
        <v>1634</v>
      </c>
    </row>
    <row r="167" spans="1:8" ht="36" customHeight="1">
      <c r="A167" s="1302"/>
      <c r="B167" s="1315"/>
      <c r="C167" s="1309"/>
      <c r="D167" s="40" t="s">
        <v>1695</v>
      </c>
      <c r="E167" s="39" t="s">
        <v>1696</v>
      </c>
      <c r="F167" s="290"/>
      <c r="G167" s="288" t="s">
        <v>1697</v>
      </c>
      <c r="H167" s="2" t="s">
        <v>1698</v>
      </c>
    </row>
    <row r="168" spans="1:8" ht="36" customHeight="1">
      <c r="A168" s="1302"/>
      <c r="B168" s="1315"/>
      <c r="C168" s="1310" t="s">
        <v>1685</v>
      </c>
      <c r="D168" s="40" t="s">
        <v>1686</v>
      </c>
      <c r="E168" s="39" t="s">
        <v>1687</v>
      </c>
      <c r="F168" s="290"/>
      <c r="G168" s="1311" t="s">
        <v>1692</v>
      </c>
      <c r="H168" s="2" t="s">
        <v>1632</v>
      </c>
    </row>
    <row r="169" spans="1:8" ht="36" customHeight="1">
      <c r="A169" s="1302"/>
      <c r="B169" s="1315"/>
      <c r="C169" s="1308"/>
      <c r="D169" s="40" t="s">
        <v>1688</v>
      </c>
      <c r="E169" s="39">
        <v>20</v>
      </c>
      <c r="F169" s="290"/>
      <c r="G169" s="1312"/>
      <c r="H169" s="2" t="s">
        <v>1632</v>
      </c>
    </row>
    <row r="170" spans="1:8" ht="36" customHeight="1">
      <c r="A170" s="1302"/>
      <c r="B170" s="1315"/>
      <c r="C170" s="1309"/>
      <c r="D170" s="40" t="s">
        <v>1689</v>
      </c>
      <c r="E170" s="39">
        <v>30</v>
      </c>
      <c r="F170" s="290"/>
      <c r="G170" s="1313"/>
      <c r="H170" s="2" t="s">
        <v>1632</v>
      </c>
    </row>
    <row r="171" spans="1:8" ht="36" customHeight="1">
      <c r="A171" s="1302"/>
      <c r="B171" s="1315"/>
      <c r="C171" s="1310" t="s">
        <v>1702</v>
      </c>
      <c r="D171" s="40" t="s">
        <v>1703</v>
      </c>
      <c r="E171" s="39" t="s">
        <v>1704</v>
      </c>
      <c r="F171" s="27" t="s">
        <v>1726</v>
      </c>
      <c r="G171" s="41" t="s">
        <v>1705</v>
      </c>
    </row>
    <row r="172" spans="1:8" ht="36" customHeight="1">
      <c r="A172" s="1302"/>
      <c r="B172" s="1315"/>
      <c r="C172" s="1309"/>
      <c r="D172" s="37" t="s">
        <v>1706</v>
      </c>
      <c r="E172" s="36" t="s">
        <v>1707</v>
      </c>
      <c r="F172" s="290" t="s">
        <v>1725</v>
      </c>
      <c r="G172" s="287" t="s">
        <v>1708</v>
      </c>
    </row>
    <row r="173" spans="1:8" ht="36" customHeight="1" thickBot="1">
      <c r="A173" s="1302"/>
      <c r="B173" s="1315"/>
      <c r="C173" s="291" t="s">
        <v>1729</v>
      </c>
      <c r="D173" s="44" t="s">
        <v>109</v>
      </c>
      <c r="E173" s="43" t="s">
        <v>584</v>
      </c>
      <c r="F173" s="289" t="s">
        <v>107</v>
      </c>
      <c r="G173" s="288" t="s">
        <v>106</v>
      </c>
      <c r="H173" s="2" t="s">
        <v>1730</v>
      </c>
    </row>
    <row r="174" spans="1:8" ht="36" customHeight="1" thickBot="1">
      <c r="A174" s="1303"/>
      <c r="B174" s="1316"/>
      <c r="C174" s="12"/>
      <c r="D174" s="11"/>
      <c r="E174" s="10"/>
      <c r="F174" s="10"/>
      <c r="G174" s="9"/>
    </row>
    <row r="175" spans="1:8" ht="36" customHeight="1">
      <c r="A175" s="1301">
        <v>44673</v>
      </c>
      <c r="B175" s="1317" t="s">
        <v>0</v>
      </c>
      <c r="C175" s="1307" t="s">
        <v>1393</v>
      </c>
      <c r="D175" s="27" t="s">
        <v>1520</v>
      </c>
      <c r="E175" s="27" t="s">
        <v>1521</v>
      </c>
      <c r="F175" s="296"/>
      <c r="G175" s="293"/>
    </row>
    <row r="176" spans="1:8" ht="36" customHeight="1">
      <c r="A176" s="1302"/>
      <c r="B176" s="1318"/>
      <c r="C176" s="1309"/>
      <c r="D176" s="27" t="s">
        <v>1394</v>
      </c>
      <c r="E176" s="27" t="s">
        <v>1400</v>
      </c>
      <c r="F176" s="296"/>
      <c r="G176" s="293"/>
    </row>
    <row r="177" spans="1:9" ht="36" customHeight="1">
      <c r="A177" s="1302"/>
      <c r="B177" s="1318"/>
      <c r="C177" s="1310" t="s">
        <v>1460</v>
      </c>
      <c r="D177" s="27" t="s">
        <v>1443</v>
      </c>
      <c r="E177" s="27" t="s">
        <v>1309</v>
      </c>
      <c r="F177" s="27"/>
      <c r="G177" s="41"/>
      <c r="H177" s="2" t="s">
        <v>1632</v>
      </c>
      <c r="I177" s="262"/>
    </row>
    <row r="178" spans="1:9" ht="36" customHeight="1">
      <c r="A178" s="1302"/>
      <c r="B178" s="1318"/>
      <c r="C178" s="1309"/>
      <c r="D178" s="27" t="s">
        <v>1462</v>
      </c>
      <c r="E178" s="27" t="s">
        <v>1461</v>
      </c>
      <c r="F178" s="296"/>
      <c r="G178" s="294"/>
      <c r="H178" s="2" t="s">
        <v>1632</v>
      </c>
    </row>
    <row r="179" spans="1:9" ht="36" customHeight="1">
      <c r="A179" s="1302"/>
      <c r="B179" s="1318"/>
      <c r="C179" s="1310" t="s">
        <v>1683</v>
      </c>
      <c r="D179" s="27" t="s">
        <v>327</v>
      </c>
      <c r="E179" s="27" t="s">
        <v>1682</v>
      </c>
      <c r="F179" s="27"/>
      <c r="G179" s="1311" t="s">
        <v>1684</v>
      </c>
    </row>
    <row r="180" spans="1:9" ht="36" customHeight="1">
      <c r="A180" s="1302"/>
      <c r="B180" s="1318"/>
      <c r="C180" s="1309"/>
      <c r="D180" s="296" t="s">
        <v>1727</v>
      </c>
      <c r="E180" s="296" t="s">
        <v>1728</v>
      </c>
      <c r="F180" s="296"/>
      <c r="G180" s="1313"/>
    </row>
    <row r="181" spans="1:9" ht="36" customHeight="1" thickBot="1">
      <c r="A181" s="1302"/>
      <c r="B181" s="1318"/>
      <c r="C181" s="297" t="s">
        <v>1746</v>
      </c>
      <c r="D181" s="295" t="s">
        <v>109</v>
      </c>
      <c r="E181" s="295" t="s">
        <v>1747</v>
      </c>
      <c r="F181" s="295"/>
      <c r="G181" s="298" t="s">
        <v>1748</v>
      </c>
    </row>
    <row r="182" spans="1:9" ht="36" customHeight="1" thickBot="1">
      <c r="A182" s="1303"/>
      <c r="B182" s="1319"/>
      <c r="C182" s="12"/>
      <c r="D182" s="11"/>
      <c r="E182" s="10"/>
      <c r="F182" s="10"/>
      <c r="G182" s="9"/>
      <c r="H182" s="2" t="s">
        <v>1732</v>
      </c>
    </row>
    <row r="183" spans="1:9" ht="60" customHeight="1" thickBot="1">
      <c r="A183" s="1298" t="s">
        <v>5</v>
      </c>
      <c r="B183" s="1299"/>
      <c r="C183" s="1299"/>
      <c r="D183" s="1299"/>
      <c r="E183" s="1299"/>
      <c r="F183" s="1299"/>
      <c r="G183" s="1300"/>
    </row>
    <row r="184" spans="1:9" ht="36" customHeight="1">
      <c r="A184" s="1301">
        <v>44676</v>
      </c>
      <c r="B184" s="1314" t="s">
        <v>4</v>
      </c>
      <c r="C184" s="53" t="s">
        <v>797</v>
      </c>
      <c r="D184" s="71" t="s">
        <v>1709</v>
      </c>
      <c r="E184" s="71" t="s">
        <v>452</v>
      </c>
      <c r="F184" s="71"/>
      <c r="G184" s="92"/>
    </row>
    <row r="185" spans="1:9" ht="36" customHeight="1">
      <c r="A185" s="1302"/>
      <c r="B185" s="1315"/>
      <c r="C185" s="1310" t="s">
        <v>1430</v>
      </c>
      <c r="D185" s="27" t="s">
        <v>1431</v>
      </c>
      <c r="E185" s="27" t="s">
        <v>1328</v>
      </c>
      <c r="F185" s="27" t="s">
        <v>1432</v>
      </c>
      <c r="G185" s="293"/>
    </row>
    <row r="186" spans="1:9" ht="36" customHeight="1">
      <c r="A186" s="1302"/>
      <c r="B186" s="1315"/>
      <c r="C186" s="1308"/>
      <c r="D186" s="27" t="s">
        <v>1739</v>
      </c>
      <c r="E186" s="27" t="s">
        <v>1328</v>
      </c>
      <c r="F186" s="296" t="s">
        <v>1433</v>
      </c>
      <c r="G186" s="293"/>
    </row>
    <row r="187" spans="1:9" ht="36" customHeight="1">
      <c r="A187" s="1302"/>
      <c r="B187" s="1315"/>
      <c r="C187" s="1309"/>
      <c r="D187" s="40" t="s">
        <v>1431</v>
      </c>
      <c r="E187" s="39" t="s">
        <v>1328</v>
      </c>
      <c r="F187" s="296" t="s">
        <v>1433</v>
      </c>
      <c r="G187" s="41"/>
    </row>
    <row r="188" spans="1:9" ht="36" customHeight="1">
      <c r="A188" s="1302"/>
      <c r="B188" s="1315"/>
      <c r="C188" s="1310" t="s">
        <v>1742</v>
      </c>
      <c r="D188" s="296" t="s">
        <v>327</v>
      </c>
      <c r="E188" s="296" t="s">
        <v>1743</v>
      </c>
      <c r="F188" s="296"/>
      <c r="G188" s="293"/>
    </row>
    <row r="189" spans="1:9" ht="36" customHeight="1">
      <c r="A189" s="1302"/>
      <c r="B189" s="1315"/>
      <c r="C189" s="1309"/>
      <c r="D189" s="296" t="s">
        <v>1744</v>
      </c>
      <c r="E189" s="27" t="s">
        <v>1745</v>
      </c>
      <c r="F189" s="296"/>
      <c r="G189" s="293"/>
    </row>
    <row r="190" spans="1:9" ht="36" customHeight="1">
      <c r="A190" s="1302"/>
      <c r="B190" s="1315"/>
      <c r="C190" s="299" t="s">
        <v>1749</v>
      </c>
      <c r="D190" s="296" t="s">
        <v>1744</v>
      </c>
      <c r="E190" s="27" t="s">
        <v>1750</v>
      </c>
      <c r="F190" s="296" t="s">
        <v>1768</v>
      </c>
      <c r="G190" s="293" t="s">
        <v>1751</v>
      </c>
    </row>
    <row r="191" spans="1:9" ht="36" customHeight="1" thickBot="1">
      <c r="A191" s="1302"/>
      <c r="B191" s="1315"/>
      <c r="C191" s="299" t="s">
        <v>1765</v>
      </c>
      <c r="D191" s="27" t="s">
        <v>327</v>
      </c>
      <c r="E191" s="27" t="s">
        <v>1750</v>
      </c>
      <c r="F191" s="296"/>
      <c r="G191" s="293" t="s">
        <v>1766</v>
      </c>
      <c r="H191" s="2" t="s">
        <v>1767</v>
      </c>
    </row>
    <row r="192" spans="1:9" ht="36" hidden="1" customHeight="1" thickBot="1">
      <c r="A192" s="1302"/>
      <c r="B192" s="1315"/>
      <c r="C192" s="17"/>
      <c r="D192" s="16"/>
      <c r="E192" s="15"/>
      <c r="F192" s="14"/>
      <c r="G192" s="13"/>
    </row>
    <row r="193" spans="1:8" ht="36" customHeight="1" thickBot="1">
      <c r="A193" s="1303"/>
      <c r="B193" s="1316"/>
      <c r="C193" s="12"/>
      <c r="D193" s="11"/>
      <c r="E193" s="10"/>
      <c r="F193" s="10"/>
      <c r="G193" s="9"/>
    </row>
    <row r="194" spans="1:8" ht="36" customHeight="1">
      <c r="A194" s="1301">
        <v>44677</v>
      </c>
      <c r="B194" s="1317" t="s">
        <v>3</v>
      </c>
      <c r="C194" s="1307" t="s">
        <v>1424</v>
      </c>
      <c r="D194" s="27" t="s">
        <v>1482</v>
      </c>
      <c r="E194" s="27" t="s">
        <v>1245</v>
      </c>
      <c r="F194" s="304"/>
      <c r="G194" s="303"/>
    </row>
    <row r="195" spans="1:8" ht="36" customHeight="1">
      <c r="A195" s="1302"/>
      <c r="B195" s="1318"/>
      <c r="C195" s="1308"/>
      <c r="D195" s="27" t="s">
        <v>1547</v>
      </c>
      <c r="E195" s="27" t="s">
        <v>1245</v>
      </c>
      <c r="F195" s="304"/>
      <c r="G195" s="303"/>
    </row>
    <row r="196" spans="1:8" ht="36" customHeight="1">
      <c r="A196" s="1302"/>
      <c r="B196" s="1318"/>
      <c r="C196" s="1308"/>
      <c r="D196" s="27" t="s">
        <v>1637</v>
      </c>
      <c r="E196" s="27" t="s">
        <v>1247</v>
      </c>
      <c r="F196" s="304"/>
      <c r="G196" s="303"/>
    </row>
    <row r="197" spans="1:8" ht="36" customHeight="1">
      <c r="A197" s="1302"/>
      <c r="B197" s="1318"/>
      <c r="C197" s="1308"/>
      <c r="D197" s="27" t="s">
        <v>1734</v>
      </c>
      <c r="E197" s="27" t="s">
        <v>1740</v>
      </c>
      <c r="F197" s="304"/>
      <c r="G197" s="303"/>
      <c r="H197" s="2" t="s">
        <v>1735</v>
      </c>
    </row>
    <row r="198" spans="1:8" ht="36" customHeight="1">
      <c r="A198" s="1302"/>
      <c r="B198" s="1318"/>
      <c r="C198" s="1308"/>
      <c r="D198" s="27" t="s">
        <v>1535</v>
      </c>
      <c r="E198" s="27" t="s">
        <v>1769</v>
      </c>
      <c r="F198" s="304"/>
      <c r="G198" s="303"/>
    </row>
    <row r="199" spans="1:8" ht="36" customHeight="1">
      <c r="A199" s="1302"/>
      <c r="B199" s="1318"/>
      <c r="C199" s="1310" t="s">
        <v>1741</v>
      </c>
      <c r="D199" s="27" t="s">
        <v>1434</v>
      </c>
      <c r="E199" s="27" t="s">
        <v>1328</v>
      </c>
      <c r="F199" s="304" t="s">
        <v>1435</v>
      </c>
      <c r="G199" s="303"/>
    </row>
    <row r="200" spans="1:8" ht="36" customHeight="1">
      <c r="A200" s="1302"/>
      <c r="B200" s="1318"/>
      <c r="C200" s="1308"/>
      <c r="D200" s="40" t="s">
        <v>1434</v>
      </c>
      <c r="E200" s="39" t="s">
        <v>1247</v>
      </c>
      <c r="F200" s="304" t="s">
        <v>1437</v>
      </c>
      <c r="G200" s="303"/>
    </row>
    <row r="201" spans="1:8" ht="36" customHeight="1">
      <c r="A201" s="1302"/>
      <c r="B201" s="1318"/>
      <c r="C201" s="1309"/>
      <c r="D201" s="27" t="s">
        <v>1330</v>
      </c>
      <c r="E201" s="27" t="s">
        <v>1279</v>
      </c>
      <c r="F201" s="304" t="s">
        <v>1437</v>
      </c>
      <c r="G201" s="303"/>
    </row>
    <row r="202" spans="1:8" ht="36" customHeight="1">
      <c r="A202" s="1302"/>
      <c r="B202" s="1318"/>
      <c r="C202" s="1310" t="s">
        <v>1274</v>
      </c>
      <c r="D202" s="40" t="s">
        <v>1770</v>
      </c>
      <c r="E202" s="39" t="s">
        <v>1771</v>
      </c>
      <c r="F202" s="304"/>
      <c r="G202" s="303" t="s">
        <v>1773</v>
      </c>
      <c r="H202" s="2" t="s">
        <v>1772</v>
      </c>
    </row>
    <row r="203" spans="1:8" ht="36" customHeight="1" thickBot="1">
      <c r="A203" s="1302"/>
      <c r="B203" s="1318"/>
      <c r="C203" s="1309"/>
      <c r="D203" s="40" t="s">
        <v>1770</v>
      </c>
      <c r="E203" s="39" t="s">
        <v>1771</v>
      </c>
      <c r="F203" s="27"/>
      <c r="G203" s="41" t="s">
        <v>1775</v>
      </c>
      <c r="H203" s="2" t="s">
        <v>1774</v>
      </c>
    </row>
    <row r="204" spans="1:8" ht="36" customHeight="1" thickBot="1">
      <c r="A204" s="1303"/>
      <c r="B204" s="1319"/>
      <c r="C204" s="12"/>
      <c r="D204" s="11"/>
      <c r="E204" s="10"/>
      <c r="F204" s="10"/>
      <c r="G204" s="9"/>
    </row>
    <row r="205" spans="1:8" ht="36" customHeight="1">
      <c r="A205" s="1301">
        <v>44678</v>
      </c>
      <c r="B205" s="1314" t="s">
        <v>247</v>
      </c>
      <c r="C205" s="53" t="s">
        <v>1752</v>
      </c>
      <c r="D205" s="27" t="s">
        <v>1753</v>
      </c>
      <c r="E205" s="27" t="s">
        <v>1754</v>
      </c>
      <c r="F205" s="312"/>
      <c r="G205" s="310"/>
      <c r="H205" s="2" t="s">
        <v>1755</v>
      </c>
    </row>
    <row r="206" spans="1:8" ht="36" customHeight="1">
      <c r="A206" s="1302"/>
      <c r="B206" s="1315"/>
      <c r="C206" s="313" t="s">
        <v>1463</v>
      </c>
      <c r="D206" s="27" t="s">
        <v>1756</v>
      </c>
      <c r="E206" s="27" t="s">
        <v>1757</v>
      </c>
      <c r="F206" s="312"/>
      <c r="G206" s="310"/>
      <c r="H206" s="2" t="s">
        <v>1758</v>
      </c>
    </row>
    <row r="207" spans="1:8" ht="36" customHeight="1">
      <c r="A207" s="1302"/>
      <c r="B207" s="1315"/>
      <c r="C207" s="1310" t="s">
        <v>1796</v>
      </c>
      <c r="D207" s="40" t="s">
        <v>1797</v>
      </c>
      <c r="E207" s="39" t="s">
        <v>1798</v>
      </c>
      <c r="F207" s="312"/>
      <c r="G207" s="1311" t="s">
        <v>1442</v>
      </c>
    </row>
    <row r="208" spans="1:8" ht="36" customHeight="1">
      <c r="A208" s="1302"/>
      <c r="B208" s="1315"/>
      <c r="C208" s="1309"/>
      <c r="D208" s="27" t="s">
        <v>1800</v>
      </c>
      <c r="E208" s="27" t="s">
        <v>1799</v>
      </c>
      <c r="F208" s="312"/>
      <c r="G208" s="1313"/>
    </row>
    <row r="209" spans="1:8" ht="36" customHeight="1">
      <c r="A209" s="1302"/>
      <c r="B209" s="1315"/>
      <c r="C209" s="1310" t="s">
        <v>1274</v>
      </c>
      <c r="D209" s="40" t="s">
        <v>1761</v>
      </c>
      <c r="E209" s="39" t="s">
        <v>1759</v>
      </c>
      <c r="F209" s="312" t="s">
        <v>1760</v>
      </c>
      <c r="G209" s="1311" t="s">
        <v>1277</v>
      </c>
      <c r="H209" s="1330" t="s">
        <v>1632</v>
      </c>
    </row>
    <row r="210" spans="1:8" ht="36" customHeight="1">
      <c r="A210" s="1302"/>
      <c r="B210" s="1315"/>
      <c r="C210" s="1308"/>
      <c r="D210" s="27" t="s">
        <v>1762</v>
      </c>
      <c r="E210" s="27" t="s">
        <v>1245</v>
      </c>
      <c r="F210" s="312" t="s">
        <v>1763</v>
      </c>
      <c r="G210" s="1313"/>
      <c r="H210" s="1330"/>
    </row>
    <row r="211" spans="1:8" ht="36" customHeight="1">
      <c r="A211" s="1302"/>
      <c r="B211" s="1315"/>
      <c r="C211" s="1308"/>
      <c r="D211" s="40" t="s">
        <v>1232</v>
      </c>
      <c r="E211" s="39" t="s">
        <v>1233</v>
      </c>
      <c r="F211" s="27"/>
      <c r="G211" s="1311" t="s">
        <v>1802</v>
      </c>
      <c r="H211" s="2" t="s">
        <v>1816</v>
      </c>
    </row>
    <row r="212" spans="1:8" ht="36" customHeight="1">
      <c r="A212" s="1302"/>
      <c r="B212" s="1315"/>
      <c r="C212" s="1308"/>
      <c r="D212" s="40" t="s">
        <v>1801</v>
      </c>
      <c r="E212" s="39" t="s">
        <v>1233</v>
      </c>
      <c r="F212" s="27"/>
      <c r="G212" s="1313"/>
    </row>
    <row r="213" spans="1:8" ht="36" customHeight="1">
      <c r="A213" s="1302"/>
      <c r="B213" s="1315"/>
      <c r="C213" s="1309"/>
      <c r="D213" s="40" t="s">
        <v>1845</v>
      </c>
      <c r="E213" s="39" t="s">
        <v>1846</v>
      </c>
      <c r="F213" s="27"/>
      <c r="G213" s="311" t="s">
        <v>1847</v>
      </c>
      <c r="H213" s="2" t="s">
        <v>1848</v>
      </c>
    </row>
    <row r="214" spans="1:8" ht="36" customHeight="1">
      <c r="A214" s="1302"/>
      <c r="B214" s="1315"/>
      <c r="C214" s="313" t="s">
        <v>1746</v>
      </c>
      <c r="D214" s="40" t="s">
        <v>109</v>
      </c>
      <c r="E214" s="39" t="s">
        <v>1279</v>
      </c>
      <c r="F214" s="27" t="s">
        <v>1780</v>
      </c>
      <c r="G214" s="41" t="s">
        <v>1651</v>
      </c>
    </row>
    <row r="215" spans="1:8" ht="36" customHeight="1">
      <c r="A215" s="1302"/>
      <c r="B215" s="1315"/>
      <c r="C215" s="313" t="s">
        <v>1360</v>
      </c>
      <c r="D215" s="312" t="s">
        <v>1807</v>
      </c>
      <c r="E215" s="312" t="s">
        <v>382</v>
      </c>
      <c r="F215" s="312" t="s">
        <v>1808</v>
      </c>
      <c r="G215" s="311"/>
      <c r="H215" s="2" t="s">
        <v>1809</v>
      </c>
    </row>
    <row r="216" spans="1:8" ht="36" customHeight="1">
      <c r="A216" s="1302"/>
      <c r="B216" s="1315"/>
      <c r="C216" s="1310" t="s">
        <v>1545</v>
      </c>
      <c r="D216" s="312" t="s">
        <v>327</v>
      </c>
      <c r="E216" s="312" t="s">
        <v>1818</v>
      </c>
      <c r="F216" s="312"/>
      <c r="G216" s="311" t="s">
        <v>1591</v>
      </c>
    </row>
    <row r="217" spans="1:8" ht="36" customHeight="1" thickBot="1">
      <c r="A217" s="1302"/>
      <c r="B217" s="1315"/>
      <c r="C217" s="1309"/>
      <c r="D217" s="312" t="s">
        <v>1820</v>
      </c>
      <c r="E217" s="312" t="s">
        <v>1821</v>
      </c>
      <c r="F217" s="312"/>
      <c r="G217" s="311" t="s">
        <v>1822</v>
      </c>
    </row>
    <row r="218" spans="1:8" ht="36" hidden="1" customHeight="1" thickBot="1">
      <c r="A218" s="1302"/>
      <c r="B218" s="1315"/>
      <c r="C218" s="307"/>
      <c r="D218" s="30"/>
      <c r="E218" s="29"/>
      <c r="F218" s="14"/>
      <c r="G218" s="265"/>
    </row>
    <row r="219" spans="1:8" ht="36" customHeight="1" thickBot="1">
      <c r="A219" s="1303"/>
      <c r="B219" s="1316"/>
      <c r="C219" s="12" t="s">
        <v>1737</v>
      </c>
      <c r="D219" s="11" t="s">
        <v>568</v>
      </c>
      <c r="E219" s="10" t="s">
        <v>1738</v>
      </c>
      <c r="F219" s="10" t="s">
        <v>1819</v>
      </c>
      <c r="G219" s="9"/>
    </row>
    <row r="220" spans="1:8" ht="36" customHeight="1">
      <c r="A220" s="1302">
        <v>44679</v>
      </c>
      <c r="B220" s="1315" t="s">
        <v>1811</v>
      </c>
      <c r="C220" s="1310" t="s">
        <v>1736</v>
      </c>
      <c r="D220" s="27" t="s">
        <v>1709</v>
      </c>
      <c r="E220" s="27" t="s">
        <v>1786</v>
      </c>
      <c r="F220" s="320"/>
      <c r="G220" s="1311" t="s">
        <v>1789</v>
      </c>
      <c r="H220" s="2" t="s">
        <v>1764</v>
      </c>
    </row>
    <row r="221" spans="1:8" ht="36" customHeight="1">
      <c r="A221" s="1302"/>
      <c r="B221" s="1315"/>
      <c r="C221" s="1309"/>
      <c r="D221" s="27" t="s">
        <v>1787</v>
      </c>
      <c r="E221" s="27" t="s">
        <v>1788</v>
      </c>
      <c r="F221" s="320"/>
      <c r="G221" s="1313"/>
      <c r="H221" s="2" t="s">
        <v>1790</v>
      </c>
    </row>
    <row r="222" spans="1:8" ht="36" customHeight="1">
      <c r="A222" s="1302"/>
      <c r="B222" s="1315"/>
      <c r="C222" s="321" t="s">
        <v>1360</v>
      </c>
      <c r="D222" s="40" t="s">
        <v>1812</v>
      </c>
      <c r="E222" s="39" t="s">
        <v>1813</v>
      </c>
      <c r="F222" s="27" t="s">
        <v>1363</v>
      </c>
      <c r="G222" s="41"/>
    </row>
    <row r="223" spans="1:8" ht="36" customHeight="1">
      <c r="A223" s="1302"/>
      <c r="B223" s="1315"/>
      <c r="C223" s="317" t="s">
        <v>1849</v>
      </c>
      <c r="D223" s="37" t="s">
        <v>327</v>
      </c>
      <c r="E223" s="36" t="s">
        <v>1850</v>
      </c>
      <c r="F223" s="320" t="s">
        <v>1865</v>
      </c>
      <c r="G223" s="319" t="s">
        <v>1866</v>
      </c>
    </row>
    <row r="224" spans="1:8" ht="36" customHeight="1">
      <c r="A224" s="1302"/>
      <c r="B224" s="1315"/>
      <c r="C224" s="1310" t="s">
        <v>1859</v>
      </c>
      <c r="D224" s="40" t="s">
        <v>1855</v>
      </c>
      <c r="E224" s="39" t="s">
        <v>1858</v>
      </c>
      <c r="F224" s="1323" t="s">
        <v>1862</v>
      </c>
      <c r="G224" s="1311" t="s">
        <v>1860</v>
      </c>
    </row>
    <row r="225" spans="1:9" ht="36" customHeight="1" thickBot="1">
      <c r="A225" s="1302"/>
      <c r="B225" s="1315"/>
      <c r="C225" s="1309"/>
      <c r="D225" s="37" t="s">
        <v>1856</v>
      </c>
      <c r="E225" s="36" t="s">
        <v>1857</v>
      </c>
      <c r="F225" s="1321"/>
      <c r="G225" s="1313"/>
    </row>
    <row r="226" spans="1:9" ht="36" hidden="1" customHeight="1" thickBot="1">
      <c r="A226" s="1302"/>
      <c r="B226" s="1315"/>
      <c r="C226" s="300"/>
      <c r="D226" s="30"/>
      <c r="E226" s="29"/>
      <c r="F226" s="14"/>
      <c r="G226" s="265"/>
    </row>
    <row r="227" spans="1:9" ht="36" customHeight="1" thickBot="1">
      <c r="A227" s="1303"/>
      <c r="B227" s="1316"/>
      <c r="C227" s="12"/>
      <c r="D227" s="11"/>
      <c r="E227" s="10"/>
      <c r="F227" s="10"/>
      <c r="G227" s="9"/>
    </row>
    <row r="228" spans="1:9" ht="36" customHeight="1">
      <c r="A228" s="1301">
        <v>44680</v>
      </c>
      <c r="B228" s="1314" t="s">
        <v>0</v>
      </c>
      <c r="C228" s="321" t="s">
        <v>1393</v>
      </c>
      <c r="D228" s="27" t="s">
        <v>1394</v>
      </c>
      <c r="E228" s="27" t="s">
        <v>1838</v>
      </c>
      <c r="F228" s="320"/>
      <c r="G228" s="318"/>
    </row>
    <row r="229" spans="1:9" ht="36" customHeight="1">
      <c r="A229" s="1302"/>
      <c r="B229" s="1315"/>
      <c r="C229" s="1310" t="s">
        <v>1778</v>
      </c>
      <c r="D229" s="27" t="s">
        <v>1255</v>
      </c>
      <c r="E229" s="27" t="s">
        <v>1779</v>
      </c>
      <c r="F229" s="320"/>
      <c r="G229" s="318"/>
      <c r="H229" s="1330"/>
      <c r="I229" s="1331"/>
    </row>
    <row r="230" spans="1:9" ht="36" customHeight="1">
      <c r="A230" s="1302"/>
      <c r="B230" s="1315"/>
      <c r="C230" s="1308"/>
      <c r="D230" s="40" t="s">
        <v>1853</v>
      </c>
      <c r="E230" s="39" t="s">
        <v>1854</v>
      </c>
      <c r="F230" s="320"/>
      <c r="G230" s="41"/>
      <c r="H230" s="1330"/>
      <c r="I230" s="1331"/>
    </row>
    <row r="231" spans="1:9" ht="36" customHeight="1">
      <c r="A231" s="1302"/>
      <c r="B231" s="1315"/>
      <c r="C231" s="1308"/>
      <c r="D231" s="40" t="s">
        <v>1894</v>
      </c>
      <c r="E231" s="39" t="s">
        <v>1895</v>
      </c>
      <c r="F231" s="320"/>
      <c r="G231" s="318"/>
      <c r="H231" s="326"/>
      <c r="I231" s="322"/>
    </row>
    <row r="232" spans="1:9" ht="36" customHeight="1">
      <c r="A232" s="1302"/>
      <c r="B232" s="1315"/>
      <c r="C232" s="1309"/>
      <c r="D232" s="40" t="s">
        <v>1896</v>
      </c>
      <c r="E232" s="39" t="s">
        <v>1897</v>
      </c>
      <c r="F232" s="320" t="s">
        <v>1899</v>
      </c>
      <c r="G232" s="318"/>
      <c r="H232" s="326"/>
      <c r="I232" s="322"/>
    </row>
    <row r="233" spans="1:9" ht="36" customHeight="1">
      <c r="A233" s="1302"/>
      <c r="B233" s="1315"/>
      <c r="C233" s="321" t="s">
        <v>1886</v>
      </c>
      <c r="D233" s="27" t="s">
        <v>1887</v>
      </c>
      <c r="E233" s="27" t="s">
        <v>1888</v>
      </c>
      <c r="F233" s="320"/>
      <c r="G233" s="318"/>
    </row>
    <row r="234" spans="1:9" ht="36" customHeight="1" thickBot="1">
      <c r="A234" s="1302"/>
      <c r="B234" s="1315"/>
      <c r="C234" s="236" t="s">
        <v>1889</v>
      </c>
      <c r="D234" s="308" t="s">
        <v>1890</v>
      </c>
      <c r="E234" s="309" t="s">
        <v>1891</v>
      </c>
      <c r="F234" s="325" t="s">
        <v>1892</v>
      </c>
      <c r="G234" s="324" t="s">
        <v>1893</v>
      </c>
    </row>
    <row r="235" spans="1:9" ht="36" hidden="1" customHeight="1" thickBot="1">
      <c r="A235" s="1302"/>
      <c r="B235" s="1315"/>
      <c r="C235" s="17"/>
      <c r="D235" s="16"/>
      <c r="E235" s="15"/>
      <c r="F235" s="14"/>
      <c r="G235" s="13"/>
    </row>
    <row r="236" spans="1:9" ht="36" customHeight="1" thickBot="1">
      <c r="A236" s="1303"/>
      <c r="B236" s="1316"/>
      <c r="C236" s="12"/>
      <c r="D236" s="11"/>
      <c r="E236" s="10"/>
      <c r="F236" s="10"/>
      <c r="G236" s="9"/>
    </row>
    <row r="237" spans="1:9" ht="36" customHeight="1">
      <c r="A237" s="1301">
        <v>44680</v>
      </c>
      <c r="B237" s="1314" t="s">
        <v>278</v>
      </c>
      <c r="C237" s="1339" t="s">
        <v>1795</v>
      </c>
      <c r="D237" s="22" t="s">
        <v>109</v>
      </c>
      <c r="E237" s="22" t="s">
        <v>1644</v>
      </c>
      <c r="F237" s="97"/>
      <c r="G237" s="305"/>
    </row>
    <row r="238" spans="1:9" ht="36" customHeight="1">
      <c r="A238" s="1302"/>
      <c r="B238" s="1315"/>
      <c r="C238" s="1340"/>
      <c r="D238" s="22" t="s">
        <v>1823</v>
      </c>
      <c r="E238" s="22" t="s">
        <v>1824</v>
      </c>
      <c r="F238" s="97"/>
      <c r="G238" s="314"/>
    </row>
    <row r="239" spans="1:9" ht="36" customHeight="1">
      <c r="A239" s="1302"/>
      <c r="B239" s="1315"/>
      <c r="C239" s="1340"/>
      <c r="D239" s="22" t="s">
        <v>1791</v>
      </c>
      <c r="E239" s="22" t="s">
        <v>1792</v>
      </c>
      <c r="F239" s="97"/>
      <c r="G239" s="305"/>
    </row>
    <row r="240" spans="1:9" ht="36" customHeight="1" thickBot="1">
      <c r="A240" s="1302"/>
      <c r="B240" s="1315"/>
      <c r="C240" s="1341"/>
      <c r="D240" s="20" t="s">
        <v>1793</v>
      </c>
      <c r="E240" s="19" t="s">
        <v>1794</v>
      </c>
      <c r="F240" s="97"/>
      <c r="G240" s="305"/>
    </row>
    <row r="241" spans="1:7" ht="36" hidden="1" customHeight="1" thickBot="1">
      <c r="A241" s="1302"/>
      <c r="B241" s="1315"/>
      <c r="C241" s="306"/>
      <c r="D241" s="16"/>
      <c r="E241" s="15"/>
      <c r="F241" s="14"/>
      <c r="G241" s="305"/>
    </row>
    <row r="242" spans="1:7" ht="36" customHeight="1" thickBot="1">
      <c r="A242" s="1303"/>
      <c r="B242" s="1316"/>
      <c r="C242" s="12"/>
      <c r="D242" s="11"/>
      <c r="E242" s="10"/>
      <c r="F242" s="10"/>
      <c r="G242" s="9"/>
    </row>
  </sheetData>
  <mergeCells count="128">
    <mergeCell ref="H209:H210"/>
    <mergeCell ref="G220:G221"/>
    <mergeCell ref="A237:A242"/>
    <mergeCell ref="B237:B242"/>
    <mergeCell ref="C237:C240"/>
    <mergeCell ref="C207:C208"/>
    <mergeCell ref="G207:G208"/>
    <mergeCell ref="G211:G212"/>
    <mergeCell ref="G209:G210"/>
    <mergeCell ref="H229:I230"/>
    <mergeCell ref="C220:C221"/>
    <mergeCell ref="C224:C225"/>
    <mergeCell ref="G224:G225"/>
    <mergeCell ref="F224:F225"/>
    <mergeCell ref="A220:A227"/>
    <mergeCell ref="B220:B227"/>
    <mergeCell ref="A228:A236"/>
    <mergeCell ref="B228:B236"/>
    <mergeCell ref="C229:C232"/>
    <mergeCell ref="A205:A219"/>
    <mergeCell ref="B205:B219"/>
    <mergeCell ref="A1:A16"/>
    <mergeCell ref="B1:B16"/>
    <mergeCell ref="A175:A182"/>
    <mergeCell ref="B175:B182"/>
    <mergeCell ref="C175:C176"/>
    <mergeCell ref="G104:G105"/>
    <mergeCell ref="H104:U105"/>
    <mergeCell ref="G123:G124"/>
    <mergeCell ref="C177:C178"/>
    <mergeCell ref="B140:B147"/>
    <mergeCell ref="C154:C156"/>
    <mergeCell ref="C122:C125"/>
    <mergeCell ref="C163:C164"/>
    <mergeCell ref="G163:G164"/>
    <mergeCell ref="C136:C137"/>
    <mergeCell ref="C119:C120"/>
    <mergeCell ref="C104:C105"/>
    <mergeCell ref="C106:C108"/>
    <mergeCell ref="C115:C117"/>
    <mergeCell ref="G115:G117"/>
    <mergeCell ref="C109:C114"/>
    <mergeCell ref="G109:G114"/>
    <mergeCell ref="A162:A174"/>
    <mergeCell ref="B130:B138"/>
    <mergeCell ref="A52:A62"/>
    <mergeCell ref="B52:B62"/>
    <mergeCell ref="A63:A71"/>
    <mergeCell ref="B63:B71"/>
    <mergeCell ref="A77:G77"/>
    <mergeCell ref="A72:A76"/>
    <mergeCell ref="B72:B76"/>
    <mergeCell ref="C67:C68"/>
    <mergeCell ref="F67:F68"/>
    <mergeCell ref="G67:G68"/>
    <mergeCell ref="C54:C57"/>
    <mergeCell ref="C58:C59"/>
    <mergeCell ref="G53:G59"/>
    <mergeCell ref="C2:C3"/>
    <mergeCell ref="C63:C64"/>
    <mergeCell ref="C102:C103"/>
    <mergeCell ref="C30:C31"/>
    <mergeCell ref="C38:C43"/>
    <mergeCell ref="A17:G17"/>
    <mergeCell ref="A18:A29"/>
    <mergeCell ref="C72:C75"/>
    <mergeCell ref="A140:A147"/>
    <mergeCell ref="A85:A101"/>
    <mergeCell ref="B85:B101"/>
    <mergeCell ref="C79:C81"/>
    <mergeCell ref="C140:C143"/>
    <mergeCell ref="G106:G108"/>
    <mergeCell ref="G97:G99"/>
    <mergeCell ref="C97:C100"/>
    <mergeCell ref="A30:A37"/>
    <mergeCell ref="B18:B29"/>
    <mergeCell ref="A38:A51"/>
    <mergeCell ref="B38:B51"/>
    <mergeCell ref="C6:C11"/>
    <mergeCell ref="G6:G11"/>
    <mergeCell ref="C33:C34"/>
    <mergeCell ref="A78:A84"/>
    <mergeCell ref="A194:A204"/>
    <mergeCell ref="B194:B204"/>
    <mergeCell ref="C194:C198"/>
    <mergeCell ref="C199:C201"/>
    <mergeCell ref="C185:C187"/>
    <mergeCell ref="C188:C189"/>
    <mergeCell ref="C202:C203"/>
    <mergeCell ref="B78:B84"/>
    <mergeCell ref="A148:A153"/>
    <mergeCell ref="B148:B153"/>
    <mergeCell ref="A102:A118"/>
    <mergeCell ref="B102:B118"/>
    <mergeCell ref="A119:A129"/>
    <mergeCell ref="B119:B129"/>
    <mergeCell ref="A183:G183"/>
    <mergeCell ref="A184:A193"/>
    <mergeCell ref="B184:B193"/>
    <mergeCell ref="A154:A161"/>
    <mergeCell ref="B154:B161"/>
    <mergeCell ref="A130:A138"/>
    <mergeCell ref="A139:G139"/>
    <mergeCell ref="C149:C150"/>
    <mergeCell ref="G168:G170"/>
    <mergeCell ref="B30:B37"/>
    <mergeCell ref="G165:G166"/>
    <mergeCell ref="C165:C167"/>
    <mergeCell ref="C179:C180"/>
    <mergeCell ref="G179:G180"/>
    <mergeCell ref="C216:C217"/>
    <mergeCell ref="C209:C213"/>
    <mergeCell ref="C13:C15"/>
    <mergeCell ref="F13:F14"/>
    <mergeCell ref="G13:G14"/>
    <mergeCell ref="C92:C93"/>
    <mergeCell ref="G92:G93"/>
    <mergeCell ref="C85:C87"/>
    <mergeCell ref="G85:G87"/>
    <mergeCell ref="C88:C91"/>
    <mergeCell ref="G88:G91"/>
    <mergeCell ref="C24:C25"/>
    <mergeCell ref="C18:C20"/>
    <mergeCell ref="G33:G34"/>
    <mergeCell ref="C44:C46"/>
    <mergeCell ref="C168:C170"/>
    <mergeCell ref="C171:C172"/>
    <mergeCell ref="B162:B174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8"/>
  <sheetViews>
    <sheetView topLeftCell="A132" zoomScale="70" zoomScaleNormal="70" zoomScaleSheetLayoutView="70" workbookViewId="0">
      <selection activeCell="C157" sqref="C15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" customWidth="1"/>
    <col min="9" max="13" width="9" style="1"/>
    <col min="14" max="14" width="9.625" style="1" bestFit="1" customWidth="1"/>
    <col min="15" max="16384" width="9" style="1"/>
  </cols>
  <sheetData>
    <row r="1" spans="1:8" s="2" customFormat="1" ht="60" customHeight="1" thickBot="1">
      <c r="A1" s="1298" t="s">
        <v>5</v>
      </c>
      <c r="B1" s="1299"/>
      <c r="C1" s="1299"/>
      <c r="D1" s="1299"/>
      <c r="E1" s="1299"/>
      <c r="F1" s="1299"/>
      <c r="G1" s="1300"/>
    </row>
    <row r="2" spans="1:8" s="2" customFormat="1" ht="30" customHeight="1">
      <c r="A2" s="1301">
        <v>44683</v>
      </c>
      <c r="B2" s="1314" t="s">
        <v>4</v>
      </c>
      <c r="C2" s="1307" t="s">
        <v>1826</v>
      </c>
      <c r="D2" s="27" t="s">
        <v>1827</v>
      </c>
      <c r="E2" s="27" t="s">
        <v>1828</v>
      </c>
      <c r="F2" s="329"/>
      <c r="G2" s="327"/>
    </row>
    <row r="3" spans="1:8" s="2" customFormat="1" ht="30" customHeight="1">
      <c r="A3" s="1302"/>
      <c r="B3" s="1315"/>
      <c r="C3" s="1309"/>
      <c r="D3" s="27" t="s">
        <v>1829</v>
      </c>
      <c r="E3" s="27" t="s">
        <v>1830</v>
      </c>
      <c r="F3" s="329"/>
      <c r="G3" s="327"/>
    </row>
    <row r="4" spans="1:8" s="2" customFormat="1" ht="30" customHeight="1">
      <c r="A4" s="1302"/>
      <c r="B4" s="1315"/>
      <c r="C4" s="330" t="s">
        <v>1825</v>
      </c>
      <c r="D4" s="27" t="s">
        <v>447</v>
      </c>
      <c r="E4" s="27" t="s">
        <v>1817</v>
      </c>
      <c r="F4" s="329"/>
      <c r="G4" s="327" t="s">
        <v>483</v>
      </c>
      <c r="H4" s="2" t="s">
        <v>1909</v>
      </c>
    </row>
    <row r="5" spans="1:8" s="2" customFormat="1" ht="30" customHeight="1">
      <c r="A5" s="1302"/>
      <c r="B5" s="1315"/>
      <c r="C5" s="334" t="s">
        <v>1851</v>
      </c>
      <c r="D5" s="40" t="s">
        <v>1810</v>
      </c>
      <c r="E5" s="39" t="s">
        <v>704</v>
      </c>
      <c r="F5" s="333" t="s">
        <v>1852</v>
      </c>
      <c r="G5" s="332"/>
      <c r="H5" s="2" t="s">
        <v>1910</v>
      </c>
    </row>
    <row r="6" spans="1:8" s="2" customFormat="1" ht="30" customHeight="1">
      <c r="A6" s="1302"/>
      <c r="B6" s="1315"/>
      <c r="C6" s="1310" t="s">
        <v>1881</v>
      </c>
      <c r="D6" s="55" t="s">
        <v>1592</v>
      </c>
      <c r="E6" s="54" t="s">
        <v>1882</v>
      </c>
      <c r="F6" s="27"/>
      <c r="G6" s="327"/>
    </row>
    <row r="7" spans="1:8" s="2" customFormat="1" ht="30" customHeight="1">
      <c r="A7" s="1302"/>
      <c r="B7" s="1315"/>
      <c r="C7" s="1308"/>
      <c r="D7" s="55" t="s">
        <v>1458</v>
      </c>
      <c r="E7" s="54" t="s">
        <v>1920</v>
      </c>
      <c r="F7" s="27"/>
      <c r="G7" s="327"/>
    </row>
    <row r="8" spans="1:8" s="2" customFormat="1" ht="30" customHeight="1">
      <c r="A8" s="1302"/>
      <c r="B8" s="1315"/>
      <c r="C8" s="1308"/>
      <c r="D8" s="55" t="s">
        <v>1883</v>
      </c>
      <c r="E8" s="54" t="s">
        <v>1754</v>
      </c>
      <c r="F8" s="329"/>
      <c r="G8" s="327"/>
    </row>
    <row r="9" spans="1:8" s="2" customFormat="1" ht="30" customHeight="1">
      <c r="A9" s="1302"/>
      <c r="B9" s="1315"/>
      <c r="C9" s="1308"/>
      <c r="D9" s="55" t="s">
        <v>1884</v>
      </c>
      <c r="E9" s="54" t="s">
        <v>1885</v>
      </c>
      <c r="F9" s="329"/>
      <c r="G9" s="327"/>
    </row>
    <row r="10" spans="1:8" s="2" customFormat="1" ht="30" customHeight="1">
      <c r="A10" s="1302"/>
      <c r="B10" s="1315"/>
      <c r="C10" s="1308"/>
      <c r="D10" s="55" t="s">
        <v>1727</v>
      </c>
      <c r="E10" s="54" t="s">
        <v>1754</v>
      </c>
      <c r="F10" s="329"/>
      <c r="G10" s="327" t="s">
        <v>1939</v>
      </c>
      <c r="H10" s="2" t="s">
        <v>1940</v>
      </c>
    </row>
    <row r="11" spans="1:8" s="2" customFormat="1" ht="30" customHeight="1">
      <c r="A11" s="1302"/>
      <c r="B11" s="1315"/>
      <c r="C11" s="1309"/>
      <c r="D11" s="55" t="s">
        <v>1458</v>
      </c>
      <c r="E11" s="54" t="s">
        <v>1912</v>
      </c>
      <c r="F11" s="27" t="s">
        <v>1913</v>
      </c>
      <c r="G11" s="327" t="s">
        <v>1915</v>
      </c>
      <c r="H11" s="2" t="s">
        <v>1914</v>
      </c>
    </row>
    <row r="12" spans="1:8" s="2" customFormat="1" ht="30" customHeight="1">
      <c r="A12" s="1302"/>
      <c r="B12" s="1315"/>
      <c r="C12" s="1310" t="s">
        <v>1907</v>
      </c>
      <c r="D12" s="55" t="s">
        <v>1905</v>
      </c>
      <c r="E12" s="54" t="s">
        <v>1936</v>
      </c>
      <c r="F12" s="27"/>
      <c r="G12" s="327" t="s">
        <v>1802</v>
      </c>
      <c r="H12" s="2" t="s">
        <v>1908</v>
      </c>
    </row>
    <row r="13" spans="1:8" s="2" customFormat="1" ht="30" customHeight="1">
      <c r="A13" s="1302"/>
      <c r="B13" s="1315"/>
      <c r="C13" s="1309"/>
      <c r="D13" s="55" t="s">
        <v>1934</v>
      </c>
      <c r="E13" s="54" t="s">
        <v>1935</v>
      </c>
      <c r="F13" s="328"/>
      <c r="G13" s="327" t="s">
        <v>1906</v>
      </c>
      <c r="H13" s="2" t="s">
        <v>1937</v>
      </c>
    </row>
    <row r="14" spans="1:8" s="2" customFormat="1" ht="30" customHeight="1">
      <c r="A14" s="1302"/>
      <c r="B14" s="1315"/>
      <c r="C14" s="330" t="s">
        <v>1861</v>
      </c>
      <c r="D14" s="40" t="s">
        <v>1911</v>
      </c>
      <c r="E14" s="39" t="s">
        <v>1932</v>
      </c>
      <c r="F14" s="27"/>
      <c r="G14" s="41" t="s">
        <v>1933</v>
      </c>
      <c r="H14" s="2" t="s">
        <v>1938</v>
      </c>
    </row>
    <row r="15" spans="1:8" s="2" customFormat="1" ht="30" customHeight="1">
      <c r="A15" s="1302"/>
      <c r="B15" s="1315"/>
      <c r="C15" s="330" t="s">
        <v>1921</v>
      </c>
      <c r="D15" s="40" t="s">
        <v>1592</v>
      </c>
      <c r="E15" s="39" t="s">
        <v>1917</v>
      </c>
      <c r="F15" s="27" t="s">
        <v>107</v>
      </c>
      <c r="G15" s="41" t="s">
        <v>1918</v>
      </c>
      <c r="H15" s="2" t="s">
        <v>1919</v>
      </c>
    </row>
    <row r="16" spans="1:8" s="2" customFormat="1" ht="30" customHeight="1" thickBot="1">
      <c r="A16" s="1302"/>
      <c r="B16" s="1315"/>
      <c r="C16" s="330" t="s">
        <v>1916</v>
      </c>
      <c r="D16" s="40" t="s">
        <v>1592</v>
      </c>
      <c r="E16" s="39" t="s">
        <v>1922</v>
      </c>
      <c r="F16" s="27" t="s">
        <v>107</v>
      </c>
      <c r="G16" s="41" t="s">
        <v>1918</v>
      </c>
      <c r="H16" s="2" t="s">
        <v>1923</v>
      </c>
    </row>
    <row r="17" spans="1:8" s="2" customFormat="1" ht="30" hidden="1" customHeight="1">
      <c r="A17" s="1302"/>
      <c r="B17" s="1315"/>
      <c r="C17" s="331"/>
      <c r="D17" s="34"/>
      <c r="E17" s="33"/>
      <c r="F17" s="97"/>
      <c r="G17" s="315"/>
    </row>
    <row r="18" spans="1:8" s="2" customFormat="1" ht="30" hidden="1" customHeight="1" thickBot="1">
      <c r="A18" s="1302"/>
      <c r="B18" s="1315"/>
      <c r="C18" s="323"/>
      <c r="D18" s="30"/>
      <c r="E18" s="29"/>
      <c r="F18" s="14"/>
      <c r="G18" s="265"/>
    </row>
    <row r="19" spans="1:8" s="2" customFormat="1" ht="30" customHeight="1" thickBot="1">
      <c r="A19" s="1303"/>
      <c r="B19" s="1316"/>
      <c r="C19" s="12" t="s">
        <v>1879</v>
      </c>
      <c r="D19" s="11" t="s">
        <v>1842</v>
      </c>
      <c r="E19" s="10" t="s">
        <v>1880</v>
      </c>
      <c r="F19" s="10" t="s">
        <v>1844</v>
      </c>
      <c r="G19" s="9"/>
    </row>
    <row r="20" spans="1:8" ht="30" customHeight="1">
      <c r="A20" s="1301">
        <v>44684</v>
      </c>
      <c r="B20" s="1314" t="s">
        <v>3</v>
      </c>
      <c r="C20" s="1307" t="s">
        <v>1840</v>
      </c>
      <c r="D20" s="27" t="s">
        <v>1831</v>
      </c>
      <c r="E20" s="27" t="s">
        <v>1832</v>
      </c>
      <c r="F20" s="341"/>
      <c r="G20" s="337"/>
    </row>
    <row r="21" spans="1:8" ht="30" customHeight="1">
      <c r="A21" s="1302"/>
      <c r="B21" s="1315"/>
      <c r="C21" s="1309"/>
      <c r="D21" s="27" t="s">
        <v>1833</v>
      </c>
      <c r="E21" s="27" t="s">
        <v>1834</v>
      </c>
      <c r="F21" s="341"/>
      <c r="G21" s="337"/>
    </row>
    <row r="22" spans="1:8" ht="30" customHeight="1">
      <c r="A22" s="1302"/>
      <c r="B22" s="1315"/>
      <c r="C22" s="342" t="s">
        <v>1814</v>
      </c>
      <c r="D22" s="27" t="s">
        <v>1810</v>
      </c>
      <c r="E22" s="27" t="s">
        <v>1815</v>
      </c>
      <c r="F22" s="341"/>
      <c r="G22" s="337" t="s">
        <v>350</v>
      </c>
    </row>
    <row r="23" spans="1:8" ht="30" customHeight="1">
      <c r="A23" s="1302"/>
      <c r="B23" s="1315"/>
      <c r="C23" s="342" t="s">
        <v>1943</v>
      </c>
      <c r="D23" s="40" t="s">
        <v>1944</v>
      </c>
      <c r="E23" s="39" t="s">
        <v>1945</v>
      </c>
      <c r="F23" s="341" t="s">
        <v>1946</v>
      </c>
      <c r="G23" s="337" t="s">
        <v>1508</v>
      </c>
    </row>
    <row r="24" spans="1:8" ht="30" customHeight="1" thickBot="1">
      <c r="A24" s="1302"/>
      <c r="B24" s="1315"/>
      <c r="C24" s="336" t="s">
        <v>110</v>
      </c>
      <c r="D24" s="55" t="s">
        <v>109</v>
      </c>
      <c r="E24" s="54" t="s">
        <v>584</v>
      </c>
      <c r="F24" s="340" t="s">
        <v>107</v>
      </c>
      <c r="G24" s="337" t="s">
        <v>106</v>
      </c>
      <c r="H24" s="2" t="s">
        <v>1947</v>
      </c>
    </row>
    <row r="25" spans="1:8" ht="30" customHeight="1" thickBot="1">
      <c r="A25" s="1303"/>
      <c r="B25" s="1316"/>
      <c r="C25" s="12" t="s">
        <v>1841</v>
      </c>
      <c r="D25" s="11" t="s">
        <v>1842</v>
      </c>
      <c r="E25" s="10" t="s">
        <v>1843</v>
      </c>
      <c r="F25" s="10" t="s">
        <v>1942</v>
      </c>
      <c r="G25" s="9"/>
    </row>
    <row r="26" spans="1:8" ht="36" customHeight="1">
      <c r="A26" s="1301">
        <v>44685</v>
      </c>
      <c r="B26" s="1317" t="s">
        <v>2</v>
      </c>
      <c r="C26" s="342" t="s">
        <v>1836</v>
      </c>
      <c r="D26" s="27" t="s">
        <v>1837</v>
      </c>
      <c r="E26" s="39">
        <v>132</v>
      </c>
      <c r="F26" s="27"/>
      <c r="G26" s="41"/>
    </row>
    <row r="27" spans="1:8" ht="30" customHeight="1">
      <c r="A27" s="1302"/>
      <c r="B27" s="1318"/>
      <c r="C27" s="1310" t="s">
        <v>1424</v>
      </c>
      <c r="D27" s="27" t="s">
        <v>1734</v>
      </c>
      <c r="E27" s="27" t="s">
        <v>1759</v>
      </c>
      <c r="F27" s="341"/>
      <c r="G27" s="337"/>
    </row>
    <row r="28" spans="1:8" ht="30" customHeight="1">
      <c r="A28" s="1302"/>
      <c r="B28" s="1318"/>
      <c r="C28" s="1308"/>
      <c r="D28" s="40" t="s">
        <v>1425</v>
      </c>
      <c r="E28" s="39" t="s">
        <v>1471</v>
      </c>
      <c r="F28" s="341"/>
      <c r="G28" s="337"/>
      <c r="H28" s="2" t="s">
        <v>1960</v>
      </c>
    </row>
    <row r="29" spans="1:8" ht="30" customHeight="1">
      <c r="A29" s="1302"/>
      <c r="B29" s="1318"/>
      <c r="C29" s="1308"/>
      <c r="D29" s="27" t="s">
        <v>1949</v>
      </c>
      <c r="E29" s="27" t="s">
        <v>1950</v>
      </c>
      <c r="F29" s="341"/>
      <c r="G29" s="337"/>
    </row>
    <row r="30" spans="1:8" ht="30" customHeight="1">
      <c r="A30" s="1302"/>
      <c r="B30" s="1318"/>
      <c r="C30" s="1309"/>
      <c r="D30" s="40" t="s">
        <v>1951</v>
      </c>
      <c r="E30" s="39" t="s">
        <v>1863</v>
      </c>
      <c r="F30" s="341"/>
      <c r="G30" s="337"/>
    </row>
    <row r="31" spans="1:8" ht="30" customHeight="1">
      <c r="A31" s="1302"/>
      <c r="B31" s="1318"/>
      <c r="C31" s="1310" t="s">
        <v>1874</v>
      </c>
      <c r="D31" s="55" t="s">
        <v>1875</v>
      </c>
      <c r="E31" s="54" t="s">
        <v>1876</v>
      </c>
      <c r="F31" s="27"/>
      <c r="G31" s="337"/>
    </row>
    <row r="32" spans="1:8" ht="30" customHeight="1">
      <c r="A32" s="1302"/>
      <c r="B32" s="1318"/>
      <c r="C32" s="1309"/>
      <c r="D32" s="40" t="s">
        <v>1877</v>
      </c>
      <c r="E32" s="39" t="s">
        <v>1878</v>
      </c>
      <c r="F32" s="341" t="s">
        <v>1941</v>
      </c>
      <c r="G32" s="41"/>
    </row>
    <row r="33" spans="1:8" ht="30" customHeight="1">
      <c r="A33" s="1302"/>
      <c r="B33" s="1318"/>
      <c r="C33" s="1310" t="s">
        <v>110</v>
      </c>
      <c r="D33" s="40" t="s">
        <v>109</v>
      </c>
      <c r="E33" s="39" t="s">
        <v>1970</v>
      </c>
      <c r="F33" s="27" t="s">
        <v>107</v>
      </c>
      <c r="G33" s="41" t="s">
        <v>106</v>
      </c>
      <c r="H33" s="2" t="s">
        <v>1971</v>
      </c>
    </row>
    <row r="34" spans="1:8" ht="30" customHeight="1">
      <c r="A34" s="1302"/>
      <c r="B34" s="1318"/>
      <c r="C34" s="1309"/>
      <c r="D34" s="37" t="s">
        <v>109</v>
      </c>
      <c r="E34" s="36" t="s">
        <v>584</v>
      </c>
      <c r="F34" s="341" t="s">
        <v>107</v>
      </c>
      <c r="G34" s="338" t="s">
        <v>106</v>
      </c>
      <c r="H34" s="2" t="s">
        <v>1972</v>
      </c>
    </row>
    <row r="35" spans="1:8" ht="30" customHeight="1">
      <c r="A35" s="1302"/>
      <c r="B35" s="1318"/>
      <c r="C35" s="342" t="s">
        <v>1983</v>
      </c>
      <c r="D35" s="40" t="s">
        <v>1979</v>
      </c>
      <c r="E35" s="39" t="s">
        <v>1980</v>
      </c>
      <c r="F35" s="27" t="s">
        <v>1981</v>
      </c>
      <c r="G35" s="41" t="s">
        <v>1982</v>
      </c>
      <c r="H35" s="2" t="s">
        <v>1984</v>
      </c>
    </row>
    <row r="36" spans="1:8" ht="30" customHeight="1" thickBot="1">
      <c r="A36" s="1302"/>
      <c r="B36" s="1318"/>
      <c r="C36" s="335" t="s">
        <v>1985</v>
      </c>
      <c r="D36" s="37" t="s">
        <v>1988</v>
      </c>
      <c r="E36" s="36" t="s">
        <v>1987</v>
      </c>
      <c r="F36" s="341" t="s">
        <v>1986</v>
      </c>
      <c r="G36" s="338"/>
    </row>
    <row r="37" spans="1:8" ht="30" hidden="1" customHeight="1" thickBot="1">
      <c r="A37" s="1302"/>
      <c r="B37" s="1318"/>
      <c r="C37" s="60"/>
      <c r="D37" s="59"/>
      <c r="E37" s="29"/>
      <c r="F37" s="58"/>
      <c r="G37" s="339"/>
    </row>
    <row r="38" spans="1:8" ht="30" customHeight="1" thickBot="1">
      <c r="A38" s="1303"/>
      <c r="B38" s="1319"/>
      <c r="C38" s="12"/>
      <c r="D38" s="11"/>
      <c r="E38" s="10"/>
      <c r="F38" s="10"/>
      <c r="G38" s="9"/>
    </row>
    <row r="39" spans="1:8" ht="36" customHeight="1">
      <c r="A39" s="1301">
        <v>44686</v>
      </c>
      <c r="B39" s="1314" t="s">
        <v>1952</v>
      </c>
      <c r="C39" s="354" t="s">
        <v>1948</v>
      </c>
      <c r="D39" s="27" t="s">
        <v>327</v>
      </c>
      <c r="E39" s="27" t="s">
        <v>320</v>
      </c>
      <c r="F39" s="353"/>
      <c r="G39" s="350" t="s">
        <v>416</v>
      </c>
    </row>
    <row r="40" spans="1:8" ht="36" customHeight="1">
      <c r="A40" s="1302"/>
      <c r="B40" s="1315"/>
      <c r="C40" s="1310" t="s">
        <v>1953</v>
      </c>
      <c r="D40" s="27" t="s">
        <v>1954</v>
      </c>
      <c r="E40" s="27" t="s">
        <v>1955</v>
      </c>
      <c r="F40" s="27"/>
      <c r="G40" s="350"/>
    </row>
    <row r="41" spans="1:8" ht="36" customHeight="1">
      <c r="A41" s="1302"/>
      <c r="B41" s="1315"/>
      <c r="C41" s="1308"/>
      <c r="D41" s="40" t="s">
        <v>1956</v>
      </c>
      <c r="E41" s="39" t="s">
        <v>1957</v>
      </c>
      <c r="F41" s="353"/>
      <c r="G41" s="350"/>
    </row>
    <row r="42" spans="1:8" ht="36" customHeight="1">
      <c r="A42" s="1302"/>
      <c r="B42" s="1315"/>
      <c r="C42" s="1309"/>
      <c r="D42" s="27" t="s">
        <v>109</v>
      </c>
      <c r="E42" s="39" t="s">
        <v>1958</v>
      </c>
      <c r="F42" s="353" t="s">
        <v>1959</v>
      </c>
      <c r="G42" s="41"/>
    </row>
    <row r="43" spans="1:8" ht="36" customHeight="1">
      <c r="A43" s="1302"/>
      <c r="B43" s="1315"/>
      <c r="C43" s="1308" t="s">
        <v>1989</v>
      </c>
      <c r="D43" s="353" t="s">
        <v>1990</v>
      </c>
      <c r="E43" s="353" t="s">
        <v>1991</v>
      </c>
      <c r="F43" s="353"/>
      <c r="G43" s="1311" t="s">
        <v>1996</v>
      </c>
      <c r="H43" s="2" t="s">
        <v>1975</v>
      </c>
    </row>
    <row r="44" spans="1:8" ht="36" customHeight="1">
      <c r="A44" s="1302"/>
      <c r="B44" s="1315"/>
      <c r="C44" s="1308"/>
      <c r="D44" s="40" t="s">
        <v>1992</v>
      </c>
      <c r="E44" s="39" t="s">
        <v>1993</v>
      </c>
      <c r="F44" s="353"/>
      <c r="G44" s="1312"/>
    </row>
    <row r="45" spans="1:8" ht="36" customHeight="1" thickBot="1">
      <c r="A45" s="1302"/>
      <c r="B45" s="1315"/>
      <c r="C45" s="1324"/>
      <c r="D45" s="27" t="s">
        <v>1994</v>
      </c>
      <c r="E45" s="54" t="s">
        <v>1995</v>
      </c>
      <c r="F45" s="352"/>
      <c r="G45" s="1325"/>
    </row>
    <row r="46" spans="1:8" ht="36" customHeight="1" thickBot="1">
      <c r="A46" s="1303"/>
      <c r="B46" s="1316"/>
      <c r="C46" s="12"/>
      <c r="D46" s="11"/>
      <c r="E46" s="10"/>
      <c r="F46" s="10"/>
      <c r="G46" s="9"/>
    </row>
    <row r="47" spans="1:8" ht="30" hidden="1" customHeight="1">
      <c r="A47" s="1301">
        <v>44687</v>
      </c>
      <c r="B47" s="1314" t="s">
        <v>0</v>
      </c>
      <c r="C47" s="21"/>
      <c r="D47" s="22"/>
      <c r="E47" s="22"/>
      <c r="F47" s="97"/>
      <c r="G47" s="302"/>
    </row>
    <row r="48" spans="1:8" ht="30" customHeight="1">
      <c r="A48" s="1302"/>
      <c r="B48" s="1315"/>
      <c r="C48" s="349" t="s">
        <v>1998</v>
      </c>
      <c r="D48" s="27" t="s">
        <v>1999</v>
      </c>
      <c r="E48" s="27" t="s">
        <v>2000</v>
      </c>
      <c r="F48" s="353"/>
      <c r="G48" s="350"/>
    </row>
    <row r="49" spans="1:11" ht="30" customHeight="1">
      <c r="A49" s="1302"/>
      <c r="B49" s="1315"/>
      <c r="C49" s="349" t="s">
        <v>2001</v>
      </c>
      <c r="D49" s="27" t="s">
        <v>2002</v>
      </c>
      <c r="E49" s="27" t="s">
        <v>2003</v>
      </c>
      <c r="F49" s="353"/>
      <c r="G49" s="350" t="s">
        <v>2004</v>
      </c>
    </row>
    <row r="50" spans="1:11" ht="30" customHeight="1">
      <c r="A50" s="1302"/>
      <c r="B50" s="1315"/>
      <c r="C50" s="349" t="s">
        <v>2007</v>
      </c>
      <c r="D50" s="27" t="s">
        <v>2008</v>
      </c>
      <c r="E50" s="27" t="s">
        <v>2009</v>
      </c>
      <c r="F50" s="353"/>
      <c r="G50" s="350" t="s">
        <v>2004</v>
      </c>
    </row>
    <row r="51" spans="1:11" ht="30" customHeight="1">
      <c r="A51" s="1302"/>
      <c r="B51" s="1315"/>
      <c r="C51" s="1310" t="s">
        <v>1864</v>
      </c>
      <c r="D51" s="40" t="s">
        <v>1900</v>
      </c>
      <c r="E51" s="39" t="s">
        <v>1901</v>
      </c>
      <c r="F51" s="27"/>
      <c r="G51" s="350"/>
      <c r="H51" s="2" t="s">
        <v>1997</v>
      </c>
    </row>
    <row r="52" spans="1:11" ht="30" customHeight="1">
      <c r="A52" s="1302"/>
      <c r="B52" s="1315"/>
      <c r="C52" s="1308"/>
      <c r="D52" s="40" t="s">
        <v>1902</v>
      </c>
      <c r="E52" s="39" t="s">
        <v>1903</v>
      </c>
      <c r="F52" s="353"/>
      <c r="G52" s="41"/>
    </row>
    <row r="53" spans="1:11" ht="30" customHeight="1">
      <c r="A53" s="1302"/>
      <c r="B53" s="1315"/>
      <c r="C53" s="1308"/>
      <c r="D53" s="40" t="s">
        <v>1896</v>
      </c>
      <c r="E53" s="39" t="s">
        <v>1904</v>
      </c>
      <c r="F53" s="27"/>
      <c r="G53" s="41"/>
    </row>
    <row r="54" spans="1:11" ht="30" customHeight="1" thickBot="1">
      <c r="A54" s="1302"/>
      <c r="B54" s="1315"/>
      <c r="C54" s="1309"/>
      <c r="D54" s="37" t="s">
        <v>1977</v>
      </c>
      <c r="E54" s="36" t="s">
        <v>1978</v>
      </c>
      <c r="F54" s="353"/>
      <c r="G54" s="350"/>
    </row>
    <row r="55" spans="1:11" ht="30" customHeight="1" thickBot="1">
      <c r="A55" s="1303"/>
      <c r="B55" s="1316"/>
      <c r="C55" s="12"/>
      <c r="D55" s="11"/>
      <c r="E55" s="10"/>
      <c r="F55" s="10"/>
      <c r="G55" s="9"/>
    </row>
    <row r="56" spans="1:11" ht="60" customHeight="1" thickBot="1">
      <c r="A56" s="1298" t="s">
        <v>5</v>
      </c>
      <c r="B56" s="1299"/>
      <c r="C56" s="1299"/>
      <c r="D56" s="1299"/>
      <c r="E56" s="1299"/>
      <c r="F56" s="1299"/>
      <c r="G56" s="1300"/>
    </row>
    <row r="57" spans="1:11" ht="36" customHeight="1">
      <c r="A57" s="1302">
        <v>44690</v>
      </c>
      <c r="B57" s="1315"/>
      <c r="C57" s="346" t="s">
        <v>1976</v>
      </c>
      <c r="D57" s="40" t="s">
        <v>327</v>
      </c>
      <c r="E57" s="39" t="s">
        <v>320</v>
      </c>
      <c r="F57" s="345"/>
      <c r="G57" s="343"/>
      <c r="H57" s="2" t="s">
        <v>1898</v>
      </c>
    </row>
    <row r="58" spans="1:11" ht="36" customHeight="1">
      <c r="A58" s="1302"/>
      <c r="B58" s="1315"/>
      <c r="C58" s="346" t="s">
        <v>383</v>
      </c>
      <c r="D58" s="27" t="s">
        <v>109</v>
      </c>
      <c r="E58" s="27" t="s">
        <v>1835</v>
      </c>
      <c r="F58" s="345" t="s">
        <v>298</v>
      </c>
      <c r="G58" s="343"/>
      <c r="H58" s="2" t="s">
        <v>1632</v>
      </c>
    </row>
    <row r="59" spans="1:11" ht="36" customHeight="1" thickBot="1">
      <c r="A59" s="1302"/>
      <c r="B59" s="1315"/>
      <c r="C59" s="346" t="s">
        <v>2027</v>
      </c>
      <c r="D59" s="40" t="s">
        <v>2028</v>
      </c>
      <c r="E59" s="39" t="s">
        <v>2029</v>
      </c>
      <c r="F59" s="27"/>
      <c r="G59" s="41" t="s">
        <v>2030</v>
      </c>
      <c r="H59" s="2" t="s">
        <v>2031</v>
      </c>
    </row>
    <row r="60" spans="1:11" ht="36" hidden="1" customHeight="1">
      <c r="A60" s="1302"/>
      <c r="B60" s="1315"/>
      <c r="C60" s="68"/>
      <c r="D60" s="67"/>
      <c r="E60" s="19"/>
      <c r="F60" s="66"/>
      <c r="G60" s="65"/>
      <c r="H60" s="88"/>
      <c r="I60" s="87"/>
      <c r="J60" s="87"/>
      <c r="K60" s="87"/>
    </row>
    <row r="61" spans="1:11" ht="36" hidden="1" customHeight="1" thickBot="1">
      <c r="A61" s="1302"/>
      <c r="B61" s="1315"/>
      <c r="C61" s="60"/>
      <c r="D61" s="59"/>
      <c r="E61" s="29"/>
      <c r="F61" s="58"/>
      <c r="G61" s="344"/>
      <c r="H61" s="88"/>
      <c r="I61" s="87"/>
      <c r="J61" s="87"/>
      <c r="K61" s="87"/>
    </row>
    <row r="62" spans="1:11" ht="36" customHeight="1" thickBot="1">
      <c r="A62" s="1303"/>
      <c r="B62" s="1316"/>
      <c r="C62" s="12"/>
      <c r="D62" s="11"/>
      <c r="E62" s="10"/>
      <c r="F62" s="10"/>
      <c r="G62" s="9"/>
    </row>
    <row r="63" spans="1:11" ht="36" customHeight="1">
      <c r="A63" s="1301">
        <v>44691</v>
      </c>
      <c r="B63" s="1314" t="s">
        <v>3</v>
      </c>
      <c r="C63" s="1307" t="s">
        <v>1264</v>
      </c>
      <c r="D63" s="27" t="s">
        <v>1265</v>
      </c>
      <c r="E63" s="27" t="s">
        <v>1328</v>
      </c>
      <c r="F63" s="353"/>
      <c r="G63" s="350"/>
      <c r="H63" s="2" t="s">
        <v>2006</v>
      </c>
    </row>
    <row r="64" spans="1:11" ht="36" customHeight="1">
      <c r="A64" s="1302"/>
      <c r="B64" s="1315"/>
      <c r="C64" s="1308"/>
      <c r="D64" s="27" t="s">
        <v>1334</v>
      </c>
      <c r="E64" s="27" t="s">
        <v>1279</v>
      </c>
      <c r="F64" s="353"/>
      <c r="G64" s="350"/>
    </row>
    <row r="65" spans="1:18" ht="36" customHeight="1">
      <c r="A65" s="1302"/>
      <c r="B65" s="1315"/>
      <c r="C65" s="1309"/>
      <c r="D65" s="27" t="s">
        <v>2023</v>
      </c>
      <c r="E65" s="27" t="s">
        <v>2024</v>
      </c>
      <c r="F65" s="353"/>
      <c r="G65" s="350"/>
    </row>
    <row r="66" spans="1:18" ht="36" customHeight="1">
      <c r="A66" s="1302"/>
      <c r="B66" s="1315"/>
      <c r="C66" s="354" t="s">
        <v>2010</v>
      </c>
      <c r="D66" s="40" t="s">
        <v>2011</v>
      </c>
      <c r="E66" s="39" t="s">
        <v>2012</v>
      </c>
      <c r="F66" s="27" t="s">
        <v>2013</v>
      </c>
      <c r="G66" s="41"/>
      <c r="H66" s="2" t="s">
        <v>2014</v>
      </c>
    </row>
    <row r="67" spans="1:18" ht="36" customHeight="1">
      <c r="A67" s="1302"/>
      <c r="B67" s="1315"/>
      <c r="C67" s="354" t="s">
        <v>2019</v>
      </c>
      <c r="D67" s="40" t="s">
        <v>2020</v>
      </c>
      <c r="E67" s="39" t="s">
        <v>2021</v>
      </c>
      <c r="F67" s="27"/>
      <c r="G67" s="41" t="s">
        <v>2022</v>
      </c>
      <c r="H67" s="2" t="s">
        <v>2025</v>
      </c>
    </row>
    <row r="68" spans="1:18" ht="36" customHeight="1">
      <c r="A68" s="1302"/>
      <c r="B68" s="1315"/>
      <c r="C68" s="348" t="s">
        <v>2026</v>
      </c>
      <c r="D68" s="37"/>
      <c r="E68" s="36"/>
      <c r="F68" s="353"/>
      <c r="G68" s="351"/>
    </row>
    <row r="69" spans="1:18" ht="36" customHeight="1">
      <c r="A69" s="1302"/>
      <c r="B69" s="1315"/>
      <c r="C69" s="349" t="s">
        <v>2005</v>
      </c>
      <c r="D69" s="27" t="s">
        <v>109</v>
      </c>
      <c r="E69" s="27" t="s">
        <v>1367</v>
      </c>
      <c r="F69" s="353" t="s">
        <v>298</v>
      </c>
      <c r="G69" s="351" t="s">
        <v>2046</v>
      </c>
    </row>
    <row r="70" spans="1:18" ht="36" customHeight="1">
      <c r="A70" s="1302"/>
      <c r="B70" s="1315"/>
      <c r="C70" s="354" t="s">
        <v>2032</v>
      </c>
      <c r="D70" s="40" t="s">
        <v>2065</v>
      </c>
      <c r="E70" s="39" t="s">
        <v>2033</v>
      </c>
      <c r="F70" s="27" t="s">
        <v>2034</v>
      </c>
      <c r="G70" s="41" t="s">
        <v>2035</v>
      </c>
      <c r="H70" s="2" t="s">
        <v>2038</v>
      </c>
    </row>
    <row r="71" spans="1:18" ht="36" customHeight="1">
      <c r="A71" s="1302"/>
      <c r="B71" s="1315"/>
      <c r="C71" s="1310" t="s">
        <v>2043</v>
      </c>
      <c r="D71" s="40" t="s">
        <v>109</v>
      </c>
      <c r="E71" s="39" t="s">
        <v>2044</v>
      </c>
      <c r="F71" s="27" t="s">
        <v>2056</v>
      </c>
      <c r="G71" s="1311" t="s">
        <v>2049</v>
      </c>
      <c r="H71" s="1345" t="s">
        <v>2048</v>
      </c>
      <c r="I71" s="1346"/>
      <c r="J71" s="1346"/>
      <c r="K71" s="1346"/>
      <c r="L71" s="1346"/>
      <c r="M71" s="1346"/>
      <c r="N71" s="1346"/>
      <c r="O71" s="1346"/>
      <c r="P71" s="1346"/>
      <c r="Q71" s="1346"/>
    </row>
    <row r="72" spans="1:18" ht="36" customHeight="1">
      <c r="A72" s="1302"/>
      <c r="B72" s="1315"/>
      <c r="C72" s="1308"/>
      <c r="D72" s="40" t="s">
        <v>327</v>
      </c>
      <c r="E72" s="39" t="s">
        <v>2050</v>
      </c>
      <c r="F72" s="85"/>
      <c r="G72" s="1313"/>
      <c r="H72" s="1345"/>
      <c r="I72" s="1346"/>
      <c r="J72" s="1346"/>
      <c r="K72" s="1346"/>
      <c r="L72" s="1346"/>
      <c r="M72" s="1346"/>
      <c r="N72" s="1346"/>
      <c r="O72" s="1346"/>
      <c r="P72" s="1346"/>
      <c r="Q72" s="1346"/>
    </row>
    <row r="73" spans="1:18" ht="36" customHeight="1">
      <c r="A73" s="1302"/>
      <c r="B73" s="1315"/>
      <c r="C73" s="1309"/>
      <c r="D73" s="37" t="s">
        <v>109</v>
      </c>
      <c r="E73" s="36" t="s">
        <v>2045</v>
      </c>
      <c r="F73" s="353" t="s">
        <v>107</v>
      </c>
      <c r="G73" s="351" t="s">
        <v>2046</v>
      </c>
      <c r="H73" s="2" t="s">
        <v>2047</v>
      </c>
      <c r="R73" s="1" t="s">
        <v>2071</v>
      </c>
    </row>
    <row r="74" spans="1:18" ht="36" customHeight="1">
      <c r="A74" s="1302"/>
      <c r="B74" s="1315"/>
      <c r="C74" s="348" t="s">
        <v>2057</v>
      </c>
      <c r="D74" s="37" t="s">
        <v>2058</v>
      </c>
      <c r="E74" s="36" t="s">
        <v>2059</v>
      </c>
      <c r="F74" s="353"/>
      <c r="G74" s="351"/>
      <c r="H74" s="2" t="s">
        <v>2060</v>
      </c>
    </row>
    <row r="75" spans="1:18" ht="36" customHeight="1" thickBot="1">
      <c r="A75" s="1302"/>
      <c r="B75" s="1315"/>
      <c r="C75" s="354" t="s">
        <v>2066</v>
      </c>
      <c r="D75" s="37" t="s">
        <v>2058</v>
      </c>
      <c r="E75" s="39" t="s">
        <v>2067</v>
      </c>
      <c r="F75" s="27"/>
      <c r="G75" s="41" t="s">
        <v>2068</v>
      </c>
    </row>
    <row r="76" spans="1:18" ht="36" hidden="1" customHeight="1" thickBot="1">
      <c r="A76" s="1302"/>
      <c r="B76" s="1315"/>
      <c r="C76" s="60"/>
      <c r="D76" s="59"/>
      <c r="E76" s="29"/>
      <c r="F76" s="58"/>
      <c r="G76" s="347"/>
    </row>
    <row r="77" spans="1:18" ht="36" customHeight="1" thickBot="1">
      <c r="A77" s="1303"/>
      <c r="B77" s="1316"/>
      <c r="C77" s="12"/>
      <c r="D77" s="11"/>
      <c r="E77" s="10"/>
      <c r="F77" s="10"/>
      <c r="G77" s="9"/>
    </row>
    <row r="78" spans="1:18" ht="36" customHeight="1">
      <c r="A78" s="1301">
        <v>44692</v>
      </c>
      <c r="B78" s="1314" t="s">
        <v>2</v>
      </c>
      <c r="C78" s="363" t="s">
        <v>1746</v>
      </c>
      <c r="D78" s="40" t="s">
        <v>109</v>
      </c>
      <c r="E78" s="39" t="s">
        <v>1279</v>
      </c>
      <c r="F78" s="27" t="s">
        <v>2018</v>
      </c>
      <c r="G78" s="41" t="s">
        <v>1651</v>
      </c>
    </row>
    <row r="79" spans="1:18" ht="36" customHeight="1">
      <c r="A79" s="1302"/>
      <c r="B79" s="1315"/>
      <c r="C79" s="363" t="s">
        <v>1849</v>
      </c>
      <c r="D79" s="40" t="s">
        <v>327</v>
      </c>
      <c r="E79" s="39" t="s">
        <v>2016</v>
      </c>
      <c r="F79" s="362" t="s">
        <v>2017</v>
      </c>
      <c r="G79" s="41"/>
    </row>
    <row r="80" spans="1:18" ht="36" customHeight="1">
      <c r="A80" s="1302"/>
      <c r="B80" s="1315"/>
      <c r="C80" s="363" t="s">
        <v>2076</v>
      </c>
      <c r="D80" s="40" t="s">
        <v>2077</v>
      </c>
      <c r="E80" s="39" t="s">
        <v>2078</v>
      </c>
      <c r="F80" s="27"/>
      <c r="G80" s="41" t="s">
        <v>2079</v>
      </c>
      <c r="H80" s="365"/>
    </row>
    <row r="81" spans="1:8" ht="36" customHeight="1">
      <c r="A81" s="1302"/>
      <c r="B81" s="1315"/>
      <c r="C81" s="1310" t="s">
        <v>2083</v>
      </c>
      <c r="D81" s="40" t="s">
        <v>1592</v>
      </c>
      <c r="E81" s="39" t="s">
        <v>2081</v>
      </c>
      <c r="F81" s="27" t="s">
        <v>2082</v>
      </c>
      <c r="G81" s="41"/>
      <c r="H81" s="365" t="s">
        <v>2088</v>
      </c>
    </row>
    <row r="82" spans="1:8" ht="36" customHeight="1">
      <c r="A82" s="1302"/>
      <c r="B82" s="1315"/>
      <c r="C82" s="1309"/>
      <c r="D82" s="37" t="s">
        <v>1592</v>
      </c>
      <c r="E82" s="36" t="s">
        <v>2081</v>
      </c>
      <c r="F82" s="362" t="s">
        <v>2018</v>
      </c>
      <c r="G82" s="361"/>
      <c r="H82" s="365"/>
    </row>
    <row r="83" spans="1:8" ht="36" customHeight="1" thickBot="1">
      <c r="A83" s="1302"/>
      <c r="B83" s="1315"/>
      <c r="C83" s="359" t="s">
        <v>2092</v>
      </c>
      <c r="D83" s="37" t="s">
        <v>1592</v>
      </c>
      <c r="E83" s="362" t="s">
        <v>2090</v>
      </c>
      <c r="F83" s="362" t="s">
        <v>2018</v>
      </c>
      <c r="G83" s="360" t="s">
        <v>2091</v>
      </c>
      <c r="H83" s="365" t="s">
        <v>2089</v>
      </c>
    </row>
    <row r="84" spans="1:8" ht="36" hidden="1" customHeight="1" thickBot="1">
      <c r="A84" s="1302"/>
      <c r="B84" s="1315"/>
      <c r="C84" s="21"/>
      <c r="D84" s="20"/>
      <c r="E84" s="19"/>
      <c r="F84" s="97"/>
      <c r="G84" s="357"/>
      <c r="H84" s="365"/>
    </row>
    <row r="85" spans="1:8" ht="36" customHeight="1" thickBot="1">
      <c r="A85" s="1303"/>
      <c r="B85" s="1316"/>
      <c r="C85" s="12"/>
      <c r="D85" s="11"/>
      <c r="E85" s="10"/>
      <c r="F85" s="10"/>
      <c r="G85" s="9"/>
    </row>
    <row r="86" spans="1:8" ht="36" customHeight="1">
      <c r="A86" s="1301">
        <v>44693</v>
      </c>
      <c r="B86" s="1314" t="s">
        <v>1</v>
      </c>
      <c r="C86" s="1307" t="s">
        <v>2039</v>
      </c>
      <c r="D86" s="94" t="s">
        <v>2015</v>
      </c>
      <c r="E86" s="93" t="s">
        <v>2036</v>
      </c>
      <c r="F86" s="71" t="s">
        <v>2037</v>
      </c>
      <c r="G86" s="92" t="s">
        <v>2091</v>
      </c>
      <c r="H86" s="365" t="s">
        <v>2093</v>
      </c>
    </row>
    <row r="87" spans="1:8" ht="36" customHeight="1">
      <c r="A87" s="1302"/>
      <c r="B87" s="1315"/>
      <c r="C87" s="1308"/>
      <c r="D87" s="37" t="s">
        <v>327</v>
      </c>
      <c r="E87" s="36" t="s">
        <v>2096</v>
      </c>
      <c r="F87" s="369"/>
      <c r="G87" s="41"/>
      <c r="H87" s="365"/>
    </row>
    <row r="88" spans="1:8" ht="36" customHeight="1">
      <c r="A88" s="1302"/>
      <c r="B88" s="1315"/>
      <c r="C88" s="1308"/>
      <c r="D88" s="369" t="s">
        <v>2040</v>
      </c>
      <c r="E88" s="369" t="s">
        <v>2114</v>
      </c>
      <c r="F88" s="369"/>
      <c r="G88" s="368"/>
    </row>
    <row r="89" spans="1:8" ht="36" customHeight="1">
      <c r="A89" s="1302"/>
      <c r="B89" s="1315"/>
      <c r="C89" s="1309"/>
      <c r="D89" s="40" t="s">
        <v>2041</v>
      </c>
      <c r="E89" s="39" t="s">
        <v>2042</v>
      </c>
      <c r="F89" s="369"/>
      <c r="G89" s="41"/>
    </row>
    <row r="90" spans="1:8" ht="36" customHeight="1">
      <c r="A90" s="1302"/>
      <c r="B90" s="1315"/>
      <c r="C90" s="370" t="s">
        <v>2084</v>
      </c>
      <c r="D90" s="40" t="s">
        <v>1592</v>
      </c>
      <c r="E90" s="39" t="s">
        <v>2085</v>
      </c>
      <c r="F90" s="27" t="s">
        <v>2086</v>
      </c>
      <c r="G90" s="41" t="s">
        <v>1591</v>
      </c>
      <c r="H90" s="2" t="s">
        <v>2087</v>
      </c>
    </row>
    <row r="91" spans="1:8" ht="36" customHeight="1">
      <c r="A91" s="1302"/>
      <c r="B91" s="1315"/>
      <c r="C91" s="370" t="s">
        <v>2076</v>
      </c>
      <c r="D91" s="40" t="s">
        <v>2080</v>
      </c>
      <c r="E91" s="39" t="s">
        <v>2078</v>
      </c>
      <c r="F91" s="27"/>
      <c r="G91" s="41" t="s">
        <v>2079</v>
      </c>
      <c r="H91" s="365"/>
    </row>
    <row r="92" spans="1:8" ht="36" customHeight="1">
      <c r="A92" s="1302"/>
      <c r="B92" s="1315"/>
      <c r="C92" s="370" t="s">
        <v>2074</v>
      </c>
      <c r="D92" s="40" t="s">
        <v>1592</v>
      </c>
      <c r="E92" s="39" t="s">
        <v>2108</v>
      </c>
      <c r="F92" s="27" t="s">
        <v>2018</v>
      </c>
      <c r="G92" s="41" t="s">
        <v>2079</v>
      </c>
      <c r="H92" s="365" t="s">
        <v>2097</v>
      </c>
    </row>
    <row r="93" spans="1:8" ht="36" customHeight="1">
      <c r="A93" s="1302"/>
      <c r="B93" s="1315"/>
      <c r="C93" s="1310" t="s">
        <v>2104</v>
      </c>
      <c r="D93" s="40" t="s">
        <v>1330</v>
      </c>
      <c r="E93" s="36" t="s">
        <v>2105</v>
      </c>
      <c r="F93" s="369" t="s">
        <v>298</v>
      </c>
      <c r="G93" s="1311" t="s">
        <v>2107</v>
      </c>
      <c r="H93" s="372"/>
    </row>
    <row r="94" spans="1:8" ht="36" customHeight="1">
      <c r="A94" s="1302"/>
      <c r="B94" s="1315"/>
      <c r="C94" s="1309"/>
      <c r="D94" s="37" t="s">
        <v>327</v>
      </c>
      <c r="E94" s="36" t="s">
        <v>2106</v>
      </c>
      <c r="F94" s="369"/>
      <c r="G94" s="1313"/>
      <c r="H94" s="372"/>
    </row>
    <row r="95" spans="1:8" ht="36" customHeight="1">
      <c r="A95" s="1302"/>
      <c r="B95" s="1315"/>
      <c r="C95" s="370" t="s">
        <v>2099</v>
      </c>
      <c r="D95" s="40" t="s">
        <v>1709</v>
      </c>
      <c r="E95" s="39" t="s">
        <v>2100</v>
      </c>
      <c r="F95" s="27" t="s">
        <v>2101</v>
      </c>
      <c r="G95" s="41" t="s">
        <v>2102</v>
      </c>
      <c r="H95" s="372" t="s">
        <v>2103</v>
      </c>
    </row>
    <row r="96" spans="1:8" ht="36" customHeight="1" thickBot="1">
      <c r="A96" s="1302"/>
      <c r="B96" s="1315"/>
      <c r="C96" s="366" t="s">
        <v>2110</v>
      </c>
      <c r="D96" s="40" t="s">
        <v>1330</v>
      </c>
      <c r="E96" s="36" t="s">
        <v>2111</v>
      </c>
      <c r="F96" s="369" t="s">
        <v>107</v>
      </c>
      <c r="G96" s="367" t="s">
        <v>2112</v>
      </c>
      <c r="H96" s="372" t="s">
        <v>2113</v>
      </c>
    </row>
    <row r="97" spans="1:8" ht="36" hidden="1" customHeight="1">
      <c r="A97" s="1302"/>
      <c r="B97" s="1315"/>
      <c r="C97" s="371"/>
      <c r="D97" s="34"/>
      <c r="E97" s="33"/>
      <c r="F97" s="97"/>
      <c r="G97" s="315"/>
      <c r="H97" s="372"/>
    </row>
    <row r="98" spans="1:8" ht="36" hidden="1" customHeight="1" thickBot="1">
      <c r="A98" s="1302"/>
      <c r="B98" s="1315"/>
      <c r="C98" s="364"/>
      <c r="D98" s="30"/>
      <c r="E98" s="29"/>
      <c r="F98" s="14"/>
      <c r="G98" s="358"/>
      <c r="H98" s="365"/>
    </row>
    <row r="99" spans="1:8" ht="36" customHeight="1" thickBot="1">
      <c r="A99" s="1303"/>
      <c r="B99" s="1316"/>
      <c r="C99" s="12"/>
      <c r="D99" s="11"/>
      <c r="E99" s="10"/>
      <c r="F99" s="10"/>
      <c r="G99" s="9"/>
    </row>
    <row r="100" spans="1:8" ht="36" customHeight="1">
      <c r="A100" s="1301">
        <v>44694</v>
      </c>
      <c r="B100" s="1317" t="s">
        <v>0</v>
      </c>
      <c r="C100" s="1307" t="s">
        <v>1826</v>
      </c>
      <c r="D100" s="27" t="s">
        <v>1827</v>
      </c>
      <c r="E100" s="27" t="s">
        <v>1838</v>
      </c>
      <c r="F100" s="374"/>
      <c r="G100" s="373"/>
    </row>
    <row r="101" spans="1:8" ht="36" customHeight="1">
      <c r="A101" s="1302"/>
      <c r="B101" s="1318"/>
      <c r="C101" s="1309"/>
      <c r="D101" s="27" t="s">
        <v>681</v>
      </c>
      <c r="E101" s="27" t="s">
        <v>2072</v>
      </c>
      <c r="F101" s="374"/>
      <c r="G101" s="373"/>
    </row>
    <row r="102" spans="1:8" ht="36" customHeight="1">
      <c r="A102" s="1302"/>
      <c r="B102" s="1318"/>
      <c r="C102" s="375" t="s">
        <v>466</v>
      </c>
      <c r="D102" s="40" t="s">
        <v>1709</v>
      </c>
      <c r="E102" s="39" t="s">
        <v>452</v>
      </c>
      <c r="F102" s="374" t="s">
        <v>2069</v>
      </c>
      <c r="G102" s="373" t="s">
        <v>2070</v>
      </c>
    </row>
    <row r="103" spans="1:8" ht="36" customHeight="1">
      <c r="A103" s="1302"/>
      <c r="B103" s="1318"/>
      <c r="C103" s="375" t="s">
        <v>1473</v>
      </c>
      <c r="D103" s="40" t="s">
        <v>1330</v>
      </c>
      <c r="E103" s="39" t="s">
        <v>2109</v>
      </c>
      <c r="F103" s="27" t="s">
        <v>2018</v>
      </c>
      <c r="G103" s="41"/>
    </row>
    <row r="104" spans="1:8" ht="36" customHeight="1" thickBot="1">
      <c r="A104" s="1302"/>
      <c r="B104" s="1318"/>
      <c r="C104" s="375" t="s">
        <v>2073</v>
      </c>
      <c r="D104" s="27" t="s">
        <v>1974</v>
      </c>
      <c r="E104" s="27" t="s">
        <v>1674</v>
      </c>
      <c r="F104" s="27"/>
      <c r="G104" s="41" t="s">
        <v>2117</v>
      </c>
      <c r="H104" s="376" t="s">
        <v>2119</v>
      </c>
    </row>
    <row r="105" spans="1:8" ht="36" hidden="1" customHeight="1">
      <c r="A105" s="1302"/>
      <c r="B105" s="1318"/>
      <c r="C105" s="356"/>
      <c r="D105" s="34"/>
      <c r="E105" s="33"/>
      <c r="F105" s="97"/>
      <c r="G105" s="315"/>
    </row>
    <row r="106" spans="1:8" ht="36" hidden="1" customHeight="1" thickBot="1">
      <c r="A106" s="1302"/>
      <c r="B106" s="1318"/>
      <c r="C106" s="355"/>
      <c r="D106" s="30"/>
      <c r="E106" s="29"/>
      <c r="F106" s="14"/>
      <c r="G106" s="358"/>
    </row>
    <row r="107" spans="1:8" ht="36" customHeight="1" thickBot="1">
      <c r="A107" s="1303"/>
      <c r="B107" s="1319"/>
      <c r="C107" s="12"/>
      <c r="D107" s="11"/>
      <c r="E107" s="10"/>
      <c r="F107" s="10"/>
      <c r="G107" s="9"/>
    </row>
    <row r="108" spans="1:8" ht="60" customHeight="1" thickBot="1">
      <c r="A108" s="1298" t="s">
        <v>5</v>
      </c>
      <c r="B108" s="1299"/>
      <c r="C108" s="1299"/>
      <c r="D108" s="1299"/>
      <c r="E108" s="1299"/>
      <c r="F108" s="1299"/>
      <c r="G108" s="1300"/>
    </row>
    <row r="109" spans="1:8" ht="36" customHeight="1">
      <c r="A109" s="1342">
        <v>44697</v>
      </c>
      <c r="B109" s="1304" t="s">
        <v>4</v>
      </c>
      <c r="C109" s="1307" t="s">
        <v>2115</v>
      </c>
      <c r="D109" s="71" t="s">
        <v>1603</v>
      </c>
      <c r="E109" s="71" t="s">
        <v>1497</v>
      </c>
      <c r="F109" s="71"/>
      <c r="G109" s="1322" t="s">
        <v>2120</v>
      </c>
      <c r="H109" s="376"/>
    </row>
    <row r="110" spans="1:8" ht="36" customHeight="1">
      <c r="A110" s="1343"/>
      <c r="B110" s="1305"/>
      <c r="C110" s="1308"/>
      <c r="D110" s="40" t="s">
        <v>2116</v>
      </c>
      <c r="E110" s="39" t="s">
        <v>1876</v>
      </c>
      <c r="F110" s="27"/>
      <c r="G110" s="1312"/>
      <c r="H110" s="376" t="s">
        <v>1632</v>
      </c>
    </row>
    <row r="111" spans="1:8" ht="36" customHeight="1" thickBot="1">
      <c r="A111" s="1343"/>
      <c r="B111" s="1305"/>
      <c r="C111" s="1309"/>
      <c r="D111" s="381" t="s">
        <v>2123</v>
      </c>
      <c r="E111" s="381" t="s">
        <v>2124</v>
      </c>
      <c r="F111" s="381"/>
      <c r="G111" s="1313"/>
    </row>
    <row r="112" spans="1:8" ht="36" hidden="1" customHeight="1" thickBot="1">
      <c r="A112" s="1343"/>
      <c r="B112" s="1305"/>
      <c r="C112" s="21"/>
      <c r="D112" s="22"/>
      <c r="E112" s="22"/>
      <c r="F112" s="97"/>
      <c r="G112" s="302"/>
    </row>
    <row r="113" spans="1:10" ht="36" hidden="1" customHeight="1">
      <c r="A113" s="1343"/>
      <c r="B113" s="1305"/>
      <c r="C113" s="21"/>
      <c r="D113" s="20"/>
      <c r="E113" s="19"/>
      <c r="F113" s="22"/>
      <c r="G113" s="96"/>
      <c r="H113" s="2" t="s">
        <v>2098</v>
      </c>
    </row>
    <row r="114" spans="1:10" ht="36" hidden="1" customHeight="1" thickBot="1">
      <c r="A114" s="1343"/>
      <c r="B114" s="1305"/>
      <c r="C114" s="301"/>
      <c r="D114" s="16"/>
      <c r="E114" s="15"/>
      <c r="F114" s="14"/>
      <c r="G114" s="302"/>
    </row>
    <row r="115" spans="1:10" ht="36" customHeight="1" thickBot="1">
      <c r="A115" s="1344"/>
      <c r="B115" s="1306"/>
      <c r="C115" s="12"/>
      <c r="D115" s="11"/>
      <c r="E115" s="10"/>
      <c r="F115" s="10"/>
      <c r="G115" s="9"/>
    </row>
    <row r="116" spans="1:10" ht="36" customHeight="1">
      <c r="A116" s="1301">
        <v>44698</v>
      </c>
      <c r="B116" s="1314" t="s">
        <v>88</v>
      </c>
      <c r="C116" s="386" t="s">
        <v>2051</v>
      </c>
      <c r="D116" s="27" t="s">
        <v>2041</v>
      </c>
      <c r="E116" s="27" t="s">
        <v>2052</v>
      </c>
      <c r="F116" s="385" t="s">
        <v>2053</v>
      </c>
      <c r="G116" s="383" t="s">
        <v>2055</v>
      </c>
      <c r="H116" s="2" t="s">
        <v>2054</v>
      </c>
    </row>
    <row r="117" spans="1:10" ht="36" customHeight="1">
      <c r="A117" s="1302"/>
      <c r="B117" s="1315"/>
      <c r="C117" s="386" t="s">
        <v>2094</v>
      </c>
      <c r="D117" s="27" t="s">
        <v>1974</v>
      </c>
      <c r="E117" s="27" t="s">
        <v>525</v>
      </c>
      <c r="F117" s="385"/>
      <c r="G117" s="383"/>
      <c r="H117" s="2" t="s">
        <v>2095</v>
      </c>
    </row>
    <row r="118" spans="1:10" ht="36" customHeight="1">
      <c r="A118" s="1302"/>
      <c r="B118" s="1315"/>
      <c r="C118" s="386" t="s">
        <v>1973</v>
      </c>
      <c r="D118" s="27" t="s">
        <v>1974</v>
      </c>
      <c r="E118" s="27" t="s">
        <v>525</v>
      </c>
      <c r="F118" s="385"/>
      <c r="G118" s="383"/>
      <c r="H118" s="2" t="s">
        <v>2118</v>
      </c>
    </row>
    <row r="119" spans="1:10" ht="36" customHeight="1">
      <c r="A119" s="1302"/>
      <c r="B119" s="1315"/>
      <c r="C119" s="1310" t="s">
        <v>2127</v>
      </c>
      <c r="D119" s="27" t="s">
        <v>2128</v>
      </c>
      <c r="E119" s="27" t="s">
        <v>2129</v>
      </c>
      <c r="F119" s="385"/>
      <c r="G119" s="383"/>
      <c r="H119" s="382"/>
    </row>
    <row r="120" spans="1:10" ht="36" customHeight="1">
      <c r="A120" s="1302"/>
      <c r="B120" s="1315"/>
      <c r="C120" s="1309"/>
      <c r="D120" s="27" t="s">
        <v>109</v>
      </c>
      <c r="E120" s="27" t="s">
        <v>2130</v>
      </c>
      <c r="F120" s="385" t="s">
        <v>2131</v>
      </c>
      <c r="G120" s="383"/>
      <c r="H120" s="382"/>
    </row>
    <row r="121" spans="1:10" ht="36" customHeight="1">
      <c r="A121" s="1302"/>
      <c r="B121" s="1315"/>
      <c r="C121" s="386" t="s">
        <v>110</v>
      </c>
      <c r="D121" s="27" t="s">
        <v>109</v>
      </c>
      <c r="E121" s="27" t="s">
        <v>584</v>
      </c>
      <c r="F121" s="385" t="s">
        <v>2132</v>
      </c>
      <c r="G121" s="383" t="s">
        <v>106</v>
      </c>
      <c r="H121" s="382" t="s">
        <v>2133</v>
      </c>
    </row>
    <row r="122" spans="1:10" ht="36" customHeight="1">
      <c r="A122" s="1302"/>
      <c r="B122" s="1315"/>
      <c r="C122" s="386" t="s">
        <v>2135</v>
      </c>
      <c r="D122" s="40" t="s">
        <v>2136</v>
      </c>
      <c r="E122" s="39" t="s">
        <v>2153</v>
      </c>
      <c r="F122" s="27"/>
      <c r="G122" s="41" t="s">
        <v>1487</v>
      </c>
      <c r="H122" s="372" t="s">
        <v>2137</v>
      </c>
      <c r="J122" s="388" t="s">
        <v>2145</v>
      </c>
    </row>
    <row r="123" spans="1:10" ht="36" customHeight="1">
      <c r="A123" s="1302"/>
      <c r="B123" s="1315"/>
      <c r="C123" s="1308" t="s">
        <v>2162</v>
      </c>
      <c r="D123" s="394" t="s">
        <v>1466</v>
      </c>
      <c r="E123" s="394" t="s">
        <v>1483</v>
      </c>
      <c r="F123" s="1320" t="s">
        <v>1760</v>
      </c>
      <c r="G123" s="1312" t="s">
        <v>2126</v>
      </c>
      <c r="H123" s="387" t="s">
        <v>1631</v>
      </c>
    </row>
    <row r="124" spans="1:10" ht="36" customHeight="1" thickBot="1">
      <c r="A124" s="1302"/>
      <c r="B124" s="1315"/>
      <c r="C124" s="1309"/>
      <c r="D124" s="27" t="s">
        <v>1535</v>
      </c>
      <c r="E124" s="27" t="s">
        <v>1502</v>
      </c>
      <c r="F124" s="1321"/>
      <c r="G124" s="1313"/>
      <c r="H124" s="387" t="s">
        <v>1631</v>
      </c>
    </row>
    <row r="125" spans="1:10" ht="36" hidden="1" customHeight="1">
      <c r="A125" s="1302"/>
      <c r="B125" s="1315"/>
      <c r="C125" s="64"/>
      <c r="D125" s="63"/>
      <c r="E125" s="33"/>
      <c r="F125" s="62"/>
      <c r="G125" s="61"/>
      <c r="H125" s="387"/>
      <c r="J125" s="388"/>
    </row>
    <row r="126" spans="1:10" ht="36" hidden="1" customHeight="1" thickBot="1">
      <c r="A126" s="1302"/>
      <c r="B126" s="1315"/>
      <c r="C126" s="60"/>
      <c r="D126" s="59"/>
      <c r="E126" s="29"/>
      <c r="F126" s="58"/>
      <c r="G126" s="384"/>
      <c r="H126" s="387"/>
      <c r="J126" s="388"/>
    </row>
    <row r="127" spans="1:10" ht="36" customHeight="1" thickBot="1">
      <c r="A127" s="1303"/>
      <c r="B127" s="1316"/>
      <c r="C127" s="12"/>
      <c r="D127" s="11"/>
      <c r="E127" s="10"/>
      <c r="F127" s="10"/>
      <c r="G127" s="9"/>
    </row>
    <row r="128" spans="1:10" ht="36" customHeight="1">
      <c r="A128" s="1301">
        <v>44699</v>
      </c>
      <c r="B128" s="1317" t="s">
        <v>2</v>
      </c>
      <c r="C128" s="1307" t="s">
        <v>2125</v>
      </c>
      <c r="D128" s="27" t="s">
        <v>109</v>
      </c>
      <c r="E128" s="27" t="s">
        <v>1745</v>
      </c>
      <c r="F128" s="394"/>
      <c r="G128" s="41"/>
      <c r="H128" s="387"/>
    </row>
    <row r="129" spans="1:8" ht="36" customHeight="1">
      <c r="A129" s="1302"/>
      <c r="B129" s="1318"/>
      <c r="C129" s="1308"/>
      <c r="D129" s="27" t="s">
        <v>327</v>
      </c>
      <c r="E129" s="27" t="s">
        <v>1505</v>
      </c>
      <c r="F129" s="394"/>
      <c r="G129" s="41"/>
      <c r="H129" s="387"/>
    </row>
    <row r="130" spans="1:8" ht="36" customHeight="1">
      <c r="A130" s="1302"/>
      <c r="B130" s="1318"/>
      <c r="C130" s="1308"/>
      <c r="D130" s="27" t="s">
        <v>1496</v>
      </c>
      <c r="E130" s="27" t="s">
        <v>2114</v>
      </c>
      <c r="F130" s="394"/>
      <c r="G130" s="41"/>
      <c r="H130" s="387"/>
    </row>
    <row r="131" spans="1:8" ht="36" customHeight="1">
      <c r="A131" s="1302"/>
      <c r="B131" s="1318"/>
      <c r="C131" s="1308"/>
      <c r="D131" s="27" t="s">
        <v>1470</v>
      </c>
      <c r="E131" s="27" t="s">
        <v>1453</v>
      </c>
      <c r="F131" s="394"/>
      <c r="G131" s="41"/>
      <c r="H131" s="387"/>
    </row>
    <row r="132" spans="1:8" ht="36" customHeight="1">
      <c r="A132" s="1302"/>
      <c r="B132" s="1318"/>
      <c r="C132" s="1308"/>
      <c r="D132" s="27" t="s">
        <v>2155</v>
      </c>
      <c r="E132" s="27" t="s">
        <v>2156</v>
      </c>
      <c r="F132" s="394"/>
      <c r="G132" s="393" t="s">
        <v>2157</v>
      </c>
      <c r="H132" s="387" t="s">
        <v>2158</v>
      </c>
    </row>
    <row r="133" spans="1:8" ht="36" customHeight="1">
      <c r="A133" s="1302"/>
      <c r="B133" s="1318"/>
      <c r="C133" s="395" t="s">
        <v>2147</v>
      </c>
      <c r="D133" s="27" t="s">
        <v>2148</v>
      </c>
      <c r="E133" s="27" t="s">
        <v>2149</v>
      </c>
      <c r="F133" s="394"/>
      <c r="G133" s="391" t="s">
        <v>2150</v>
      </c>
      <c r="H133" s="382"/>
    </row>
    <row r="134" spans="1:8" ht="36" customHeight="1">
      <c r="A134" s="1302"/>
      <c r="B134" s="1318"/>
      <c r="C134" s="395" t="s">
        <v>2159</v>
      </c>
      <c r="D134" s="40" t="s">
        <v>2160</v>
      </c>
      <c r="E134" s="39" t="s">
        <v>2161</v>
      </c>
      <c r="F134" s="394"/>
      <c r="G134" s="391"/>
    </row>
    <row r="135" spans="1:8" ht="36" customHeight="1">
      <c r="A135" s="1302"/>
      <c r="B135" s="1318"/>
      <c r="C135" s="1310" t="s">
        <v>110</v>
      </c>
      <c r="D135" s="40" t="s">
        <v>109</v>
      </c>
      <c r="E135" s="39" t="s">
        <v>584</v>
      </c>
      <c r="F135" s="27" t="s">
        <v>2166</v>
      </c>
      <c r="G135" s="41" t="s">
        <v>106</v>
      </c>
      <c r="H135" s="397" t="s">
        <v>2167</v>
      </c>
    </row>
    <row r="136" spans="1:8" ht="36" customHeight="1">
      <c r="A136" s="1302"/>
      <c r="B136" s="1318"/>
      <c r="C136" s="1308"/>
      <c r="D136" s="40" t="s">
        <v>109</v>
      </c>
      <c r="E136" s="39" t="s">
        <v>584</v>
      </c>
      <c r="F136" s="27" t="s">
        <v>2166</v>
      </c>
      <c r="G136" s="41" t="s">
        <v>106</v>
      </c>
      <c r="H136" s="397" t="s">
        <v>2171</v>
      </c>
    </row>
    <row r="137" spans="1:8" ht="36" customHeight="1">
      <c r="A137" s="1302"/>
      <c r="B137" s="1318"/>
      <c r="C137" s="1309"/>
      <c r="D137" s="40" t="s">
        <v>109</v>
      </c>
      <c r="E137" s="39" t="s">
        <v>584</v>
      </c>
      <c r="F137" s="27" t="s">
        <v>2166</v>
      </c>
      <c r="G137" s="41" t="s">
        <v>106</v>
      </c>
      <c r="H137" s="397" t="s">
        <v>2173</v>
      </c>
    </row>
    <row r="138" spans="1:8" ht="36" customHeight="1" thickBot="1">
      <c r="A138" s="1302"/>
      <c r="B138" s="1318"/>
      <c r="C138" s="390" t="s">
        <v>2168</v>
      </c>
      <c r="D138" s="37" t="s">
        <v>2169</v>
      </c>
      <c r="E138" s="36" t="s">
        <v>2170</v>
      </c>
      <c r="F138" s="394"/>
      <c r="G138" s="392" t="s">
        <v>1591</v>
      </c>
      <c r="H138" s="397"/>
    </row>
    <row r="139" spans="1:8" ht="36" hidden="1" customHeight="1" thickBot="1">
      <c r="A139" s="1302"/>
      <c r="B139" s="1318"/>
      <c r="C139" s="396"/>
      <c r="D139" s="30"/>
      <c r="E139" s="29"/>
      <c r="F139" s="14"/>
      <c r="G139" s="358"/>
    </row>
    <row r="140" spans="1:8" ht="36" customHeight="1" thickBot="1">
      <c r="A140" s="1302"/>
      <c r="B140" s="1318"/>
      <c r="C140" s="12" t="s">
        <v>1963</v>
      </c>
      <c r="D140" s="11" t="s">
        <v>1964</v>
      </c>
      <c r="E140" s="10" t="s">
        <v>1965</v>
      </c>
      <c r="F140" s="10" t="s">
        <v>2134</v>
      </c>
      <c r="G140" s="9"/>
    </row>
    <row r="141" spans="1:8" ht="36" customHeight="1" thickBot="1">
      <c r="A141" s="1303"/>
      <c r="B141" s="1319"/>
      <c r="C141" s="12" t="s">
        <v>1966</v>
      </c>
      <c r="D141" s="11" t="s">
        <v>1967</v>
      </c>
      <c r="E141" s="10" t="s">
        <v>1968</v>
      </c>
      <c r="F141" s="10" t="s">
        <v>1969</v>
      </c>
      <c r="G141" s="9"/>
      <c r="H141" s="382"/>
    </row>
    <row r="142" spans="1:8" ht="36" customHeight="1">
      <c r="A142" s="1301">
        <v>44700</v>
      </c>
      <c r="B142" s="1314" t="s">
        <v>1</v>
      </c>
      <c r="C142" s="404" t="s">
        <v>1839</v>
      </c>
      <c r="D142" s="27" t="s">
        <v>1831</v>
      </c>
      <c r="E142" s="27" t="s">
        <v>2075</v>
      </c>
      <c r="F142" s="403"/>
      <c r="G142" s="400"/>
    </row>
    <row r="143" spans="1:8" ht="36" customHeight="1">
      <c r="A143" s="1302"/>
      <c r="B143" s="1315"/>
      <c r="C143" s="404" t="s">
        <v>2146</v>
      </c>
      <c r="D143" s="27" t="s">
        <v>2151</v>
      </c>
      <c r="E143" s="27" t="s">
        <v>2152</v>
      </c>
      <c r="F143" s="403"/>
      <c r="G143" s="400" t="s">
        <v>350</v>
      </c>
      <c r="H143" s="2" t="s">
        <v>349</v>
      </c>
    </row>
    <row r="144" spans="1:8" ht="36" customHeight="1">
      <c r="A144" s="1302"/>
      <c r="B144" s="1315"/>
      <c r="C144" s="404" t="s">
        <v>1022</v>
      </c>
      <c r="D144" s="40" t="s">
        <v>169</v>
      </c>
      <c r="E144" s="39" t="s">
        <v>382</v>
      </c>
      <c r="F144" s="403"/>
      <c r="G144" s="400" t="s">
        <v>416</v>
      </c>
    </row>
    <row r="145" spans="1:8" ht="36" customHeight="1">
      <c r="A145" s="1302"/>
      <c r="B145" s="1315"/>
      <c r="C145" s="404" t="s">
        <v>2176</v>
      </c>
      <c r="D145" s="40" t="s">
        <v>109</v>
      </c>
      <c r="E145" s="39" t="s">
        <v>2177</v>
      </c>
      <c r="F145" s="27" t="s">
        <v>2178</v>
      </c>
      <c r="G145" s="41" t="s">
        <v>1442</v>
      </c>
      <c r="H145" s="2" t="s">
        <v>2179</v>
      </c>
    </row>
    <row r="146" spans="1:8" ht="36" customHeight="1" thickBot="1">
      <c r="A146" s="1302"/>
      <c r="B146" s="1315"/>
      <c r="C146" s="399" t="s">
        <v>2180</v>
      </c>
      <c r="D146" s="44" t="s">
        <v>2181</v>
      </c>
      <c r="E146" s="43" t="s">
        <v>2182</v>
      </c>
      <c r="F146" s="402"/>
      <c r="G146" s="401"/>
      <c r="H146" s="398"/>
    </row>
    <row r="147" spans="1:8" ht="36" customHeight="1" thickBot="1">
      <c r="A147" s="1303"/>
      <c r="B147" s="1316"/>
      <c r="C147" s="12"/>
      <c r="D147" s="11"/>
      <c r="E147" s="10"/>
      <c r="F147" s="10"/>
      <c r="G147" s="9"/>
    </row>
    <row r="148" spans="1:8" ht="36" customHeight="1">
      <c r="A148" s="1301">
        <v>44701</v>
      </c>
      <c r="B148" s="1314" t="s">
        <v>0</v>
      </c>
      <c r="C148" s="1307" t="s">
        <v>1475</v>
      </c>
      <c r="D148" s="40" t="s">
        <v>2144</v>
      </c>
      <c r="E148" s="39" t="s">
        <v>1549</v>
      </c>
      <c r="F148" s="403"/>
      <c r="G148" s="400"/>
    </row>
    <row r="149" spans="1:8" ht="36" customHeight="1">
      <c r="A149" s="1302"/>
      <c r="B149" s="1315"/>
      <c r="C149" s="1308"/>
      <c r="D149" s="40" t="s">
        <v>1734</v>
      </c>
      <c r="E149" s="39" t="s">
        <v>1548</v>
      </c>
      <c r="F149" s="403"/>
      <c r="G149" s="400"/>
    </row>
    <row r="150" spans="1:8" ht="36" customHeight="1">
      <c r="A150" s="1302"/>
      <c r="B150" s="1315"/>
      <c r="C150" s="1309"/>
      <c r="D150" s="40" t="s">
        <v>2174</v>
      </c>
      <c r="E150" s="39" t="s">
        <v>2175</v>
      </c>
      <c r="F150" s="403"/>
      <c r="G150" s="400"/>
      <c r="H150" s="387"/>
    </row>
    <row r="151" spans="1:8" ht="36" customHeight="1" thickBot="1">
      <c r="A151" s="1302"/>
      <c r="B151" s="1315"/>
      <c r="C151" s="404" t="s">
        <v>1382</v>
      </c>
      <c r="D151" s="40" t="s">
        <v>2202</v>
      </c>
      <c r="E151" s="39" t="s">
        <v>2203</v>
      </c>
      <c r="F151" s="27" t="s">
        <v>2204</v>
      </c>
      <c r="G151" s="41" t="s">
        <v>2205</v>
      </c>
      <c r="H151" s="2" t="s">
        <v>2206</v>
      </c>
    </row>
    <row r="152" spans="1:8" ht="36" hidden="1" customHeight="1">
      <c r="A152" s="1302"/>
      <c r="B152" s="1315"/>
      <c r="C152" s="21"/>
      <c r="D152" s="20"/>
      <c r="E152" s="19"/>
      <c r="F152" s="97"/>
      <c r="G152" s="96"/>
      <c r="H152" s="407"/>
    </row>
    <row r="153" spans="1:8" ht="36" hidden="1" customHeight="1">
      <c r="A153" s="1302"/>
      <c r="B153" s="1315"/>
      <c r="C153" s="406"/>
      <c r="D153" s="34"/>
      <c r="E153" s="33"/>
      <c r="F153" s="97"/>
      <c r="G153" s="315"/>
      <c r="H153" s="407"/>
    </row>
    <row r="154" spans="1:8" ht="36" hidden="1" customHeight="1" thickBot="1">
      <c r="A154" s="1302"/>
      <c r="B154" s="1315"/>
      <c r="C154" s="405"/>
      <c r="D154" s="30"/>
      <c r="E154" s="29"/>
      <c r="F154" s="14"/>
      <c r="G154" s="358"/>
    </row>
    <row r="155" spans="1:8" ht="36" customHeight="1" thickBot="1">
      <c r="A155" s="1303"/>
      <c r="B155" s="1316"/>
      <c r="C155" s="12" t="s">
        <v>1961</v>
      </c>
      <c r="D155" s="11" t="s">
        <v>1842</v>
      </c>
      <c r="E155" s="10" t="s">
        <v>1962</v>
      </c>
      <c r="F155" s="10" t="s">
        <v>2172</v>
      </c>
      <c r="G155" s="9"/>
      <c r="H155" s="382"/>
    </row>
    <row r="156" spans="1:8" ht="60" customHeight="1" thickBot="1">
      <c r="A156" s="1298" t="s">
        <v>5</v>
      </c>
      <c r="B156" s="1299"/>
      <c r="C156" s="1299"/>
      <c r="D156" s="1299"/>
      <c r="E156" s="1299"/>
      <c r="F156" s="1299"/>
      <c r="G156" s="1300"/>
    </row>
    <row r="157" spans="1:8" ht="36" customHeight="1">
      <c r="A157" s="1301">
        <v>44704</v>
      </c>
      <c r="B157" s="1314" t="s">
        <v>4</v>
      </c>
      <c r="C157" s="420" t="s">
        <v>2183</v>
      </c>
      <c r="D157" s="27" t="s">
        <v>2184</v>
      </c>
      <c r="E157" s="27" t="s">
        <v>2185</v>
      </c>
      <c r="F157" s="419"/>
      <c r="G157" s="418"/>
    </row>
    <row r="158" spans="1:8" ht="36" customHeight="1" thickBot="1">
      <c r="A158" s="1302"/>
      <c r="B158" s="1315"/>
      <c r="C158" s="21"/>
      <c r="D158" s="22"/>
      <c r="E158" s="22"/>
      <c r="F158" s="97"/>
      <c r="G158" s="302"/>
    </row>
    <row r="159" spans="1:8" ht="36" hidden="1" customHeight="1">
      <c r="A159" s="1302"/>
      <c r="B159" s="1315"/>
      <c r="C159" s="21"/>
      <c r="D159" s="20"/>
      <c r="E159" s="19"/>
      <c r="F159" s="97"/>
      <c r="G159" s="302"/>
    </row>
    <row r="160" spans="1:8" ht="36" hidden="1" customHeight="1" thickBot="1">
      <c r="A160" s="1302"/>
      <c r="B160" s="1315"/>
      <c r="C160" s="301"/>
      <c r="D160" s="16"/>
      <c r="E160" s="15"/>
      <c r="F160" s="14"/>
      <c r="G160" s="302"/>
    </row>
    <row r="161" spans="1:8" ht="36" customHeight="1" thickBot="1">
      <c r="A161" s="1303"/>
      <c r="B161" s="1316"/>
      <c r="C161" s="12"/>
      <c r="D161" s="11"/>
      <c r="E161" s="10"/>
      <c r="F161" s="10"/>
      <c r="G161" s="9"/>
    </row>
    <row r="162" spans="1:8" ht="36" customHeight="1">
      <c r="A162" s="1301">
        <v>44705</v>
      </c>
      <c r="B162" s="1317" t="s">
        <v>3</v>
      </c>
      <c r="C162" s="1310" t="s">
        <v>2186</v>
      </c>
      <c r="D162" s="40" t="s">
        <v>2187</v>
      </c>
      <c r="E162" s="39" t="s">
        <v>2221</v>
      </c>
      <c r="F162" s="419" t="s">
        <v>2188</v>
      </c>
      <c r="G162" s="1311" t="s">
        <v>2189</v>
      </c>
      <c r="H162" s="407" t="s">
        <v>2190</v>
      </c>
    </row>
    <row r="163" spans="1:8" ht="36" customHeight="1">
      <c r="A163" s="1302"/>
      <c r="B163" s="1318"/>
      <c r="C163" s="1309"/>
      <c r="D163" s="40" t="s">
        <v>2191</v>
      </c>
      <c r="E163" s="39" t="s">
        <v>2222</v>
      </c>
      <c r="F163" s="419"/>
      <c r="G163" s="1313"/>
      <c r="H163" s="407" t="s">
        <v>2192</v>
      </c>
    </row>
    <row r="164" spans="1:8" ht="36" customHeight="1">
      <c r="A164" s="1302"/>
      <c r="B164" s="1318"/>
      <c r="C164" s="416" t="s">
        <v>2209</v>
      </c>
      <c r="D164" s="40" t="s">
        <v>2210</v>
      </c>
      <c r="E164" s="39" t="s">
        <v>2211</v>
      </c>
      <c r="F164" s="419"/>
      <c r="G164" s="27"/>
      <c r="H164" s="408"/>
    </row>
    <row r="165" spans="1:8" ht="36" customHeight="1">
      <c r="A165" s="1302"/>
      <c r="B165" s="1318"/>
      <c r="C165" s="416" t="s">
        <v>2212</v>
      </c>
      <c r="D165" s="40" t="s">
        <v>2213</v>
      </c>
      <c r="E165" s="39" t="s">
        <v>2214</v>
      </c>
      <c r="F165" s="419"/>
      <c r="G165" s="27"/>
      <c r="H165" s="408" t="s">
        <v>2220</v>
      </c>
    </row>
    <row r="166" spans="1:8" ht="36" customHeight="1">
      <c r="A166" s="1302"/>
      <c r="B166" s="1318"/>
      <c r="C166" s="416"/>
      <c r="D166" s="40"/>
      <c r="E166" s="39"/>
      <c r="F166" s="419"/>
      <c r="G166" s="27"/>
      <c r="H166" s="412"/>
    </row>
    <row r="167" spans="1:8" ht="36" customHeight="1" thickBot="1">
      <c r="A167" s="1302"/>
      <c r="B167" s="1318"/>
      <c r="C167" s="420" t="s">
        <v>2216</v>
      </c>
      <c r="D167" s="27" t="s">
        <v>2217</v>
      </c>
      <c r="E167" s="27" t="s">
        <v>1691</v>
      </c>
      <c r="F167" s="419" t="s">
        <v>2218</v>
      </c>
      <c r="G167" s="418" t="s">
        <v>2219</v>
      </c>
      <c r="H167" s="2" t="s">
        <v>2190</v>
      </c>
    </row>
    <row r="168" spans="1:8" ht="36" hidden="1" customHeight="1">
      <c r="A168" s="1302"/>
      <c r="B168" s="1318"/>
      <c r="C168" s="21"/>
      <c r="D168" s="22"/>
      <c r="E168" s="22"/>
      <c r="F168" s="97"/>
      <c r="G168" s="302"/>
    </row>
    <row r="169" spans="1:8" ht="36" hidden="1" customHeight="1">
      <c r="A169" s="1302"/>
      <c r="B169" s="1318"/>
      <c r="C169" s="21"/>
      <c r="D169" s="20"/>
      <c r="E169" s="19"/>
      <c r="F169" s="97"/>
      <c r="G169" s="302"/>
    </row>
    <row r="170" spans="1:8" ht="36" hidden="1" customHeight="1" thickBot="1">
      <c r="A170" s="1302"/>
      <c r="B170" s="1318"/>
      <c r="C170" s="301"/>
      <c r="D170" s="16"/>
      <c r="E170" s="15"/>
      <c r="F170" s="14"/>
      <c r="G170" s="302"/>
    </row>
    <row r="171" spans="1:8" ht="36" customHeight="1" thickBot="1">
      <c r="A171" s="1303"/>
      <c r="B171" s="1319"/>
      <c r="C171" s="12"/>
      <c r="D171" s="11"/>
      <c r="E171" s="10"/>
      <c r="F171" s="10"/>
      <c r="G171" s="9"/>
    </row>
    <row r="172" spans="1:8" ht="36" customHeight="1">
      <c r="A172" s="1301">
        <v>44706</v>
      </c>
      <c r="B172" s="1314" t="s">
        <v>2</v>
      </c>
      <c r="C172" s="1307" t="s">
        <v>2197</v>
      </c>
      <c r="D172" s="27" t="s">
        <v>2198</v>
      </c>
      <c r="E172" s="27" t="s">
        <v>2193</v>
      </c>
      <c r="F172" s="1332" t="s">
        <v>2201</v>
      </c>
      <c r="G172" s="409"/>
    </row>
    <row r="173" spans="1:8" ht="36" customHeight="1">
      <c r="A173" s="1302"/>
      <c r="B173" s="1315"/>
      <c r="C173" s="1309"/>
      <c r="D173" s="27" t="s">
        <v>2199</v>
      </c>
      <c r="E173" s="27" t="s">
        <v>2200</v>
      </c>
      <c r="F173" s="1321"/>
      <c r="G173" s="409"/>
    </row>
    <row r="174" spans="1:8" ht="36" customHeight="1">
      <c r="A174" s="1302"/>
      <c r="B174" s="1315"/>
      <c r="C174" s="411" t="s">
        <v>2074</v>
      </c>
      <c r="D174" s="27" t="s">
        <v>2207</v>
      </c>
      <c r="E174" s="27" t="s">
        <v>1935</v>
      </c>
      <c r="F174" s="410" t="s">
        <v>2208</v>
      </c>
      <c r="G174" s="409"/>
      <c r="H174" s="408" t="s">
        <v>2215</v>
      </c>
    </row>
    <row r="175" spans="1:8" ht="36" customHeight="1">
      <c r="A175" s="1302"/>
      <c r="B175" s="1315"/>
      <c r="C175" s="1310" t="s">
        <v>2237</v>
      </c>
      <c r="D175" s="27" t="s">
        <v>2238</v>
      </c>
      <c r="E175" s="27" t="s">
        <v>2239</v>
      </c>
      <c r="F175" s="410"/>
      <c r="G175" s="1311" t="s">
        <v>2236</v>
      </c>
      <c r="H175" s="412"/>
    </row>
    <row r="176" spans="1:8" ht="36" customHeight="1">
      <c r="A176" s="1302"/>
      <c r="B176" s="1315"/>
      <c r="C176" s="1309"/>
      <c r="D176" s="27" t="s">
        <v>2240</v>
      </c>
      <c r="E176" s="27" t="s">
        <v>2241</v>
      </c>
      <c r="F176" s="410"/>
      <c r="G176" s="1313"/>
      <c r="H176" s="412"/>
    </row>
    <row r="177" spans="1:8" ht="36" customHeight="1">
      <c r="A177" s="1302"/>
      <c r="B177" s="1315"/>
      <c r="C177" s="1310" t="s">
        <v>2230</v>
      </c>
      <c r="D177" s="27" t="s">
        <v>2231</v>
      </c>
      <c r="E177" s="27" t="s">
        <v>2232</v>
      </c>
      <c r="F177" s="410"/>
      <c r="G177" s="1311" t="s">
        <v>2236</v>
      </c>
      <c r="H177" s="412"/>
    </row>
    <row r="178" spans="1:8" ht="36" customHeight="1">
      <c r="A178" s="1302"/>
      <c r="B178" s="1315"/>
      <c r="C178" s="1309"/>
      <c r="D178" s="27" t="s">
        <v>2234</v>
      </c>
      <c r="E178" s="27" t="s">
        <v>2233</v>
      </c>
      <c r="F178" s="410" t="s">
        <v>2235</v>
      </c>
      <c r="G178" s="1313"/>
      <c r="H178" s="412"/>
    </row>
    <row r="179" spans="1:8" ht="36" customHeight="1" thickBot="1">
      <c r="A179" s="1302"/>
      <c r="B179" s="1315"/>
      <c r="C179" s="411" t="s">
        <v>2242</v>
      </c>
      <c r="D179" s="27" t="s">
        <v>2231</v>
      </c>
      <c r="E179" s="39" t="s">
        <v>2243</v>
      </c>
      <c r="F179" s="410"/>
      <c r="G179" s="409" t="s">
        <v>2244</v>
      </c>
    </row>
    <row r="180" spans="1:8" ht="36" hidden="1" customHeight="1" thickBot="1">
      <c r="A180" s="1302"/>
      <c r="B180" s="1315"/>
      <c r="C180" s="301"/>
      <c r="D180" s="16"/>
      <c r="E180" s="15"/>
      <c r="F180" s="14"/>
      <c r="G180" s="302"/>
    </row>
    <row r="181" spans="1:8" ht="36" customHeight="1" thickBot="1">
      <c r="A181" s="1303"/>
      <c r="B181" s="1316"/>
      <c r="C181" s="12"/>
      <c r="D181" s="11"/>
      <c r="E181" s="10"/>
      <c r="F181" s="10"/>
      <c r="G181" s="9"/>
    </row>
    <row r="182" spans="1:8" ht="36" customHeight="1">
      <c r="A182" s="1301">
        <v>44707</v>
      </c>
      <c r="B182" s="1314" t="s">
        <v>1</v>
      </c>
      <c r="C182" s="1307" t="s">
        <v>1840</v>
      </c>
      <c r="D182" s="27" t="s">
        <v>1930</v>
      </c>
      <c r="E182" s="27" t="s">
        <v>1857</v>
      </c>
      <c r="F182" s="419"/>
      <c r="G182" s="418"/>
    </row>
    <row r="183" spans="1:8" ht="36" customHeight="1">
      <c r="A183" s="1302"/>
      <c r="B183" s="1315"/>
      <c r="C183" s="1309"/>
      <c r="D183" s="27" t="s">
        <v>8</v>
      </c>
      <c r="E183" s="27" t="s">
        <v>1929</v>
      </c>
      <c r="F183" s="419"/>
      <c r="G183" s="418"/>
    </row>
    <row r="184" spans="1:8" ht="36" customHeight="1">
      <c r="A184" s="1302"/>
      <c r="B184" s="1315"/>
      <c r="C184" s="420" t="s">
        <v>2163</v>
      </c>
      <c r="D184" s="40" t="s">
        <v>109</v>
      </c>
      <c r="E184" s="39" t="s">
        <v>2164</v>
      </c>
      <c r="F184" s="419" t="s">
        <v>2165</v>
      </c>
      <c r="G184" s="418"/>
    </row>
    <row r="185" spans="1:8" ht="36" customHeight="1">
      <c r="A185" s="1302"/>
      <c r="B185" s="1315"/>
      <c r="C185" s="417" t="s">
        <v>2249</v>
      </c>
      <c r="D185" s="55" t="s">
        <v>2250</v>
      </c>
      <c r="E185" s="54" t="s">
        <v>2251</v>
      </c>
      <c r="F185" s="27"/>
      <c r="G185" s="418"/>
      <c r="H185" s="413"/>
    </row>
    <row r="186" spans="1:8" ht="36" customHeight="1">
      <c r="A186" s="1302"/>
      <c r="B186" s="1315"/>
      <c r="C186" s="417" t="s">
        <v>1506</v>
      </c>
      <c r="D186" s="55" t="s">
        <v>2252</v>
      </c>
      <c r="E186" s="54" t="s">
        <v>2253</v>
      </c>
      <c r="F186" s="27"/>
      <c r="G186" s="418" t="s">
        <v>2254</v>
      </c>
      <c r="H186" s="413"/>
    </row>
    <row r="187" spans="1:8" ht="36" customHeight="1" thickBot="1">
      <c r="A187" s="1302"/>
      <c r="B187" s="1315"/>
      <c r="C187" s="301"/>
      <c r="D187" s="16"/>
      <c r="E187" s="15"/>
      <c r="F187" s="22"/>
      <c r="G187" s="302"/>
    </row>
    <row r="188" spans="1:8" ht="36" customHeight="1" thickBot="1">
      <c r="A188" s="1303"/>
      <c r="B188" s="1316"/>
      <c r="C188" s="12"/>
      <c r="D188" s="11"/>
      <c r="E188" s="10"/>
      <c r="F188" s="79"/>
      <c r="G188" s="9"/>
    </row>
    <row r="189" spans="1:8" ht="36" customHeight="1">
      <c r="A189" s="1301">
        <v>44708</v>
      </c>
      <c r="B189" s="1314" t="s">
        <v>0</v>
      </c>
      <c r="C189" s="420" t="s">
        <v>2245</v>
      </c>
      <c r="D189" s="27" t="s">
        <v>2246</v>
      </c>
      <c r="E189" s="27" t="s">
        <v>2247</v>
      </c>
      <c r="F189" s="419"/>
      <c r="G189" s="418" t="s">
        <v>2248</v>
      </c>
    </row>
    <row r="190" spans="1:8" ht="36" customHeight="1">
      <c r="A190" s="1302"/>
      <c r="B190" s="1315"/>
      <c r="C190" s="420" t="s">
        <v>1262</v>
      </c>
      <c r="D190" s="40" t="s">
        <v>1330</v>
      </c>
      <c r="E190" s="39" t="s">
        <v>1353</v>
      </c>
      <c r="F190" s="27" t="s">
        <v>2255</v>
      </c>
      <c r="G190" s="41" t="s">
        <v>1370</v>
      </c>
      <c r="H190" s="415"/>
    </row>
    <row r="191" spans="1:8" ht="36" customHeight="1">
      <c r="A191" s="1302"/>
      <c r="B191" s="1315"/>
      <c r="C191" s="1310" t="s">
        <v>2007</v>
      </c>
      <c r="D191" s="40" t="s">
        <v>2256</v>
      </c>
      <c r="E191" s="39" t="s">
        <v>2257</v>
      </c>
      <c r="F191" s="419"/>
      <c r="G191" s="1311" t="s">
        <v>1442</v>
      </c>
      <c r="H191" s="415"/>
    </row>
    <row r="192" spans="1:8" ht="36" customHeight="1">
      <c r="A192" s="1302"/>
      <c r="B192" s="1315"/>
      <c r="C192" s="1308"/>
      <c r="D192" s="40" t="s">
        <v>2258</v>
      </c>
      <c r="E192" s="39" t="s">
        <v>2260</v>
      </c>
      <c r="F192" s="419"/>
      <c r="G192" s="1312"/>
      <c r="H192" s="415"/>
    </row>
    <row r="193" spans="1:8" ht="36" customHeight="1">
      <c r="A193" s="1302"/>
      <c r="B193" s="1315"/>
      <c r="C193" s="1309"/>
      <c r="D193" s="40" t="s">
        <v>2259</v>
      </c>
      <c r="E193" s="39" t="s">
        <v>2261</v>
      </c>
      <c r="F193" s="419"/>
      <c r="G193" s="1313"/>
      <c r="H193" s="415"/>
    </row>
    <row r="194" spans="1:8" ht="36" customHeight="1" thickBot="1">
      <c r="A194" s="1302"/>
      <c r="B194" s="1315"/>
      <c r="C194" s="21"/>
      <c r="D194" s="22"/>
      <c r="E194" s="22"/>
      <c r="F194" s="97"/>
      <c r="G194" s="302"/>
    </row>
    <row r="195" spans="1:8" ht="36" hidden="1" customHeight="1">
      <c r="A195" s="1302"/>
      <c r="B195" s="1315"/>
      <c r="C195" s="21"/>
      <c r="D195" s="20"/>
      <c r="E195" s="19"/>
      <c r="F195" s="97"/>
      <c r="G195" s="302"/>
    </row>
    <row r="196" spans="1:8" ht="36" hidden="1" customHeight="1" thickBot="1">
      <c r="A196" s="1302"/>
      <c r="B196" s="1315"/>
      <c r="C196" s="301"/>
      <c r="D196" s="16"/>
      <c r="E196" s="15"/>
      <c r="F196" s="14"/>
      <c r="G196" s="302"/>
    </row>
    <row r="197" spans="1:8" ht="36" customHeight="1" thickBot="1">
      <c r="A197" s="1303"/>
      <c r="B197" s="1316"/>
      <c r="C197" s="12"/>
      <c r="D197" s="11"/>
      <c r="E197" s="10"/>
      <c r="F197" s="10"/>
      <c r="G197" s="9"/>
    </row>
    <row r="198" spans="1:8" ht="60" customHeight="1" thickBot="1">
      <c r="A198" s="1298" t="s">
        <v>5</v>
      </c>
      <c r="B198" s="1299"/>
      <c r="C198" s="1299"/>
      <c r="D198" s="1299"/>
      <c r="E198" s="1299"/>
      <c r="F198" s="1299"/>
      <c r="G198" s="1300"/>
    </row>
    <row r="199" spans="1:8" ht="36" customHeight="1">
      <c r="A199" s="1301">
        <v>44711</v>
      </c>
      <c r="B199" s="1314" t="s">
        <v>4</v>
      </c>
      <c r="C199" s="426" t="s">
        <v>2262</v>
      </c>
      <c r="D199" s="27" t="s">
        <v>2263</v>
      </c>
      <c r="E199" s="27" t="s">
        <v>2264</v>
      </c>
      <c r="F199" s="425"/>
      <c r="G199" s="423" t="s">
        <v>1442</v>
      </c>
    </row>
    <row r="200" spans="1:8" ht="36" customHeight="1">
      <c r="A200" s="1302"/>
      <c r="B200" s="1315"/>
      <c r="C200" s="426" t="s">
        <v>2265</v>
      </c>
      <c r="D200" s="27" t="s">
        <v>2266</v>
      </c>
      <c r="E200" s="27"/>
      <c r="F200" s="425"/>
      <c r="G200" s="423"/>
    </row>
    <row r="201" spans="1:8" ht="36" customHeight="1">
      <c r="A201" s="1302"/>
      <c r="B201" s="1315"/>
      <c r="C201" s="426" t="s">
        <v>2267</v>
      </c>
      <c r="D201" s="40" t="s">
        <v>2268</v>
      </c>
      <c r="E201" s="39" t="s">
        <v>2269</v>
      </c>
      <c r="F201" s="425" t="s">
        <v>2270</v>
      </c>
      <c r="G201" s="423" t="s">
        <v>2275</v>
      </c>
      <c r="H201" s="2" t="s">
        <v>2271</v>
      </c>
    </row>
    <row r="202" spans="1:8" ht="36" customHeight="1" thickBot="1">
      <c r="A202" s="1302"/>
      <c r="B202" s="1315"/>
      <c r="C202" s="422" t="s">
        <v>2272</v>
      </c>
      <c r="D202" s="55" t="s">
        <v>2273</v>
      </c>
      <c r="E202" s="54" t="s">
        <v>2276</v>
      </c>
      <c r="F202" s="424"/>
      <c r="G202" s="423" t="s">
        <v>2274</v>
      </c>
      <c r="H202" s="421" t="s">
        <v>2277</v>
      </c>
    </row>
    <row r="203" spans="1:8" ht="36" customHeight="1" thickBot="1">
      <c r="A203" s="1303"/>
      <c r="B203" s="1316"/>
      <c r="C203" s="12"/>
      <c r="D203" s="11"/>
      <c r="E203" s="10"/>
      <c r="F203" s="10"/>
      <c r="G203" s="9"/>
    </row>
    <row r="204" spans="1:8" ht="36" customHeight="1">
      <c r="A204" s="1301">
        <v>44712</v>
      </c>
      <c r="B204" s="1314" t="s">
        <v>3</v>
      </c>
      <c r="C204" s="426" t="s">
        <v>2278</v>
      </c>
      <c r="D204" s="27" t="s">
        <v>2281</v>
      </c>
      <c r="E204" s="27" t="s">
        <v>2279</v>
      </c>
      <c r="F204" s="425"/>
      <c r="G204" s="423" t="s">
        <v>2280</v>
      </c>
    </row>
    <row r="205" spans="1:8" ht="36" customHeight="1">
      <c r="A205" s="1302"/>
      <c r="B205" s="1315"/>
      <c r="C205" s="426" t="s">
        <v>2311</v>
      </c>
      <c r="D205" s="27" t="s">
        <v>2312</v>
      </c>
      <c r="E205" s="27" t="s">
        <v>2313</v>
      </c>
      <c r="F205" s="425"/>
      <c r="G205" s="423" t="s">
        <v>2315</v>
      </c>
      <c r="H205" s="2" t="s">
        <v>2314</v>
      </c>
    </row>
    <row r="206" spans="1:8" ht="36" customHeight="1" thickBot="1">
      <c r="A206" s="1302"/>
      <c r="B206" s="1315"/>
      <c r="C206" s="21"/>
      <c r="D206" s="20"/>
      <c r="E206" s="19"/>
      <c r="F206" s="97"/>
      <c r="G206" s="302"/>
    </row>
    <row r="207" spans="1:8" ht="36" hidden="1" customHeight="1" thickBot="1">
      <c r="A207" s="1302"/>
      <c r="B207" s="1315"/>
      <c r="C207" s="301"/>
      <c r="D207" s="16"/>
      <c r="E207" s="15"/>
      <c r="F207" s="14"/>
      <c r="G207" s="302"/>
    </row>
    <row r="208" spans="1:8" ht="36" customHeight="1" thickBot="1">
      <c r="A208" s="1303"/>
      <c r="B208" s="1316"/>
      <c r="C208" s="12"/>
      <c r="D208" s="11"/>
      <c r="E208" s="10"/>
      <c r="F208" s="10"/>
      <c r="G208" s="9"/>
    </row>
  </sheetData>
  <mergeCells count="89">
    <mergeCell ref="C191:C193"/>
    <mergeCell ref="G191:G193"/>
    <mergeCell ref="C177:C178"/>
    <mergeCell ref="G177:G178"/>
    <mergeCell ref="G175:G176"/>
    <mergeCell ref="C175:C176"/>
    <mergeCell ref="A162:A171"/>
    <mergeCell ref="B162:B171"/>
    <mergeCell ref="C162:C163"/>
    <mergeCell ref="A63:A77"/>
    <mergeCell ref="B63:B77"/>
    <mergeCell ref="A78:A85"/>
    <mergeCell ref="B78:B85"/>
    <mergeCell ref="B86:B99"/>
    <mergeCell ref="A108:G108"/>
    <mergeCell ref="C109:C111"/>
    <mergeCell ref="C119:C120"/>
    <mergeCell ref="A116:A127"/>
    <mergeCell ref="C148:C150"/>
    <mergeCell ref="G162:G163"/>
    <mergeCell ref="H71:Q72"/>
    <mergeCell ref="G71:G72"/>
    <mergeCell ref="C100:C101"/>
    <mergeCell ref="C93:C94"/>
    <mergeCell ref="G93:G94"/>
    <mergeCell ref="C81:C82"/>
    <mergeCell ref="C40:C42"/>
    <mergeCell ref="G43:G45"/>
    <mergeCell ref="A39:A46"/>
    <mergeCell ref="B39:B46"/>
    <mergeCell ref="A57:A62"/>
    <mergeCell ref="B57:B62"/>
    <mergeCell ref="A1:G1"/>
    <mergeCell ref="A2:A19"/>
    <mergeCell ref="B2:B19"/>
    <mergeCell ref="A20:A25"/>
    <mergeCell ref="B20:B25"/>
    <mergeCell ref="C2:C3"/>
    <mergeCell ref="C20:C21"/>
    <mergeCell ref="C6:C11"/>
    <mergeCell ref="C12:C13"/>
    <mergeCell ref="C27:C30"/>
    <mergeCell ref="C33:C34"/>
    <mergeCell ref="A26:A38"/>
    <mergeCell ref="A100:A107"/>
    <mergeCell ref="A47:A55"/>
    <mergeCell ref="B47:B55"/>
    <mergeCell ref="A56:G56"/>
    <mergeCell ref="C63:C65"/>
    <mergeCell ref="C71:C73"/>
    <mergeCell ref="B26:B38"/>
    <mergeCell ref="C86:C89"/>
    <mergeCell ref="C31:C32"/>
    <mergeCell ref="C51:C54"/>
    <mergeCell ref="C43:C45"/>
    <mergeCell ref="B100:B107"/>
    <mergeCell ref="A86:A99"/>
    <mergeCell ref="A198:G198"/>
    <mergeCell ref="B116:B127"/>
    <mergeCell ref="G109:G111"/>
    <mergeCell ref="C128:C132"/>
    <mergeCell ref="F123:F124"/>
    <mergeCell ref="G123:G124"/>
    <mergeCell ref="C123:C124"/>
    <mergeCell ref="C135:C137"/>
    <mergeCell ref="A128:A141"/>
    <mergeCell ref="B128:B141"/>
    <mergeCell ref="B142:B147"/>
    <mergeCell ref="A148:A155"/>
    <mergeCell ref="B148:B155"/>
    <mergeCell ref="A142:A147"/>
    <mergeCell ref="A109:A115"/>
    <mergeCell ref="B109:B115"/>
    <mergeCell ref="A204:A208"/>
    <mergeCell ref="B204:B208"/>
    <mergeCell ref="A199:A203"/>
    <mergeCell ref="B199:B203"/>
    <mergeCell ref="A156:G156"/>
    <mergeCell ref="A157:A161"/>
    <mergeCell ref="B157:B161"/>
    <mergeCell ref="A172:A181"/>
    <mergeCell ref="B172:B181"/>
    <mergeCell ref="A182:A188"/>
    <mergeCell ref="C182:C183"/>
    <mergeCell ref="B182:B188"/>
    <mergeCell ref="A189:A197"/>
    <mergeCell ref="B189:B197"/>
    <mergeCell ref="C172:C173"/>
    <mergeCell ref="F172:F173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7"/>
  <sheetViews>
    <sheetView topLeftCell="A154" zoomScale="70" zoomScaleNormal="70" zoomScaleSheetLayoutView="70" workbookViewId="0">
      <selection activeCell="C175" sqref="C175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9.125" style="421" customWidth="1"/>
    <col min="9" max="17" width="9" style="1"/>
    <col min="18" max="18" width="12.25" style="1" bestFit="1" customWidth="1"/>
    <col min="19" max="19" width="15.5" style="1" bestFit="1" customWidth="1"/>
    <col min="20" max="20" width="18.5" style="1" customWidth="1"/>
    <col min="21" max="21" width="10.625" style="1" bestFit="1" customWidth="1"/>
    <col min="22" max="16384" width="9" style="1"/>
  </cols>
  <sheetData>
    <row r="1" spans="1:7" s="421" customFormat="1" ht="60" customHeight="1" thickBot="1">
      <c r="A1" s="1298" t="s">
        <v>5</v>
      </c>
      <c r="B1" s="1299"/>
      <c r="C1" s="1299"/>
      <c r="D1" s="1299"/>
      <c r="E1" s="1299"/>
      <c r="F1" s="1299"/>
      <c r="G1" s="1300"/>
    </row>
    <row r="2" spans="1:7" s="421" customFormat="1" ht="30" customHeight="1">
      <c r="A2" s="1301">
        <v>44713</v>
      </c>
      <c r="B2" s="1314" t="s">
        <v>2</v>
      </c>
      <c r="C2" s="433" t="s">
        <v>2306</v>
      </c>
      <c r="D2" s="27" t="s">
        <v>2307</v>
      </c>
      <c r="E2" s="27" t="s">
        <v>2308</v>
      </c>
      <c r="F2" s="432" t="s">
        <v>2309</v>
      </c>
      <c r="G2" s="431" t="s">
        <v>2310</v>
      </c>
    </row>
    <row r="3" spans="1:7" s="421" customFormat="1" ht="30" customHeight="1" thickBot="1">
      <c r="A3" s="1302"/>
      <c r="B3" s="1315"/>
      <c r="C3" s="21"/>
      <c r="D3" s="22"/>
      <c r="E3" s="22"/>
      <c r="F3" s="97"/>
      <c r="G3" s="357"/>
    </row>
    <row r="4" spans="1:7" s="421" customFormat="1" ht="30" hidden="1" customHeight="1">
      <c r="A4" s="1302"/>
      <c r="B4" s="1315"/>
      <c r="C4" s="21"/>
      <c r="D4" s="20"/>
      <c r="E4" s="19"/>
      <c r="F4" s="97"/>
      <c r="G4" s="357"/>
    </row>
    <row r="5" spans="1:7" s="421" customFormat="1" ht="30" hidden="1" customHeight="1" thickBot="1">
      <c r="A5" s="1302"/>
      <c r="B5" s="1315"/>
      <c r="C5" s="306"/>
      <c r="D5" s="16"/>
      <c r="E5" s="15"/>
      <c r="F5" s="14"/>
      <c r="G5" s="357"/>
    </row>
    <row r="6" spans="1:7" s="421" customFormat="1" ht="30" customHeight="1" thickBot="1">
      <c r="A6" s="1303"/>
      <c r="B6" s="1316"/>
      <c r="C6" s="12"/>
      <c r="D6" s="11"/>
      <c r="E6" s="10"/>
      <c r="F6" s="10"/>
      <c r="G6" s="9"/>
    </row>
    <row r="7" spans="1:7" s="421" customFormat="1" ht="30" customHeight="1">
      <c r="A7" s="1301">
        <v>44714</v>
      </c>
      <c r="B7" s="1314" t="s">
        <v>1</v>
      </c>
      <c r="C7" s="1339" t="s">
        <v>2295</v>
      </c>
      <c r="D7" s="22" t="s">
        <v>2296</v>
      </c>
      <c r="E7" s="22" t="s">
        <v>2297</v>
      </c>
      <c r="F7" s="97"/>
      <c r="G7" s="357"/>
    </row>
    <row r="8" spans="1:7" s="421" customFormat="1" ht="30" customHeight="1">
      <c r="A8" s="1302"/>
      <c r="B8" s="1315"/>
      <c r="C8" s="1340"/>
      <c r="D8" s="22" t="s">
        <v>2300</v>
      </c>
      <c r="E8" s="22" t="s">
        <v>2301</v>
      </c>
      <c r="F8" s="97" t="s">
        <v>2302</v>
      </c>
      <c r="G8" s="357"/>
    </row>
    <row r="9" spans="1:7" s="421" customFormat="1" ht="30" customHeight="1">
      <c r="A9" s="1302"/>
      <c r="B9" s="1315"/>
      <c r="C9" s="1341"/>
      <c r="D9" s="22" t="s">
        <v>2298</v>
      </c>
      <c r="E9" s="22" t="s">
        <v>2299</v>
      </c>
      <c r="F9" s="97"/>
      <c r="G9" s="357"/>
    </row>
    <row r="10" spans="1:7" s="428" customFormat="1" ht="30" customHeight="1">
      <c r="A10" s="1302"/>
      <c r="B10" s="1315"/>
      <c r="C10" s="21" t="s">
        <v>2323</v>
      </c>
      <c r="D10" s="22" t="s">
        <v>1330</v>
      </c>
      <c r="E10" s="22" t="s">
        <v>2324</v>
      </c>
      <c r="F10" s="22"/>
      <c r="G10" s="96" t="s">
        <v>2325</v>
      </c>
    </row>
    <row r="11" spans="1:7" s="428" customFormat="1" ht="30" customHeight="1">
      <c r="A11" s="1302"/>
      <c r="B11" s="1315"/>
      <c r="C11" s="21"/>
      <c r="D11" s="22"/>
      <c r="E11" s="22"/>
      <c r="F11" s="22"/>
      <c r="G11" s="96"/>
    </row>
    <row r="12" spans="1:7" s="421" customFormat="1" ht="30" customHeight="1" thickBot="1">
      <c r="A12" s="1302"/>
      <c r="B12" s="1315"/>
      <c r="C12" s="427"/>
      <c r="D12" s="30"/>
      <c r="E12" s="29"/>
      <c r="F12" s="14"/>
      <c r="G12" s="358"/>
    </row>
    <row r="13" spans="1:7" s="421" customFormat="1" ht="30" customHeight="1" thickBot="1">
      <c r="A13" s="1303"/>
      <c r="B13" s="1316"/>
      <c r="C13" s="12"/>
      <c r="D13" s="11"/>
      <c r="E13" s="10"/>
      <c r="F13" s="10"/>
      <c r="G13" s="9"/>
    </row>
    <row r="14" spans="1:7" s="421" customFormat="1" ht="30" hidden="1" customHeight="1">
      <c r="A14" s="1301"/>
      <c r="B14" s="1317" t="s">
        <v>0</v>
      </c>
      <c r="C14" s="21"/>
      <c r="D14" s="22"/>
      <c r="E14" s="22"/>
      <c r="F14" s="97"/>
      <c r="G14" s="357"/>
    </row>
    <row r="15" spans="1:7" s="421" customFormat="1" ht="30" hidden="1" customHeight="1">
      <c r="A15" s="1302"/>
      <c r="B15" s="1318"/>
      <c r="C15" s="21"/>
      <c r="D15" s="22"/>
      <c r="E15" s="22"/>
      <c r="F15" s="97"/>
      <c r="G15" s="357"/>
    </row>
    <row r="16" spans="1:7" s="421" customFormat="1" ht="30" hidden="1" customHeight="1">
      <c r="A16" s="1302"/>
      <c r="B16" s="1318"/>
      <c r="C16" s="21"/>
      <c r="D16" s="20"/>
      <c r="E16" s="19"/>
      <c r="F16" s="97"/>
      <c r="G16" s="357"/>
    </row>
    <row r="17" spans="1:7" s="421" customFormat="1" ht="30" hidden="1" customHeight="1" thickBot="1">
      <c r="A17" s="1302"/>
      <c r="B17" s="1318"/>
      <c r="C17" s="306"/>
      <c r="D17" s="16"/>
      <c r="E17" s="15"/>
      <c r="F17" s="14"/>
      <c r="G17" s="357"/>
    </row>
    <row r="18" spans="1:7" s="421" customFormat="1" ht="30" hidden="1" customHeight="1" thickBot="1">
      <c r="A18" s="1303"/>
      <c r="B18" s="1319"/>
      <c r="C18" s="12"/>
      <c r="D18" s="11"/>
      <c r="E18" s="10"/>
      <c r="F18" s="10"/>
      <c r="G18" s="9"/>
    </row>
    <row r="19" spans="1:7" s="421" customFormat="1" ht="60" customHeight="1" thickBot="1">
      <c r="A19" s="1298" t="s">
        <v>5</v>
      </c>
      <c r="B19" s="1299"/>
      <c r="C19" s="1299"/>
      <c r="D19" s="1299"/>
      <c r="E19" s="1299"/>
      <c r="F19" s="1299"/>
      <c r="G19" s="1300"/>
    </row>
    <row r="20" spans="1:7" s="421" customFormat="1" ht="36" hidden="1" customHeight="1">
      <c r="A20" s="1301"/>
      <c r="B20" s="1314" t="s">
        <v>4</v>
      </c>
      <c r="C20" s="21"/>
      <c r="D20" s="22"/>
      <c r="E20" s="22"/>
      <c r="F20" s="97"/>
      <c r="G20" s="357"/>
    </row>
    <row r="21" spans="1:7" s="421" customFormat="1" ht="36" hidden="1" customHeight="1">
      <c r="A21" s="1302"/>
      <c r="B21" s="1315"/>
      <c r="C21" s="21"/>
      <c r="D21" s="22"/>
      <c r="E21" s="22"/>
      <c r="F21" s="97"/>
      <c r="G21" s="357"/>
    </row>
    <row r="22" spans="1:7" s="421" customFormat="1" ht="36" hidden="1" customHeight="1">
      <c r="A22" s="1302"/>
      <c r="B22" s="1315"/>
      <c r="C22" s="21"/>
      <c r="D22" s="20"/>
      <c r="E22" s="19"/>
      <c r="F22" s="97"/>
      <c r="G22" s="357"/>
    </row>
    <row r="23" spans="1:7" s="421" customFormat="1" ht="36" hidden="1" customHeight="1" thickBot="1">
      <c r="A23" s="1302"/>
      <c r="B23" s="1315"/>
      <c r="C23" s="306"/>
      <c r="D23" s="16"/>
      <c r="E23" s="15"/>
      <c r="F23" s="14"/>
      <c r="G23" s="357"/>
    </row>
    <row r="24" spans="1:7" s="421" customFormat="1" ht="36" hidden="1" customHeight="1" thickBot="1">
      <c r="A24" s="1303"/>
      <c r="B24" s="1316"/>
      <c r="C24" s="12"/>
      <c r="D24" s="11"/>
      <c r="E24" s="10"/>
      <c r="F24" s="10"/>
      <c r="G24" s="9"/>
    </row>
    <row r="25" spans="1:7" s="421" customFormat="1" ht="36" customHeight="1">
      <c r="A25" s="1301">
        <v>44719</v>
      </c>
      <c r="B25" s="1314" t="s">
        <v>3</v>
      </c>
      <c r="C25" s="1307" t="s">
        <v>1864</v>
      </c>
      <c r="D25" s="27" t="s">
        <v>2282</v>
      </c>
      <c r="E25" s="27" t="s">
        <v>2283</v>
      </c>
      <c r="F25" s="435"/>
      <c r="G25" s="434"/>
    </row>
    <row r="26" spans="1:7" s="421" customFormat="1" ht="36" customHeight="1">
      <c r="A26" s="1302"/>
      <c r="B26" s="1315"/>
      <c r="C26" s="1308"/>
      <c r="D26" s="27" t="s">
        <v>2284</v>
      </c>
      <c r="E26" s="27" t="s">
        <v>2285</v>
      </c>
      <c r="F26" s="435"/>
      <c r="G26" s="434"/>
    </row>
    <row r="27" spans="1:7" s="421" customFormat="1" ht="36" customHeight="1">
      <c r="A27" s="1302"/>
      <c r="B27" s="1315"/>
      <c r="C27" s="1308"/>
      <c r="D27" s="27" t="s">
        <v>2286</v>
      </c>
      <c r="E27" s="27" t="s">
        <v>2287</v>
      </c>
      <c r="F27" s="435"/>
      <c r="G27" s="434"/>
    </row>
    <row r="28" spans="1:7" s="421" customFormat="1" ht="36" customHeight="1">
      <c r="A28" s="1302"/>
      <c r="B28" s="1315"/>
      <c r="C28" s="1308"/>
      <c r="D28" s="27" t="s">
        <v>1560</v>
      </c>
      <c r="E28" s="27" t="s">
        <v>2288</v>
      </c>
      <c r="F28" s="435"/>
      <c r="G28" s="434"/>
    </row>
    <row r="29" spans="1:7" s="421" customFormat="1" ht="36" customHeight="1">
      <c r="A29" s="1302"/>
      <c r="B29" s="1315"/>
      <c r="C29" s="1309"/>
      <c r="D29" s="27" t="s">
        <v>109</v>
      </c>
      <c r="E29" s="27" t="s">
        <v>2289</v>
      </c>
      <c r="F29" s="435"/>
      <c r="G29" s="434"/>
    </row>
    <row r="30" spans="1:7" s="421" customFormat="1" ht="36" customHeight="1">
      <c r="A30" s="1302"/>
      <c r="B30" s="1315"/>
      <c r="C30" s="436" t="s">
        <v>2320</v>
      </c>
      <c r="D30" s="27" t="s">
        <v>2321</v>
      </c>
      <c r="E30" s="27" t="s">
        <v>2322</v>
      </c>
      <c r="F30" s="435"/>
      <c r="G30" s="434"/>
    </row>
    <row r="31" spans="1:7" s="437" customFormat="1" ht="36" customHeight="1">
      <c r="A31" s="1302"/>
      <c r="B31" s="1315"/>
      <c r="C31" s="436" t="s">
        <v>2326</v>
      </c>
      <c r="D31" s="27" t="s">
        <v>2327</v>
      </c>
      <c r="E31" s="27" t="s">
        <v>2328</v>
      </c>
      <c r="F31" s="435"/>
      <c r="G31" s="434" t="s">
        <v>2329</v>
      </c>
    </row>
    <row r="32" spans="1:7" s="437" customFormat="1" ht="36" customHeight="1">
      <c r="A32" s="1302"/>
      <c r="B32" s="1315"/>
      <c r="C32" s="1310" t="s">
        <v>2330</v>
      </c>
      <c r="D32" s="27" t="s">
        <v>2331</v>
      </c>
      <c r="E32" s="27" t="s">
        <v>2332</v>
      </c>
      <c r="F32" s="435"/>
      <c r="G32" s="434" t="s">
        <v>2329</v>
      </c>
    </row>
    <row r="33" spans="1:8" s="437" customFormat="1" ht="36" customHeight="1">
      <c r="A33" s="1302"/>
      <c r="B33" s="1315"/>
      <c r="C33" s="1308"/>
      <c r="D33" s="27" t="s">
        <v>2333</v>
      </c>
      <c r="E33" s="27" t="s">
        <v>2328</v>
      </c>
      <c r="F33" s="435"/>
      <c r="G33" s="1311" t="s">
        <v>2338</v>
      </c>
    </row>
    <row r="34" spans="1:8" s="437" customFormat="1" ht="36" customHeight="1">
      <c r="A34" s="1302"/>
      <c r="B34" s="1315"/>
      <c r="C34" s="1308"/>
      <c r="D34" s="27" t="s">
        <v>1592</v>
      </c>
      <c r="E34" s="27" t="s">
        <v>2334</v>
      </c>
      <c r="F34" s="435" t="s">
        <v>2335</v>
      </c>
      <c r="G34" s="1312"/>
    </row>
    <row r="35" spans="1:8" s="437" customFormat="1" ht="36" customHeight="1">
      <c r="A35" s="1302"/>
      <c r="B35" s="1315"/>
      <c r="C35" s="1309"/>
      <c r="D35" s="27" t="s">
        <v>2336</v>
      </c>
      <c r="E35" s="27" t="s">
        <v>2337</v>
      </c>
      <c r="F35" s="435"/>
      <c r="G35" s="1313"/>
    </row>
    <row r="36" spans="1:8" s="437" customFormat="1" ht="36" customHeight="1">
      <c r="A36" s="1302"/>
      <c r="B36" s="1315"/>
      <c r="C36" s="436" t="s">
        <v>2339</v>
      </c>
      <c r="D36" s="27" t="s">
        <v>2340</v>
      </c>
      <c r="E36" s="27" t="s">
        <v>2341</v>
      </c>
      <c r="F36" s="435" t="s">
        <v>2342</v>
      </c>
      <c r="G36" s="434" t="s">
        <v>2346</v>
      </c>
      <c r="H36" s="437" t="s">
        <v>248</v>
      </c>
    </row>
    <row r="37" spans="1:8" s="421" customFormat="1" ht="36" customHeight="1" thickBot="1">
      <c r="A37" s="1302"/>
      <c r="B37" s="1315"/>
      <c r="C37" s="306"/>
      <c r="D37" s="16"/>
      <c r="E37" s="15"/>
      <c r="F37" s="14"/>
      <c r="G37" s="357"/>
    </row>
    <row r="38" spans="1:8" s="421" customFormat="1" ht="36" customHeight="1" thickBot="1">
      <c r="A38" s="1303"/>
      <c r="B38" s="1316"/>
      <c r="C38" s="12"/>
      <c r="D38" s="11"/>
      <c r="E38" s="10"/>
      <c r="F38" s="10"/>
      <c r="G38" s="9"/>
    </row>
    <row r="39" spans="1:8" s="437" customFormat="1" ht="36" customHeight="1">
      <c r="A39" s="1302">
        <v>44720</v>
      </c>
      <c r="B39" s="1315" t="s">
        <v>2369</v>
      </c>
      <c r="C39" s="1310" t="s">
        <v>2357</v>
      </c>
      <c r="D39" s="27" t="s">
        <v>2347</v>
      </c>
      <c r="E39" s="27" t="s">
        <v>2348</v>
      </c>
      <c r="F39" s="439"/>
      <c r="G39" s="438"/>
    </row>
    <row r="40" spans="1:8" s="437" customFormat="1" ht="36" customHeight="1">
      <c r="A40" s="1302"/>
      <c r="B40" s="1315"/>
      <c r="C40" s="1308"/>
      <c r="D40" s="27" t="s">
        <v>2349</v>
      </c>
      <c r="E40" s="27" t="s">
        <v>2350</v>
      </c>
      <c r="F40" s="439"/>
      <c r="G40" s="438"/>
    </row>
    <row r="41" spans="1:8" s="437" customFormat="1" ht="36" customHeight="1">
      <c r="A41" s="1302"/>
      <c r="B41" s="1315"/>
      <c r="C41" s="1308"/>
      <c r="D41" s="27" t="s">
        <v>2351</v>
      </c>
      <c r="E41" s="27" t="s">
        <v>2352</v>
      </c>
      <c r="F41" s="439"/>
      <c r="G41" s="438"/>
    </row>
    <row r="42" spans="1:8" s="437" customFormat="1" ht="36" customHeight="1">
      <c r="A42" s="1302"/>
      <c r="B42" s="1315"/>
      <c r="C42" s="1308"/>
      <c r="D42" s="27" t="s">
        <v>2353</v>
      </c>
      <c r="E42" s="27" t="s">
        <v>2341</v>
      </c>
      <c r="F42" s="439"/>
      <c r="G42" s="438"/>
    </row>
    <row r="43" spans="1:8" s="421" customFormat="1" ht="36" customHeight="1">
      <c r="A43" s="1302"/>
      <c r="B43" s="1315"/>
      <c r="C43" s="1308"/>
      <c r="D43" s="27" t="s">
        <v>2354</v>
      </c>
      <c r="E43" s="27" t="s">
        <v>2355</v>
      </c>
      <c r="F43" s="439"/>
      <c r="G43" s="438"/>
      <c r="H43" s="437"/>
    </row>
    <row r="44" spans="1:8" s="421" customFormat="1" ht="36" customHeight="1">
      <c r="A44" s="1302"/>
      <c r="B44" s="1315"/>
      <c r="C44" s="1308"/>
      <c r="D44" s="40" t="s">
        <v>2340</v>
      </c>
      <c r="E44" s="39" t="s">
        <v>2356</v>
      </c>
      <c r="F44" s="439"/>
      <c r="G44" s="438"/>
    </row>
    <row r="45" spans="1:8" s="437" customFormat="1" ht="36" customHeight="1">
      <c r="A45" s="1302"/>
      <c r="B45" s="1315"/>
      <c r="C45" s="1309"/>
      <c r="D45" s="27" t="s">
        <v>2349</v>
      </c>
      <c r="E45" s="39" t="s">
        <v>2358</v>
      </c>
      <c r="F45" s="27"/>
      <c r="G45" s="41" t="s">
        <v>2394</v>
      </c>
    </row>
    <row r="46" spans="1:8" s="437" customFormat="1" ht="36" customHeight="1">
      <c r="A46" s="1302"/>
      <c r="B46" s="1315"/>
      <c r="C46" s="440" t="s">
        <v>2359</v>
      </c>
      <c r="D46" s="40" t="s">
        <v>109</v>
      </c>
      <c r="E46" s="39" t="s">
        <v>2360</v>
      </c>
      <c r="F46" s="27" t="s">
        <v>298</v>
      </c>
      <c r="G46" s="41" t="s">
        <v>297</v>
      </c>
    </row>
    <row r="47" spans="1:8" s="437" customFormat="1" ht="36" customHeight="1">
      <c r="A47" s="1302"/>
      <c r="B47" s="1315"/>
      <c r="C47" s="1310" t="s">
        <v>2361</v>
      </c>
      <c r="D47" s="40" t="s">
        <v>2362</v>
      </c>
      <c r="E47" s="39" t="s">
        <v>2363</v>
      </c>
      <c r="F47" s="27" t="s">
        <v>2368</v>
      </c>
      <c r="G47" s="1311" t="s">
        <v>2367</v>
      </c>
    </row>
    <row r="48" spans="1:8" s="437" customFormat="1" ht="36" customHeight="1">
      <c r="A48" s="1302"/>
      <c r="B48" s="1315"/>
      <c r="C48" s="1308"/>
      <c r="D48" s="37" t="s">
        <v>2364</v>
      </c>
      <c r="E48" s="36" t="s">
        <v>2365</v>
      </c>
      <c r="F48" s="439"/>
      <c r="G48" s="1312"/>
    </row>
    <row r="49" spans="1:7" s="437" customFormat="1" ht="36" customHeight="1">
      <c r="A49" s="1302"/>
      <c r="B49" s="1315"/>
      <c r="C49" s="1309"/>
      <c r="D49" s="37" t="s">
        <v>2366</v>
      </c>
      <c r="E49" s="36" t="s">
        <v>2365</v>
      </c>
      <c r="F49" s="439"/>
      <c r="G49" s="1313"/>
    </row>
    <row r="50" spans="1:7" s="437" customFormat="1" ht="36" customHeight="1">
      <c r="A50" s="1302"/>
      <c r="B50" s="1315"/>
      <c r="C50" s="440" t="s">
        <v>1568</v>
      </c>
      <c r="D50" s="27" t="s">
        <v>109</v>
      </c>
      <c r="E50" s="27" t="s">
        <v>2106</v>
      </c>
      <c r="F50" s="27" t="s">
        <v>1780</v>
      </c>
      <c r="G50" s="41" t="s">
        <v>1372</v>
      </c>
    </row>
    <row r="51" spans="1:7" s="421" customFormat="1" ht="36" customHeight="1" thickBot="1">
      <c r="A51" s="1302"/>
      <c r="B51" s="1315"/>
      <c r="C51" s="440" t="s">
        <v>1264</v>
      </c>
      <c r="D51" s="40" t="s">
        <v>109</v>
      </c>
      <c r="E51" s="39" t="s">
        <v>1367</v>
      </c>
      <c r="F51" s="439"/>
      <c r="G51" s="438" t="s">
        <v>1372</v>
      </c>
    </row>
    <row r="52" spans="1:7" s="421" customFormat="1" ht="36" customHeight="1" thickBot="1">
      <c r="A52" s="1303"/>
      <c r="B52" s="1316"/>
      <c r="C52" s="12"/>
      <c r="D52" s="11"/>
      <c r="E52" s="10"/>
      <c r="F52" s="10"/>
      <c r="G52" s="9"/>
    </row>
    <row r="53" spans="1:7" s="421" customFormat="1" ht="36" customHeight="1">
      <c r="A53" s="1301">
        <v>44721</v>
      </c>
      <c r="B53" s="1314" t="s">
        <v>1</v>
      </c>
      <c r="C53" s="446" t="s">
        <v>2374</v>
      </c>
      <c r="D53" s="27" t="s">
        <v>2375</v>
      </c>
      <c r="E53" s="27" t="s">
        <v>2376</v>
      </c>
      <c r="F53" s="445"/>
      <c r="G53" s="443"/>
    </row>
    <row r="54" spans="1:7" s="441" customFormat="1" ht="36" customHeight="1">
      <c r="A54" s="1302"/>
      <c r="B54" s="1315"/>
      <c r="C54" s="1310" t="s">
        <v>2383</v>
      </c>
      <c r="D54" s="27" t="s">
        <v>2384</v>
      </c>
      <c r="E54" s="27" t="s">
        <v>2385</v>
      </c>
      <c r="F54" s="445"/>
      <c r="G54" s="443"/>
    </row>
    <row r="55" spans="1:7" s="441" customFormat="1" ht="36" customHeight="1">
      <c r="A55" s="1302"/>
      <c r="B55" s="1315"/>
      <c r="C55" s="1308"/>
      <c r="D55" s="27" t="s">
        <v>2386</v>
      </c>
      <c r="E55" s="27" t="s">
        <v>2387</v>
      </c>
      <c r="F55" s="445"/>
      <c r="G55" s="443"/>
    </row>
    <row r="56" spans="1:7" s="441" customFormat="1" ht="36" customHeight="1">
      <c r="A56" s="1302"/>
      <c r="B56" s="1315"/>
      <c r="C56" s="1308"/>
      <c r="D56" s="27" t="s">
        <v>2388</v>
      </c>
      <c r="E56" s="27" t="s">
        <v>2389</v>
      </c>
      <c r="F56" s="445"/>
      <c r="G56" s="443"/>
    </row>
    <row r="57" spans="1:7" s="441" customFormat="1" ht="36" customHeight="1">
      <c r="A57" s="1302"/>
      <c r="B57" s="1315"/>
      <c r="C57" s="1308"/>
      <c r="D57" s="27" t="s">
        <v>2390</v>
      </c>
      <c r="E57" s="27" t="s">
        <v>2379</v>
      </c>
      <c r="F57" s="445"/>
      <c r="G57" s="443"/>
    </row>
    <row r="58" spans="1:7" s="441" customFormat="1" ht="36" customHeight="1">
      <c r="A58" s="1302"/>
      <c r="B58" s="1315"/>
      <c r="C58" s="1308"/>
      <c r="D58" s="27" t="s">
        <v>2391</v>
      </c>
      <c r="E58" s="27" t="s">
        <v>2392</v>
      </c>
      <c r="F58" s="445"/>
      <c r="G58" s="443"/>
    </row>
    <row r="59" spans="1:7" s="437" customFormat="1" ht="36" customHeight="1">
      <c r="A59" s="1302"/>
      <c r="B59" s="1315"/>
      <c r="C59" s="1309"/>
      <c r="D59" s="27" t="s">
        <v>2393</v>
      </c>
      <c r="E59" s="27" t="s">
        <v>2379</v>
      </c>
      <c r="F59" s="445"/>
      <c r="G59" s="443"/>
    </row>
    <row r="60" spans="1:7" s="421" customFormat="1" ht="36" customHeight="1" thickBot="1">
      <c r="A60" s="1302"/>
      <c r="B60" s="1315"/>
      <c r="C60" s="442" t="s">
        <v>2395</v>
      </c>
      <c r="D60" s="55" t="s">
        <v>109</v>
      </c>
      <c r="E60" s="54" t="s">
        <v>2396</v>
      </c>
      <c r="F60" s="444"/>
      <c r="G60" s="443"/>
    </row>
    <row r="61" spans="1:7" s="421" customFormat="1" ht="36" customHeight="1" thickBot="1">
      <c r="A61" s="1303"/>
      <c r="B61" s="1316"/>
      <c r="C61" s="12"/>
      <c r="D61" s="11"/>
      <c r="E61" s="10"/>
      <c r="F61" s="10"/>
      <c r="G61" s="9"/>
    </row>
    <row r="62" spans="1:7" s="421" customFormat="1" ht="36" customHeight="1">
      <c r="A62" s="1301">
        <v>44722</v>
      </c>
      <c r="B62" s="1314" t="s">
        <v>0</v>
      </c>
      <c r="C62" s="1307" t="s">
        <v>2303</v>
      </c>
      <c r="D62" s="27" t="s">
        <v>2304</v>
      </c>
      <c r="E62" s="27" t="s">
        <v>2370</v>
      </c>
      <c r="F62" s="449"/>
      <c r="G62" s="447"/>
    </row>
    <row r="63" spans="1:7" s="421" customFormat="1" ht="36" customHeight="1">
      <c r="A63" s="1302"/>
      <c r="B63" s="1315"/>
      <c r="C63" s="1309"/>
      <c r="D63" s="27" t="s">
        <v>2305</v>
      </c>
      <c r="E63" s="27" t="s">
        <v>2371</v>
      </c>
      <c r="F63" s="449"/>
      <c r="G63" s="447"/>
    </row>
    <row r="64" spans="1:7" s="441" customFormat="1" ht="36" customHeight="1">
      <c r="A64" s="1302"/>
      <c r="B64" s="1315"/>
      <c r="C64" s="1310" t="s">
        <v>2377</v>
      </c>
      <c r="D64" s="27" t="s">
        <v>1322</v>
      </c>
      <c r="E64" s="27" t="s">
        <v>2378</v>
      </c>
      <c r="F64" s="449"/>
      <c r="G64" s="447"/>
    </row>
    <row r="65" spans="1:7" s="421" customFormat="1" ht="36" customHeight="1">
      <c r="A65" s="1302"/>
      <c r="B65" s="1315"/>
      <c r="C65" s="1308"/>
      <c r="D65" s="40" t="s">
        <v>2382</v>
      </c>
      <c r="E65" s="39" t="s">
        <v>2379</v>
      </c>
      <c r="F65" s="449"/>
      <c r="G65" s="447"/>
    </row>
    <row r="66" spans="1:7" s="421" customFormat="1" ht="36" customHeight="1" thickBot="1">
      <c r="A66" s="1302"/>
      <c r="B66" s="1315"/>
      <c r="C66" s="1324"/>
      <c r="D66" s="55" t="s">
        <v>2380</v>
      </c>
      <c r="E66" s="54" t="s">
        <v>2381</v>
      </c>
      <c r="F66" s="448" t="s">
        <v>1278</v>
      </c>
      <c r="G66" s="447"/>
    </row>
    <row r="67" spans="1:7" s="421" customFormat="1" ht="36" customHeight="1" thickBot="1">
      <c r="A67" s="1303"/>
      <c r="B67" s="1316"/>
      <c r="C67" s="12"/>
      <c r="D67" s="11"/>
      <c r="E67" s="10"/>
      <c r="F67" s="10"/>
      <c r="G67" s="9"/>
    </row>
    <row r="68" spans="1:7" s="421" customFormat="1" ht="60" customHeight="1" thickBot="1">
      <c r="A68" s="1298" t="s">
        <v>5</v>
      </c>
      <c r="B68" s="1299"/>
      <c r="C68" s="1299"/>
      <c r="D68" s="1299"/>
      <c r="E68" s="1299"/>
      <c r="F68" s="1299"/>
      <c r="G68" s="1300"/>
    </row>
    <row r="69" spans="1:7" s="421" customFormat="1" ht="36" customHeight="1">
      <c r="A69" s="1301">
        <v>44725</v>
      </c>
      <c r="B69" s="1314" t="s">
        <v>4</v>
      </c>
      <c r="C69" s="453" t="s">
        <v>2397</v>
      </c>
      <c r="D69" s="27" t="s">
        <v>2398</v>
      </c>
      <c r="E69" s="27" t="s">
        <v>2399</v>
      </c>
      <c r="F69" s="452"/>
      <c r="G69" s="450"/>
    </row>
    <row r="70" spans="1:7" s="421" customFormat="1" ht="36" customHeight="1">
      <c r="A70" s="1302"/>
      <c r="B70" s="1315"/>
      <c r="C70" s="453" t="s">
        <v>2400</v>
      </c>
      <c r="D70" s="27" t="s">
        <v>109</v>
      </c>
      <c r="E70" s="27" t="s">
        <v>2401</v>
      </c>
      <c r="F70" s="452" t="s">
        <v>2056</v>
      </c>
      <c r="G70" s="450"/>
    </row>
    <row r="71" spans="1:7" s="455" customFormat="1" ht="36" customHeight="1">
      <c r="A71" s="1302"/>
      <c r="B71" s="1315"/>
      <c r="C71" s="1310" t="s">
        <v>2410</v>
      </c>
      <c r="D71" s="27" t="s">
        <v>2411</v>
      </c>
      <c r="E71" s="27" t="s">
        <v>2416</v>
      </c>
      <c r="F71" s="452"/>
      <c r="G71" s="450"/>
    </row>
    <row r="72" spans="1:7" s="421" customFormat="1" ht="36" customHeight="1">
      <c r="A72" s="1302"/>
      <c r="B72" s="1315"/>
      <c r="C72" s="1308"/>
      <c r="D72" s="40" t="s">
        <v>2412</v>
      </c>
      <c r="E72" s="39" t="s">
        <v>2413</v>
      </c>
      <c r="F72" s="452"/>
      <c r="G72" s="450"/>
    </row>
    <row r="73" spans="1:7" s="421" customFormat="1" ht="36" customHeight="1">
      <c r="A73" s="1302"/>
      <c r="B73" s="1315"/>
      <c r="C73" s="1308"/>
      <c r="D73" s="55" t="s">
        <v>2414</v>
      </c>
      <c r="E73" s="54" t="s">
        <v>2415</v>
      </c>
      <c r="F73" s="451"/>
      <c r="G73" s="450"/>
    </row>
    <row r="74" spans="1:7" s="455" customFormat="1" ht="36" customHeight="1" thickBot="1">
      <c r="A74" s="1302"/>
      <c r="B74" s="1315"/>
      <c r="C74" s="454" t="s">
        <v>2417</v>
      </c>
      <c r="D74" s="75" t="s">
        <v>109</v>
      </c>
      <c r="E74" s="74" t="s">
        <v>2418</v>
      </c>
      <c r="F74" s="73" t="s">
        <v>2419</v>
      </c>
      <c r="G74" s="72" t="s">
        <v>483</v>
      </c>
    </row>
    <row r="75" spans="1:7" s="421" customFormat="1" ht="36" customHeight="1" thickBot="1">
      <c r="A75" s="1303"/>
      <c r="B75" s="1316"/>
      <c r="C75" s="12"/>
      <c r="D75" s="11"/>
      <c r="E75" s="10"/>
      <c r="F75" s="10"/>
      <c r="G75" s="9"/>
    </row>
    <row r="76" spans="1:7" s="421" customFormat="1" ht="36" hidden="1" customHeight="1">
      <c r="A76" s="1301">
        <v>44726</v>
      </c>
      <c r="B76" s="1314" t="s">
        <v>3</v>
      </c>
      <c r="C76" s="21"/>
      <c r="D76" s="22"/>
      <c r="E76" s="22"/>
      <c r="F76" s="97"/>
      <c r="G76" s="357"/>
    </row>
    <row r="77" spans="1:7" s="455" customFormat="1" ht="36" customHeight="1">
      <c r="A77" s="1302"/>
      <c r="B77" s="1315"/>
      <c r="C77" s="1310" t="s">
        <v>2402</v>
      </c>
      <c r="D77" s="27" t="s">
        <v>2403</v>
      </c>
      <c r="E77" s="27" t="s">
        <v>2404</v>
      </c>
      <c r="F77" s="460"/>
      <c r="G77" s="457"/>
    </row>
    <row r="78" spans="1:7" s="455" customFormat="1" ht="36" customHeight="1">
      <c r="A78" s="1302"/>
      <c r="B78" s="1315"/>
      <c r="C78" s="1308"/>
      <c r="D78" s="27" t="s">
        <v>2405</v>
      </c>
      <c r="E78" s="27" t="s">
        <v>2406</v>
      </c>
      <c r="F78" s="460"/>
      <c r="G78" s="457"/>
    </row>
    <row r="79" spans="1:7" s="455" customFormat="1" ht="36" customHeight="1">
      <c r="A79" s="1302"/>
      <c r="B79" s="1315"/>
      <c r="C79" s="1309"/>
      <c r="D79" s="27" t="s">
        <v>2407</v>
      </c>
      <c r="E79" s="27" t="s">
        <v>2408</v>
      </c>
      <c r="F79" s="460"/>
      <c r="G79" s="457"/>
    </row>
    <row r="80" spans="1:7" s="421" customFormat="1" ht="36" customHeight="1">
      <c r="A80" s="1302"/>
      <c r="B80" s="1315"/>
      <c r="C80" s="461" t="s">
        <v>2431</v>
      </c>
      <c r="D80" s="40" t="s">
        <v>1911</v>
      </c>
      <c r="E80" s="39" t="s">
        <v>2432</v>
      </c>
      <c r="F80" s="460" t="s">
        <v>2433</v>
      </c>
      <c r="G80" s="457"/>
    </row>
    <row r="81" spans="1:8" s="462" customFormat="1" ht="36" customHeight="1">
      <c r="A81" s="1302"/>
      <c r="B81" s="1315"/>
      <c r="C81" s="461" t="s">
        <v>2427</v>
      </c>
      <c r="D81" s="27" t="s">
        <v>109</v>
      </c>
      <c r="E81" s="27" t="s">
        <v>2428</v>
      </c>
      <c r="F81" s="460" t="s">
        <v>2434</v>
      </c>
      <c r="G81" s="457" t="s">
        <v>2429</v>
      </c>
      <c r="H81" s="462" t="s">
        <v>2430</v>
      </c>
    </row>
    <row r="82" spans="1:8" s="462" customFormat="1" ht="36" customHeight="1">
      <c r="A82" s="1302"/>
      <c r="B82" s="1315"/>
      <c r="C82" s="1310" t="s">
        <v>1611</v>
      </c>
      <c r="D82" s="40" t="s">
        <v>2435</v>
      </c>
      <c r="E82" s="39" t="s">
        <v>2436</v>
      </c>
      <c r="F82" s="1323" t="s">
        <v>2440</v>
      </c>
      <c r="G82" s="1311" t="s">
        <v>2439</v>
      </c>
    </row>
    <row r="83" spans="1:8" s="462" customFormat="1" ht="36" customHeight="1">
      <c r="A83" s="1302"/>
      <c r="B83" s="1315"/>
      <c r="C83" s="1309"/>
      <c r="D83" s="37" t="s">
        <v>2437</v>
      </c>
      <c r="E83" s="36" t="s">
        <v>2438</v>
      </c>
      <c r="F83" s="1321"/>
      <c r="G83" s="1313"/>
    </row>
    <row r="84" spans="1:8" s="421" customFormat="1" ht="36" customHeight="1" thickBot="1">
      <c r="A84" s="1302"/>
      <c r="B84" s="1315"/>
      <c r="C84" s="456" t="s">
        <v>2441</v>
      </c>
      <c r="D84" s="44" t="s">
        <v>2442</v>
      </c>
      <c r="E84" s="43" t="s">
        <v>2443</v>
      </c>
      <c r="F84" s="459"/>
      <c r="G84" s="458" t="s">
        <v>2444</v>
      </c>
      <c r="H84" s="462" t="s">
        <v>2445</v>
      </c>
    </row>
    <row r="85" spans="1:8" s="421" customFormat="1" ht="36" customHeight="1" thickBot="1">
      <c r="A85" s="1303"/>
      <c r="B85" s="1316"/>
      <c r="C85" s="12"/>
      <c r="D85" s="11"/>
      <c r="E85" s="10"/>
      <c r="F85" s="10"/>
      <c r="G85" s="9"/>
    </row>
    <row r="86" spans="1:8" s="462" customFormat="1" ht="36" customHeight="1">
      <c r="A86" s="1301">
        <v>44727</v>
      </c>
      <c r="B86" s="1317" t="s">
        <v>2</v>
      </c>
      <c r="C86" s="466" t="s">
        <v>2409</v>
      </c>
      <c r="D86" s="27" t="s">
        <v>169</v>
      </c>
      <c r="E86" s="27" t="s">
        <v>168</v>
      </c>
      <c r="F86" s="465"/>
      <c r="G86" s="464"/>
    </row>
    <row r="87" spans="1:8" s="462" customFormat="1" ht="36" customHeight="1">
      <c r="A87" s="1302"/>
      <c r="B87" s="1318"/>
      <c r="C87" s="466" t="s">
        <v>2453</v>
      </c>
      <c r="D87" s="27" t="s">
        <v>109</v>
      </c>
      <c r="E87" s="27" t="s">
        <v>2454</v>
      </c>
      <c r="F87" s="465" t="s">
        <v>2455</v>
      </c>
      <c r="G87" s="464" t="s">
        <v>2456</v>
      </c>
      <c r="H87" s="467" t="s">
        <v>2460</v>
      </c>
    </row>
    <row r="88" spans="1:8" s="462" customFormat="1" ht="36" customHeight="1">
      <c r="A88" s="1302"/>
      <c r="B88" s="1318"/>
      <c r="C88" s="1310" t="s">
        <v>1572</v>
      </c>
      <c r="D88" s="27" t="s">
        <v>1592</v>
      </c>
      <c r="E88" s="27" t="s">
        <v>1882</v>
      </c>
      <c r="F88" s="465"/>
      <c r="G88" s="464"/>
    </row>
    <row r="89" spans="1:8" s="441" customFormat="1" ht="36" customHeight="1">
      <c r="A89" s="1302"/>
      <c r="B89" s="1318"/>
      <c r="C89" s="1308"/>
      <c r="D89" s="27" t="s">
        <v>1589</v>
      </c>
      <c r="E89" s="27" t="s">
        <v>2221</v>
      </c>
      <c r="F89" s="465"/>
      <c r="G89" s="464"/>
    </row>
    <row r="90" spans="1:8" s="441" customFormat="1" ht="36" customHeight="1">
      <c r="A90" s="1302"/>
      <c r="B90" s="1318"/>
      <c r="C90" s="1309"/>
      <c r="D90" s="27" t="s">
        <v>2451</v>
      </c>
      <c r="E90" s="27" t="s">
        <v>2452</v>
      </c>
      <c r="F90" s="465"/>
      <c r="G90" s="464"/>
    </row>
    <row r="91" spans="1:8" s="441" customFormat="1" ht="36" customHeight="1" thickBot="1">
      <c r="A91" s="1302"/>
      <c r="B91" s="1318"/>
      <c r="C91" s="463" t="s">
        <v>2463</v>
      </c>
      <c r="D91" s="27" t="s">
        <v>1592</v>
      </c>
      <c r="E91" s="27" t="s">
        <v>2464</v>
      </c>
      <c r="F91" s="465" t="s">
        <v>1892</v>
      </c>
      <c r="G91" s="464" t="s">
        <v>2465</v>
      </c>
      <c r="H91" s="441" t="s">
        <v>2466</v>
      </c>
    </row>
    <row r="92" spans="1:8" s="421" customFormat="1" ht="36" hidden="1" customHeight="1">
      <c r="A92" s="1302"/>
      <c r="B92" s="1318"/>
      <c r="C92" s="21"/>
      <c r="D92" s="22"/>
      <c r="E92" s="22"/>
      <c r="F92" s="97"/>
      <c r="G92" s="357"/>
    </row>
    <row r="93" spans="1:8" s="421" customFormat="1" ht="36" hidden="1" customHeight="1">
      <c r="A93" s="1302"/>
      <c r="B93" s="1318"/>
      <c r="C93" s="21"/>
      <c r="D93" s="22"/>
      <c r="E93" s="22"/>
      <c r="F93" s="97"/>
      <c r="G93" s="357"/>
    </row>
    <row r="94" spans="1:8" s="421" customFormat="1" ht="36" hidden="1" customHeight="1">
      <c r="A94" s="1302"/>
      <c r="B94" s="1318"/>
      <c r="C94" s="21"/>
      <c r="D94" s="20"/>
      <c r="E94" s="19"/>
      <c r="F94" s="97"/>
      <c r="G94" s="357"/>
    </row>
    <row r="95" spans="1:8" s="421" customFormat="1" ht="36" hidden="1" customHeight="1" thickBot="1">
      <c r="A95" s="1302"/>
      <c r="B95" s="1318"/>
      <c r="C95" s="468"/>
      <c r="D95" s="16"/>
      <c r="E95" s="15"/>
      <c r="F95" s="14"/>
      <c r="G95" s="357"/>
    </row>
    <row r="96" spans="1:8" s="421" customFormat="1" ht="36" customHeight="1" thickBot="1">
      <c r="A96" s="1303"/>
      <c r="B96" s="1319"/>
      <c r="C96" s="12"/>
      <c r="D96" s="11"/>
      <c r="E96" s="10"/>
      <c r="F96" s="10"/>
      <c r="G96" s="9"/>
    </row>
    <row r="97" spans="1:10" s="421" customFormat="1" ht="36" customHeight="1">
      <c r="A97" s="1301">
        <v>44728</v>
      </c>
      <c r="B97" s="1314" t="s">
        <v>1</v>
      </c>
      <c r="C97" s="1307" t="s">
        <v>2420</v>
      </c>
      <c r="D97" s="27" t="s">
        <v>2421</v>
      </c>
      <c r="E97" s="27" t="s">
        <v>2422</v>
      </c>
      <c r="F97" s="472" t="s">
        <v>1555</v>
      </c>
      <c r="G97" s="470"/>
      <c r="H97" s="421" t="s">
        <v>2425</v>
      </c>
    </row>
    <row r="98" spans="1:10" s="421" customFormat="1" ht="36" customHeight="1">
      <c r="A98" s="1302"/>
      <c r="B98" s="1315"/>
      <c r="C98" s="1309"/>
      <c r="D98" s="27" t="s">
        <v>2423</v>
      </c>
      <c r="E98" s="27" t="s">
        <v>2424</v>
      </c>
      <c r="F98" s="472"/>
      <c r="G98" s="470"/>
      <c r="H98" s="421" t="s">
        <v>2426</v>
      </c>
      <c r="I98" s="421">
        <v>9200</v>
      </c>
    </row>
    <row r="99" spans="1:10" s="421" customFormat="1" ht="36" customHeight="1">
      <c r="A99" s="1302"/>
      <c r="B99" s="1315"/>
      <c r="C99" s="475" t="s">
        <v>1600</v>
      </c>
      <c r="D99" s="40" t="s">
        <v>2483</v>
      </c>
      <c r="E99" s="39" t="s">
        <v>2457</v>
      </c>
      <c r="F99" s="472" t="s">
        <v>2458</v>
      </c>
      <c r="G99" s="41" t="s">
        <v>2459</v>
      </c>
    </row>
    <row r="100" spans="1:10" s="467" customFormat="1" ht="36" customHeight="1">
      <c r="A100" s="1302"/>
      <c r="B100" s="1315"/>
      <c r="C100" s="469" t="s">
        <v>2480</v>
      </c>
      <c r="D100" s="37" t="s">
        <v>2481</v>
      </c>
      <c r="E100" s="36" t="s">
        <v>2482</v>
      </c>
      <c r="F100" s="472"/>
      <c r="G100" s="471"/>
    </row>
    <row r="101" spans="1:10" s="476" customFormat="1" ht="36" customHeight="1">
      <c r="A101" s="1302"/>
      <c r="B101" s="1315"/>
      <c r="C101" s="1310" t="s">
        <v>1373</v>
      </c>
      <c r="D101" s="40" t="s">
        <v>2488</v>
      </c>
      <c r="E101" s="39" t="s">
        <v>2489</v>
      </c>
      <c r="F101" s="1347" t="s">
        <v>2495</v>
      </c>
      <c r="G101" s="1311" t="s">
        <v>2492</v>
      </c>
      <c r="H101" s="476" t="s">
        <v>2493</v>
      </c>
    </row>
    <row r="102" spans="1:10" s="421" customFormat="1" ht="36" customHeight="1">
      <c r="A102" s="1302"/>
      <c r="B102" s="1315"/>
      <c r="C102" s="1309"/>
      <c r="D102" s="37" t="s">
        <v>2490</v>
      </c>
      <c r="E102" s="36" t="s">
        <v>2491</v>
      </c>
      <c r="F102" s="1321"/>
      <c r="G102" s="1313"/>
      <c r="H102" s="421" t="s">
        <v>2494</v>
      </c>
    </row>
    <row r="103" spans="1:10" s="476" customFormat="1" ht="36" customHeight="1" thickBot="1">
      <c r="A103" s="1302"/>
      <c r="B103" s="1315"/>
      <c r="C103" s="473" t="s">
        <v>2497</v>
      </c>
      <c r="D103" s="44" t="s">
        <v>109</v>
      </c>
      <c r="E103" s="43" t="s">
        <v>2498</v>
      </c>
      <c r="F103" s="84" t="s">
        <v>1278</v>
      </c>
      <c r="G103" s="474" t="s">
        <v>2499</v>
      </c>
      <c r="H103" s="476" t="s">
        <v>2496</v>
      </c>
      <c r="J103" s="476" t="s">
        <v>2500</v>
      </c>
    </row>
    <row r="104" spans="1:10" s="421" customFormat="1" ht="36" customHeight="1" thickBot="1">
      <c r="A104" s="1303"/>
      <c r="B104" s="1316"/>
      <c r="C104" s="12" t="s">
        <v>2467</v>
      </c>
      <c r="D104" s="11" t="s">
        <v>2468</v>
      </c>
      <c r="E104" s="10" t="s">
        <v>2469</v>
      </c>
      <c r="F104" s="10" t="s">
        <v>2470</v>
      </c>
      <c r="G104" s="9"/>
    </row>
    <row r="105" spans="1:10" s="421" customFormat="1" ht="36" customHeight="1">
      <c r="A105" s="1301">
        <v>44729</v>
      </c>
      <c r="B105" s="1314" t="s">
        <v>0</v>
      </c>
      <c r="C105" s="1307" t="s">
        <v>2462</v>
      </c>
      <c r="D105" s="27" t="s">
        <v>2472</v>
      </c>
      <c r="E105" s="27" t="s">
        <v>2471</v>
      </c>
      <c r="F105" s="1332" t="s">
        <v>2479</v>
      </c>
      <c r="G105" s="477"/>
    </row>
    <row r="106" spans="1:10" s="441" customFormat="1" ht="36" customHeight="1">
      <c r="A106" s="1302"/>
      <c r="B106" s="1315"/>
      <c r="C106" s="1308"/>
      <c r="D106" s="27" t="s">
        <v>109</v>
      </c>
      <c r="E106" s="27" t="s">
        <v>2471</v>
      </c>
      <c r="F106" s="1320"/>
      <c r="G106" s="477"/>
    </row>
    <row r="107" spans="1:10" s="441" customFormat="1" ht="36" customHeight="1">
      <c r="A107" s="1302"/>
      <c r="B107" s="1315"/>
      <c r="C107" s="1308"/>
      <c r="D107" s="27" t="s">
        <v>2473</v>
      </c>
      <c r="E107" s="27" t="s">
        <v>2474</v>
      </c>
      <c r="F107" s="1320"/>
      <c r="G107" s="477"/>
    </row>
    <row r="108" spans="1:10" s="441" customFormat="1" ht="36" customHeight="1">
      <c r="A108" s="1302"/>
      <c r="B108" s="1315"/>
      <c r="C108" s="1308"/>
      <c r="D108" s="27" t="s">
        <v>2475</v>
      </c>
      <c r="E108" s="27" t="s">
        <v>2476</v>
      </c>
      <c r="F108" s="1320"/>
      <c r="G108" s="477"/>
    </row>
    <row r="109" spans="1:10" s="441" customFormat="1" ht="36" customHeight="1">
      <c r="A109" s="1302"/>
      <c r="B109" s="1315"/>
      <c r="C109" s="1308"/>
      <c r="D109" s="27" t="s">
        <v>2477</v>
      </c>
      <c r="E109" s="27" t="s">
        <v>2478</v>
      </c>
      <c r="F109" s="1321"/>
      <c r="G109" s="477"/>
    </row>
    <row r="110" spans="1:10" s="476" customFormat="1" ht="36" customHeight="1">
      <c r="A110" s="1302"/>
      <c r="B110" s="1315"/>
      <c r="C110" s="1309"/>
      <c r="D110" s="27" t="s">
        <v>2502</v>
      </c>
      <c r="E110" s="27" t="s">
        <v>2501</v>
      </c>
      <c r="F110" s="478"/>
      <c r="G110" s="477"/>
    </row>
    <row r="111" spans="1:10" s="421" customFormat="1" ht="36" customHeight="1">
      <c r="A111" s="1302"/>
      <c r="B111" s="1315"/>
      <c r="C111" s="479" t="s">
        <v>2484</v>
      </c>
      <c r="D111" s="27" t="s">
        <v>2485</v>
      </c>
      <c r="E111" s="27" t="s">
        <v>2486</v>
      </c>
      <c r="F111" s="478"/>
      <c r="G111" s="477"/>
    </row>
    <row r="112" spans="1:10" s="421" customFormat="1" ht="36" customHeight="1">
      <c r="A112" s="1302"/>
      <c r="B112" s="1315"/>
      <c r="C112" s="479" t="s">
        <v>2503</v>
      </c>
      <c r="D112" s="40" t="s">
        <v>2504</v>
      </c>
      <c r="E112" s="39" t="s">
        <v>2505</v>
      </c>
      <c r="F112" s="478" t="s">
        <v>2506</v>
      </c>
      <c r="G112" s="477"/>
      <c r="H112" s="421" t="s">
        <v>2507</v>
      </c>
    </row>
    <row r="113" spans="1:8" s="421" customFormat="1" ht="36" customHeight="1" thickBot="1">
      <c r="A113" s="1302"/>
      <c r="B113" s="1315"/>
      <c r="C113" s="479" t="s">
        <v>2520</v>
      </c>
      <c r="D113" s="40" t="s">
        <v>2517</v>
      </c>
      <c r="E113" s="39" t="s">
        <v>2518</v>
      </c>
      <c r="F113" s="27" t="s">
        <v>2521</v>
      </c>
      <c r="G113" s="41" t="s">
        <v>2519</v>
      </c>
    </row>
    <row r="114" spans="1:8" s="481" customFormat="1" ht="36" hidden="1" customHeight="1" thickBot="1">
      <c r="A114" s="1302"/>
      <c r="B114" s="1315"/>
      <c r="C114" s="480"/>
      <c r="D114" s="30"/>
      <c r="E114" s="29"/>
      <c r="F114" s="482"/>
      <c r="G114" s="358"/>
    </row>
    <row r="115" spans="1:8" s="421" customFormat="1" ht="36" customHeight="1" thickBot="1">
      <c r="A115" s="1303"/>
      <c r="B115" s="1316"/>
      <c r="C115" s="12"/>
      <c r="D115" s="11"/>
      <c r="E115" s="10"/>
      <c r="F115" s="10"/>
      <c r="G115" s="9"/>
    </row>
    <row r="116" spans="1:8" s="421" customFormat="1" ht="60" customHeight="1" thickBot="1">
      <c r="A116" s="1298" t="s">
        <v>5</v>
      </c>
      <c r="B116" s="1299"/>
      <c r="C116" s="1299"/>
      <c r="D116" s="1299"/>
      <c r="E116" s="1299"/>
      <c r="F116" s="1299"/>
      <c r="G116" s="1300"/>
    </row>
    <row r="117" spans="1:8" s="421" customFormat="1" ht="36" customHeight="1">
      <c r="A117" s="1301">
        <v>44732</v>
      </c>
      <c r="B117" s="1314" t="s">
        <v>4</v>
      </c>
      <c r="C117" s="486" t="s">
        <v>1611</v>
      </c>
      <c r="D117" s="27" t="s">
        <v>2513</v>
      </c>
      <c r="E117" s="27" t="s">
        <v>2514</v>
      </c>
      <c r="F117" s="485" t="s">
        <v>2515</v>
      </c>
      <c r="G117" s="484" t="s">
        <v>2516</v>
      </c>
    </row>
    <row r="118" spans="1:8" s="483" customFormat="1" ht="36" customHeight="1">
      <c r="A118" s="1302"/>
      <c r="B118" s="1315"/>
      <c r="C118" s="486" t="s">
        <v>2533</v>
      </c>
      <c r="D118" s="27" t="s">
        <v>2534</v>
      </c>
      <c r="E118" s="27" t="s">
        <v>2535</v>
      </c>
      <c r="F118" s="485"/>
      <c r="G118" s="484" t="s">
        <v>2536</v>
      </c>
    </row>
    <row r="119" spans="1:8" s="421" customFormat="1" ht="36" customHeight="1" thickBot="1">
      <c r="A119" s="1302"/>
      <c r="B119" s="1315"/>
      <c r="C119" s="21"/>
      <c r="D119" s="22"/>
      <c r="E119" s="22"/>
      <c r="F119" s="97"/>
      <c r="G119" s="357"/>
    </row>
    <row r="120" spans="1:8" s="421" customFormat="1" ht="36" hidden="1" customHeight="1">
      <c r="A120" s="1302"/>
      <c r="B120" s="1315"/>
      <c r="C120" s="21"/>
      <c r="D120" s="20"/>
      <c r="E120" s="19"/>
      <c r="F120" s="97"/>
      <c r="G120" s="357"/>
    </row>
    <row r="121" spans="1:8" s="421" customFormat="1" ht="36" hidden="1" customHeight="1" thickBot="1">
      <c r="A121" s="1302"/>
      <c r="B121" s="1315"/>
      <c r="C121" s="306"/>
      <c r="D121" s="16"/>
      <c r="E121" s="15"/>
      <c r="F121" s="14"/>
      <c r="G121" s="357"/>
    </row>
    <row r="122" spans="1:8" s="421" customFormat="1" ht="36" customHeight="1" thickBot="1">
      <c r="A122" s="1303"/>
      <c r="B122" s="1316"/>
      <c r="C122" s="12" t="s">
        <v>2522</v>
      </c>
      <c r="D122" s="11" t="s">
        <v>2523</v>
      </c>
      <c r="E122" s="10" t="s">
        <v>2524</v>
      </c>
      <c r="F122" s="10" t="s">
        <v>2525</v>
      </c>
      <c r="G122" s="9"/>
    </row>
    <row r="123" spans="1:8" s="421" customFormat="1" ht="36" customHeight="1">
      <c r="A123" s="1301">
        <v>44733</v>
      </c>
      <c r="B123" s="1314" t="s">
        <v>3</v>
      </c>
      <c r="C123" s="1307" t="s">
        <v>2417</v>
      </c>
      <c r="D123" s="27" t="s">
        <v>109</v>
      </c>
      <c r="E123" s="27" t="s">
        <v>2487</v>
      </c>
      <c r="F123" s="491"/>
      <c r="G123" s="489"/>
    </row>
    <row r="124" spans="1:8" s="421" customFormat="1" ht="36" customHeight="1">
      <c r="A124" s="1302"/>
      <c r="B124" s="1315"/>
      <c r="C124" s="1309"/>
      <c r="D124" s="27" t="s">
        <v>327</v>
      </c>
      <c r="E124" s="27" t="s">
        <v>2461</v>
      </c>
      <c r="F124" s="491"/>
      <c r="G124" s="489"/>
    </row>
    <row r="125" spans="1:8" s="483" customFormat="1" ht="36" customHeight="1">
      <c r="A125" s="1302"/>
      <c r="B125" s="1315"/>
      <c r="C125" s="488" t="s">
        <v>2529</v>
      </c>
      <c r="D125" s="27" t="s">
        <v>2530</v>
      </c>
      <c r="E125" s="27" t="s">
        <v>2531</v>
      </c>
      <c r="F125" s="491"/>
      <c r="G125" s="489" t="s">
        <v>2532</v>
      </c>
    </row>
    <row r="126" spans="1:8" s="421" customFormat="1" ht="36" customHeight="1">
      <c r="A126" s="1302"/>
      <c r="B126" s="1315"/>
      <c r="C126" s="492" t="s">
        <v>1262</v>
      </c>
      <c r="D126" s="40" t="s">
        <v>109</v>
      </c>
      <c r="E126" s="39" t="s">
        <v>2543</v>
      </c>
      <c r="F126" s="491" t="s">
        <v>2018</v>
      </c>
      <c r="G126" s="489" t="s">
        <v>2537</v>
      </c>
      <c r="H126" s="421" t="s">
        <v>2542</v>
      </c>
    </row>
    <row r="127" spans="1:8" s="487" customFormat="1" ht="36" customHeight="1">
      <c r="A127" s="1302"/>
      <c r="B127" s="1315"/>
      <c r="C127" s="1310" t="s">
        <v>1671</v>
      </c>
      <c r="D127" s="40" t="s">
        <v>2538</v>
      </c>
      <c r="E127" s="39" t="s">
        <v>408</v>
      </c>
      <c r="F127" s="27"/>
      <c r="G127" s="41"/>
    </row>
    <row r="128" spans="1:8" s="487" customFormat="1" ht="36" customHeight="1">
      <c r="A128" s="1302"/>
      <c r="B128" s="1315"/>
      <c r="C128" s="1309"/>
      <c r="D128" s="40" t="s">
        <v>521</v>
      </c>
      <c r="E128" s="39" t="s">
        <v>1674</v>
      </c>
      <c r="F128" s="27" t="s">
        <v>2539</v>
      </c>
      <c r="G128" s="41"/>
    </row>
    <row r="129" spans="1:8" s="421" customFormat="1" ht="36" customHeight="1">
      <c r="A129" s="1302"/>
      <c r="B129" s="1315"/>
      <c r="C129" s="492" t="s">
        <v>2544</v>
      </c>
      <c r="D129" s="40" t="s">
        <v>109</v>
      </c>
      <c r="E129" s="39" t="s">
        <v>113</v>
      </c>
      <c r="F129" s="27" t="s">
        <v>298</v>
      </c>
      <c r="G129" s="41" t="s">
        <v>106</v>
      </c>
    </row>
    <row r="130" spans="1:8" s="487" customFormat="1" ht="36" customHeight="1">
      <c r="A130" s="1302"/>
      <c r="B130" s="1315"/>
      <c r="C130" s="1310" t="s">
        <v>2545</v>
      </c>
      <c r="D130" s="37" t="s">
        <v>2546</v>
      </c>
      <c r="E130" s="36" t="s">
        <v>2547</v>
      </c>
      <c r="F130" s="491"/>
      <c r="G130" s="1311" t="s">
        <v>1442</v>
      </c>
    </row>
    <row r="131" spans="1:8" s="487" customFormat="1" ht="36" customHeight="1" thickBot="1">
      <c r="A131" s="1302"/>
      <c r="B131" s="1315"/>
      <c r="C131" s="1324"/>
      <c r="D131" s="44" t="s">
        <v>2548</v>
      </c>
      <c r="E131" s="43" t="s">
        <v>2549</v>
      </c>
      <c r="F131" s="490"/>
      <c r="G131" s="1325"/>
    </row>
    <row r="132" spans="1:8" s="421" customFormat="1" ht="36" customHeight="1" thickBot="1">
      <c r="A132" s="1303"/>
      <c r="B132" s="1316"/>
      <c r="C132" s="12" t="s">
        <v>2522</v>
      </c>
      <c r="D132" s="11" t="s">
        <v>2526</v>
      </c>
      <c r="E132" s="10" t="s">
        <v>2527</v>
      </c>
      <c r="F132" s="10" t="s">
        <v>2528</v>
      </c>
      <c r="G132" s="9"/>
    </row>
    <row r="133" spans="1:8" s="421" customFormat="1" ht="36" customHeight="1">
      <c r="A133" s="1301">
        <v>44734</v>
      </c>
      <c r="B133" s="1314" t="s">
        <v>2</v>
      </c>
      <c r="C133" s="492" t="s">
        <v>1262</v>
      </c>
      <c r="D133" s="40" t="s">
        <v>109</v>
      </c>
      <c r="E133" s="39" t="s">
        <v>2550</v>
      </c>
      <c r="F133" s="491" t="s">
        <v>2018</v>
      </c>
      <c r="G133" s="489" t="s">
        <v>2537</v>
      </c>
      <c r="H133" s="493" t="s">
        <v>2551</v>
      </c>
    </row>
    <row r="134" spans="1:8" s="421" customFormat="1" ht="36" customHeight="1" thickBot="1">
      <c r="A134" s="1302"/>
      <c r="B134" s="1315"/>
      <c r="C134" s="21"/>
      <c r="D134" s="22"/>
      <c r="E134" s="22"/>
      <c r="F134" s="97"/>
      <c r="G134" s="357"/>
    </row>
    <row r="135" spans="1:8" s="421" customFormat="1" ht="36" hidden="1" customHeight="1">
      <c r="A135" s="1302"/>
      <c r="B135" s="1315"/>
      <c r="C135" s="21"/>
      <c r="D135" s="20"/>
      <c r="E135" s="19"/>
      <c r="F135" s="97"/>
      <c r="G135" s="357"/>
    </row>
    <row r="136" spans="1:8" s="421" customFormat="1" ht="36" hidden="1" customHeight="1" thickBot="1">
      <c r="A136" s="1302"/>
      <c r="B136" s="1315"/>
      <c r="C136" s="306"/>
      <c r="D136" s="16"/>
      <c r="E136" s="15"/>
      <c r="F136" s="14"/>
      <c r="G136" s="357"/>
    </row>
    <row r="137" spans="1:8" s="421" customFormat="1" ht="36" customHeight="1" thickBot="1">
      <c r="A137" s="1303"/>
      <c r="B137" s="1316"/>
      <c r="C137" s="12"/>
      <c r="D137" s="11"/>
      <c r="E137" s="10"/>
      <c r="F137" s="10"/>
      <c r="G137" s="9"/>
    </row>
    <row r="138" spans="1:8" s="421" customFormat="1" ht="36" customHeight="1">
      <c r="A138" s="1301">
        <v>44735</v>
      </c>
      <c r="B138" s="1314" t="s">
        <v>1</v>
      </c>
      <c r="C138" s="53" t="s">
        <v>209</v>
      </c>
      <c r="D138" s="27" t="s">
        <v>208</v>
      </c>
      <c r="E138" s="27" t="s">
        <v>207</v>
      </c>
      <c r="F138" s="496"/>
      <c r="G138" s="495" t="s">
        <v>2552</v>
      </c>
    </row>
    <row r="139" spans="1:8" s="421" customFormat="1" ht="36" customHeight="1" thickBot="1">
      <c r="A139" s="1302"/>
      <c r="B139" s="1315"/>
      <c r="C139" s="494" t="s">
        <v>2553</v>
      </c>
      <c r="D139" s="27" t="s">
        <v>109</v>
      </c>
      <c r="E139" s="27" t="s">
        <v>2554</v>
      </c>
      <c r="F139" s="496"/>
      <c r="G139" s="495" t="s">
        <v>2555</v>
      </c>
    </row>
    <row r="140" spans="1:8" s="421" customFormat="1" ht="36" hidden="1" customHeight="1">
      <c r="A140" s="1302"/>
      <c r="B140" s="1315"/>
      <c r="C140" s="21"/>
      <c r="D140" s="20"/>
      <c r="E140" s="19"/>
      <c r="F140" s="97"/>
      <c r="G140" s="357"/>
    </row>
    <row r="141" spans="1:8" s="421" customFormat="1" ht="36" hidden="1" customHeight="1" thickBot="1">
      <c r="A141" s="1302"/>
      <c r="B141" s="1315"/>
      <c r="C141" s="468"/>
      <c r="D141" s="16"/>
      <c r="E141" s="15"/>
      <c r="F141" s="14"/>
      <c r="G141" s="357"/>
    </row>
    <row r="142" spans="1:8" s="421" customFormat="1" ht="36" customHeight="1" thickBot="1">
      <c r="A142" s="1303"/>
      <c r="B142" s="1316"/>
      <c r="C142" s="12"/>
      <c r="D142" s="11"/>
      <c r="E142" s="10"/>
      <c r="F142" s="10"/>
      <c r="G142" s="9"/>
    </row>
    <row r="143" spans="1:8" s="421" customFormat="1" ht="36" customHeight="1">
      <c r="A143" s="1301">
        <v>44736</v>
      </c>
      <c r="B143" s="1314" t="s">
        <v>0</v>
      </c>
      <c r="C143" s="53" t="s">
        <v>1611</v>
      </c>
      <c r="D143" s="27" t="s">
        <v>2566</v>
      </c>
      <c r="E143" s="27" t="s">
        <v>2567</v>
      </c>
      <c r="F143" s="499"/>
      <c r="G143" s="498" t="s">
        <v>2568</v>
      </c>
    </row>
    <row r="144" spans="1:8" s="421" customFormat="1" ht="36" customHeight="1">
      <c r="A144" s="1302"/>
      <c r="B144" s="1315"/>
      <c r="C144" s="21"/>
      <c r="D144" s="22"/>
      <c r="E144" s="22"/>
      <c r="F144" s="97"/>
      <c r="G144" s="357"/>
    </row>
    <row r="145" spans="1:8" s="421" customFormat="1" ht="36" customHeight="1" thickBot="1">
      <c r="A145" s="1302"/>
      <c r="B145" s="1315"/>
      <c r="C145" s="497"/>
      <c r="D145" s="20"/>
      <c r="E145" s="19"/>
      <c r="F145" s="97"/>
      <c r="G145" s="357"/>
    </row>
    <row r="146" spans="1:8" s="421" customFormat="1" ht="36" hidden="1" customHeight="1" thickBot="1">
      <c r="A146" s="1302"/>
      <c r="B146" s="1315"/>
      <c r="C146" s="306"/>
      <c r="D146" s="16"/>
      <c r="E146" s="15"/>
      <c r="F146" s="14"/>
      <c r="G146" s="357"/>
    </row>
    <row r="147" spans="1:8" s="421" customFormat="1" ht="36" customHeight="1" thickBot="1">
      <c r="A147" s="1303"/>
      <c r="B147" s="1316"/>
      <c r="C147" s="12"/>
      <c r="D147" s="11"/>
      <c r="E147" s="10"/>
      <c r="F147" s="10"/>
      <c r="G147" s="9"/>
    </row>
    <row r="148" spans="1:8" s="421" customFormat="1" ht="60" customHeight="1" thickBot="1">
      <c r="A148" s="1298" t="s">
        <v>5</v>
      </c>
      <c r="B148" s="1299"/>
      <c r="C148" s="1299"/>
      <c r="D148" s="1299"/>
      <c r="E148" s="1299"/>
      <c r="F148" s="1299"/>
      <c r="G148" s="1300"/>
    </row>
    <row r="149" spans="1:8" s="421" customFormat="1" ht="36" customHeight="1">
      <c r="A149" s="1301">
        <v>44739</v>
      </c>
      <c r="B149" s="1314" t="s">
        <v>4</v>
      </c>
      <c r="C149" s="1307" t="s">
        <v>2540</v>
      </c>
      <c r="D149" s="27" t="s">
        <v>1459</v>
      </c>
      <c r="E149" s="27" t="s">
        <v>1479</v>
      </c>
      <c r="F149" s="506"/>
      <c r="G149" s="504"/>
    </row>
    <row r="150" spans="1:8" s="421" customFormat="1" ht="36" customHeight="1">
      <c r="A150" s="1302"/>
      <c r="B150" s="1315"/>
      <c r="C150" s="1308"/>
      <c r="D150" s="27" t="s">
        <v>1454</v>
      </c>
      <c r="E150" s="27" t="s">
        <v>1562</v>
      </c>
      <c r="F150" s="506"/>
      <c r="G150" s="504"/>
    </row>
    <row r="151" spans="1:8" s="421" customFormat="1" ht="36" customHeight="1">
      <c r="A151" s="1302"/>
      <c r="B151" s="1315"/>
      <c r="C151" s="1309"/>
      <c r="D151" s="40" t="s">
        <v>2541</v>
      </c>
      <c r="E151" s="39" t="s">
        <v>1453</v>
      </c>
      <c r="F151" s="506"/>
      <c r="G151" s="504"/>
    </row>
    <row r="152" spans="1:8" s="421" customFormat="1" ht="36" customHeight="1">
      <c r="A152" s="1302"/>
      <c r="B152" s="1315"/>
      <c r="C152" s="1310" t="s">
        <v>2571</v>
      </c>
      <c r="D152" s="40" t="s">
        <v>2572</v>
      </c>
      <c r="E152" s="39" t="s">
        <v>2573</v>
      </c>
      <c r="F152" s="27"/>
      <c r="G152" s="41"/>
    </row>
    <row r="153" spans="1:8" s="502" customFormat="1" ht="36" customHeight="1">
      <c r="A153" s="1302"/>
      <c r="B153" s="1315"/>
      <c r="C153" s="1308"/>
      <c r="D153" s="37" t="s">
        <v>2577</v>
      </c>
      <c r="E153" s="36" t="s">
        <v>2574</v>
      </c>
      <c r="F153" s="506"/>
      <c r="G153" s="505"/>
    </row>
    <row r="154" spans="1:8" s="502" customFormat="1" ht="36" customHeight="1">
      <c r="A154" s="1302"/>
      <c r="B154" s="1315"/>
      <c r="C154" s="1309"/>
      <c r="D154" s="37" t="s">
        <v>2575</v>
      </c>
      <c r="E154" s="36" t="s">
        <v>2576</v>
      </c>
      <c r="F154" s="506"/>
      <c r="G154" s="505"/>
    </row>
    <row r="155" spans="1:8" s="502" customFormat="1" ht="36" customHeight="1">
      <c r="A155" s="1302"/>
      <c r="B155" s="1315"/>
      <c r="C155" s="507" t="s">
        <v>2580</v>
      </c>
      <c r="D155" s="40" t="s">
        <v>2581</v>
      </c>
      <c r="E155" s="39" t="s">
        <v>2582</v>
      </c>
      <c r="F155" s="27" t="s">
        <v>2583</v>
      </c>
      <c r="G155" s="41" t="s">
        <v>350</v>
      </c>
      <c r="H155" s="502" t="s">
        <v>436</v>
      </c>
    </row>
    <row r="156" spans="1:8" s="502" customFormat="1" ht="36" customHeight="1">
      <c r="A156" s="1302"/>
      <c r="B156" s="1315"/>
      <c r="C156" s="1310" t="s">
        <v>1907</v>
      </c>
      <c r="D156" s="40" t="s">
        <v>2584</v>
      </c>
      <c r="E156" s="39" t="s">
        <v>2585</v>
      </c>
      <c r="F156" s="27" t="s">
        <v>2592</v>
      </c>
      <c r="G156" s="41" t="s">
        <v>2586</v>
      </c>
      <c r="H156" s="502" t="s">
        <v>2590</v>
      </c>
    </row>
    <row r="157" spans="1:8" s="502" customFormat="1" ht="36" customHeight="1" thickBot="1">
      <c r="A157" s="1302"/>
      <c r="B157" s="1315"/>
      <c r="C157" s="1309"/>
      <c r="D157" s="37" t="s">
        <v>2587</v>
      </c>
      <c r="E157" s="36" t="s">
        <v>2588</v>
      </c>
      <c r="F157" s="506" t="s">
        <v>2593</v>
      </c>
      <c r="G157" s="505" t="s">
        <v>2589</v>
      </c>
      <c r="H157" s="502" t="s">
        <v>2591</v>
      </c>
    </row>
    <row r="158" spans="1:8" s="421" customFormat="1" ht="36" customHeight="1" thickBot="1">
      <c r="A158" s="1303"/>
      <c r="B158" s="1316"/>
      <c r="C158" s="12"/>
      <c r="D158" s="11"/>
      <c r="E158" s="10"/>
      <c r="F158" s="10"/>
      <c r="G158" s="9"/>
    </row>
    <row r="159" spans="1:8" s="421" customFormat="1" ht="36" customHeight="1">
      <c r="A159" s="1301">
        <v>44740</v>
      </c>
      <c r="B159" s="1314" t="s">
        <v>3</v>
      </c>
      <c r="C159" s="507" t="s">
        <v>2559</v>
      </c>
      <c r="D159" s="27" t="s">
        <v>2560</v>
      </c>
      <c r="E159" s="27" t="s">
        <v>2561</v>
      </c>
      <c r="F159" s="506"/>
      <c r="G159" s="504"/>
    </row>
    <row r="160" spans="1:8" s="421" customFormat="1" ht="36" customHeight="1">
      <c r="A160" s="1302"/>
      <c r="B160" s="1315"/>
      <c r="C160" s="507" t="s">
        <v>2595</v>
      </c>
      <c r="D160" s="27" t="s">
        <v>2596</v>
      </c>
      <c r="E160" s="27" t="s">
        <v>2597</v>
      </c>
      <c r="F160" s="506" t="s">
        <v>107</v>
      </c>
      <c r="G160" s="504" t="s">
        <v>2598</v>
      </c>
      <c r="H160" s="421" t="s">
        <v>2599</v>
      </c>
    </row>
    <row r="161" spans="1:9" s="421" customFormat="1" ht="36" customHeight="1">
      <c r="A161" s="1302"/>
      <c r="B161" s="1315"/>
      <c r="C161" s="507" t="s">
        <v>2600</v>
      </c>
      <c r="D161" s="27" t="s">
        <v>2596</v>
      </c>
      <c r="E161" s="39" t="s">
        <v>2601</v>
      </c>
      <c r="F161" s="506"/>
      <c r="G161" s="504" t="s">
        <v>2603</v>
      </c>
      <c r="H161" s="508" t="s">
        <v>2602</v>
      </c>
    </row>
    <row r="162" spans="1:9" s="421" customFormat="1" ht="36" customHeight="1" thickBot="1">
      <c r="A162" s="1302"/>
      <c r="B162" s="1315"/>
      <c r="C162" s="306"/>
      <c r="D162" s="16"/>
      <c r="E162" s="15"/>
      <c r="F162" s="14"/>
      <c r="G162" s="357"/>
    </row>
    <row r="163" spans="1:9" s="421" customFormat="1" ht="36" customHeight="1" thickBot="1">
      <c r="A163" s="1303"/>
      <c r="B163" s="1316"/>
      <c r="C163" s="12" t="s">
        <v>1879</v>
      </c>
      <c r="D163" s="11" t="s">
        <v>1967</v>
      </c>
      <c r="E163" s="10" t="s">
        <v>2578</v>
      </c>
      <c r="F163" s="10" t="s">
        <v>2579</v>
      </c>
      <c r="G163" s="9"/>
    </row>
    <row r="164" spans="1:9" s="421" customFormat="1" ht="36" customHeight="1">
      <c r="A164" s="1301">
        <v>44741</v>
      </c>
      <c r="B164" s="1314" t="s">
        <v>2</v>
      </c>
      <c r="C164" s="511" t="s">
        <v>2563</v>
      </c>
      <c r="D164" s="27" t="s">
        <v>2565</v>
      </c>
      <c r="E164" s="27" t="s">
        <v>2562</v>
      </c>
      <c r="F164" s="510" t="s">
        <v>2564</v>
      </c>
      <c r="G164" s="509"/>
    </row>
    <row r="165" spans="1:9" s="421" customFormat="1" ht="36" customHeight="1">
      <c r="A165" s="1302"/>
      <c r="B165" s="1315"/>
      <c r="C165" s="511" t="s">
        <v>2604</v>
      </c>
      <c r="D165" s="27" t="s">
        <v>2605</v>
      </c>
      <c r="E165" s="27" t="s">
        <v>2606</v>
      </c>
      <c r="F165" s="510" t="s">
        <v>2607</v>
      </c>
      <c r="G165" s="509" t="s">
        <v>2608</v>
      </c>
    </row>
    <row r="166" spans="1:9" s="421" customFormat="1" ht="36" customHeight="1">
      <c r="A166" s="1302"/>
      <c r="B166" s="1315"/>
      <c r="C166" s="511" t="s">
        <v>2612</v>
      </c>
      <c r="D166" s="40" t="s">
        <v>2614</v>
      </c>
      <c r="E166" s="39" t="s">
        <v>2609</v>
      </c>
      <c r="F166" s="510" t="s">
        <v>2613</v>
      </c>
      <c r="G166" s="509" t="s">
        <v>2611</v>
      </c>
    </row>
    <row r="167" spans="1:9" s="421" customFormat="1" ht="36" customHeight="1" thickBot="1">
      <c r="A167" s="1302"/>
      <c r="B167" s="1315"/>
      <c r="C167" s="306"/>
      <c r="D167" s="16"/>
      <c r="E167" s="15"/>
      <c r="F167" s="14"/>
      <c r="G167" s="357"/>
    </row>
    <row r="168" spans="1:9" s="421" customFormat="1" ht="36" customHeight="1" thickBot="1">
      <c r="A168" s="1303"/>
      <c r="B168" s="1316"/>
      <c r="C168" s="12"/>
      <c r="D168" s="11"/>
      <c r="E168" s="10"/>
      <c r="F168" s="10"/>
      <c r="G168" s="9"/>
    </row>
    <row r="169" spans="1:9" s="421" customFormat="1" ht="36" customHeight="1">
      <c r="A169" s="1301">
        <v>44742</v>
      </c>
      <c r="B169" s="1314" t="s">
        <v>1</v>
      </c>
      <c r="C169" s="1307" t="s">
        <v>2556</v>
      </c>
      <c r="D169" s="27" t="s">
        <v>109</v>
      </c>
      <c r="E169" s="27" t="s">
        <v>2619</v>
      </c>
      <c r="F169" s="71"/>
      <c r="G169" s="92"/>
    </row>
    <row r="170" spans="1:9" s="421" customFormat="1" ht="36" customHeight="1">
      <c r="A170" s="1302"/>
      <c r="B170" s="1315"/>
      <c r="C170" s="1308"/>
      <c r="D170" s="27" t="s">
        <v>2615</v>
      </c>
      <c r="E170" s="27" t="s">
        <v>1553</v>
      </c>
      <c r="F170" s="516"/>
      <c r="G170" s="515"/>
    </row>
    <row r="171" spans="1:9" s="513" customFormat="1" ht="36" customHeight="1">
      <c r="A171" s="1302"/>
      <c r="B171" s="1315"/>
      <c r="C171" s="1308"/>
      <c r="D171" s="27" t="s">
        <v>2616</v>
      </c>
      <c r="E171" s="27" t="s">
        <v>2620</v>
      </c>
      <c r="F171" s="516"/>
      <c r="G171" s="41"/>
    </row>
    <row r="172" spans="1:9" s="513" customFormat="1" ht="36" customHeight="1">
      <c r="A172" s="1302"/>
      <c r="B172" s="1315"/>
      <c r="C172" s="1308"/>
      <c r="D172" s="27" t="s">
        <v>2617</v>
      </c>
      <c r="E172" s="27" t="s">
        <v>2621</v>
      </c>
      <c r="F172" s="516"/>
      <c r="G172" s="41"/>
      <c r="H172" s="513" t="s">
        <v>2623</v>
      </c>
      <c r="I172" s="513">
        <v>262</v>
      </c>
    </row>
    <row r="173" spans="1:9" s="513" customFormat="1" ht="36" customHeight="1">
      <c r="A173" s="1302"/>
      <c r="B173" s="1315"/>
      <c r="C173" s="1309"/>
      <c r="D173" s="27" t="s">
        <v>2618</v>
      </c>
      <c r="E173" s="27" t="s">
        <v>2622</v>
      </c>
      <c r="F173" s="516"/>
      <c r="G173" s="515"/>
      <c r="H173" s="513" t="s">
        <v>2623</v>
      </c>
      <c r="I173" s="513">
        <v>55</v>
      </c>
    </row>
    <row r="174" spans="1:9" s="421" customFormat="1" ht="36" customHeight="1">
      <c r="A174" s="1302"/>
      <c r="B174" s="1315"/>
      <c r="C174" s="517" t="s">
        <v>538</v>
      </c>
      <c r="D174" s="40" t="s">
        <v>289</v>
      </c>
      <c r="E174" s="39" t="s">
        <v>2631</v>
      </c>
      <c r="F174" s="516" t="s">
        <v>2632</v>
      </c>
      <c r="G174" s="514" t="s">
        <v>2610</v>
      </c>
      <c r="H174" s="421" t="s">
        <v>285</v>
      </c>
    </row>
    <row r="175" spans="1:9" s="513" customFormat="1" ht="36" customHeight="1" thickBot="1">
      <c r="A175" s="1302"/>
      <c r="B175" s="1315"/>
      <c r="C175" s="517" t="s">
        <v>2633</v>
      </c>
      <c r="D175" s="40" t="s">
        <v>109</v>
      </c>
      <c r="E175" s="39" t="s">
        <v>2634</v>
      </c>
      <c r="F175" s="27" t="s">
        <v>2635</v>
      </c>
      <c r="G175" s="41" t="s">
        <v>2636</v>
      </c>
    </row>
    <row r="176" spans="1:9" s="421" customFormat="1" ht="36" hidden="1" customHeight="1" thickBot="1">
      <c r="A176" s="1302"/>
      <c r="B176" s="1315"/>
      <c r="C176" s="512"/>
      <c r="D176" s="30"/>
      <c r="E176" s="29"/>
      <c r="F176" s="14"/>
      <c r="G176" s="358"/>
    </row>
    <row r="177" spans="1:7" s="421" customFormat="1" ht="36" customHeight="1" thickBot="1">
      <c r="A177" s="1303"/>
      <c r="B177" s="1316"/>
      <c r="C177" s="12"/>
      <c r="D177" s="11"/>
      <c r="E177" s="10"/>
      <c r="F177" s="10"/>
      <c r="G177" s="9"/>
    </row>
  </sheetData>
  <mergeCells count="79">
    <mergeCell ref="A86:A96"/>
    <mergeCell ref="B86:B96"/>
    <mergeCell ref="A76:A85"/>
    <mergeCell ref="B76:B85"/>
    <mergeCell ref="C77:C79"/>
    <mergeCell ref="C82:C83"/>
    <mergeCell ref="C88:C90"/>
    <mergeCell ref="A164:A168"/>
    <mergeCell ref="B164:B168"/>
    <mergeCell ref="A149:A158"/>
    <mergeCell ref="B149:B158"/>
    <mergeCell ref="A159:A163"/>
    <mergeCell ref="B159:B163"/>
    <mergeCell ref="C149:C151"/>
    <mergeCell ref="F82:F83"/>
    <mergeCell ref="C152:C154"/>
    <mergeCell ref="C156:C157"/>
    <mergeCell ref="C105:C110"/>
    <mergeCell ref="A148:G148"/>
    <mergeCell ref="A97:A104"/>
    <mergeCell ref="B97:B104"/>
    <mergeCell ref="A105:A115"/>
    <mergeCell ref="B105:B115"/>
    <mergeCell ref="A123:A132"/>
    <mergeCell ref="B123:B132"/>
    <mergeCell ref="A133:A137"/>
    <mergeCell ref="B133:B137"/>
    <mergeCell ref="A138:A142"/>
    <mergeCell ref="B138:B142"/>
    <mergeCell ref="A62:A67"/>
    <mergeCell ref="B62:B67"/>
    <mergeCell ref="A68:G68"/>
    <mergeCell ref="A69:A75"/>
    <mergeCell ref="B69:B75"/>
    <mergeCell ref="C62:C63"/>
    <mergeCell ref="C71:C73"/>
    <mergeCell ref="A20:A24"/>
    <mergeCell ref="B20:B24"/>
    <mergeCell ref="A1:G1"/>
    <mergeCell ref="A2:A6"/>
    <mergeCell ref="B2:B6"/>
    <mergeCell ref="C7:C9"/>
    <mergeCell ref="A7:A13"/>
    <mergeCell ref="B7:B13"/>
    <mergeCell ref="A14:A18"/>
    <mergeCell ref="B14:B18"/>
    <mergeCell ref="A19:G19"/>
    <mergeCell ref="C25:C29"/>
    <mergeCell ref="G47:G49"/>
    <mergeCell ref="C130:C131"/>
    <mergeCell ref="C64:C66"/>
    <mergeCell ref="C54:C59"/>
    <mergeCell ref="F105:F109"/>
    <mergeCell ref="C97:C98"/>
    <mergeCell ref="G101:G102"/>
    <mergeCell ref="G130:G131"/>
    <mergeCell ref="A116:G116"/>
    <mergeCell ref="F101:F102"/>
    <mergeCell ref="C127:C128"/>
    <mergeCell ref="A117:A122"/>
    <mergeCell ref="B117:B122"/>
    <mergeCell ref="A25:A38"/>
    <mergeCell ref="B25:B38"/>
    <mergeCell ref="A169:A177"/>
    <mergeCell ref="B169:B177"/>
    <mergeCell ref="C169:C173"/>
    <mergeCell ref="C32:C35"/>
    <mergeCell ref="G33:G35"/>
    <mergeCell ref="A39:A52"/>
    <mergeCell ref="B39:B52"/>
    <mergeCell ref="A53:A61"/>
    <mergeCell ref="B53:B61"/>
    <mergeCell ref="C39:C45"/>
    <mergeCell ref="C47:C49"/>
    <mergeCell ref="C123:C124"/>
    <mergeCell ref="C101:C102"/>
    <mergeCell ref="G82:G83"/>
    <mergeCell ref="A143:A147"/>
    <mergeCell ref="B143:B14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"/>
  <sheetViews>
    <sheetView topLeftCell="A33" zoomScale="70" zoomScaleNormal="70" zoomScaleSheetLayoutView="70" workbookViewId="0">
      <selection activeCell="C43" sqref="C43:C44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500" customWidth="1"/>
    <col min="9" max="14" width="9" style="1"/>
    <col min="15" max="15" width="12.25" style="1" bestFit="1" customWidth="1"/>
    <col min="16" max="16" width="9" style="1"/>
    <col min="17" max="17" width="12.25" style="1" bestFit="1" customWidth="1"/>
    <col min="18" max="16384" width="9" style="1"/>
  </cols>
  <sheetData>
    <row r="1" spans="1:8" s="500" customFormat="1" ht="60" customHeight="1" thickBot="1">
      <c r="A1" s="1298" t="s">
        <v>5</v>
      </c>
      <c r="B1" s="1299"/>
      <c r="C1" s="1299"/>
      <c r="D1" s="1299"/>
      <c r="E1" s="1299"/>
      <c r="F1" s="1299"/>
      <c r="G1" s="1300"/>
    </row>
    <row r="2" spans="1:8" s="421" customFormat="1" ht="36" customHeight="1">
      <c r="A2" s="1301">
        <v>44743</v>
      </c>
      <c r="B2" s="1317" t="s">
        <v>0</v>
      </c>
      <c r="C2" s="1307" t="s">
        <v>1826</v>
      </c>
      <c r="D2" s="27" t="s">
        <v>1827</v>
      </c>
      <c r="E2" s="27" t="s">
        <v>2569</v>
      </c>
      <c r="F2" s="520"/>
      <c r="G2" s="519"/>
    </row>
    <row r="3" spans="1:8" s="421" customFormat="1" ht="36" customHeight="1">
      <c r="A3" s="1302"/>
      <c r="B3" s="1318"/>
      <c r="C3" s="1309"/>
      <c r="D3" s="27" t="s">
        <v>2627</v>
      </c>
      <c r="E3" s="27" t="s">
        <v>1557</v>
      </c>
      <c r="F3" s="520"/>
      <c r="G3" s="519"/>
    </row>
    <row r="4" spans="1:8" s="502" customFormat="1" ht="36" customHeight="1">
      <c r="A4" s="1302"/>
      <c r="B4" s="1318"/>
      <c r="C4" s="521" t="s">
        <v>1600</v>
      </c>
      <c r="D4" s="40" t="s">
        <v>2624</v>
      </c>
      <c r="E4" s="39" t="s">
        <v>2625</v>
      </c>
      <c r="F4" s="520"/>
      <c r="G4" s="519"/>
      <c r="H4" s="502" t="s">
        <v>2626</v>
      </c>
    </row>
    <row r="5" spans="1:8" s="502" customFormat="1" ht="36" customHeight="1">
      <c r="A5" s="1302"/>
      <c r="B5" s="1318"/>
      <c r="C5" s="521" t="s">
        <v>2628</v>
      </c>
      <c r="D5" s="524" t="s">
        <v>2629</v>
      </c>
      <c r="E5" s="54" t="s">
        <v>2630</v>
      </c>
      <c r="F5" s="27"/>
      <c r="G5" s="519"/>
    </row>
    <row r="6" spans="1:8" s="502" customFormat="1" ht="36" customHeight="1">
      <c r="A6" s="1302"/>
      <c r="B6" s="1318"/>
      <c r="C6" s="521" t="s">
        <v>2638</v>
      </c>
      <c r="D6" s="40" t="s">
        <v>2639</v>
      </c>
      <c r="E6" s="39" t="s">
        <v>2640</v>
      </c>
      <c r="F6" s="520"/>
      <c r="G6" s="519"/>
    </row>
    <row r="7" spans="1:8" s="502" customFormat="1" ht="36" customHeight="1">
      <c r="A7" s="1302"/>
      <c r="B7" s="1318"/>
      <c r="C7" s="518"/>
      <c r="D7" s="524" t="s">
        <v>2641</v>
      </c>
      <c r="E7" s="54" t="s">
        <v>2642</v>
      </c>
      <c r="F7" s="27" t="s">
        <v>2643</v>
      </c>
      <c r="G7" s="519"/>
    </row>
    <row r="8" spans="1:8" s="523" customFormat="1" ht="36" customHeight="1">
      <c r="A8" s="1302"/>
      <c r="B8" s="1318"/>
      <c r="C8" s="1310" t="s">
        <v>2644</v>
      </c>
      <c r="D8" s="40" t="s">
        <v>2645</v>
      </c>
      <c r="E8" s="39" t="s">
        <v>2646</v>
      </c>
      <c r="F8" s="520"/>
      <c r="G8" s="1311" t="s">
        <v>2648</v>
      </c>
    </row>
    <row r="9" spans="1:8" s="523" customFormat="1" ht="36" customHeight="1" thickBot="1">
      <c r="A9" s="1302"/>
      <c r="B9" s="1318"/>
      <c r="C9" s="1309"/>
      <c r="D9" s="524" t="s">
        <v>1375</v>
      </c>
      <c r="E9" s="39" t="s">
        <v>2647</v>
      </c>
      <c r="F9" s="520" t="s">
        <v>2649</v>
      </c>
      <c r="G9" s="1313"/>
    </row>
    <row r="10" spans="1:8" s="523" customFormat="1" ht="36" hidden="1" customHeight="1">
      <c r="A10" s="1302"/>
      <c r="B10" s="1318"/>
      <c r="C10" s="21"/>
      <c r="D10" s="20"/>
      <c r="E10" s="19"/>
      <c r="F10" s="503"/>
      <c r="G10" s="357"/>
    </row>
    <row r="11" spans="1:8" s="421" customFormat="1" ht="36" hidden="1" customHeight="1">
      <c r="A11" s="1302"/>
      <c r="B11" s="1318"/>
      <c r="C11" s="21"/>
      <c r="D11" s="20"/>
      <c r="E11" s="19"/>
      <c r="F11" s="97"/>
      <c r="G11" s="357"/>
    </row>
    <row r="12" spans="1:8" s="421" customFormat="1" ht="36" hidden="1" customHeight="1" thickBot="1">
      <c r="A12" s="1302"/>
      <c r="B12" s="1318"/>
      <c r="C12" s="306"/>
      <c r="D12" s="16"/>
      <c r="E12" s="15"/>
      <c r="F12" s="14"/>
      <c r="G12" s="357"/>
    </row>
    <row r="13" spans="1:8" s="421" customFormat="1" ht="36" customHeight="1" thickBot="1">
      <c r="A13" s="1303"/>
      <c r="B13" s="1319"/>
      <c r="C13" s="12"/>
      <c r="D13" s="11"/>
      <c r="E13" s="10"/>
      <c r="F13" s="10"/>
      <c r="G13" s="9"/>
    </row>
    <row r="14" spans="1:8" s="523" customFormat="1" ht="36" customHeight="1" thickBot="1">
      <c r="A14" s="1301">
        <v>44744</v>
      </c>
      <c r="B14" s="1314" t="s">
        <v>2669</v>
      </c>
      <c r="C14" s="526" t="s">
        <v>2670</v>
      </c>
      <c r="D14" s="27" t="s">
        <v>2671</v>
      </c>
      <c r="E14" s="27" t="s">
        <v>2672</v>
      </c>
      <c r="F14" s="528"/>
      <c r="G14" s="527" t="s">
        <v>2648</v>
      </c>
    </row>
    <row r="15" spans="1:8" s="523" customFormat="1" ht="36" hidden="1" customHeight="1">
      <c r="A15" s="1302"/>
      <c r="B15" s="1315"/>
      <c r="C15" s="522"/>
      <c r="D15" s="22"/>
      <c r="E15" s="22"/>
      <c r="F15" s="503"/>
      <c r="G15" s="357"/>
    </row>
    <row r="16" spans="1:8" s="523" customFormat="1" ht="36" hidden="1" customHeight="1">
      <c r="A16" s="1302"/>
      <c r="B16" s="1315"/>
      <c r="C16" s="21"/>
      <c r="D16" s="20"/>
      <c r="E16" s="19"/>
      <c r="F16" s="503"/>
      <c r="G16" s="357"/>
    </row>
    <row r="17" spans="1:8" s="523" customFormat="1" ht="36" hidden="1" customHeight="1" thickBot="1">
      <c r="A17" s="1302"/>
      <c r="B17" s="1315"/>
      <c r="C17" s="525"/>
      <c r="D17" s="16"/>
      <c r="E17" s="15"/>
      <c r="F17" s="482"/>
      <c r="G17" s="357"/>
    </row>
    <row r="18" spans="1:8" s="523" customFormat="1" ht="36" customHeight="1" thickBot="1">
      <c r="A18" s="1303"/>
      <c r="B18" s="1316"/>
      <c r="C18" s="12"/>
      <c r="D18" s="11"/>
      <c r="E18" s="10"/>
      <c r="F18" s="10"/>
      <c r="G18" s="9"/>
    </row>
    <row r="19" spans="1:8" s="500" customFormat="1" ht="60" customHeight="1" thickBot="1">
      <c r="A19" s="1298" t="s">
        <v>5</v>
      </c>
      <c r="B19" s="1299"/>
      <c r="C19" s="1299"/>
      <c r="D19" s="1299"/>
      <c r="E19" s="1299"/>
      <c r="F19" s="1299"/>
      <c r="G19" s="1300"/>
    </row>
    <row r="20" spans="1:8" s="513" customFormat="1" ht="36" customHeight="1">
      <c r="A20" s="1302">
        <v>44746</v>
      </c>
      <c r="B20" s="1315" t="s">
        <v>2689</v>
      </c>
      <c r="C20" s="1310" t="s">
        <v>1424</v>
      </c>
      <c r="D20" s="40" t="s">
        <v>1637</v>
      </c>
      <c r="E20" s="39" t="s">
        <v>1461</v>
      </c>
      <c r="F20" s="528"/>
      <c r="G20" s="527"/>
    </row>
    <row r="21" spans="1:8" s="513" customFormat="1" ht="36" customHeight="1">
      <c r="A21" s="1302"/>
      <c r="B21" s="1315"/>
      <c r="C21" s="1308"/>
      <c r="D21" s="531" t="s">
        <v>1459</v>
      </c>
      <c r="E21" s="54" t="s">
        <v>1453</v>
      </c>
      <c r="F21" s="27" t="s">
        <v>1566</v>
      </c>
      <c r="G21" s="527"/>
    </row>
    <row r="22" spans="1:8" s="513" customFormat="1" ht="36" customHeight="1">
      <c r="A22" s="1302"/>
      <c r="B22" s="1315"/>
      <c r="C22" s="1308"/>
      <c r="D22" s="40" t="s">
        <v>1425</v>
      </c>
      <c r="E22" s="39" t="s">
        <v>1549</v>
      </c>
      <c r="F22" s="528"/>
      <c r="G22" s="527"/>
    </row>
    <row r="23" spans="1:8" s="513" customFormat="1" ht="36" customHeight="1">
      <c r="A23" s="1302"/>
      <c r="B23" s="1315"/>
      <c r="C23" s="1309"/>
      <c r="D23" s="531" t="s">
        <v>2681</v>
      </c>
      <c r="E23" s="54" t="s">
        <v>2594</v>
      </c>
      <c r="F23" s="27"/>
      <c r="G23" s="527"/>
    </row>
    <row r="24" spans="1:8" s="530" customFormat="1" ht="36" customHeight="1">
      <c r="A24" s="1302"/>
      <c r="B24" s="1315"/>
      <c r="C24" s="1310" t="s">
        <v>2674</v>
      </c>
      <c r="D24" s="531" t="s">
        <v>2675</v>
      </c>
      <c r="E24" s="54" t="s">
        <v>2676</v>
      </c>
      <c r="F24" s="27"/>
      <c r="G24" s="527"/>
    </row>
    <row r="25" spans="1:8" s="530" customFormat="1" ht="36" customHeight="1">
      <c r="A25" s="1302"/>
      <c r="B25" s="1315"/>
      <c r="C25" s="1308"/>
      <c r="D25" s="27" t="s">
        <v>2677</v>
      </c>
      <c r="E25" s="27" t="s">
        <v>2678</v>
      </c>
      <c r="F25" s="528"/>
      <c r="G25" s="527"/>
    </row>
    <row r="26" spans="1:8" s="513" customFormat="1" ht="36" customHeight="1">
      <c r="A26" s="1302"/>
      <c r="B26" s="1315"/>
      <c r="C26" s="1308"/>
      <c r="D26" s="531" t="s">
        <v>2679</v>
      </c>
      <c r="E26" s="54" t="s">
        <v>2680</v>
      </c>
      <c r="F26" s="27"/>
      <c r="G26" s="527"/>
    </row>
    <row r="27" spans="1:8" s="500" customFormat="1" ht="36" customHeight="1">
      <c r="A27" s="1302"/>
      <c r="B27" s="1315"/>
      <c r="C27" s="1308"/>
      <c r="D27" s="27" t="s">
        <v>2687</v>
      </c>
      <c r="E27" s="27" t="s">
        <v>2688</v>
      </c>
      <c r="F27" s="528"/>
      <c r="G27" s="527"/>
    </row>
    <row r="28" spans="1:8" s="500" customFormat="1" ht="36" customHeight="1">
      <c r="A28" s="1302"/>
      <c r="B28" s="1315"/>
      <c r="C28" s="1309"/>
      <c r="D28" s="27" t="s">
        <v>2682</v>
      </c>
      <c r="E28" s="27" t="s">
        <v>2683</v>
      </c>
      <c r="F28" s="528" t="s">
        <v>2684</v>
      </c>
      <c r="G28" s="527"/>
    </row>
    <row r="29" spans="1:8" s="500" customFormat="1" ht="36" customHeight="1">
      <c r="A29" s="1302"/>
      <c r="B29" s="1315"/>
      <c r="C29" s="529" t="s">
        <v>2693</v>
      </c>
      <c r="D29" s="40" t="s">
        <v>2694</v>
      </c>
      <c r="E29" s="39" t="s">
        <v>2695</v>
      </c>
      <c r="F29" s="528"/>
      <c r="G29" s="41"/>
      <c r="H29" s="500" t="s">
        <v>2696</v>
      </c>
    </row>
    <row r="30" spans="1:8" s="530" customFormat="1" ht="36" customHeight="1">
      <c r="A30" s="1302"/>
      <c r="B30" s="1315"/>
      <c r="C30" s="1310" t="s">
        <v>2697</v>
      </c>
      <c r="D30" s="27" t="s">
        <v>2682</v>
      </c>
      <c r="E30" s="39" t="s">
        <v>2698</v>
      </c>
      <c r="F30" s="27"/>
      <c r="G30" s="41" t="s">
        <v>2699</v>
      </c>
      <c r="H30" s="530" t="s">
        <v>2700</v>
      </c>
    </row>
    <row r="31" spans="1:8" s="530" customFormat="1" ht="36" customHeight="1">
      <c r="A31" s="1302"/>
      <c r="B31" s="1315"/>
      <c r="C31" s="1309"/>
      <c r="D31" s="537" t="s">
        <v>2682</v>
      </c>
      <c r="E31" s="36" t="s">
        <v>2698</v>
      </c>
      <c r="F31" s="537"/>
      <c r="G31" s="535" t="s">
        <v>2699</v>
      </c>
      <c r="H31" s="530" t="s">
        <v>2701</v>
      </c>
    </row>
    <row r="32" spans="1:8" s="530" customFormat="1" ht="36" customHeight="1">
      <c r="A32" s="1302"/>
      <c r="B32" s="1315"/>
      <c r="C32" s="1310" t="s">
        <v>2702</v>
      </c>
      <c r="D32" s="537" t="s">
        <v>2703</v>
      </c>
      <c r="E32" s="537" t="s">
        <v>2678</v>
      </c>
      <c r="F32" s="537"/>
      <c r="G32" s="1311" t="s">
        <v>2706</v>
      </c>
    </row>
    <row r="33" spans="1:8" s="530" customFormat="1" ht="36" customHeight="1">
      <c r="A33" s="1302"/>
      <c r="B33" s="1315"/>
      <c r="C33" s="1308"/>
      <c r="D33" s="40" t="s">
        <v>2707</v>
      </c>
      <c r="E33" s="39" t="s">
        <v>2704</v>
      </c>
      <c r="F33" s="537"/>
      <c r="G33" s="1312"/>
    </row>
    <row r="34" spans="1:8" s="530" customFormat="1" ht="36" customHeight="1">
      <c r="A34" s="1302"/>
      <c r="B34" s="1315"/>
      <c r="C34" s="1308"/>
      <c r="D34" s="541" t="s">
        <v>109</v>
      </c>
      <c r="E34" s="54" t="s">
        <v>2705</v>
      </c>
      <c r="F34" s="536" t="s">
        <v>1380</v>
      </c>
      <c r="G34" s="1312"/>
    </row>
    <row r="35" spans="1:8" s="530" customFormat="1" ht="36" customHeight="1">
      <c r="A35" s="1302"/>
      <c r="B35" s="1315"/>
      <c r="C35" s="1308"/>
      <c r="D35" s="40" t="s">
        <v>2708</v>
      </c>
      <c r="E35" s="39" t="s">
        <v>2709</v>
      </c>
      <c r="F35" s="27"/>
      <c r="G35" s="41" t="s">
        <v>2711</v>
      </c>
      <c r="H35" s="530" t="s">
        <v>2712</v>
      </c>
    </row>
    <row r="36" spans="1:8" s="530" customFormat="1" ht="36" customHeight="1" thickBot="1">
      <c r="A36" s="1302"/>
      <c r="B36" s="1315"/>
      <c r="C36" s="1324"/>
      <c r="D36" s="44" t="s">
        <v>109</v>
      </c>
      <c r="E36" s="43" t="s">
        <v>2710</v>
      </c>
      <c r="F36" s="536"/>
      <c r="G36" s="538" t="s">
        <v>2711</v>
      </c>
      <c r="H36" s="530" t="s">
        <v>2713</v>
      </c>
    </row>
    <row r="37" spans="1:8" s="500" customFormat="1" ht="36" customHeight="1" thickBot="1">
      <c r="A37" s="1303"/>
      <c r="B37" s="1316"/>
      <c r="C37" s="12"/>
      <c r="D37" s="11"/>
      <c r="E37" s="10"/>
      <c r="F37" s="10"/>
      <c r="G37" s="9"/>
    </row>
    <row r="38" spans="1:8" s="500" customFormat="1" ht="36" customHeight="1">
      <c r="A38" s="1301">
        <v>44747</v>
      </c>
      <c r="B38" s="1314" t="s">
        <v>3</v>
      </c>
      <c r="C38" s="1307" t="s">
        <v>1393</v>
      </c>
      <c r="D38" s="71" t="s">
        <v>1395</v>
      </c>
      <c r="E38" s="71" t="s">
        <v>1389</v>
      </c>
      <c r="F38" s="71"/>
      <c r="G38" s="1322" t="s">
        <v>2665</v>
      </c>
    </row>
    <row r="39" spans="1:8" s="500" customFormat="1" ht="36" customHeight="1">
      <c r="A39" s="1302"/>
      <c r="B39" s="1315"/>
      <c r="C39" s="1309"/>
      <c r="D39" s="27" t="s">
        <v>1394</v>
      </c>
      <c r="E39" s="27" t="s">
        <v>2715</v>
      </c>
      <c r="F39" s="537" t="s">
        <v>2637</v>
      </c>
      <c r="G39" s="1313"/>
    </row>
    <row r="40" spans="1:8" s="500" customFormat="1" ht="36" customHeight="1">
      <c r="A40" s="1302"/>
      <c r="B40" s="1315"/>
      <c r="C40" s="539" t="s">
        <v>2666</v>
      </c>
      <c r="D40" s="40" t="s">
        <v>3384</v>
      </c>
      <c r="E40" s="39" t="s">
        <v>2667</v>
      </c>
      <c r="F40" s="537" t="s">
        <v>2668</v>
      </c>
      <c r="G40" s="41" t="s">
        <v>2673</v>
      </c>
    </row>
    <row r="41" spans="1:8" s="530" customFormat="1" ht="36" customHeight="1">
      <c r="A41" s="1302"/>
      <c r="B41" s="1315"/>
      <c r="C41" s="1308" t="s">
        <v>1428</v>
      </c>
      <c r="D41" s="537" t="s">
        <v>2557</v>
      </c>
      <c r="E41" s="537" t="s">
        <v>1259</v>
      </c>
      <c r="F41" s="1320" t="s">
        <v>1760</v>
      </c>
      <c r="G41" s="1312" t="s">
        <v>2126</v>
      </c>
    </row>
    <row r="42" spans="1:8" s="530" customFormat="1" ht="36" customHeight="1">
      <c r="A42" s="1302"/>
      <c r="B42" s="1315"/>
      <c r="C42" s="1309"/>
      <c r="D42" s="27" t="s">
        <v>2558</v>
      </c>
      <c r="E42" s="27" t="s">
        <v>1259</v>
      </c>
      <c r="F42" s="1321"/>
      <c r="G42" s="1313"/>
    </row>
    <row r="43" spans="1:8" s="530" customFormat="1" ht="36" customHeight="1">
      <c r="A43" s="1302"/>
      <c r="B43" s="1315"/>
      <c r="C43" s="1310" t="s">
        <v>2714</v>
      </c>
      <c r="D43" s="541" t="s">
        <v>109</v>
      </c>
      <c r="E43" s="54" t="s">
        <v>2686</v>
      </c>
      <c r="F43" s="27"/>
      <c r="G43" s="1311" t="s">
        <v>2721</v>
      </c>
    </row>
    <row r="44" spans="1:8" s="540" customFormat="1" ht="36" customHeight="1">
      <c r="A44" s="1302"/>
      <c r="B44" s="1315"/>
      <c r="C44" s="1309"/>
      <c r="D44" s="541" t="s">
        <v>2719</v>
      </c>
      <c r="E44" s="54" t="s">
        <v>2720</v>
      </c>
      <c r="F44" s="27"/>
      <c r="G44" s="1313"/>
    </row>
    <row r="45" spans="1:8" s="530" customFormat="1" ht="36" customHeight="1" thickBot="1">
      <c r="A45" s="1302"/>
      <c r="B45" s="1315"/>
      <c r="C45" s="533" t="s">
        <v>2717</v>
      </c>
      <c r="D45" s="541" t="s">
        <v>2718</v>
      </c>
      <c r="E45" s="54" t="s">
        <v>2716</v>
      </c>
      <c r="F45" s="27"/>
      <c r="G45" s="534"/>
    </row>
    <row r="46" spans="1:8" s="530" customFormat="1" ht="36" hidden="1" customHeight="1">
      <c r="A46" s="1302"/>
      <c r="B46" s="1315"/>
      <c r="C46" s="532"/>
      <c r="D46" s="16"/>
      <c r="E46" s="15"/>
      <c r="F46" s="22"/>
      <c r="G46" s="357"/>
    </row>
    <row r="47" spans="1:8" s="500" customFormat="1" ht="36" hidden="1" customHeight="1" thickBot="1">
      <c r="A47" s="1302"/>
      <c r="B47" s="1315"/>
      <c r="C47" s="468"/>
      <c r="D47" s="16"/>
      <c r="E47" s="15"/>
      <c r="F47" s="482"/>
      <c r="G47" s="357"/>
    </row>
    <row r="48" spans="1:8" s="500" customFormat="1" ht="36" customHeight="1" thickBot="1">
      <c r="A48" s="1303"/>
      <c r="B48" s="1316"/>
      <c r="C48" s="12"/>
      <c r="D48" s="11"/>
      <c r="E48" s="10"/>
      <c r="F48" s="10"/>
      <c r="G48" s="9"/>
    </row>
    <row r="49" spans="1:8" s="500" customFormat="1" ht="36" customHeight="1">
      <c r="A49" s="1301">
        <v>44748</v>
      </c>
      <c r="B49" s="1314" t="s">
        <v>2</v>
      </c>
      <c r="C49" s="1307" t="s">
        <v>2657</v>
      </c>
      <c r="D49" s="27" t="s">
        <v>2658</v>
      </c>
      <c r="E49" s="27" t="s">
        <v>2659</v>
      </c>
      <c r="F49" s="546"/>
      <c r="G49" s="543"/>
    </row>
    <row r="50" spans="1:8" s="523" customFormat="1" ht="36" customHeight="1">
      <c r="A50" s="1302"/>
      <c r="B50" s="1315"/>
      <c r="C50" s="1308"/>
      <c r="D50" s="27" t="s">
        <v>2660</v>
      </c>
      <c r="E50" s="27" t="s">
        <v>2646</v>
      </c>
      <c r="F50" s="546"/>
      <c r="G50" s="543"/>
    </row>
    <row r="51" spans="1:8" s="523" customFormat="1" ht="36" customHeight="1">
      <c r="A51" s="1302"/>
      <c r="B51" s="1315"/>
      <c r="C51" s="1308"/>
      <c r="D51" s="40" t="s">
        <v>2661</v>
      </c>
      <c r="E51" s="39" t="s">
        <v>2662</v>
      </c>
      <c r="F51" s="546"/>
      <c r="G51" s="543"/>
    </row>
    <row r="52" spans="1:8" s="500" customFormat="1" ht="36" customHeight="1">
      <c r="A52" s="1302"/>
      <c r="B52" s="1315"/>
      <c r="C52" s="1309"/>
      <c r="D52" s="27" t="s">
        <v>2663</v>
      </c>
      <c r="E52" s="27" t="s">
        <v>2664</v>
      </c>
      <c r="F52" s="546"/>
      <c r="G52" s="543"/>
    </row>
    <row r="53" spans="1:8" s="500" customFormat="1" ht="36" customHeight="1">
      <c r="A53" s="1302"/>
      <c r="B53" s="1315"/>
      <c r="C53" s="547" t="s">
        <v>2690</v>
      </c>
      <c r="D53" s="40" t="s">
        <v>2682</v>
      </c>
      <c r="E53" s="39" t="s">
        <v>2691</v>
      </c>
      <c r="F53" s="27" t="s">
        <v>1380</v>
      </c>
      <c r="G53" s="41"/>
      <c r="H53" s="500" t="s">
        <v>2692</v>
      </c>
    </row>
    <row r="54" spans="1:8" s="548" customFormat="1" ht="36" customHeight="1" thickBot="1">
      <c r="A54" s="1302"/>
      <c r="B54" s="1315"/>
      <c r="C54" s="542" t="s">
        <v>2734</v>
      </c>
      <c r="D54" s="44" t="s">
        <v>2735</v>
      </c>
      <c r="E54" s="43" t="s">
        <v>2736</v>
      </c>
      <c r="F54" s="545"/>
      <c r="G54" s="544" t="s">
        <v>2737</v>
      </c>
      <c r="H54" s="548" t="s">
        <v>2742</v>
      </c>
    </row>
    <row r="55" spans="1:8" s="500" customFormat="1" ht="36" customHeight="1" thickBot="1">
      <c r="A55" s="1303"/>
      <c r="B55" s="1316"/>
      <c r="C55" s="12"/>
      <c r="D55" s="11"/>
      <c r="E55" s="10"/>
      <c r="F55" s="10"/>
      <c r="G55" s="9"/>
    </row>
    <row r="56" spans="1:8" s="500" customFormat="1" ht="36" customHeight="1">
      <c r="A56" s="1301">
        <v>44749</v>
      </c>
      <c r="B56" s="1314" t="s">
        <v>1</v>
      </c>
      <c r="C56" s="558" t="s">
        <v>2724</v>
      </c>
      <c r="D56" s="27" t="s">
        <v>2685</v>
      </c>
      <c r="E56" s="27" t="s">
        <v>320</v>
      </c>
      <c r="F56" s="557"/>
      <c r="G56" s="555"/>
    </row>
    <row r="57" spans="1:8" s="500" customFormat="1" ht="36" customHeight="1">
      <c r="A57" s="1302"/>
      <c r="B57" s="1315"/>
      <c r="C57" s="558" t="s">
        <v>2725</v>
      </c>
      <c r="D57" s="27" t="s">
        <v>2726</v>
      </c>
      <c r="E57" s="27" t="s">
        <v>2727</v>
      </c>
      <c r="F57" s="557" t="s">
        <v>2728</v>
      </c>
      <c r="G57" s="555"/>
      <c r="H57" s="500" t="s">
        <v>2729</v>
      </c>
    </row>
    <row r="58" spans="1:8" s="500" customFormat="1" ht="36" customHeight="1">
      <c r="A58" s="1302"/>
      <c r="B58" s="1315"/>
      <c r="C58" s="558" t="s">
        <v>2730</v>
      </c>
      <c r="D58" s="560" t="s">
        <v>1375</v>
      </c>
      <c r="E58" s="39" t="s">
        <v>2731</v>
      </c>
      <c r="F58" s="557" t="s">
        <v>2732</v>
      </c>
      <c r="G58" s="555"/>
      <c r="H58" s="500" t="s">
        <v>2733</v>
      </c>
    </row>
    <row r="59" spans="1:8" s="548" customFormat="1" ht="36" customHeight="1">
      <c r="A59" s="1302"/>
      <c r="B59" s="1315"/>
      <c r="C59" s="1310" t="s">
        <v>2738</v>
      </c>
      <c r="D59" s="560" t="s">
        <v>2739</v>
      </c>
      <c r="E59" s="54" t="s">
        <v>2740</v>
      </c>
      <c r="F59" s="27" t="s">
        <v>2741</v>
      </c>
      <c r="G59" s="1311" t="s">
        <v>2750</v>
      </c>
    </row>
    <row r="60" spans="1:8" s="548" customFormat="1" ht="36" customHeight="1">
      <c r="A60" s="1302"/>
      <c r="B60" s="1315"/>
      <c r="C60" s="1309"/>
      <c r="D60" s="560" t="s">
        <v>2751</v>
      </c>
      <c r="E60" s="54" t="s">
        <v>2749</v>
      </c>
      <c r="F60" s="27"/>
      <c r="G60" s="1313"/>
    </row>
    <row r="61" spans="1:8" s="500" customFormat="1" ht="36" customHeight="1" thickBot="1">
      <c r="A61" s="1302"/>
      <c r="B61" s="1315"/>
      <c r="C61" s="554" t="s">
        <v>1506</v>
      </c>
      <c r="D61" s="560" t="s">
        <v>2753</v>
      </c>
      <c r="E61" s="54" t="s">
        <v>2754</v>
      </c>
      <c r="F61" s="556"/>
      <c r="G61" s="555" t="s">
        <v>2755</v>
      </c>
    </row>
    <row r="62" spans="1:8" s="500" customFormat="1" ht="36" customHeight="1" thickBot="1">
      <c r="A62" s="1303"/>
      <c r="B62" s="1316"/>
      <c r="C62" s="12"/>
      <c r="D62" s="11"/>
      <c r="E62" s="10"/>
      <c r="F62" s="10"/>
      <c r="G62" s="9"/>
    </row>
    <row r="63" spans="1:8" s="548" customFormat="1" ht="36" customHeight="1">
      <c r="A63" s="1301">
        <v>44750</v>
      </c>
      <c r="B63" s="1317" t="s">
        <v>0</v>
      </c>
      <c r="C63" s="1307" t="s">
        <v>2674</v>
      </c>
      <c r="D63" s="27" t="s">
        <v>2766</v>
      </c>
      <c r="E63" s="27" t="s">
        <v>2765</v>
      </c>
      <c r="F63" s="557"/>
      <c r="G63" s="555"/>
    </row>
    <row r="64" spans="1:8" s="500" customFormat="1" ht="36" customHeight="1">
      <c r="A64" s="1302"/>
      <c r="B64" s="1318"/>
      <c r="C64" s="1309"/>
      <c r="D64" s="27" t="s">
        <v>2767</v>
      </c>
      <c r="E64" s="27" t="s">
        <v>2764</v>
      </c>
      <c r="F64" s="557"/>
      <c r="G64" s="555"/>
    </row>
    <row r="65" spans="1:8" s="500" customFormat="1" ht="36" customHeight="1" thickBot="1">
      <c r="A65" s="1302"/>
      <c r="B65" s="1318"/>
      <c r="C65" s="558" t="s">
        <v>2768</v>
      </c>
      <c r="D65" s="27" t="s">
        <v>2769</v>
      </c>
      <c r="E65" s="27" t="s">
        <v>2770</v>
      </c>
      <c r="F65" s="557" t="s">
        <v>2772</v>
      </c>
      <c r="G65" s="555" t="s">
        <v>2771</v>
      </c>
    </row>
    <row r="66" spans="1:8" s="500" customFormat="1" ht="36" hidden="1" customHeight="1" thickBot="1">
      <c r="A66" s="1302"/>
      <c r="B66" s="1318"/>
      <c r="C66" s="468"/>
      <c r="D66" s="16"/>
      <c r="E66" s="15"/>
      <c r="F66" s="482"/>
      <c r="G66" s="357"/>
    </row>
    <row r="67" spans="1:8" s="500" customFormat="1" ht="36" customHeight="1" thickBot="1">
      <c r="A67" s="1303"/>
      <c r="B67" s="1319"/>
      <c r="C67" s="12"/>
      <c r="D67" s="11"/>
      <c r="E67" s="10"/>
      <c r="F67" s="10"/>
      <c r="G67" s="9"/>
    </row>
    <row r="68" spans="1:8" s="500" customFormat="1" ht="60" customHeight="1" thickBot="1">
      <c r="A68" s="1298" t="s">
        <v>5</v>
      </c>
      <c r="B68" s="1299"/>
      <c r="C68" s="1299"/>
      <c r="D68" s="1299"/>
      <c r="E68" s="1299"/>
      <c r="F68" s="1299"/>
      <c r="G68" s="1300"/>
    </row>
    <row r="69" spans="1:8" s="500" customFormat="1" ht="36" customHeight="1">
      <c r="A69" s="1301">
        <v>44753</v>
      </c>
      <c r="B69" s="1314" t="s">
        <v>4</v>
      </c>
      <c r="C69" s="564" t="s">
        <v>2756</v>
      </c>
      <c r="D69" s="27" t="s">
        <v>2757</v>
      </c>
      <c r="E69" s="27" t="s">
        <v>2621</v>
      </c>
      <c r="F69" s="563"/>
      <c r="G69" s="562"/>
    </row>
    <row r="70" spans="1:8" s="559" customFormat="1" ht="36" customHeight="1">
      <c r="A70" s="1302"/>
      <c r="B70" s="1315"/>
      <c r="C70" s="564" t="s">
        <v>2197</v>
      </c>
      <c r="D70" s="40" t="s">
        <v>2769</v>
      </c>
      <c r="E70" s="39" t="s">
        <v>2775</v>
      </c>
      <c r="F70" s="563"/>
      <c r="G70" s="562" t="s">
        <v>2776</v>
      </c>
      <c r="H70" s="559" t="s">
        <v>2777</v>
      </c>
    </row>
    <row r="71" spans="1:8" s="500" customFormat="1" ht="36" customHeight="1" thickBot="1">
      <c r="A71" s="1302"/>
      <c r="B71" s="1315"/>
      <c r="C71" s="21"/>
      <c r="D71" s="22"/>
      <c r="E71" s="22"/>
      <c r="F71" s="501"/>
      <c r="G71" s="357"/>
    </row>
    <row r="72" spans="1:8" s="500" customFormat="1" ht="36" hidden="1" customHeight="1">
      <c r="A72" s="1302"/>
      <c r="B72" s="1315"/>
      <c r="C72" s="21"/>
      <c r="D72" s="20"/>
      <c r="E72" s="19"/>
      <c r="F72" s="501"/>
      <c r="G72" s="357"/>
    </row>
    <row r="73" spans="1:8" s="500" customFormat="1" ht="36" hidden="1" customHeight="1" thickBot="1">
      <c r="A73" s="1302"/>
      <c r="B73" s="1315"/>
      <c r="C73" s="468"/>
      <c r="D73" s="16"/>
      <c r="E73" s="15"/>
      <c r="F73" s="482"/>
      <c r="G73" s="357"/>
    </row>
    <row r="74" spans="1:8" s="500" customFormat="1" ht="36" customHeight="1" thickBot="1">
      <c r="A74" s="1303"/>
      <c r="B74" s="1316"/>
      <c r="C74" s="12" t="s">
        <v>2784</v>
      </c>
      <c r="D74" s="11" t="s">
        <v>2785</v>
      </c>
      <c r="E74" s="10" t="s">
        <v>2786</v>
      </c>
      <c r="F74" s="10" t="s">
        <v>2787</v>
      </c>
      <c r="G74" s="9"/>
    </row>
    <row r="75" spans="1:8" s="500" customFormat="1" ht="36" customHeight="1">
      <c r="A75" s="1301">
        <v>44754</v>
      </c>
      <c r="B75" s="1314" t="s">
        <v>88</v>
      </c>
      <c r="C75" s="1307" t="s">
        <v>2808</v>
      </c>
      <c r="D75" s="27" t="s">
        <v>2800</v>
      </c>
      <c r="E75" s="27" t="s">
        <v>2796</v>
      </c>
      <c r="F75" s="572"/>
      <c r="G75" s="569"/>
    </row>
    <row r="76" spans="1:8" s="552" customFormat="1" ht="36" customHeight="1">
      <c r="A76" s="1302"/>
      <c r="B76" s="1315"/>
      <c r="C76" s="1308"/>
      <c r="D76" s="27" t="s">
        <v>2759</v>
      </c>
      <c r="E76" s="27" t="s">
        <v>2758</v>
      </c>
      <c r="F76" s="572"/>
      <c r="G76" s="569"/>
    </row>
    <row r="77" spans="1:8" s="552" customFormat="1" ht="36" customHeight="1">
      <c r="A77" s="1302"/>
      <c r="B77" s="1315"/>
      <c r="C77" s="1308"/>
      <c r="D77" s="27" t="s">
        <v>2760</v>
      </c>
      <c r="E77" s="27" t="s">
        <v>2761</v>
      </c>
      <c r="F77" s="572"/>
      <c r="G77" s="569"/>
    </row>
    <row r="78" spans="1:8" s="552" customFormat="1" ht="36" customHeight="1">
      <c r="A78" s="1302"/>
      <c r="B78" s="1315"/>
      <c r="C78" s="1309"/>
      <c r="D78" s="27" t="s">
        <v>2762</v>
      </c>
      <c r="E78" s="27" t="s">
        <v>2763</v>
      </c>
      <c r="F78" s="572"/>
      <c r="G78" s="569"/>
    </row>
    <row r="79" spans="1:8" s="500" customFormat="1" ht="36" customHeight="1">
      <c r="A79" s="1302"/>
      <c r="B79" s="1315"/>
      <c r="C79" s="1310" t="s">
        <v>2795</v>
      </c>
      <c r="D79" s="27" t="s">
        <v>1592</v>
      </c>
      <c r="E79" s="27" t="s">
        <v>2773</v>
      </c>
      <c r="F79" s="572" t="s">
        <v>2178</v>
      </c>
      <c r="G79" s="569"/>
    </row>
    <row r="80" spans="1:8" s="500" customFormat="1" ht="36" customHeight="1">
      <c r="A80" s="1302"/>
      <c r="B80" s="1315"/>
      <c r="C80" s="1309"/>
      <c r="D80" s="27" t="s">
        <v>2774</v>
      </c>
      <c r="E80" s="27" t="s">
        <v>2765</v>
      </c>
      <c r="F80" s="572"/>
      <c r="G80" s="569"/>
    </row>
    <row r="81" spans="1:8" s="500" customFormat="1" ht="36" customHeight="1">
      <c r="A81" s="1302"/>
      <c r="B81" s="1315"/>
      <c r="C81" s="568" t="s">
        <v>1469</v>
      </c>
      <c r="D81" s="27" t="s">
        <v>1232</v>
      </c>
      <c r="E81" s="27" t="s">
        <v>1309</v>
      </c>
      <c r="F81" s="572" t="s">
        <v>1694</v>
      </c>
      <c r="G81" s="41"/>
    </row>
    <row r="82" spans="1:8" s="565" customFormat="1" ht="36" customHeight="1">
      <c r="A82" s="1302"/>
      <c r="B82" s="1315"/>
      <c r="C82" s="1310" t="s">
        <v>2806</v>
      </c>
      <c r="D82" s="27" t="s">
        <v>2809</v>
      </c>
      <c r="E82" s="27" t="s">
        <v>2828</v>
      </c>
      <c r="F82" s="27"/>
      <c r="G82" s="1311" t="s">
        <v>2807</v>
      </c>
    </row>
    <row r="83" spans="1:8" s="573" customFormat="1" ht="36" customHeight="1">
      <c r="A83" s="1302"/>
      <c r="B83" s="1315"/>
      <c r="C83" s="1308"/>
      <c r="D83" s="27" t="s">
        <v>1337</v>
      </c>
      <c r="E83" s="27" t="s">
        <v>2829</v>
      </c>
      <c r="F83" s="27"/>
      <c r="G83" s="1312"/>
    </row>
    <row r="84" spans="1:8" s="565" customFormat="1" ht="36" customHeight="1">
      <c r="A84" s="1302"/>
      <c r="B84" s="1315"/>
      <c r="C84" s="1309"/>
      <c r="D84" s="27" t="s">
        <v>2818</v>
      </c>
      <c r="E84" s="27" t="s">
        <v>2819</v>
      </c>
      <c r="F84" s="27"/>
      <c r="G84" s="1313"/>
    </row>
    <row r="85" spans="1:8" s="565" customFormat="1" ht="36" customHeight="1">
      <c r="A85" s="1302"/>
      <c r="B85" s="1315"/>
      <c r="C85" s="574" t="s">
        <v>2820</v>
      </c>
      <c r="D85" s="27" t="s">
        <v>1330</v>
      </c>
      <c r="E85" s="577" t="s">
        <v>2821</v>
      </c>
      <c r="F85" s="577" t="s">
        <v>107</v>
      </c>
      <c r="G85" s="576" t="s">
        <v>2822</v>
      </c>
      <c r="H85" s="573" t="s">
        <v>2823</v>
      </c>
    </row>
    <row r="86" spans="1:8" s="565" customFormat="1" ht="36" customHeight="1" thickBot="1">
      <c r="A86" s="1302"/>
      <c r="B86" s="1315"/>
      <c r="C86" s="567" t="s">
        <v>2824</v>
      </c>
      <c r="D86" s="571" t="s">
        <v>109</v>
      </c>
      <c r="E86" s="571" t="s">
        <v>2825</v>
      </c>
      <c r="F86" s="571" t="s">
        <v>2826</v>
      </c>
      <c r="G86" s="570" t="s">
        <v>2827</v>
      </c>
    </row>
    <row r="87" spans="1:8" s="500" customFormat="1" ht="36" customHeight="1" thickBot="1">
      <c r="A87" s="1303"/>
      <c r="B87" s="1316"/>
      <c r="C87" s="12"/>
      <c r="D87" s="11"/>
      <c r="E87" s="10"/>
      <c r="F87" s="10"/>
      <c r="G87" s="9"/>
    </row>
    <row r="88" spans="1:8" s="500" customFormat="1" ht="36" hidden="1" customHeight="1">
      <c r="A88" s="1301">
        <v>44755</v>
      </c>
      <c r="B88" s="1314" t="s">
        <v>2</v>
      </c>
      <c r="C88" s="1339"/>
      <c r="D88" s="22"/>
      <c r="E88" s="22"/>
      <c r="F88" s="501"/>
      <c r="G88" s="357"/>
    </row>
    <row r="89" spans="1:8" s="565" customFormat="1" ht="36" hidden="1" customHeight="1">
      <c r="A89" s="1302"/>
      <c r="B89" s="1315"/>
      <c r="C89" s="1341"/>
      <c r="D89" s="22"/>
      <c r="E89" s="22"/>
      <c r="F89" s="503"/>
      <c r="G89" s="561"/>
    </row>
    <row r="90" spans="1:8" s="565" customFormat="1" ht="36" customHeight="1">
      <c r="A90" s="1302"/>
      <c r="B90" s="1315"/>
      <c r="C90" s="574" t="s">
        <v>605</v>
      </c>
      <c r="D90" s="27" t="s">
        <v>2803</v>
      </c>
      <c r="E90" s="27" t="s">
        <v>452</v>
      </c>
      <c r="F90" s="577" t="s">
        <v>2804</v>
      </c>
      <c r="G90" s="575" t="s">
        <v>2805</v>
      </c>
    </row>
    <row r="91" spans="1:8" s="565" customFormat="1" ht="36" customHeight="1">
      <c r="A91" s="1302"/>
      <c r="B91" s="1315"/>
      <c r="C91" s="1310" t="s">
        <v>2798</v>
      </c>
      <c r="D91" s="577" t="s">
        <v>2799</v>
      </c>
      <c r="E91" s="577" t="s">
        <v>2797</v>
      </c>
      <c r="F91" s="577"/>
      <c r="G91" s="575"/>
    </row>
    <row r="92" spans="1:8" s="500" customFormat="1" ht="36" customHeight="1">
      <c r="A92" s="1302"/>
      <c r="B92" s="1315"/>
      <c r="C92" s="1308"/>
      <c r="D92" s="27" t="s">
        <v>2802</v>
      </c>
      <c r="E92" s="27" t="s">
        <v>2801</v>
      </c>
      <c r="F92" s="577"/>
      <c r="G92" s="575"/>
    </row>
    <row r="93" spans="1:8" s="500" customFormat="1" ht="36" customHeight="1">
      <c r="A93" s="1302"/>
      <c r="B93" s="1315"/>
      <c r="C93" s="1309"/>
      <c r="D93" s="27" t="s">
        <v>2722</v>
      </c>
      <c r="E93" s="27" t="s">
        <v>525</v>
      </c>
      <c r="F93" s="577" t="s">
        <v>2723</v>
      </c>
      <c r="G93" s="575"/>
    </row>
    <row r="94" spans="1:8" s="500" customFormat="1" ht="36" customHeight="1" thickBot="1">
      <c r="A94" s="1302"/>
      <c r="B94" s="1315"/>
      <c r="C94" s="578" t="s">
        <v>2815</v>
      </c>
      <c r="D94" s="40" t="s">
        <v>2816</v>
      </c>
      <c r="E94" s="39" t="s">
        <v>2817</v>
      </c>
      <c r="F94" s="27"/>
      <c r="G94" s="41"/>
    </row>
    <row r="95" spans="1:8" s="580" customFormat="1" ht="36" hidden="1" customHeight="1">
      <c r="A95" s="1302"/>
      <c r="B95" s="1315"/>
      <c r="C95" s="579"/>
      <c r="D95" s="34"/>
      <c r="E95" s="33"/>
      <c r="F95" s="503"/>
      <c r="G95" s="315"/>
    </row>
    <row r="96" spans="1:8" s="580" customFormat="1" ht="36" hidden="1" customHeight="1" thickBot="1">
      <c r="A96" s="1302"/>
      <c r="B96" s="1315"/>
      <c r="C96" s="105"/>
      <c r="D96" s="30"/>
      <c r="E96" s="29"/>
      <c r="F96" s="482"/>
      <c r="G96" s="358"/>
    </row>
    <row r="97" spans="1:8" s="500" customFormat="1" ht="36" customHeight="1" thickBot="1">
      <c r="A97" s="1303"/>
      <c r="B97" s="1316"/>
      <c r="C97" s="12" t="s">
        <v>2788</v>
      </c>
      <c r="D97" s="11" t="s">
        <v>2789</v>
      </c>
      <c r="E97" s="10" t="s">
        <v>2790</v>
      </c>
      <c r="F97" s="10" t="s">
        <v>2787</v>
      </c>
      <c r="G97" s="9"/>
    </row>
    <row r="98" spans="1:8" s="500" customFormat="1" ht="36" customHeight="1">
      <c r="A98" s="1301">
        <v>44756</v>
      </c>
      <c r="B98" s="1314" t="s">
        <v>1</v>
      </c>
      <c r="C98" s="587" t="s">
        <v>1826</v>
      </c>
      <c r="D98" s="27" t="s">
        <v>1827</v>
      </c>
      <c r="E98" s="27" t="s">
        <v>2752</v>
      </c>
      <c r="F98" s="586"/>
      <c r="G98" s="583"/>
    </row>
    <row r="99" spans="1:8" s="580" customFormat="1" ht="36" customHeight="1">
      <c r="A99" s="1302"/>
      <c r="B99" s="1315"/>
      <c r="C99" s="1310" t="s">
        <v>706</v>
      </c>
      <c r="D99" s="27" t="s">
        <v>2830</v>
      </c>
      <c r="E99" s="27" t="s">
        <v>525</v>
      </c>
      <c r="F99" s="1323" t="s">
        <v>2832</v>
      </c>
      <c r="G99" s="1311" t="s">
        <v>483</v>
      </c>
    </row>
    <row r="100" spans="1:8" s="580" customFormat="1" ht="36" customHeight="1">
      <c r="A100" s="1302"/>
      <c r="B100" s="1315"/>
      <c r="C100" s="1308"/>
      <c r="D100" s="27" t="s">
        <v>2831</v>
      </c>
      <c r="E100" s="27" t="s">
        <v>3006</v>
      </c>
      <c r="F100" s="1321"/>
      <c r="G100" s="1313"/>
    </row>
    <row r="101" spans="1:8" s="580" customFormat="1" ht="36" customHeight="1">
      <c r="A101" s="1302"/>
      <c r="B101" s="1315"/>
      <c r="C101" s="1308"/>
      <c r="D101" s="27" t="s">
        <v>2836</v>
      </c>
      <c r="E101" s="27" t="s">
        <v>2837</v>
      </c>
      <c r="F101" s="586"/>
      <c r="G101" s="583" t="s">
        <v>2838</v>
      </c>
    </row>
    <row r="102" spans="1:8" s="580" customFormat="1" ht="36" customHeight="1">
      <c r="A102" s="1302"/>
      <c r="B102" s="1315"/>
      <c r="C102" s="1308"/>
      <c r="D102" s="27" t="s">
        <v>2847</v>
      </c>
      <c r="E102" s="27" t="s">
        <v>2839</v>
      </c>
      <c r="F102" s="586"/>
      <c r="G102" s="1311" t="s">
        <v>2840</v>
      </c>
    </row>
    <row r="103" spans="1:8" s="580" customFormat="1" ht="36" customHeight="1">
      <c r="A103" s="1302"/>
      <c r="B103" s="1315"/>
      <c r="C103" s="1308"/>
      <c r="D103" s="27" t="s">
        <v>2841</v>
      </c>
      <c r="E103" s="27" t="s">
        <v>2842</v>
      </c>
      <c r="F103" s="586"/>
      <c r="G103" s="1312"/>
    </row>
    <row r="104" spans="1:8" s="580" customFormat="1" ht="36" customHeight="1">
      <c r="A104" s="1302"/>
      <c r="B104" s="1315"/>
      <c r="C104" s="1308"/>
      <c r="D104" s="27" t="s">
        <v>2843</v>
      </c>
      <c r="E104" s="27" t="s">
        <v>2844</v>
      </c>
      <c r="F104" s="586"/>
      <c r="G104" s="1312"/>
    </row>
    <row r="105" spans="1:8" s="500" customFormat="1" ht="36" customHeight="1">
      <c r="A105" s="1302"/>
      <c r="B105" s="1315"/>
      <c r="C105" s="1309"/>
      <c r="D105" s="27" t="s">
        <v>2845</v>
      </c>
      <c r="E105" s="27" t="s">
        <v>2846</v>
      </c>
      <c r="F105" s="586"/>
      <c r="G105" s="1313"/>
    </row>
    <row r="106" spans="1:8" s="580" customFormat="1" ht="36" customHeight="1" thickBot="1">
      <c r="A106" s="1302"/>
      <c r="B106" s="1315"/>
      <c r="C106" s="582" t="s">
        <v>2849</v>
      </c>
      <c r="D106" s="37" t="s">
        <v>109</v>
      </c>
      <c r="E106" s="36" t="s">
        <v>2850</v>
      </c>
      <c r="F106" s="586" t="s">
        <v>1619</v>
      </c>
      <c r="G106" s="584" t="s">
        <v>2851</v>
      </c>
    </row>
    <row r="107" spans="1:8" s="500" customFormat="1" ht="36" hidden="1" customHeight="1" thickBot="1">
      <c r="A107" s="1302"/>
      <c r="B107" s="1315"/>
      <c r="C107" s="468"/>
      <c r="D107" s="16"/>
      <c r="E107" s="15"/>
      <c r="F107" s="482"/>
      <c r="G107" s="357"/>
    </row>
    <row r="108" spans="1:8" s="500" customFormat="1" ht="36" customHeight="1" thickBot="1">
      <c r="A108" s="1303"/>
      <c r="B108" s="1316"/>
      <c r="C108" s="12"/>
      <c r="D108" s="11"/>
      <c r="E108" s="10"/>
      <c r="F108" s="10"/>
      <c r="G108" s="9"/>
    </row>
    <row r="109" spans="1:8" s="500" customFormat="1" ht="36" customHeight="1">
      <c r="A109" s="1301">
        <v>44757</v>
      </c>
      <c r="B109" s="1314" t="s">
        <v>0</v>
      </c>
      <c r="C109" s="53" t="s">
        <v>1826</v>
      </c>
      <c r="D109" s="71" t="s">
        <v>1827</v>
      </c>
      <c r="E109" s="71" t="s">
        <v>2570</v>
      </c>
      <c r="F109" s="71"/>
      <c r="G109" s="92"/>
    </row>
    <row r="110" spans="1:8" s="565" customFormat="1" ht="36" customHeight="1">
      <c r="A110" s="1302"/>
      <c r="B110" s="1315"/>
      <c r="C110" s="587" t="s">
        <v>2810</v>
      </c>
      <c r="D110" s="586" t="s">
        <v>2811</v>
      </c>
      <c r="E110" s="586" t="s">
        <v>2812</v>
      </c>
      <c r="F110" s="586" t="s">
        <v>2668</v>
      </c>
      <c r="G110" s="585"/>
      <c r="H110" s="565" t="s">
        <v>2813</v>
      </c>
    </row>
    <row r="111" spans="1:8" s="565" customFormat="1" ht="36" customHeight="1">
      <c r="A111" s="1302"/>
      <c r="B111" s="1315"/>
      <c r="C111" s="587" t="s">
        <v>2848</v>
      </c>
      <c r="D111" s="27" t="s">
        <v>2833</v>
      </c>
      <c r="E111" s="27" t="s">
        <v>2834</v>
      </c>
      <c r="F111" s="586"/>
      <c r="G111" s="583"/>
      <c r="H111" s="565" t="s">
        <v>2835</v>
      </c>
    </row>
    <row r="112" spans="1:8" s="581" customFormat="1" ht="36" customHeight="1" thickBot="1">
      <c r="A112" s="1302"/>
      <c r="B112" s="1315"/>
      <c r="C112" s="587" t="s">
        <v>2852</v>
      </c>
      <c r="D112" s="591" t="s">
        <v>393</v>
      </c>
      <c r="E112" s="54" t="s">
        <v>2853</v>
      </c>
      <c r="F112" s="27"/>
      <c r="G112" s="41" t="s">
        <v>2854</v>
      </c>
    </row>
    <row r="113" spans="1:7" s="581" customFormat="1" ht="36" hidden="1" customHeight="1" thickBot="1">
      <c r="A113" s="1302"/>
      <c r="B113" s="1315"/>
      <c r="C113" s="589"/>
      <c r="D113" s="16"/>
      <c r="E113" s="15"/>
      <c r="F113" s="22"/>
      <c r="G113" s="594"/>
    </row>
    <row r="114" spans="1:7" s="581" customFormat="1" ht="36" hidden="1" customHeight="1">
      <c r="A114" s="1302"/>
      <c r="B114" s="1315"/>
      <c r="C114" s="21"/>
      <c r="D114" s="16"/>
      <c r="E114" s="15"/>
      <c r="F114" s="22"/>
      <c r="G114" s="96"/>
    </row>
    <row r="115" spans="1:7" s="500" customFormat="1" ht="36" hidden="1" customHeight="1" thickBot="1">
      <c r="A115" s="1302"/>
      <c r="B115" s="1315"/>
      <c r="C115" s="105"/>
      <c r="D115" s="16"/>
      <c r="E115" s="15"/>
      <c r="F115" s="482"/>
      <c r="G115" s="95"/>
    </row>
    <row r="116" spans="1:7" s="573" customFormat="1" ht="36" customHeight="1" thickBot="1">
      <c r="A116" s="1302"/>
      <c r="B116" s="1315"/>
      <c r="C116" s="12" t="s">
        <v>1676</v>
      </c>
      <c r="D116" s="11" t="s">
        <v>1842</v>
      </c>
      <c r="E116" s="10" t="s">
        <v>2791</v>
      </c>
      <c r="F116" s="10" t="s">
        <v>2814</v>
      </c>
      <c r="G116" s="9"/>
    </row>
    <row r="117" spans="1:7" s="500" customFormat="1" ht="36" customHeight="1" thickBot="1">
      <c r="A117" s="1303"/>
      <c r="B117" s="1316"/>
      <c r="C117" s="12" t="s">
        <v>2792</v>
      </c>
      <c r="D117" s="11" t="s">
        <v>2785</v>
      </c>
      <c r="E117" s="10" t="s">
        <v>2793</v>
      </c>
      <c r="F117" s="10" t="s">
        <v>2470</v>
      </c>
      <c r="G117" s="9"/>
    </row>
    <row r="118" spans="1:7" s="500" customFormat="1" ht="60" customHeight="1" thickBot="1">
      <c r="A118" s="1298" t="s">
        <v>5</v>
      </c>
      <c r="B118" s="1299"/>
      <c r="C118" s="1299"/>
      <c r="D118" s="1299"/>
      <c r="E118" s="1299"/>
      <c r="F118" s="1299"/>
      <c r="G118" s="1300"/>
    </row>
    <row r="119" spans="1:7" s="500" customFormat="1" ht="36" customHeight="1">
      <c r="A119" s="1301">
        <v>44760</v>
      </c>
      <c r="B119" s="1314" t="s">
        <v>4</v>
      </c>
      <c r="C119" s="1307" t="s">
        <v>2417</v>
      </c>
      <c r="D119" s="27" t="s">
        <v>327</v>
      </c>
      <c r="E119" s="27" t="s">
        <v>382</v>
      </c>
      <c r="F119" s="597"/>
      <c r="G119" s="596"/>
    </row>
    <row r="120" spans="1:7" s="590" customFormat="1" ht="36" customHeight="1">
      <c r="A120" s="1302"/>
      <c r="B120" s="1315"/>
      <c r="C120" s="1308"/>
      <c r="D120" s="27" t="s">
        <v>447</v>
      </c>
      <c r="E120" s="27" t="s">
        <v>2794</v>
      </c>
      <c r="F120" s="597"/>
      <c r="G120" s="596"/>
    </row>
    <row r="121" spans="1:7" s="590" customFormat="1" ht="36" customHeight="1">
      <c r="A121" s="1302"/>
      <c r="B121" s="1315"/>
      <c r="C121" s="1309"/>
      <c r="D121" s="27" t="s">
        <v>109</v>
      </c>
      <c r="E121" s="27" t="s">
        <v>2869</v>
      </c>
      <c r="F121" s="597"/>
      <c r="G121" s="596"/>
    </row>
    <row r="122" spans="1:7" s="590" customFormat="1" ht="36" customHeight="1">
      <c r="A122" s="1302"/>
      <c r="B122" s="1315"/>
      <c r="C122" s="598" t="s">
        <v>2880</v>
      </c>
      <c r="D122" s="27" t="s">
        <v>2881</v>
      </c>
      <c r="E122" s="27" t="s">
        <v>2882</v>
      </c>
      <c r="F122" s="597"/>
      <c r="G122" s="596" t="s">
        <v>2883</v>
      </c>
    </row>
    <row r="123" spans="1:7" s="595" customFormat="1" ht="36" customHeight="1">
      <c r="A123" s="1302"/>
      <c r="B123" s="1315"/>
      <c r="C123" s="598" t="s">
        <v>2884</v>
      </c>
      <c r="D123" s="27" t="s">
        <v>2885</v>
      </c>
      <c r="E123" s="27" t="s">
        <v>2886</v>
      </c>
      <c r="F123" s="597" t="s">
        <v>2887</v>
      </c>
      <c r="G123" s="596" t="s">
        <v>1450</v>
      </c>
    </row>
    <row r="124" spans="1:7" s="590" customFormat="1" ht="36" customHeight="1" thickBot="1">
      <c r="A124" s="1302"/>
      <c r="B124" s="1315"/>
      <c r="C124" s="598" t="s">
        <v>2888</v>
      </c>
      <c r="D124" s="27" t="s">
        <v>2889</v>
      </c>
      <c r="E124" s="27" t="s">
        <v>2890</v>
      </c>
      <c r="F124" s="597" t="s">
        <v>2891</v>
      </c>
      <c r="G124" s="596" t="s">
        <v>1450</v>
      </c>
    </row>
    <row r="125" spans="1:7" s="500" customFormat="1" ht="36" hidden="1" customHeight="1">
      <c r="A125" s="1302"/>
      <c r="B125" s="1315"/>
      <c r="C125" s="21"/>
      <c r="D125" s="22"/>
      <c r="E125" s="22"/>
      <c r="F125" s="501"/>
      <c r="G125" s="357"/>
    </row>
    <row r="126" spans="1:7" s="500" customFormat="1" ht="36" hidden="1" customHeight="1">
      <c r="A126" s="1302"/>
      <c r="B126" s="1315"/>
      <c r="C126" s="21"/>
      <c r="D126" s="20"/>
      <c r="E126" s="19"/>
      <c r="F126" s="501"/>
      <c r="G126" s="357"/>
    </row>
    <row r="127" spans="1:7" s="500" customFormat="1" ht="36" hidden="1" customHeight="1" thickBot="1">
      <c r="A127" s="1302"/>
      <c r="B127" s="1315"/>
      <c r="C127" s="468"/>
      <c r="D127" s="16"/>
      <c r="E127" s="15"/>
      <c r="F127" s="482"/>
      <c r="G127" s="357"/>
    </row>
    <row r="128" spans="1:7" s="500" customFormat="1" ht="36" customHeight="1" thickBot="1">
      <c r="A128" s="1303"/>
      <c r="B128" s="1316"/>
      <c r="C128" s="12"/>
      <c r="D128" s="11"/>
      <c r="E128" s="10"/>
      <c r="F128" s="10"/>
      <c r="G128" s="9"/>
    </row>
    <row r="129" spans="1:8" s="500" customFormat="1" ht="36" customHeight="1">
      <c r="A129" s="1301">
        <v>44761</v>
      </c>
      <c r="B129" s="1314" t="s">
        <v>3</v>
      </c>
      <c r="C129" s="1307" t="s">
        <v>2870</v>
      </c>
      <c r="D129" s="27" t="s">
        <v>2871</v>
      </c>
      <c r="E129" s="27" t="s">
        <v>2873</v>
      </c>
      <c r="F129" s="597"/>
      <c r="G129" s="596"/>
    </row>
    <row r="130" spans="1:8" s="595" customFormat="1" ht="36" customHeight="1">
      <c r="A130" s="1302"/>
      <c r="B130" s="1315"/>
      <c r="C130" s="1308"/>
      <c r="D130" s="27" t="s">
        <v>2872</v>
      </c>
      <c r="E130" s="27" t="s">
        <v>2153</v>
      </c>
      <c r="F130" s="597"/>
      <c r="G130" s="596"/>
    </row>
    <row r="131" spans="1:8" s="600" customFormat="1" ht="36" customHeight="1">
      <c r="A131" s="1302"/>
      <c r="B131" s="1315"/>
      <c r="C131" s="1308"/>
      <c r="D131" s="27" t="s">
        <v>2906</v>
      </c>
      <c r="E131" s="27" t="s">
        <v>2905</v>
      </c>
      <c r="F131" s="597"/>
      <c r="G131" s="596"/>
    </row>
    <row r="132" spans="1:8" s="500" customFormat="1" ht="36" customHeight="1">
      <c r="A132" s="1302"/>
      <c r="B132" s="1315"/>
      <c r="C132" s="1309"/>
      <c r="D132" s="27" t="s">
        <v>2874</v>
      </c>
      <c r="E132" s="27" t="s">
        <v>2875</v>
      </c>
      <c r="F132" s="597" t="s">
        <v>1529</v>
      </c>
      <c r="G132" s="596"/>
    </row>
    <row r="133" spans="1:8" s="595" customFormat="1" ht="36" customHeight="1">
      <c r="A133" s="1302"/>
      <c r="B133" s="1315"/>
      <c r="C133" s="1310" t="s">
        <v>2892</v>
      </c>
      <c r="D133" s="27" t="s">
        <v>2881</v>
      </c>
      <c r="E133" s="27" t="s">
        <v>2893</v>
      </c>
      <c r="F133" s="597"/>
      <c r="G133" s="596" t="s">
        <v>2896</v>
      </c>
    </row>
    <row r="134" spans="1:8" s="595" customFormat="1" ht="36" customHeight="1">
      <c r="A134" s="1302"/>
      <c r="B134" s="1315"/>
      <c r="C134" s="1308"/>
      <c r="D134" s="27" t="s">
        <v>2885</v>
      </c>
      <c r="E134" s="27" t="s">
        <v>2894</v>
      </c>
      <c r="F134" s="597"/>
      <c r="G134" s="596"/>
    </row>
    <row r="135" spans="1:8" s="595" customFormat="1" ht="36" customHeight="1">
      <c r="A135" s="1302"/>
      <c r="B135" s="1315"/>
      <c r="C135" s="1309"/>
      <c r="D135" s="27" t="s">
        <v>2874</v>
      </c>
      <c r="E135" s="27" t="s">
        <v>2875</v>
      </c>
      <c r="F135" s="597" t="s">
        <v>2895</v>
      </c>
      <c r="G135" s="596"/>
    </row>
    <row r="136" spans="1:8" s="600" customFormat="1" ht="36" customHeight="1">
      <c r="A136" s="1302"/>
      <c r="B136" s="1315"/>
      <c r="C136" s="1310" t="s">
        <v>1506</v>
      </c>
      <c r="D136" s="27" t="s">
        <v>2897</v>
      </c>
      <c r="E136" s="27" t="s">
        <v>2898</v>
      </c>
      <c r="F136" s="597"/>
      <c r="G136" s="596"/>
    </row>
    <row r="137" spans="1:8" s="600" customFormat="1" ht="36" customHeight="1">
      <c r="A137" s="1302"/>
      <c r="B137" s="1315"/>
      <c r="C137" s="1309"/>
      <c r="D137" s="27" t="s">
        <v>1431</v>
      </c>
      <c r="E137" s="27" t="s">
        <v>2153</v>
      </c>
      <c r="F137" s="597"/>
      <c r="G137" s="596" t="s">
        <v>1442</v>
      </c>
    </row>
    <row r="138" spans="1:8" s="500" customFormat="1" ht="36" customHeight="1">
      <c r="A138" s="1302"/>
      <c r="B138" s="1315"/>
      <c r="C138" s="598" t="s">
        <v>2899</v>
      </c>
      <c r="D138" s="40" t="s">
        <v>2900</v>
      </c>
      <c r="E138" s="39" t="s">
        <v>2901</v>
      </c>
      <c r="F138" s="597"/>
      <c r="G138" s="596" t="s">
        <v>2902</v>
      </c>
      <c r="H138" s="600" t="s">
        <v>2903</v>
      </c>
    </row>
    <row r="139" spans="1:8" s="600" customFormat="1" ht="36" customHeight="1" thickBot="1">
      <c r="A139" s="1302"/>
      <c r="B139" s="1315"/>
      <c r="C139" s="598" t="s">
        <v>2907</v>
      </c>
      <c r="D139" s="40" t="s">
        <v>109</v>
      </c>
      <c r="E139" s="39" t="s">
        <v>2908</v>
      </c>
      <c r="F139" s="27" t="s">
        <v>107</v>
      </c>
      <c r="G139" s="41" t="s">
        <v>2610</v>
      </c>
    </row>
    <row r="140" spans="1:8" s="500" customFormat="1" ht="36" hidden="1" customHeight="1" thickBot="1">
      <c r="A140" s="1302"/>
      <c r="B140" s="1315"/>
      <c r="C140" s="599"/>
      <c r="D140" s="30"/>
      <c r="E140" s="29"/>
      <c r="F140" s="482"/>
      <c r="G140" s="593"/>
    </row>
    <row r="141" spans="1:8" s="500" customFormat="1" ht="36" customHeight="1" thickBot="1">
      <c r="A141" s="1303"/>
      <c r="B141" s="1316"/>
      <c r="C141" s="12"/>
      <c r="D141" s="11"/>
      <c r="E141" s="10"/>
      <c r="F141" s="10"/>
      <c r="G141" s="9"/>
    </row>
    <row r="142" spans="1:8" s="500" customFormat="1" ht="36" customHeight="1">
      <c r="A142" s="1301">
        <v>44762</v>
      </c>
      <c r="B142" s="1314" t="s">
        <v>247</v>
      </c>
      <c r="C142" s="53" t="s">
        <v>2876</v>
      </c>
      <c r="D142" s="27" t="s">
        <v>2877</v>
      </c>
      <c r="E142" s="27" t="s">
        <v>2878</v>
      </c>
      <c r="F142" s="604"/>
      <c r="G142" s="602" t="s">
        <v>2879</v>
      </c>
    </row>
    <row r="143" spans="1:8" s="500" customFormat="1" ht="36" customHeight="1">
      <c r="A143" s="1302"/>
      <c r="B143" s="1315"/>
      <c r="C143" s="605"/>
      <c r="D143" s="27" t="s">
        <v>2904</v>
      </c>
      <c r="E143" s="27"/>
      <c r="F143" s="604"/>
      <c r="G143" s="602"/>
    </row>
    <row r="144" spans="1:8" s="500" customFormat="1" ht="36" customHeight="1">
      <c r="A144" s="1302"/>
      <c r="B144" s="1315"/>
      <c r="C144" s="1310" t="s">
        <v>2911</v>
      </c>
      <c r="D144" s="40" t="s">
        <v>109</v>
      </c>
      <c r="E144" s="39" t="s">
        <v>2915</v>
      </c>
      <c r="F144" s="604" t="s">
        <v>2912</v>
      </c>
      <c r="G144" s="1311" t="s">
        <v>2916</v>
      </c>
    </row>
    <row r="145" spans="1:8" s="590" customFormat="1" ht="36" customHeight="1">
      <c r="A145" s="1302"/>
      <c r="B145" s="1315"/>
      <c r="C145" s="1309"/>
      <c r="D145" s="40" t="s">
        <v>2914</v>
      </c>
      <c r="E145" s="39" t="s">
        <v>2913</v>
      </c>
      <c r="F145" s="27"/>
      <c r="G145" s="1313"/>
    </row>
    <row r="146" spans="1:8" s="590" customFormat="1" ht="36" customHeight="1" thickBot="1">
      <c r="A146" s="1302"/>
      <c r="B146" s="1315"/>
      <c r="C146" s="601" t="s">
        <v>2920</v>
      </c>
      <c r="D146" s="37" t="s">
        <v>109</v>
      </c>
      <c r="E146" s="36" t="s">
        <v>2921</v>
      </c>
      <c r="F146" s="604"/>
      <c r="G146" s="603" t="s">
        <v>2922</v>
      </c>
      <c r="H146" s="590" t="s">
        <v>2923</v>
      </c>
    </row>
    <row r="147" spans="1:8" s="590" customFormat="1" ht="36" hidden="1" customHeight="1">
      <c r="A147" s="1302"/>
      <c r="B147" s="1315"/>
      <c r="C147" s="589"/>
      <c r="D147" s="34"/>
      <c r="E147" s="33"/>
      <c r="F147" s="503"/>
      <c r="G147" s="594"/>
    </row>
    <row r="148" spans="1:8" s="500" customFormat="1" ht="36" hidden="1" customHeight="1" thickBot="1">
      <c r="A148" s="1302"/>
      <c r="B148" s="1315"/>
      <c r="C148" s="588"/>
      <c r="D148" s="30"/>
      <c r="E148" s="29"/>
      <c r="F148" s="482"/>
      <c r="G148" s="593"/>
    </row>
    <row r="149" spans="1:8" s="500" customFormat="1" ht="36" customHeight="1" thickBot="1">
      <c r="A149" s="1303"/>
      <c r="B149" s="1316"/>
      <c r="C149" s="12"/>
      <c r="D149" s="11"/>
      <c r="E149" s="10"/>
      <c r="F149" s="10"/>
      <c r="G149" s="9"/>
    </row>
    <row r="150" spans="1:8" s="500" customFormat="1" ht="36" customHeight="1">
      <c r="A150" s="1301">
        <v>44763</v>
      </c>
      <c r="B150" s="1314" t="s">
        <v>1</v>
      </c>
      <c r="C150" s="1307" t="s">
        <v>2857</v>
      </c>
      <c r="D150" s="27" t="s">
        <v>2858</v>
      </c>
      <c r="E150" s="27" t="s">
        <v>2859</v>
      </c>
      <c r="F150" s="610"/>
      <c r="G150" s="608"/>
    </row>
    <row r="151" spans="1:8" s="590" customFormat="1" ht="36" customHeight="1">
      <c r="A151" s="1302"/>
      <c r="B151" s="1315"/>
      <c r="C151" s="1308"/>
      <c r="D151" s="27" t="s">
        <v>2860</v>
      </c>
      <c r="E151" s="27" t="s">
        <v>2861</v>
      </c>
      <c r="F151" s="610"/>
      <c r="G151" s="608"/>
    </row>
    <row r="152" spans="1:8" s="590" customFormat="1" ht="36" customHeight="1">
      <c r="A152" s="1302"/>
      <c r="B152" s="1315"/>
      <c r="C152" s="1309"/>
      <c r="D152" s="40" t="s">
        <v>2862</v>
      </c>
      <c r="E152" s="39" t="s">
        <v>2863</v>
      </c>
      <c r="F152" s="610"/>
      <c r="G152" s="608"/>
    </row>
    <row r="153" spans="1:8" s="590" customFormat="1" ht="36" customHeight="1">
      <c r="A153" s="1302"/>
      <c r="B153" s="1315"/>
      <c r="C153" s="606" t="s">
        <v>2924</v>
      </c>
      <c r="D153" s="40" t="s">
        <v>2925</v>
      </c>
      <c r="E153" s="39" t="s">
        <v>2926</v>
      </c>
      <c r="F153" s="610" t="s">
        <v>2912</v>
      </c>
      <c r="G153" s="608"/>
    </row>
    <row r="154" spans="1:8" s="590" customFormat="1" ht="36" customHeight="1">
      <c r="A154" s="1302"/>
      <c r="B154" s="1315"/>
      <c r="C154" s="1310" t="s">
        <v>2936</v>
      </c>
      <c r="D154" s="40" t="s">
        <v>2935</v>
      </c>
      <c r="E154" s="39" t="s">
        <v>2941</v>
      </c>
      <c r="F154" s="610"/>
      <c r="G154" s="608"/>
    </row>
    <row r="155" spans="1:8" s="500" customFormat="1" ht="36" customHeight="1" thickBot="1">
      <c r="A155" s="1302"/>
      <c r="B155" s="1315"/>
      <c r="C155" s="1309"/>
      <c r="D155" s="27" t="s">
        <v>2541</v>
      </c>
      <c r="E155" s="27" t="s">
        <v>2942</v>
      </c>
      <c r="F155" s="610"/>
      <c r="G155" s="608"/>
    </row>
    <row r="156" spans="1:8" s="500" customFormat="1" ht="36" hidden="1" customHeight="1">
      <c r="A156" s="1302"/>
      <c r="B156" s="1315"/>
      <c r="C156" s="21"/>
      <c r="D156" s="20"/>
      <c r="E156" s="19"/>
      <c r="F156" s="501"/>
      <c r="G156" s="357"/>
    </row>
    <row r="157" spans="1:8" s="500" customFormat="1" ht="36" hidden="1" customHeight="1" thickBot="1">
      <c r="A157" s="1302"/>
      <c r="B157" s="1315"/>
      <c r="C157" s="468"/>
      <c r="D157" s="16"/>
      <c r="E157" s="15"/>
      <c r="F157" s="482"/>
      <c r="G157" s="357"/>
    </row>
    <row r="158" spans="1:8" s="500" customFormat="1" ht="36" customHeight="1" thickBot="1">
      <c r="A158" s="1303"/>
      <c r="B158" s="1316"/>
      <c r="C158" s="12" t="s">
        <v>1879</v>
      </c>
      <c r="D158" s="11" t="s">
        <v>1842</v>
      </c>
      <c r="E158" s="10" t="s">
        <v>1962</v>
      </c>
      <c r="F158" s="10" t="s">
        <v>2470</v>
      </c>
      <c r="G158" s="9"/>
    </row>
    <row r="159" spans="1:8" s="500" customFormat="1" ht="36" customHeight="1">
      <c r="A159" s="1301">
        <v>44764</v>
      </c>
      <c r="B159" s="1314" t="s">
        <v>0</v>
      </c>
      <c r="C159" s="1307" t="s">
        <v>2864</v>
      </c>
      <c r="D159" s="27" t="s">
        <v>1394</v>
      </c>
      <c r="E159" s="27" t="s">
        <v>2909</v>
      </c>
      <c r="F159" s="610"/>
      <c r="G159" s="608"/>
    </row>
    <row r="160" spans="1:8" s="500" customFormat="1" ht="36" customHeight="1">
      <c r="A160" s="1302"/>
      <c r="B160" s="1315"/>
      <c r="C160" s="1309"/>
      <c r="D160" s="27" t="s">
        <v>2865</v>
      </c>
      <c r="E160" s="27" t="s">
        <v>2866</v>
      </c>
      <c r="F160" s="610"/>
      <c r="G160" s="608"/>
    </row>
    <row r="161" spans="1:8" s="590" customFormat="1" ht="36" customHeight="1" thickBot="1">
      <c r="A161" s="1302"/>
      <c r="B161" s="1315"/>
      <c r="C161" s="589"/>
      <c r="D161" s="22"/>
      <c r="E161" s="22"/>
      <c r="F161" s="503"/>
      <c r="G161" s="592"/>
    </row>
    <row r="162" spans="1:8" s="590" customFormat="1" ht="36" hidden="1" customHeight="1" thickBot="1">
      <c r="A162" s="1302"/>
      <c r="B162" s="1315"/>
      <c r="C162" s="589"/>
      <c r="D162" s="22"/>
      <c r="E162" s="22"/>
      <c r="F162" s="503"/>
      <c r="G162" s="592"/>
    </row>
    <row r="163" spans="1:8" s="500" customFormat="1" ht="36" hidden="1" customHeight="1">
      <c r="A163" s="1302"/>
      <c r="B163" s="1315"/>
      <c r="C163" s="21"/>
      <c r="D163" s="20"/>
      <c r="E163" s="19"/>
      <c r="F163" s="501"/>
      <c r="G163" s="357"/>
    </row>
    <row r="164" spans="1:8" s="500" customFormat="1" ht="36" hidden="1" customHeight="1" thickBot="1">
      <c r="A164" s="1302"/>
      <c r="B164" s="1315"/>
      <c r="C164" s="468"/>
      <c r="D164" s="16"/>
      <c r="E164" s="15"/>
      <c r="F164" s="482"/>
      <c r="G164" s="357"/>
    </row>
    <row r="165" spans="1:8" s="500" customFormat="1" ht="36" customHeight="1" thickBot="1">
      <c r="A165" s="1303"/>
      <c r="B165" s="1316"/>
      <c r="C165" s="12"/>
      <c r="D165" s="11"/>
      <c r="E165" s="10"/>
      <c r="F165" s="10"/>
      <c r="G165" s="9"/>
    </row>
    <row r="166" spans="1:8" s="500" customFormat="1" ht="60" customHeight="1" thickBot="1">
      <c r="A166" s="1298" t="s">
        <v>5</v>
      </c>
      <c r="B166" s="1299"/>
      <c r="C166" s="1299"/>
      <c r="D166" s="1299"/>
      <c r="E166" s="1299"/>
      <c r="F166" s="1299"/>
      <c r="G166" s="1300"/>
    </row>
    <row r="167" spans="1:8" s="500" customFormat="1" ht="36" customHeight="1">
      <c r="A167" s="1301">
        <v>44767</v>
      </c>
      <c r="B167" s="1314" t="s">
        <v>4</v>
      </c>
      <c r="C167" s="611" t="s">
        <v>2943</v>
      </c>
      <c r="D167" s="27" t="s">
        <v>2944</v>
      </c>
      <c r="E167" s="27" t="s">
        <v>2945</v>
      </c>
      <c r="F167" s="610"/>
      <c r="G167" s="608"/>
      <c r="H167" s="500" t="s">
        <v>2946</v>
      </c>
    </row>
    <row r="168" spans="1:8" s="500" customFormat="1" ht="36" customHeight="1">
      <c r="A168" s="1302"/>
      <c r="B168" s="1315"/>
      <c r="C168" s="1310" t="s">
        <v>2950</v>
      </c>
      <c r="D168" s="27" t="s">
        <v>2947</v>
      </c>
      <c r="E168" s="27" t="s">
        <v>2948</v>
      </c>
      <c r="F168" s="610"/>
      <c r="G168" s="1311" t="s">
        <v>2951</v>
      </c>
    </row>
    <row r="169" spans="1:8" s="500" customFormat="1" ht="36" customHeight="1">
      <c r="A169" s="1302"/>
      <c r="B169" s="1315"/>
      <c r="C169" s="1309"/>
      <c r="D169" s="40" t="s">
        <v>2949</v>
      </c>
      <c r="E169" s="39" t="s">
        <v>3007</v>
      </c>
      <c r="F169" s="610"/>
      <c r="G169" s="1313"/>
    </row>
    <row r="170" spans="1:8" s="500" customFormat="1" ht="36" customHeight="1" thickBot="1">
      <c r="A170" s="1302"/>
      <c r="B170" s="1315"/>
      <c r="C170" s="607" t="s">
        <v>1600</v>
      </c>
      <c r="D170" s="612" t="s">
        <v>1807</v>
      </c>
      <c r="E170" s="54" t="s">
        <v>382</v>
      </c>
      <c r="F170" s="609"/>
      <c r="G170" s="608" t="s">
        <v>2952</v>
      </c>
    </row>
    <row r="171" spans="1:8" s="500" customFormat="1" ht="36" customHeight="1" thickBot="1">
      <c r="A171" s="1303"/>
      <c r="B171" s="1316"/>
      <c r="C171" s="12"/>
      <c r="D171" s="11"/>
      <c r="E171" s="10"/>
      <c r="F171" s="10"/>
      <c r="G171" s="9"/>
    </row>
    <row r="172" spans="1:8" s="500" customFormat="1" ht="36" customHeight="1">
      <c r="A172" s="1301">
        <v>44768</v>
      </c>
      <c r="B172" s="1314" t="s">
        <v>3</v>
      </c>
      <c r="C172" s="615" t="s">
        <v>2864</v>
      </c>
      <c r="D172" s="27" t="s">
        <v>1394</v>
      </c>
      <c r="E172" s="27" t="s">
        <v>2957</v>
      </c>
      <c r="F172" s="614"/>
      <c r="G172" s="613"/>
    </row>
    <row r="173" spans="1:8" s="500" customFormat="1" ht="36" customHeight="1" thickBot="1">
      <c r="A173" s="1302"/>
      <c r="B173" s="1315"/>
      <c r="C173" s="21"/>
      <c r="D173" s="22"/>
      <c r="E173" s="22"/>
      <c r="F173" s="501"/>
      <c r="G173" s="357"/>
    </row>
    <row r="174" spans="1:8" s="500" customFormat="1" ht="36" hidden="1" customHeight="1">
      <c r="A174" s="1302"/>
      <c r="B174" s="1315"/>
      <c r="C174" s="21"/>
      <c r="D174" s="20"/>
      <c r="E174" s="19"/>
      <c r="F174" s="501"/>
      <c r="G174" s="357"/>
    </row>
    <row r="175" spans="1:8" s="500" customFormat="1" ht="36" hidden="1" customHeight="1" thickBot="1">
      <c r="A175" s="1302"/>
      <c r="B175" s="1315"/>
      <c r="C175" s="468"/>
      <c r="D175" s="16"/>
      <c r="E175" s="15"/>
      <c r="F175" s="482"/>
      <c r="G175" s="357"/>
    </row>
    <row r="176" spans="1:8" s="500" customFormat="1" ht="36" customHeight="1" thickBot="1">
      <c r="A176" s="1303"/>
      <c r="B176" s="1316"/>
      <c r="C176" s="12"/>
      <c r="D176" s="11"/>
      <c r="E176" s="10"/>
      <c r="F176" s="10"/>
      <c r="G176" s="9"/>
    </row>
    <row r="177" spans="1:8" s="500" customFormat="1" ht="36" customHeight="1">
      <c r="A177" s="1301">
        <v>44769</v>
      </c>
      <c r="B177" s="1314" t="s">
        <v>2</v>
      </c>
      <c r="C177" s="620" t="s">
        <v>2917</v>
      </c>
      <c r="D177" s="27" t="s">
        <v>2918</v>
      </c>
      <c r="E177" s="27" t="s">
        <v>3005</v>
      </c>
      <c r="F177" s="619" t="s">
        <v>2919</v>
      </c>
      <c r="G177" s="617"/>
    </row>
    <row r="178" spans="1:8" s="500" customFormat="1" ht="36" customHeight="1">
      <c r="A178" s="1302"/>
      <c r="B178" s="1315"/>
      <c r="C178" s="620" t="s">
        <v>2937</v>
      </c>
      <c r="D178" s="27" t="s">
        <v>109</v>
      </c>
      <c r="E178" s="27" t="s">
        <v>2938</v>
      </c>
      <c r="F178" s="619" t="s">
        <v>2939</v>
      </c>
      <c r="G178" s="617"/>
      <c r="H178" s="500" t="s">
        <v>2940</v>
      </c>
    </row>
    <row r="179" spans="1:8" s="500" customFormat="1" ht="36" customHeight="1">
      <c r="A179" s="1302"/>
      <c r="B179" s="1315"/>
      <c r="C179" s="620" t="s">
        <v>2965</v>
      </c>
      <c r="D179" s="40" t="s">
        <v>2966</v>
      </c>
      <c r="E179" s="39" t="s">
        <v>2967</v>
      </c>
      <c r="F179" s="619"/>
      <c r="G179" s="617" t="s">
        <v>2968</v>
      </c>
    </row>
    <row r="180" spans="1:8" s="500" customFormat="1" ht="36" customHeight="1" thickBot="1">
      <c r="A180" s="1302"/>
      <c r="B180" s="1315"/>
      <c r="C180" s="616" t="s">
        <v>2969</v>
      </c>
      <c r="D180" s="622" t="s">
        <v>2970</v>
      </c>
      <c r="E180" s="54" t="s">
        <v>2971</v>
      </c>
      <c r="F180" s="618"/>
      <c r="G180" s="617" t="s">
        <v>416</v>
      </c>
    </row>
    <row r="181" spans="1:8" s="500" customFormat="1" ht="36" customHeight="1" thickBot="1">
      <c r="A181" s="1303"/>
      <c r="B181" s="1316"/>
      <c r="C181" s="12" t="s">
        <v>2927</v>
      </c>
      <c r="D181" s="11" t="s">
        <v>2928</v>
      </c>
      <c r="E181" s="10" t="s">
        <v>2929</v>
      </c>
      <c r="F181" s="10" t="s">
        <v>2930</v>
      </c>
      <c r="G181" s="9"/>
    </row>
    <row r="182" spans="1:8" s="500" customFormat="1" ht="36" customHeight="1">
      <c r="A182" s="1301">
        <v>44770</v>
      </c>
      <c r="B182" s="1314" t="s">
        <v>1</v>
      </c>
      <c r="C182" s="53" t="s">
        <v>2867</v>
      </c>
      <c r="D182" s="27" t="s">
        <v>2868</v>
      </c>
      <c r="E182" s="27" t="s">
        <v>2910</v>
      </c>
      <c r="F182" s="625"/>
      <c r="G182" s="624"/>
    </row>
    <row r="183" spans="1:8" s="500" customFormat="1" ht="36" customHeight="1">
      <c r="A183" s="1302"/>
      <c r="B183" s="1315"/>
      <c r="C183" s="64"/>
      <c r="D183" s="66"/>
      <c r="E183" s="66"/>
      <c r="F183" s="62"/>
      <c r="G183" s="626"/>
    </row>
    <row r="184" spans="1:8" s="500" customFormat="1" ht="36" customHeight="1" thickBot="1">
      <c r="A184" s="1302"/>
      <c r="B184" s="1315"/>
      <c r="C184" s="21"/>
      <c r="D184" s="20"/>
      <c r="E184" s="19"/>
      <c r="F184" s="501"/>
      <c r="G184" s="357"/>
    </row>
    <row r="185" spans="1:8" s="500" customFormat="1" ht="36" hidden="1" customHeight="1" thickBot="1">
      <c r="A185" s="1302"/>
      <c r="B185" s="1315"/>
      <c r="C185" s="468"/>
      <c r="D185" s="16"/>
      <c r="E185" s="15"/>
      <c r="F185" s="482"/>
      <c r="G185" s="357"/>
    </row>
    <row r="186" spans="1:8" s="500" customFormat="1" ht="36" customHeight="1" thickBot="1">
      <c r="A186" s="1303"/>
      <c r="B186" s="1316"/>
      <c r="C186" s="12" t="s">
        <v>2931</v>
      </c>
      <c r="D186" s="11" t="s">
        <v>2932</v>
      </c>
      <c r="E186" s="10" t="s">
        <v>2933</v>
      </c>
      <c r="F186" s="10" t="s">
        <v>2934</v>
      </c>
      <c r="G186" s="9"/>
    </row>
    <row r="187" spans="1:8" s="500" customFormat="1" ht="36" customHeight="1">
      <c r="A187" s="1301">
        <v>44771</v>
      </c>
      <c r="B187" s="1314" t="s">
        <v>0</v>
      </c>
      <c r="C187" s="629" t="s">
        <v>61</v>
      </c>
      <c r="D187" s="27" t="s">
        <v>8</v>
      </c>
      <c r="E187" s="27" t="s">
        <v>2982</v>
      </c>
      <c r="F187" s="628"/>
      <c r="G187" s="627"/>
    </row>
    <row r="188" spans="1:8" s="500" customFormat="1" ht="36" customHeight="1">
      <c r="A188" s="1302"/>
      <c r="B188" s="1315"/>
      <c r="C188" s="1310" t="s">
        <v>2958</v>
      </c>
      <c r="D188" s="27" t="s">
        <v>2959</v>
      </c>
      <c r="E188" s="27" t="s">
        <v>2960</v>
      </c>
      <c r="F188" s="27" t="s">
        <v>2964</v>
      </c>
      <c r="G188" s="627"/>
    </row>
    <row r="189" spans="1:8" s="500" customFormat="1" ht="36" customHeight="1">
      <c r="A189" s="1302"/>
      <c r="B189" s="1315"/>
      <c r="C189" s="1308"/>
      <c r="D189" s="40" t="s">
        <v>2961</v>
      </c>
      <c r="E189" s="39" t="s">
        <v>2962</v>
      </c>
      <c r="F189" s="628"/>
      <c r="G189" s="627"/>
    </row>
    <row r="190" spans="1:8" s="500" customFormat="1" ht="36" customHeight="1">
      <c r="A190" s="1302"/>
      <c r="B190" s="1315"/>
      <c r="C190" s="1309"/>
      <c r="D190" s="40" t="s">
        <v>2963</v>
      </c>
      <c r="E190" s="39" t="s">
        <v>3004</v>
      </c>
      <c r="F190" s="628"/>
      <c r="G190" s="41"/>
    </row>
    <row r="191" spans="1:8" s="630" customFormat="1" ht="35.1" customHeight="1" thickBot="1">
      <c r="A191" s="1302"/>
      <c r="B191" s="1315"/>
      <c r="C191" s="636" t="s">
        <v>3008</v>
      </c>
      <c r="D191" s="637" t="s">
        <v>109</v>
      </c>
      <c r="E191" s="638" t="s">
        <v>3009</v>
      </c>
      <c r="F191" s="635" t="s">
        <v>1959</v>
      </c>
      <c r="G191" s="639" t="s">
        <v>3010</v>
      </c>
    </row>
    <row r="192" spans="1:8" s="500" customFormat="1" ht="36" customHeight="1" thickBot="1">
      <c r="A192" s="1303"/>
      <c r="B192" s="1316"/>
      <c r="C192" s="12" t="s">
        <v>2953</v>
      </c>
      <c r="D192" s="11" t="s">
        <v>2954</v>
      </c>
      <c r="E192" s="10" t="s">
        <v>2955</v>
      </c>
      <c r="F192" s="10" t="s">
        <v>2956</v>
      </c>
      <c r="G192" s="9"/>
    </row>
  </sheetData>
  <mergeCells count="90">
    <mergeCell ref="C188:C190"/>
    <mergeCell ref="C168:C169"/>
    <mergeCell ref="G168:G169"/>
    <mergeCell ref="C159:C160"/>
    <mergeCell ref="C150:C152"/>
    <mergeCell ref="C154:C155"/>
    <mergeCell ref="A14:A18"/>
    <mergeCell ref="B14:B18"/>
    <mergeCell ref="A19:G19"/>
    <mergeCell ref="A20:A37"/>
    <mergeCell ref="B20:B37"/>
    <mergeCell ref="C20:C23"/>
    <mergeCell ref="C24:C28"/>
    <mergeCell ref="C30:C31"/>
    <mergeCell ref="G32:G34"/>
    <mergeCell ref="C32:C36"/>
    <mergeCell ref="C49:C52"/>
    <mergeCell ref="C38:C39"/>
    <mergeCell ref="C41:C42"/>
    <mergeCell ref="C43:C44"/>
    <mergeCell ref="A1:G1"/>
    <mergeCell ref="A2:A13"/>
    <mergeCell ref="B2:B13"/>
    <mergeCell ref="C2:C3"/>
    <mergeCell ref="C8:C9"/>
    <mergeCell ref="G8:G9"/>
    <mergeCell ref="G43:G44"/>
    <mergeCell ref="F41:F42"/>
    <mergeCell ref="G41:G42"/>
    <mergeCell ref="G38:G39"/>
    <mergeCell ref="A38:A48"/>
    <mergeCell ref="B38:B48"/>
    <mergeCell ref="B49:B55"/>
    <mergeCell ref="A56:A62"/>
    <mergeCell ref="B56:B62"/>
    <mergeCell ref="A88:A97"/>
    <mergeCell ref="B88:B97"/>
    <mergeCell ref="A63:A67"/>
    <mergeCell ref="B63:B67"/>
    <mergeCell ref="A49:A55"/>
    <mergeCell ref="A98:A108"/>
    <mergeCell ref="B98:B108"/>
    <mergeCell ref="A109:A117"/>
    <mergeCell ref="B109:B117"/>
    <mergeCell ref="B167:B171"/>
    <mergeCell ref="A118:G118"/>
    <mergeCell ref="A119:A128"/>
    <mergeCell ref="B119:B128"/>
    <mergeCell ref="A159:A165"/>
    <mergeCell ref="B159:B165"/>
    <mergeCell ref="A166:G166"/>
    <mergeCell ref="A167:A171"/>
    <mergeCell ref="A129:A141"/>
    <mergeCell ref="B129:B141"/>
    <mergeCell ref="A142:A149"/>
    <mergeCell ref="B142:B149"/>
    <mergeCell ref="A150:A158"/>
    <mergeCell ref="B150:B158"/>
    <mergeCell ref="A187:A192"/>
    <mergeCell ref="B187:B192"/>
    <mergeCell ref="A172:A176"/>
    <mergeCell ref="B172:B176"/>
    <mergeCell ref="A177:A181"/>
    <mergeCell ref="B177:B181"/>
    <mergeCell ref="A182:A186"/>
    <mergeCell ref="B182:B186"/>
    <mergeCell ref="C88:C89"/>
    <mergeCell ref="C91:C93"/>
    <mergeCell ref="C59:C60"/>
    <mergeCell ref="G59:G60"/>
    <mergeCell ref="A75:A87"/>
    <mergeCell ref="B75:B87"/>
    <mergeCell ref="A68:G68"/>
    <mergeCell ref="A69:A74"/>
    <mergeCell ref="B69:B74"/>
    <mergeCell ref="C75:C78"/>
    <mergeCell ref="C63:C64"/>
    <mergeCell ref="C82:C84"/>
    <mergeCell ref="G82:G84"/>
    <mergeCell ref="C79:C80"/>
    <mergeCell ref="G102:G105"/>
    <mergeCell ref="G99:G100"/>
    <mergeCell ref="F99:F100"/>
    <mergeCell ref="C99:C105"/>
    <mergeCell ref="C119:C121"/>
    <mergeCell ref="C144:C145"/>
    <mergeCell ref="G144:G145"/>
    <mergeCell ref="C129:C132"/>
    <mergeCell ref="C133:C135"/>
    <mergeCell ref="C136:C13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9"/>
  <sheetViews>
    <sheetView topLeftCell="A164" zoomScale="70" zoomScaleNormal="70" zoomScaleSheetLayoutView="70" workbookViewId="0">
      <selection activeCell="C197" sqref="C19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621" customWidth="1"/>
    <col min="9" max="16384" width="9" style="1"/>
  </cols>
  <sheetData>
    <row r="1" spans="1:7" s="621" customFormat="1" ht="60" customHeight="1" thickBot="1">
      <c r="A1" s="1298" t="s">
        <v>5</v>
      </c>
      <c r="B1" s="1299"/>
      <c r="C1" s="1299"/>
      <c r="D1" s="1299"/>
      <c r="E1" s="1299"/>
      <c r="F1" s="1299"/>
      <c r="G1" s="1300"/>
    </row>
    <row r="2" spans="1:7" s="621" customFormat="1" ht="35.1" customHeight="1">
      <c r="A2" s="1301">
        <v>44774</v>
      </c>
      <c r="B2" s="1314" t="s">
        <v>4</v>
      </c>
      <c r="C2" s="633" t="s">
        <v>1973</v>
      </c>
      <c r="D2" s="27" t="s">
        <v>1974</v>
      </c>
      <c r="E2" s="27" t="s">
        <v>525</v>
      </c>
      <c r="F2" s="632"/>
      <c r="G2" s="631" t="s">
        <v>3019</v>
      </c>
    </row>
    <row r="3" spans="1:7" s="621" customFormat="1" ht="35.1" customHeight="1">
      <c r="A3" s="1302"/>
      <c r="B3" s="1315"/>
      <c r="C3" s="1310" t="s">
        <v>1864</v>
      </c>
      <c r="D3" s="40" t="s">
        <v>1666</v>
      </c>
      <c r="E3" s="39" t="s">
        <v>1682</v>
      </c>
      <c r="F3" s="632" t="s">
        <v>1959</v>
      </c>
      <c r="G3" s="631"/>
    </row>
    <row r="4" spans="1:7" s="630" customFormat="1" ht="35.1" customHeight="1">
      <c r="A4" s="1302"/>
      <c r="B4" s="1315"/>
      <c r="C4" s="1308"/>
      <c r="D4" s="634" t="s">
        <v>2991</v>
      </c>
      <c r="E4" s="54" t="s">
        <v>2992</v>
      </c>
      <c r="F4" s="632"/>
      <c r="G4" s="631"/>
    </row>
    <row r="5" spans="1:7" s="630" customFormat="1" ht="35.1" customHeight="1">
      <c r="A5" s="1302"/>
      <c r="B5" s="1315"/>
      <c r="C5" s="1308"/>
      <c r="D5" s="634" t="s">
        <v>2993</v>
      </c>
      <c r="E5" s="54" t="s">
        <v>2994</v>
      </c>
      <c r="F5" s="632"/>
      <c r="G5" s="631"/>
    </row>
    <row r="6" spans="1:7" s="630" customFormat="1" ht="35.1" customHeight="1">
      <c r="A6" s="1302"/>
      <c r="B6" s="1315"/>
      <c r="C6" s="1309"/>
      <c r="D6" s="634" t="s">
        <v>2995</v>
      </c>
      <c r="E6" s="54" t="s">
        <v>2996</v>
      </c>
      <c r="F6" s="632"/>
      <c r="G6" s="631"/>
    </row>
    <row r="7" spans="1:7" s="630" customFormat="1" ht="35.1" customHeight="1">
      <c r="A7" s="1302"/>
      <c r="B7" s="1315"/>
      <c r="C7" s="1310" t="s">
        <v>2983</v>
      </c>
      <c r="D7" s="634" t="s">
        <v>2985</v>
      </c>
      <c r="E7" s="54" t="s">
        <v>2988</v>
      </c>
      <c r="F7" s="27"/>
      <c r="G7" s="631"/>
    </row>
    <row r="8" spans="1:7" s="630" customFormat="1" ht="35.1" customHeight="1">
      <c r="A8" s="1302"/>
      <c r="B8" s="1315"/>
      <c r="C8" s="1308"/>
      <c r="D8" s="634" t="s">
        <v>2986</v>
      </c>
      <c r="E8" s="54" t="s">
        <v>2989</v>
      </c>
      <c r="F8" s="27"/>
      <c r="G8" s="631"/>
    </row>
    <row r="9" spans="1:7" s="630" customFormat="1" ht="35.1" customHeight="1">
      <c r="A9" s="1302"/>
      <c r="B9" s="1315"/>
      <c r="C9" s="1309"/>
      <c r="D9" s="634" t="s">
        <v>2987</v>
      </c>
      <c r="E9" s="54">
        <v>50</v>
      </c>
      <c r="F9" s="27"/>
      <c r="G9" s="631"/>
    </row>
    <row r="10" spans="1:7" s="630" customFormat="1" ht="35.1" customHeight="1">
      <c r="A10" s="1302"/>
      <c r="B10" s="1315"/>
      <c r="C10" s="1310" t="s">
        <v>3011</v>
      </c>
      <c r="D10" s="634" t="s">
        <v>2985</v>
      </c>
      <c r="E10" s="54" t="s">
        <v>3015</v>
      </c>
      <c r="F10" s="1323" t="s">
        <v>3016</v>
      </c>
      <c r="G10" s="1311" t="s">
        <v>3017</v>
      </c>
    </row>
    <row r="11" spans="1:7" s="630" customFormat="1" ht="35.1" customHeight="1">
      <c r="A11" s="1302"/>
      <c r="B11" s="1315"/>
      <c r="C11" s="1308"/>
      <c r="D11" s="634" t="s">
        <v>3012</v>
      </c>
      <c r="E11" s="54" t="s">
        <v>3014</v>
      </c>
      <c r="F11" s="1320"/>
      <c r="G11" s="1312"/>
    </row>
    <row r="12" spans="1:7" s="630" customFormat="1" ht="35.1" customHeight="1">
      <c r="A12" s="1302"/>
      <c r="B12" s="1315"/>
      <c r="C12" s="1309"/>
      <c r="D12" s="634" t="s">
        <v>3018</v>
      </c>
      <c r="E12" s="54" t="s">
        <v>3013</v>
      </c>
      <c r="F12" s="1321"/>
      <c r="G12" s="1313"/>
    </row>
    <row r="13" spans="1:7" s="621" customFormat="1" ht="35.1" customHeight="1" thickBot="1">
      <c r="A13" s="1302"/>
      <c r="B13" s="1315"/>
      <c r="C13" s="640"/>
      <c r="D13" s="641"/>
      <c r="E13" s="15"/>
      <c r="F13" s="58"/>
      <c r="G13" s="626"/>
    </row>
    <row r="14" spans="1:7" s="621" customFormat="1" ht="35.1" customHeight="1" thickBot="1">
      <c r="A14" s="1303"/>
      <c r="B14" s="1316"/>
      <c r="C14" s="12"/>
      <c r="D14" s="11"/>
      <c r="E14" s="10"/>
      <c r="F14" s="10"/>
      <c r="G14" s="9"/>
    </row>
    <row r="15" spans="1:7" ht="35.1" customHeight="1">
      <c r="A15" s="1301">
        <v>44775</v>
      </c>
      <c r="B15" s="1314" t="s">
        <v>3</v>
      </c>
      <c r="C15" s="1307" t="s">
        <v>2972</v>
      </c>
      <c r="D15" s="27" t="s">
        <v>2305</v>
      </c>
      <c r="E15" s="27" t="s">
        <v>3020</v>
      </c>
      <c r="F15" s="643"/>
      <c r="G15" s="642"/>
    </row>
    <row r="16" spans="1:7" ht="35.1" customHeight="1">
      <c r="A16" s="1302"/>
      <c r="B16" s="1315"/>
      <c r="C16" s="1309"/>
      <c r="D16" s="27" t="s">
        <v>2973</v>
      </c>
      <c r="E16" s="27" t="s">
        <v>2200</v>
      </c>
      <c r="F16" s="643"/>
      <c r="G16" s="642"/>
    </row>
    <row r="17" spans="1:8" ht="35.1" customHeight="1">
      <c r="A17" s="1302"/>
      <c r="B17" s="1315"/>
      <c r="C17" s="1310" t="s">
        <v>2990</v>
      </c>
      <c r="D17" s="647" t="s">
        <v>2985</v>
      </c>
      <c r="E17" s="27" t="s">
        <v>2997</v>
      </c>
      <c r="F17" s="643"/>
      <c r="G17" s="1311" t="s">
        <v>3003</v>
      </c>
      <c r="H17" s="630"/>
    </row>
    <row r="18" spans="1:8" ht="35.1" customHeight="1">
      <c r="A18" s="1302"/>
      <c r="B18" s="1315"/>
      <c r="C18" s="1308"/>
      <c r="D18" s="647" t="s">
        <v>2986</v>
      </c>
      <c r="E18" s="27" t="s">
        <v>2998</v>
      </c>
      <c r="F18" s="643"/>
      <c r="G18" s="1312"/>
      <c r="H18" s="630"/>
    </row>
    <row r="19" spans="1:8" ht="35.1" customHeight="1">
      <c r="A19" s="1302"/>
      <c r="B19" s="1315"/>
      <c r="C19" s="1308"/>
      <c r="D19" s="27" t="s">
        <v>2999</v>
      </c>
      <c r="E19" s="27" t="s">
        <v>3000</v>
      </c>
      <c r="F19" s="643"/>
      <c r="G19" s="1312"/>
      <c r="H19" s="630"/>
    </row>
    <row r="20" spans="1:8" ht="35.1" customHeight="1">
      <c r="A20" s="1302"/>
      <c r="B20" s="1315"/>
      <c r="C20" s="1309"/>
      <c r="D20" s="27" t="s">
        <v>3001</v>
      </c>
      <c r="E20" s="27" t="s">
        <v>3002</v>
      </c>
      <c r="F20" s="643"/>
      <c r="G20" s="1313"/>
      <c r="H20" s="630"/>
    </row>
    <row r="21" spans="1:8" ht="35.1" customHeight="1">
      <c r="A21" s="1302"/>
      <c r="B21" s="1315"/>
      <c r="C21" s="1310" t="s">
        <v>3022</v>
      </c>
      <c r="D21" s="40" t="s">
        <v>3023</v>
      </c>
      <c r="E21" s="39" t="s">
        <v>3024</v>
      </c>
      <c r="F21" s="643"/>
      <c r="G21" s="1311" t="s">
        <v>3029</v>
      </c>
    </row>
    <row r="22" spans="1:8" ht="35.1" customHeight="1">
      <c r="A22" s="1302"/>
      <c r="B22" s="1315"/>
      <c r="C22" s="1308"/>
      <c r="D22" s="647" t="s">
        <v>3025</v>
      </c>
      <c r="E22" s="54" t="s">
        <v>3026</v>
      </c>
      <c r="F22" s="27"/>
      <c r="G22" s="1312"/>
      <c r="H22" s="646"/>
    </row>
    <row r="23" spans="1:8" ht="35.1" customHeight="1">
      <c r="A23" s="1302"/>
      <c r="B23" s="1315"/>
      <c r="C23" s="1308"/>
      <c r="D23" s="647" t="s">
        <v>109</v>
      </c>
      <c r="E23" s="54" t="s">
        <v>3027</v>
      </c>
      <c r="F23" s="27"/>
      <c r="G23" s="1312"/>
      <c r="H23" s="646"/>
    </row>
    <row r="24" spans="1:8" ht="35.1" customHeight="1">
      <c r="A24" s="1302"/>
      <c r="B24" s="1315"/>
      <c r="C24" s="1309"/>
      <c r="D24" s="647" t="s">
        <v>3109</v>
      </c>
      <c r="E24" s="54" t="s">
        <v>3028</v>
      </c>
      <c r="F24" s="27"/>
      <c r="G24" s="1313"/>
      <c r="H24" s="646"/>
    </row>
    <row r="25" spans="1:8" ht="35.1" customHeight="1">
      <c r="A25" s="1302"/>
      <c r="B25" s="1315"/>
      <c r="C25" s="644" t="s">
        <v>3031</v>
      </c>
      <c r="D25" s="40" t="s">
        <v>109</v>
      </c>
      <c r="E25" s="39" t="s">
        <v>3032</v>
      </c>
      <c r="F25" s="27"/>
      <c r="G25" s="41" t="s">
        <v>3033</v>
      </c>
      <c r="H25" s="646" t="s">
        <v>3034</v>
      </c>
    </row>
    <row r="26" spans="1:8" ht="35.1" customHeight="1" thickBot="1">
      <c r="A26" s="1302"/>
      <c r="B26" s="1315"/>
      <c r="C26" s="645"/>
      <c r="D26" s="30"/>
      <c r="E26" s="29"/>
      <c r="F26" s="482"/>
      <c r="G26" s="593"/>
    </row>
    <row r="27" spans="1:8" ht="35.1" customHeight="1" thickBot="1">
      <c r="A27" s="1303"/>
      <c r="B27" s="1316"/>
      <c r="C27" s="12"/>
      <c r="D27" s="11"/>
      <c r="E27" s="10"/>
      <c r="F27" s="10"/>
      <c r="G27" s="9"/>
    </row>
    <row r="28" spans="1:8" ht="35.1" customHeight="1">
      <c r="A28" s="1301">
        <v>44776</v>
      </c>
      <c r="B28" s="1314" t="s">
        <v>2</v>
      </c>
      <c r="C28" s="1307" t="s">
        <v>2974</v>
      </c>
      <c r="D28" s="27" t="s">
        <v>2975</v>
      </c>
      <c r="E28" s="27" t="s">
        <v>2547</v>
      </c>
      <c r="F28" s="652" t="s">
        <v>2976</v>
      </c>
      <c r="G28" s="649" t="s">
        <v>2977</v>
      </c>
    </row>
    <row r="29" spans="1:8" ht="35.1" customHeight="1">
      <c r="A29" s="1302"/>
      <c r="B29" s="1315"/>
      <c r="C29" s="1308"/>
      <c r="D29" s="27" t="s">
        <v>2305</v>
      </c>
      <c r="E29" s="27" t="s">
        <v>3021</v>
      </c>
      <c r="F29" s="652"/>
      <c r="G29" s="649"/>
    </row>
    <row r="30" spans="1:8" ht="35.1" customHeight="1">
      <c r="A30" s="1302"/>
      <c r="B30" s="1315"/>
      <c r="C30" s="1309"/>
      <c r="D30" s="27" t="s">
        <v>1829</v>
      </c>
      <c r="E30" s="27" t="s">
        <v>1901</v>
      </c>
      <c r="F30" s="652"/>
      <c r="G30" s="649"/>
      <c r="H30" s="630"/>
    </row>
    <row r="31" spans="1:8" ht="35.1" customHeight="1">
      <c r="A31" s="1302"/>
      <c r="B31" s="1315"/>
      <c r="C31" s="1310" t="s">
        <v>2978</v>
      </c>
      <c r="D31" s="40" t="s">
        <v>2979</v>
      </c>
      <c r="E31" s="39" t="s">
        <v>1710</v>
      </c>
      <c r="F31" s="27"/>
      <c r="G31" s="1311" t="s">
        <v>2984</v>
      </c>
    </row>
    <row r="32" spans="1:8" ht="35.1" customHeight="1">
      <c r="A32" s="1302"/>
      <c r="B32" s="1315"/>
      <c r="C32" s="1309"/>
      <c r="D32" s="40" t="s">
        <v>2980</v>
      </c>
      <c r="E32" s="39" t="s">
        <v>2981</v>
      </c>
      <c r="F32" s="652"/>
      <c r="G32" s="1313"/>
    </row>
    <row r="33" spans="1:8" s="646" customFormat="1" ht="36" customHeight="1">
      <c r="A33" s="1302"/>
      <c r="B33" s="1315"/>
      <c r="C33" s="1310" t="s">
        <v>3030</v>
      </c>
      <c r="D33" s="27" t="s">
        <v>3036</v>
      </c>
      <c r="E33" s="27" t="s">
        <v>3037</v>
      </c>
      <c r="F33" s="27"/>
      <c r="G33" s="1311" t="s">
        <v>3029</v>
      </c>
    </row>
    <row r="34" spans="1:8" s="646" customFormat="1" ht="36" customHeight="1">
      <c r="A34" s="1302"/>
      <c r="B34" s="1315"/>
      <c r="C34" s="1309"/>
      <c r="D34" s="40" t="s">
        <v>109</v>
      </c>
      <c r="E34" s="652" t="s">
        <v>3035</v>
      </c>
      <c r="F34" s="652"/>
      <c r="G34" s="1313"/>
    </row>
    <row r="35" spans="1:8" s="646" customFormat="1" ht="36" customHeight="1">
      <c r="A35" s="1302"/>
      <c r="B35" s="1315"/>
      <c r="C35" s="653" t="s">
        <v>605</v>
      </c>
      <c r="D35" s="27" t="s">
        <v>2803</v>
      </c>
      <c r="E35" s="27" t="s">
        <v>452</v>
      </c>
      <c r="F35" s="27" t="s">
        <v>2804</v>
      </c>
      <c r="G35" s="41" t="s">
        <v>3038</v>
      </c>
    </row>
    <row r="36" spans="1:8" s="654" customFormat="1" ht="36" customHeight="1">
      <c r="A36" s="1302"/>
      <c r="B36" s="1315"/>
      <c r="C36" s="648" t="s">
        <v>3056</v>
      </c>
      <c r="D36" s="651" t="s">
        <v>289</v>
      </c>
      <c r="E36" s="651" t="s">
        <v>3057</v>
      </c>
      <c r="F36" s="27" t="s">
        <v>3058</v>
      </c>
      <c r="G36" s="650" t="s">
        <v>2610</v>
      </c>
      <c r="H36" s="654" t="s">
        <v>3059</v>
      </c>
    </row>
    <row r="37" spans="1:8" ht="35.1" customHeight="1">
      <c r="A37" s="1302"/>
      <c r="B37" s="1315"/>
      <c r="C37" s="1310" t="s">
        <v>3060</v>
      </c>
      <c r="D37" s="655" t="s">
        <v>109</v>
      </c>
      <c r="E37" s="54" t="s">
        <v>3061</v>
      </c>
      <c r="F37" s="652"/>
      <c r="G37" s="649" t="s">
        <v>3062</v>
      </c>
      <c r="H37" s="654" t="s">
        <v>3065</v>
      </c>
    </row>
    <row r="38" spans="1:8" ht="35.1" customHeight="1" thickBot="1">
      <c r="A38" s="1302"/>
      <c r="B38" s="1315"/>
      <c r="C38" s="1324"/>
      <c r="D38" s="655" t="s">
        <v>109</v>
      </c>
      <c r="E38" s="54" t="s">
        <v>3064</v>
      </c>
      <c r="F38" s="651"/>
      <c r="G38" s="649" t="s">
        <v>3063</v>
      </c>
      <c r="H38" s="654" t="s">
        <v>3066</v>
      </c>
    </row>
    <row r="39" spans="1:8" ht="35.1" customHeight="1" thickBot="1">
      <c r="A39" s="1303"/>
      <c r="B39" s="1316"/>
      <c r="C39" s="12"/>
      <c r="D39" s="11"/>
      <c r="E39" s="10"/>
      <c r="F39" s="10"/>
      <c r="G39" s="9"/>
    </row>
    <row r="40" spans="1:8" ht="35.1" customHeight="1" thickBot="1">
      <c r="A40" s="1298" t="s">
        <v>5</v>
      </c>
      <c r="B40" s="1299"/>
      <c r="C40" s="1299"/>
      <c r="D40" s="1299"/>
      <c r="E40" s="1299"/>
      <c r="F40" s="1299"/>
      <c r="G40" s="1300"/>
    </row>
    <row r="41" spans="1:8" ht="35.1" customHeight="1">
      <c r="A41" s="1301">
        <v>44782</v>
      </c>
      <c r="B41" s="1314" t="s">
        <v>3</v>
      </c>
      <c r="C41" s="661" t="s">
        <v>1825</v>
      </c>
      <c r="D41" s="27" t="s">
        <v>3039</v>
      </c>
      <c r="E41" s="27" t="s">
        <v>3085</v>
      </c>
      <c r="F41" s="660"/>
      <c r="G41" s="657" t="s">
        <v>3040</v>
      </c>
    </row>
    <row r="42" spans="1:8" ht="35.1" customHeight="1">
      <c r="A42" s="1302"/>
      <c r="B42" s="1315"/>
      <c r="C42" s="1310" t="s">
        <v>3041</v>
      </c>
      <c r="D42" s="27" t="s">
        <v>3042</v>
      </c>
      <c r="E42" s="27" t="s">
        <v>3043</v>
      </c>
      <c r="F42" s="660"/>
      <c r="G42" s="657"/>
    </row>
    <row r="43" spans="1:8" ht="35.1" customHeight="1">
      <c r="A43" s="1302"/>
      <c r="B43" s="1315"/>
      <c r="C43" s="1309"/>
      <c r="D43" s="40" t="s">
        <v>3044</v>
      </c>
      <c r="E43" s="39" t="s">
        <v>3045</v>
      </c>
      <c r="F43" s="660"/>
      <c r="G43" s="657"/>
    </row>
    <row r="44" spans="1:8" ht="35.1" customHeight="1">
      <c r="A44" s="1302"/>
      <c r="B44" s="1315"/>
      <c r="C44" s="661" t="s">
        <v>3092</v>
      </c>
      <c r="D44" s="40" t="s">
        <v>327</v>
      </c>
      <c r="E44" s="39" t="s">
        <v>3110</v>
      </c>
      <c r="F44" s="27"/>
      <c r="G44" s="41" t="s">
        <v>3111</v>
      </c>
      <c r="H44" s="662" t="s">
        <v>3112</v>
      </c>
    </row>
    <row r="45" spans="1:8" ht="35.1" customHeight="1" thickBot="1">
      <c r="A45" s="1302"/>
      <c r="B45" s="1315"/>
      <c r="C45" s="656" t="s">
        <v>3114</v>
      </c>
      <c r="D45" s="44" t="s">
        <v>3115</v>
      </c>
      <c r="E45" s="43" t="s">
        <v>3116</v>
      </c>
      <c r="F45" s="659"/>
      <c r="G45" s="658" t="s">
        <v>3118</v>
      </c>
      <c r="H45" s="621" t="s">
        <v>3117</v>
      </c>
    </row>
    <row r="46" spans="1:8" ht="35.1" customHeight="1" thickBot="1">
      <c r="A46" s="1303"/>
      <c r="B46" s="1316"/>
      <c r="C46" s="12"/>
      <c r="D46" s="11"/>
      <c r="E46" s="10"/>
      <c r="F46" s="10"/>
      <c r="G46" s="9"/>
    </row>
    <row r="47" spans="1:8" ht="35.1" customHeight="1">
      <c r="A47" s="1301">
        <v>44783</v>
      </c>
      <c r="B47" s="1314" t="s">
        <v>2</v>
      </c>
      <c r="C47" s="1307" t="s">
        <v>3041</v>
      </c>
      <c r="D47" s="27" t="s">
        <v>3046</v>
      </c>
      <c r="E47" s="27" t="s">
        <v>3067</v>
      </c>
      <c r="F47" s="667"/>
      <c r="G47" s="664"/>
    </row>
    <row r="48" spans="1:8" ht="35.1" customHeight="1">
      <c r="A48" s="1302"/>
      <c r="B48" s="1315"/>
      <c r="C48" s="1309"/>
      <c r="D48" s="40" t="s">
        <v>1829</v>
      </c>
      <c r="E48" s="39" t="s">
        <v>1497</v>
      </c>
      <c r="F48" s="667"/>
      <c r="G48" s="664"/>
    </row>
    <row r="49" spans="1:8" ht="35.1" customHeight="1">
      <c r="A49" s="1302"/>
      <c r="B49" s="1315"/>
      <c r="C49" s="1310" t="s">
        <v>3079</v>
      </c>
      <c r="D49" s="40" t="s">
        <v>3068</v>
      </c>
      <c r="E49" s="39" t="s">
        <v>3421</v>
      </c>
      <c r="F49" s="667"/>
      <c r="G49" s="1311" t="s">
        <v>3084</v>
      </c>
      <c r="H49" s="662">
        <v>45</v>
      </c>
    </row>
    <row r="50" spans="1:8" ht="35.1" customHeight="1">
      <c r="A50" s="1302"/>
      <c r="B50" s="1315"/>
      <c r="C50" s="1308"/>
      <c r="D50" s="670" t="s">
        <v>3069</v>
      </c>
      <c r="E50" s="54" t="s">
        <v>3070</v>
      </c>
      <c r="F50" s="27"/>
      <c r="G50" s="1312"/>
      <c r="H50" s="662" t="s">
        <v>3123</v>
      </c>
    </row>
    <row r="51" spans="1:8" ht="35.1" customHeight="1">
      <c r="A51" s="1302"/>
      <c r="B51" s="1315"/>
      <c r="C51" s="1308"/>
      <c r="D51" s="40" t="s">
        <v>3071</v>
      </c>
      <c r="E51" s="39" t="s">
        <v>3072</v>
      </c>
      <c r="F51" s="27"/>
      <c r="G51" s="1312"/>
      <c r="H51" s="662"/>
    </row>
    <row r="52" spans="1:8" ht="35.1" customHeight="1">
      <c r="A52" s="1302"/>
      <c r="B52" s="1315"/>
      <c r="C52" s="1308"/>
      <c r="D52" s="670" t="s">
        <v>3073</v>
      </c>
      <c r="E52" s="54" t="s">
        <v>3074</v>
      </c>
      <c r="F52" s="27"/>
      <c r="G52" s="1312"/>
      <c r="H52" s="662"/>
    </row>
    <row r="53" spans="1:8" ht="35.1" customHeight="1">
      <c r="A53" s="1302"/>
      <c r="B53" s="1315"/>
      <c r="C53" s="1308"/>
      <c r="D53" s="670" t="s">
        <v>3080</v>
      </c>
      <c r="E53" s="54" t="s">
        <v>3075</v>
      </c>
      <c r="F53" s="27"/>
      <c r="G53" s="1312"/>
      <c r="H53" s="662"/>
    </row>
    <row r="54" spans="1:8" ht="35.1" customHeight="1">
      <c r="A54" s="1302"/>
      <c r="B54" s="1315"/>
      <c r="C54" s="1308"/>
      <c r="D54" s="670" t="s">
        <v>3076</v>
      </c>
      <c r="E54" s="54" t="s">
        <v>3075</v>
      </c>
      <c r="F54" s="27"/>
      <c r="G54" s="1312"/>
      <c r="H54" s="662"/>
    </row>
    <row r="55" spans="1:8" ht="35.1" customHeight="1">
      <c r="A55" s="1302"/>
      <c r="B55" s="1315"/>
      <c r="C55" s="1309"/>
      <c r="D55" s="40" t="s">
        <v>3077</v>
      </c>
      <c r="E55" s="39" t="s">
        <v>3078</v>
      </c>
      <c r="F55" s="667"/>
      <c r="G55" s="1313"/>
    </row>
    <row r="56" spans="1:8" ht="35.1" customHeight="1">
      <c r="A56" s="1302"/>
      <c r="B56" s="1315"/>
      <c r="C56" s="668" t="s">
        <v>3086</v>
      </c>
      <c r="D56" s="40" t="s">
        <v>3087</v>
      </c>
      <c r="E56" s="39" t="s">
        <v>3128</v>
      </c>
      <c r="F56" s="27"/>
      <c r="G56" s="41" t="s">
        <v>3088</v>
      </c>
    </row>
    <row r="57" spans="1:8" ht="35.1" customHeight="1" thickBot="1">
      <c r="A57" s="1302"/>
      <c r="B57" s="1315"/>
      <c r="C57" s="663" t="s">
        <v>3101</v>
      </c>
      <c r="D57" s="44" t="s">
        <v>3102</v>
      </c>
      <c r="E57" s="43" t="s">
        <v>3103</v>
      </c>
      <c r="F57" s="666"/>
      <c r="G57" s="665" t="s">
        <v>3104</v>
      </c>
      <c r="H57" s="662"/>
    </row>
    <row r="58" spans="1:8" ht="35.1" customHeight="1" thickBot="1">
      <c r="A58" s="1303"/>
      <c r="B58" s="1316"/>
      <c r="C58" s="12" t="s">
        <v>3081</v>
      </c>
      <c r="D58" s="11" t="s">
        <v>3082</v>
      </c>
      <c r="E58" s="10" t="s">
        <v>3083</v>
      </c>
      <c r="F58" s="10" t="s">
        <v>3122</v>
      </c>
      <c r="G58" s="9"/>
    </row>
    <row r="59" spans="1:8" ht="35.1" customHeight="1">
      <c r="A59" s="1301">
        <v>44784</v>
      </c>
      <c r="B59" s="1314" t="s">
        <v>1</v>
      </c>
      <c r="C59" s="678" t="s">
        <v>3048</v>
      </c>
      <c r="D59" s="27" t="s">
        <v>3049</v>
      </c>
      <c r="E59" s="27" t="s">
        <v>3050</v>
      </c>
      <c r="F59" s="677"/>
      <c r="G59" s="673"/>
    </row>
    <row r="60" spans="1:8" ht="35.1" customHeight="1">
      <c r="A60" s="1302"/>
      <c r="B60" s="1315"/>
      <c r="C60" s="1310" t="s">
        <v>3092</v>
      </c>
      <c r="D60" s="27" t="s">
        <v>3093</v>
      </c>
      <c r="E60" s="27" t="s">
        <v>3094</v>
      </c>
      <c r="F60" s="27" t="s">
        <v>3095</v>
      </c>
      <c r="G60" s="1348" t="s">
        <v>3100</v>
      </c>
    </row>
    <row r="61" spans="1:8" ht="35.1" customHeight="1">
      <c r="A61" s="1302"/>
      <c r="B61" s="1315"/>
      <c r="C61" s="1308"/>
      <c r="D61" s="40" t="s">
        <v>3096</v>
      </c>
      <c r="E61" s="39" t="s">
        <v>3097</v>
      </c>
      <c r="F61" s="677"/>
      <c r="G61" s="1312"/>
    </row>
    <row r="62" spans="1:8" ht="35.1" customHeight="1">
      <c r="A62" s="1302"/>
      <c r="B62" s="1315"/>
      <c r="C62" s="1309"/>
      <c r="D62" s="40" t="s">
        <v>3099</v>
      </c>
      <c r="E62" s="39" t="s">
        <v>3098</v>
      </c>
      <c r="F62" s="677"/>
      <c r="G62" s="1313"/>
    </row>
    <row r="63" spans="1:8" ht="35.1" customHeight="1">
      <c r="A63" s="1302"/>
      <c r="B63" s="1315"/>
      <c r="C63" s="1310" t="s">
        <v>1545</v>
      </c>
      <c r="D63" s="37" t="s">
        <v>3124</v>
      </c>
      <c r="E63" s="36" t="s">
        <v>3127</v>
      </c>
      <c r="F63" s="677"/>
      <c r="G63" s="675"/>
      <c r="H63" s="662"/>
    </row>
    <row r="64" spans="1:8" ht="35.1" customHeight="1">
      <c r="A64" s="1302"/>
      <c r="B64" s="1315"/>
      <c r="C64" s="1308"/>
      <c r="D64" s="37" t="s">
        <v>2403</v>
      </c>
      <c r="E64" s="36" t="s">
        <v>3125</v>
      </c>
      <c r="F64" s="677"/>
      <c r="G64" s="675"/>
      <c r="H64" s="662"/>
    </row>
    <row r="65" spans="1:8" ht="35.1" customHeight="1">
      <c r="A65" s="1302"/>
      <c r="B65" s="1315"/>
      <c r="C65" s="1309"/>
      <c r="D65" s="27" t="s">
        <v>3093</v>
      </c>
      <c r="E65" s="36" t="s">
        <v>3126</v>
      </c>
      <c r="F65" s="677"/>
      <c r="G65" s="675"/>
      <c r="H65" s="662"/>
    </row>
    <row r="66" spans="1:8" ht="35.1" customHeight="1">
      <c r="A66" s="1302"/>
      <c r="B66" s="1315"/>
      <c r="C66" s="678" t="s">
        <v>3140</v>
      </c>
      <c r="D66" s="40" t="s">
        <v>3141</v>
      </c>
      <c r="E66" s="39" t="s">
        <v>3142</v>
      </c>
      <c r="F66" s="27"/>
      <c r="G66" s="41" t="s">
        <v>3143</v>
      </c>
      <c r="H66" s="680" t="s">
        <v>3144</v>
      </c>
    </row>
    <row r="67" spans="1:8" ht="35.1" customHeight="1">
      <c r="A67" s="1302"/>
      <c r="B67" s="1315"/>
      <c r="C67" s="672" t="s">
        <v>3145</v>
      </c>
      <c r="D67" s="37" t="s">
        <v>3156</v>
      </c>
      <c r="E67" s="36" t="s">
        <v>3146</v>
      </c>
      <c r="F67" s="677"/>
      <c r="G67" s="675" t="s">
        <v>3147</v>
      </c>
      <c r="H67" s="680"/>
    </row>
    <row r="68" spans="1:8" s="87" customFormat="1" ht="35.1" customHeight="1">
      <c r="A68" s="1302"/>
      <c r="B68" s="1315"/>
      <c r="C68" s="671" t="s">
        <v>3152</v>
      </c>
      <c r="D68" s="44" t="s">
        <v>109</v>
      </c>
      <c r="E68" s="43" t="s">
        <v>584</v>
      </c>
      <c r="F68" s="676" t="s">
        <v>298</v>
      </c>
      <c r="G68" s="674" t="s">
        <v>297</v>
      </c>
      <c r="H68" s="88"/>
    </row>
    <row r="69" spans="1:8" s="87" customFormat="1" ht="35.1" customHeight="1" thickBot="1">
      <c r="A69" s="1302"/>
      <c r="B69" s="1315"/>
      <c r="C69" s="679" t="s">
        <v>3153</v>
      </c>
      <c r="D69" s="75" t="s">
        <v>3141</v>
      </c>
      <c r="E69" s="74" t="s">
        <v>3154</v>
      </c>
      <c r="F69" s="73"/>
      <c r="G69" s="72" t="s">
        <v>3155</v>
      </c>
      <c r="H69" s="88"/>
    </row>
    <row r="70" spans="1:8" ht="35.1" customHeight="1" thickBot="1">
      <c r="A70" s="1303"/>
      <c r="B70" s="1316"/>
      <c r="C70" s="12"/>
      <c r="D70" s="11"/>
      <c r="E70" s="10"/>
      <c r="F70" s="10"/>
      <c r="G70" s="9"/>
    </row>
    <row r="71" spans="1:8" ht="35.1" customHeight="1">
      <c r="A71" s="1301">
        <v>44785</v>
      </c>
      <c r="B71" s="1314" t="s">
        <v>0</v>
      </c>
      <c r="C71" s="707" t="s">
        <v>3051</v>
      </c>
      <c r="D71" s="27" t="s">
        <v>3052</v>
      </c>
      <c r="E71" s="27" t="s">
        <v>3053</v>
      </c>
      <c r="F71" s="706"/>
      <c r="G71" s="703"/>
    </row>
    <row r="72" spans="1:8" ht="35.1" customHeight="1">
      <c r="A72" s="1302"/>
      <c r="B72" s="1315"/>
      <c r="C72" s="707" t="s">
        <v>3153</v>
      </c>
      <c r="D72" s="27" t="s">
        <v>3157</v>
      </c>
      <c r="E72" s="27" t="s">
        <v>1267</v>
      </c>
      <c r="F72" s="706"/>
      <c r="G72" s="703" t="s">
        <v>3158</v>
      </c>
      <c r="H72" s="621" t="s">
        <v>3170</v>
      </c>
    </row>
    <row r="73" spans="1:8" ht="35.1" customHeight="1">
      <c r="A73" s="1302"/>
      <c r="B73" s="1315"/>
      <c r="C73" s="1310" t="s">
        <v>3162</v>
      </c>
      <c r="D73" s="27" t="s">
        <v>3163</v>
      </c>
      <c r="E73" s="27" t="s">
        <v>3164</v>
      </c>
      <c r="F73" s="706"/>
      <c r="G73" s="1311" t="s">
        <v>3169</v>
      </c>
      <c r="H73" s="686"/>
    </row>
    <row r="74" spans="1:8" ht="35.1" customHeight="1">
      <c r="A74" s="1302"/>
      <c r="B74" s="1315"/>
      <c r="C74" s="1308"/>
      <c r="D74" s="27" t="s">
        <v>3165</v>
      </c>
      <c r="E74" s="27" t="s">
        <v>3166</v>
      </c>
      <c r="F74" s="706"/>
      <c r="G74" s="1312"/>
      <c r="H74" s="686"/>
    </row>
    <row r="75" spans="1:8" ht="35.1" customHeight="1" thickBot="1">
      <c r="A75" s="1302"/>
      <c r="B75" s="1315"/>
      <c r="C75" s="1309"/>
      <c r="D75" s="27" t="s">
        <v>3167</v>
      </c>
      <c r="E75" s="27" t="s">
        <v>3168</v>
      </c>
      <c r="F75" s="706"/>
      <c r="G75" s="1313"/>
      <c r="H75" s="686"/>
    </row>
    <row r="76" spans="1:8" ht="35.1" hidden="1" customHeight="1">
      <c r="A76" s="1302"/>
      <c r="B76" s="1315"/>
      <c r="C76" s="21"/>
      <c r="D76" s="22"/>
      <c r="E76" s="22"/>
      <c r="F76" s="503"/>
      <c r="G76" s="592"/>
      <c r="H76" s="686"/>
    </row>
    <row r="77" spans="1:8" ht="35.1" hidden="1" customHeight="1">
      <c r="A77" s="1302"/>
      <c r="B77" s="1315"/>
      <c r="C77" s="21"/>
      <c r="D77" s="20"/>
      <c r="E77" s="19"/>
      <c r="F77" s="503"/>
      <c r="G77" s="592"/>
    </row>
    <row r="78" spans="1:8" ht="35.1" hidden="1" customHeight="1" thickBot="1">
      <c r="A78" s="1302"/>
      <c r="B78" s="1315"/>
      <c r="C78" s="623"/>
      <c r="D78" s="16"/>
      <c r="E78" s="15"/>
      <c r="F78" s="482"/>
      <c r="G78" s="592"/>
    </row>
    <row r="79" spans="1:8" ht="35.1" customHeight="1" thickBot="1">
      <c r="A79" s="1303"/>
      <c r="B79" s="1316"/>
      <c r="C79" s="12" t="s">
        <v>3119</v>
      </c>
      <c r="D79" s="11" t="s">
        <v>3120</v>
      </c>
      <c r="E79" s="10" t="s">
        <v>3121</v>
      </c>
      <c r="F79" s="10" t="s">
        <v>3122</v>
      </c>
      <c r="G79" s="9"/>
    </row>
    <row r="80" spans="1:8" ht="35.1" customHeight="1" thickBot="1">
      <c r="A80" s="1298" t="s">
        <v>5</v>
      </c>
      <c r="B80" s="1299"/>
      <c r="C80" s="1299"/>
      <c r="D80" s="1299"/>
      <c r="E80" s="1299"/>
      <c r="F80" s="1299"/>
      <c r="G80" s="1300"/>
    </row>
    <row r="81" spans="1:8" ht="35.1" customHeight="1">
      <c r="A81" s="1301">
        <v>44789</v>
      </c>
      <c r="B81" s="1314" t="s">
        <v>88</v>
      </c>
      <c r="C81" s="1307" t="s">
        <v>3089</v>
      </c>
      <c r="D81" s="27" t="s">
        <v>1827</v>
      </c>
      <c r="E81" s="27" t="s">
        <v>3173</v>
      </c>
      <c r="F81" s="706"/>
      <c r="G81" s="703"/>
    </row>
    <row r="82" spans="1:8" ht="35.1" customHeight="1">
      <c r="A82" s="1302"/>
      <c r="B82" s="1315"/>
      <c r="C82" s="1309"/>
      <c r="D82" s="27" t="s">
        <v>681</v>
      </c>
      <c r="E82" s="27" t="s">
        <v>584</v>
      </c>
      <c r="F82" s="706"/>
      <c r="G82" s="703"/>
    </row>
    <row r="83" spans="1:8" ht="35.1" customHeight="1">
      <c r="A83" s="1302"/>
      <c r="B83" s="1315"/>
      <c r="C83" s="1310" t="s">
        <v>3159</v>
      </c>
      <c r="D83" s="40" t="s">
        <v>3161</v>
      </c>
      <c r="E83" s="39" t="s">
        <v>3160</v>
      </c>
      <c r="F83" s="706"/>
      <c r="G83" s="1311" t="s">
        <v>2568</v>
      </c>
    </row>
    <row r="84" spans="1:8" ht="35.1" customHeight="1">
      <c r="A84" s="1302"/>
      <c r="B84" s="1315"/>
      <c r="C84" s="1309"/>
      <c r="D84" s="710" t="s">
        <v>1330</v>
      </c>
      <c r="E84" s="54" t="s">
        <v>3223</v>
      </c>
      <c r="F84" s="705"/>
      <c r="G84" s="1313"/>
      <c r="H84" s="690"/>
    </row>
    <row r="85" spans="1:8" ht="35.1" customHeight="1">
      <c r="A85" s="1302"/>
      <c r="B85" s="1315"/>
      <c r="C85" s="702" t="s">
        <v>3203</v>
      </c>
      <c r="D85" s="710" t="s">
        <v>3204</v>
      </c>
      <c r="E85" s="54" t="s">
        <v>3205</v>
      </c>
      <c r="F85" s="704" t="s">
        <v>3206</v>
      </c>
      <c r="G85" s="703" t="s">
        <v>3207</v>
      </c>
      <c r="H85" s="690"/>
    </row>
    <row r="86" spans="1:8" ht="35.1" customHeight="1">
      <c r="A86" s="1302"/>
      <c r="B86" s="1315"/>
      <c r="C86" s="1310" t="s">
        <v>3185</v>
      </c>
      <c r="D86" s="710" t="s">
        <v>3186</v>
      </c>
      <c r="E86" s="54" t="s">
        <v>3188</v>
      </c>
      <c r="F86" s="704"/>
      <c r="G86" s="1311" t="s">
        <v>3190</v>
      </c>
      <c r="H86" s="688"/>
    </row>
    <row r="87" spans="1:8" ht="35.1" customHeight="1">
      <c r="A87" s="1302"/>
      <c r="B87" s="1315"/>
      <c r="C87" s="1309"/>
      <c r="D87" s="710" t="s">
        <v>3187</v>
      </c>
      <c r="E87" s="54" t="s">
        <v>3189</v>
      </c>
      <c r="F87" s="705"/>
      <c r="G87" s="1313"/>
      <c r="H87" s="688"/>
    </row>
    <row r="88" spans="1:8" ht="35.1" customHeight="1">
      <c r="A88" s="1302"/>
      <c r="B88" s="1315"/>
      <c r="C88" s="1310" t="s">
        <v>3174</v>
      </c>
      <c r="D88" s="710" t="s">
        <v>3175</v>
      </c>
      <c r="E88" s="54" t="s">
        <v>3176</v>
      </c>
      <c r="F88" s="704"/>
      <c r="G88" s="1311" t="s">
        <v>3177</v>
      </c>
      <c r="H88" s="686"/>
    </row>
    <row r="89" spans="1:8" ht="35.1" customHeight="1">
      <c r="A89" s="1302"/>
      <c r="B89" s="1315"/>
      <c r="C89" s="1308"/>
      <c r="D89" s="710" t="s">
        <v>1330</v>
      </c>
      <c r="E89" s="27" t="s">
        <v>1624</v>
      </c>
      <c r="F89" s="705"/>
      <c r="G89" s="1312"/>
      <c r="H89" s="686"/>
    </row>
    <row r="90" spans="1:8" ht="35.1" customHeight="1">
      <c r="A90" s="1302"/>
      <c r="B90" s="1315"/>
      <c r="C90" s="1308"/>
      <c r="D90" s="710" t="s">
        <v>3212</v>
      </c>
      <c r="E90" s="27" t="s">
        <v>3213</v>
      </c>
      <c r="F90" s="705"/>
      <c r="G90" s="1312"/>
      <c r="H90" s="690"/>
    </row>
    <row r="91" spans="1:8" ht="35.1" customHeight="1" thickBot="1">
      <c r="A91" s="1302"/>
      <c r="B91" s="1315"/>
      <c r="C91" s="1324"/>
      <c r="D91" s="710" t="s">
        <v>2986</v>
      </c>
      <c r="E91" s="27" t="s">
        <v>1517</v>
      </c>
      <c r="F91" s="705"/>
      <c r="G91" s="1325"/>
    </row>
    <row r="92" spans="1:8" ht="35.1" customHeight="1" thickBot="1">
      <c r="A92" s="1303"/>
      <c r="B92" s="1316"/>
      <c r="C92" s="12" t="s">
        <v>3178</v>
      </c>
      <c r="D92" s="11" t="s">
        <v>3180</v>
      </c>
      <c r="E92" s="10"/>
      <c r="F92" s="10" t="s">
        <v>3179</v>
      </c>
      <c r="G92" s="9"/>
    </row>
    <row r="93" spans="1:8" ht="35.1" customHeight="1">
      <c r="A93" s="1301">
        <v>44790</v>
      </c>
      <c r="B93" s="1314" t="s">
        <v>2</v>
      </c>
      <c r="C93" s="669" t="s">
        <v>3054</v>
      </c>
      <c r="D93" s="22" t="s">
        <v>1394</v>
      </c>
      <c r="E93" s="22" t="s">
        <v>3138</v>
      </c>
      <c r="F93" s="503"/>
      <c r="G93" s="592"/>
    </row>
    <row r="94" spans="1:8" ht="35.1" customHeight="1">
      <c r="A94" s="1302"/>
      <c r="B94" s="1315"/>
      <c r="C94" s="1349" t="s">
        <v>3208</v>
      </c>
      <c r="D94" s="695" t="s">
        <v>1330</v>
      </c>
      <c r="E94" s="701" t="s">
        <v>3209</v>
      </c>
      <c r="F94" s="693"/>
      <c r="G94" s="1356" t="s">
        <v>3221</v>
      </c>
      <c r="H94" s="690"/>
    </row>
    <row r="95" spans="1:8" ht="35.1" customHeight="1">
      <c r="A95" s="1302"/>
      <c r="B95" s="1315"/>
      <c r="C95" s="1350"/>
      <c r="D95" s="695" t="s">
        <v>3254</v>
      </c>
      <c r="E95" s="701" t="s">
        <v>3210</v>
      </c>
      <c r="F95" s="693"/>
      <c r="G95" s="1357"/>
      <c r="H95" s="690"/>
    </row>
    <row r="96" spans="1:8" ht="35.1" customHeight="1">
      <c r="A96" s="1302"/>
      <c r="B96" s="1315"/>
      <c r="C96" s="711" t="s">
        <v>2633</v>
      </c>
      <c r="D96" s="701" t="s">
        <v>3199</v>
      </c>
      <c r="E96" s="701" t="s">
        <v>3200</v>
      </c>
      <c r="F96" s="693"/>
      <c r="G96" s="699" t="s">
        <v>3222</v>
      </c>
      <c r="H96" s="690"/>
    </row>
    <row r="97" spans="1:8" ht="35.1" customHeight="1">
      <c r="A97" s="1302"/>
      <c r="B97" s="1315"/>
      <c r="C97" s="1352" t="s">
        <v>3107</v>
      </c>
      <c r="D97" s="689" t="s">
        <v>3105</v>
      </c>
      <c r="E97" s="689" t="s">
        <v>3108</v>
      </c>
      <c r="F97" s="325"/>
      <c r="G97" s="1354" t="s">
        <v>3231</v>
      </c>
      <c r="H97" s="662"/>
    </row>
    <row r="98" spans="1:8" ht="35.1" customHeight="1">
      <c r="A98" s="1302"/>
      <c r="B98" s="1315"/>
      <c r="C98" s="1353"/>
      <c r="D98" s="689" t="s">
        <v>3093</v>
      </c>
      <c r="E98" s="309" t="s">
        <v>3106</v>
      </c>
      <c r="F98" s="325"/>
      <c r="G98" s="1355"/>
      <c r="H98" s="662"/>
    </row>
    <row r="99" spans="1:8" ht="35.1" customHeight="1">
      <c r="A99" s="1302"/>
      <c r="B99" s="1315"/>
      <c r="C99" s="694" t="s">
        <v>3237</v>
      </c>
      <c r="D99" s="698" t="s">
        <v>3238</v>
      </c>
      <c r="E99" s="696" t="s">
        <v>3239</v>
      </c>
      <c r="F99" s="693" t="s">
        <v>3240</v>
      </c>
      <c r="G99" s="1356" t="s">
        <v>3241</v>
      </c>
      <c r="H99" s="691"/>
    </row>
    <row r="100" spans="1:8" ht="35.1" customHeight="1">
      <c r="A100" s="1302"/>
      <c r="B100" s="1315"/>
      <c r="C100" s="694" t="s">
        <v>3244</v>
      </c>
      <c r="D100" s="698" t="s">
        <v>3238</v>
      </c>
      <c r="E100" s="696" t="s">
        <v>3245</v>
      </c>
      <c r="F100" s="693"/>
      <c r="G100" s="1357"/>
      <c r="H100" s="691"/>
    </row>
    <row r="101" spans="1:8" ht="35.1" customHeight="1">
      <c r="A101" s="1302"/>
      <c r="B101" s="1315"/>
      <c r="C101" s="711" t="s">
        <v>3217</v>
      </c>
      <c r="D101" s="698" t="s">
        <v>3218</v>
      </c>
      <c r="E101" s="696" t="s">
        <v>3220</v>
      </c>
      <c r="F101" s="701"/>
      <c r="G101" s="712" t="s">
        <v>3219</v>
      </c>
      <c r="H101" s="690"/>
    </row>
    <row r="102" spans="1:8" ht="35.1" customHeight="1">
      <c r="A102" s="1302"/>
      <c r="B102" s="1315"/>
      <c r="C102" s="1351" t="s">
        <v>3195</v>
      </c>
      <c r="D102" s="698" t="s">
        <v>3215</v>
      </c>
      <c r="E102" s="696" t="s">
        <v>3216</v>
      </c>
      <c r="F102" s="697"/>
      <c r="G102" s="1356" t="s">
        <v>3222</v>
      </c>
      <c r="H102" s="690"/>
    </row>
    <row r="103" spans="1:8" ht="35.1" customHeight="1">
      <c r="A103" s="1302"/>
      <c r="B103" s="1315"/>
      <c r="C103" s="1350"/>
      <c r="D103" s="698" t="s">
        <v>3196</v>
      </c>
      <c r="E103" s="696" t="s">
        <v>3197</v>
      </c>
      <c r="F103" s="698" t="s">
        <v>3198</v>
      </c>
      <c r="G103" s="1357"/>
      <c r="H103" s="690"/>
    </row>
    <row r="104" spans="1:8" ht="35.1" customHeight="1">
      <c r="A104" s="1302"/>
      <c r="B104" s="1315"/>
      <c r="C104" s="700" t="s">
        <v>3224</v>
      </c>
      <c r="D104" s="713" t="s">
        <v>3225</v>
      </c>
      <c r="E104" s="692" t="s">
        <v>3226</v>
      </c>
      <c r="F104" s="701"/>
      <c r="G104" s="714" t="s">
        <v>1591</v>
      </c>
      <c r="H104" s="691"/>
    </row>
    <row r="105" spans="1:8" ht="35.1" customHeight="1" thickBot="1">
      <c r="A105" s="1302"/>
      <c r="B105" s="1315"/>
      <c r="C105" s="623"/>
      <c r="D105" s="16"/>
      <c r="E105" s="15"/>
      <c r="F105" s="101"/>
      <c r="G105" s="592"/>
    </row>
    <row r="106" spans="1:8" ht="35.1" customHeight="1" thickBot="1">
      <c r="A106" s="1303"/>
      <c r="B106" s="1316"/>
      <c r="C106" s="12" t="s">
        <v>3181</v>
      </c>
      <c r="D106" s="11" t="s">
        <v>3182</v>
      </c>
      <c r="E106" s="10"/>
      <c r="F106" s="10" t="s">
        <v>3230</v>
      </c>
      <c r="G106" s="9"/>
    </row>
    <row r="107" spans="1:8" ht="35.1" customHeight="1">
      <c r="A107" s="1301">
        <v>44791</v>
      </c>
      <c r="B107" s="1314" t="s">
        <v>1</v>
      </c>
      <c r="C107" s="721" t="s">
        <v>3090</v>
      </c>
      <c r="D107" s="27" t="s">
        <v>3091</v>
      </c>
      <c r="E107" s="27" t="s">
        <v>3201</v>
      </c>
      <c r="F107" s="719" t="s">
        <v>3202</v>
      </c>
      <c r="G107" s="717"/>
    </row>
    <row r="108" spans="1:8" ht="35.1" customHeight="1">
      <c r="A108" s="1302"/>
      <c r="B108" s="1315"/>
      <c r="C108" s="716" t="s">
        <v>3211</v>
      </c>
      <c r="D108" s="1358" t="s">
        <v>3214</v>
      </c>
      <c r="E108" s="1359"/>
      <c r="F108" s="1359"/>
      <c r="G108" s="1360"/>
    </row>
    <row r="109" spans="1:8" ht="35.1" customHeight="1">
      <c r="A109" s="1302"/>
      <c r="B109" s="1315"/>
      <c r="C109" s="721" t="s">
        <v>3232</v>
      </c>
      <c r="D109" s="27" t="s">
        <v>3233</v>
      </c>
      <c r="E109" s="39" t="s">
        <v>3234</v>
      </c>
      <c r="F109" s="719" t="s">
        <v>3258</v>
      </c>
      <c r="G109" s="717" t="s">
        <v>3235</v>
      </c>
      <c r="H109" s="621" t="s">
        <v>3236</v>
      </c>
    </row>
    <row r="110" spans="1:8" ht="35.1" customHeight="1">
      <c r="A110" s="1302"/>
      <c r="B110" s="1315"/>
      <c r="C110" s="716" t="s">
        <v>3253</v>
      </c>
      <c r="D110" s="720" t="s">
        <v>327</v>
      </c>
      <c r="E110" s="54" t="s">
        <v>3255</v>
      </c>
      <c r="F110" s="27"/>
      <c r="G110" s="717" t="s">
        <v>3256</v>
      </c>
      <c r="H110" s="709" t="s">
        <v>3257</v>
      </c>
    </row>
    <row r="111" spans="1:8" ht="35.1" customHeight="1" thickBot="1">
      <c r="A111" s="1302"/>
      <c r="B111" s="1315"/>
      <c r="C111" s="716" t="s">
        <v>3259</v>
      </c>
      <c r="D111" s="720" t="s">
        <v>3260</v>
      </c>
      <c r="E111" s="54" t="s">
        <v>3261</v>
      </c>
      <c r="F111" s="27"/>
      <c r="G111" s="717" t="s">
        <v>3262</v>
      </c>
      <c r="H111" s="709"/>
    </row>
    <row r="112" spans="1:8" ht="35.1" hidden="1" customHeight="1" thickBot="1">
      <c r="A112" s="1302"/>
      <c r="B112" s="1315"/>
      <c r="C112" s="623"/>
      <c r="D112" s="16"/>
      <c r="E112" s="15"/>
      <c r="F112" s="482"/>
      <c r="G112" s="592"/>
    </row>
    <row r="113" spans="1:9" ht="35.1" customHeight="1" thickBot="1">
      <c r="A113" s="1303"/>
      <c r="B113" s="1316"/>
      <c r="C113" s="12"/>
      <c r="D113" s="11"/>
      <c r="E113" s="10"/>
      <c r="F113" s="10"/>
      <c r="G113" s="9"/>
    </row>
    <row r="114" spans="1:9" ht="35.1" customHeight="1">
      <c r="A114" s="1301">
        <v>44792</v>
      </c>
      <c r="B114" s="1314" t="s">
        <v>0</v>
      </c>
      <c r="C114" s="1307" t="s">
        <v>2857</v>
      </c>
      <c r="D114" s="27" t="s">
        <v>1394</v>
      </c>
      <c r="E114" s="27" t="s">
        <v>3193</v>
      </c>
      <c r="F114" s="719"/>
      <c r="G114" s="717" t="s">
        <v>3191</v>
      </c>
    </row>
    <row r="115" spans="1:9" ht="35.1" customHeight="1">
      <c r="A115" s="1302"/>
      <c r="B115" s="1315"/>
      <c r="C115" s="1309"/>
      <c r="D115" s="27" t="s">
        <v>3192</v>
      </c>
      <c r="E115" s="27" t="s">
        <v>3194</v>
      </c>
      <c r="F115" s="719"/>
      <c r="G115" s="717"/>
    </row>
    <row r="116" spans="1:9" ht="35.1" customHeight="1">
      <c r="A116" s="1302"/>
      <c r="B116" s="1315"/>
      <c r="C116" s="721" t="s">
        <v>3227</v>
      </c>
      <c r="D116" s="40" t="s">
        <v>3228</v>
      </c>
      <c r="E116" s="39" t="s">
        <v>1328</v>
      </c>
      <c r="F116" s="719" t="s">
        <v>3229</v>
      </c>
      <c r="G116" s="1311" t="s">
        <v>3252</v>
      </c>
      <c r="H116" s="621" t="s">
        <v>3263</v>
      </c>
    </row>
    <row r="117" spans="1:9" ht="35.1" customHeight="1">
      <c r="A117" s="1302"/>
      <c r="B117" s="1315"/>
      <c r="C117" s="721" t="s">
        <v>1463</v>
      </c>
      <c r="D117" s="40" t="s">
        <v>2252</v>
      </c>
      <c r="E117" s="39" t="s">
        <v>1328</v>
      </c>
      <c r="F117" s="27"/>
      <c r="G117" s="1313"/>
      <c r="H117" s="691"/>
    </row>
    <row r="118" spans="1:9" ht="35.1" customHeight="1">
      <c r="A118" s="1302"/>
      <c r="B118" s="1315"/>
      <c r="C118" s="721" t="s">
        <v>3264</v>
      </c>
      <c r="D118" s="40" t="s">
        <v>109</v>
      </c>
      <c r="E118" s="39" t="s">
        <v>3265</v>
      </c>
      <c r="F118" s="27" t="s">
        <v>3268</v>
      </c>
      <c r="G118" s="41" t="s">
        <v>3266</v>
      </c>
      <c r="H118" s="709"/>
    </row>
    <row r="119" spans="1:9" ht="35.1" customHeight="1">
      <c r="A119" s="1302"/>
      <c r="B119" s="1315"/>
      <c r="C119" s="715" t="s">
        <v>3274</v>
      </c>
      <c r="D119" s="37" t="s">
        <v>3269</v>
      </c>
      <c r="E119" s="36" t="s">
        <v>3270</v>
      </c>
      <c r="F119" s="719" t="s">
        <v>3271</v>
      </c>
      <c r="G119" s="718" t="s">
        <v>3272</v>
      </c>
      <c r="H119" s="709" t="s">
        <v>3273</v>
      </c>
    </row>
    <row r="120" spans="1:9" ht="35.1" customHeight="1" thickBot="1">
      <c r="A120" s="1302"/>
      <c r="B120" s="1315"/>
      <c r="C120" s="708"/>
      <c r="D120" s="30"/>
      <c r="E120" s="29"/>
      <c r="F120" s="482"/>
      <c r="G120" s="593"/>
    </row>
    <row r="121" spans="1:9" ht="35.1" customHeight="1" thickBot="1">
      <c r="A121" s="1303"/>
      <c r="B121" s="1316"/>
      <c r="C121" s="12" t="s">
        <v>3183</v>
      </c>
      <c r="D121" s="11" t="s">
        <v>3184</v>
      </c>
      <c r="E121" s="10"/>
      <c r="F121" s="10" t="s">
        <v>2470</v>
      </c>
      <c r="G121" s="9"/>
    </row>
    <row r="122" spans="1:9" ht="35.1" customHeight="1" thickBot="1">
      <c r="A122" s="1298" t="s">
        <v>5</v>
      </c>
      <c r="B122" s="1299"/>
      <c r="C122" s="1299"/>
      <c r="D122" s="1299"/>
      <c r="E122" s="1299"/>
      <c r="F122" s="1299"/>
      <c r="G122" s="1300"/>
    </row>
    <row r="123" spans="1:9" ht="35.1" customHeight="1">
      <c r="A123" s="1301">
        <v>44795</v>
      </c>
      <c r="B123" s="1314" t="s">
        <v>4</v>
      </c>
      <c r="C123" s="53" t="s">
        <v>3137</v>
      </c>
      <c r="D123" s="71" t="s">
        <v>8</v>
      </c>
      <c r="E123" s="71" t="s">
        <v>3275</v>
      </c>
      <c r="F123" s="71"/>
      <c r="G123" s="722"/>
    </row>
    <row r="124" spans="1:9" ht="35.1" customHeight="1">
      <c r="A124" s="1302"/>
      <c r="B124" s="1315"/>
      <c r="C124" s="1310" t="s">
        <v>3246</v>
      </c>
      <c r="D124" s="723" t="s">
        <v>3247</v>
      </c>
      <c r="E124" s="54" t="s">
        <v>3248</v>
      </c>
      <c r="F124" s="27"/>
      <c r="G124" s="1311" t="s">
        <v>3251</v>
      </c>
      <c r="H124" s="691"/>
    </row>
    <row r="125" spans="1:9" ht="35.1" customHeight="1">
      <c r="A125" s="1302"/>
      <c r="B125" s="1315"/>
      <c r="C125" s="1309"/>
      <c r="D125" s="723" t="s">
        <v>3249</v>
      </c>
      <c r="E125" s="54" t="s">
        <v>3250</v>
      </c>
      <c r="F125" s="27"/>
      <c r="G125" s="1313"/>
      <c r="H125" s="691"/>
    </row>
    <row r="126" spans="1:9" ht="35.1" customHeight="1">
      <c r="A126" s="1302"/>
      <c r="B126" s="1315"/>
      <c r="C126" s="1310" t="s">
        <v>3283</v>
      </c>
      <c r="D126" s="27" t="s">
        <v>3284</v>
      </c>
      <c r="E126" s="39" t="s">
        <v>3286</v>
      </c>
      <c r="F126" s="1323" t="s">
        <v>3290</v>
      </c>
      <c r="G126" s="1311" t="s">
        <v>3288</v>
      </c>
      <c r="H126" s="724"/>
    </row>
    <row r="127" spans="1:9" ht="35.1" customHeight="1">
      <c r="A127" s="1302"/>
      <c r="B127" s="1315"/>
      <c r="C127" s="1308"/>
      <c r="D127" s="730" t="s">
        <v>3285</v>
      </c>
      <c r="E127" s="36" t="s">
        <v>3287</v>
      </c>
      <c r="F127" s="1321"/>
      <c r="G127" s="1313"/>
      <c r="H127" s="724"/>
    </row>
    <row r="128" spans="1:9" ht="35.1" customHeight="1">
      <c r="A128" s="1302"/>
      <c r="B128" s="1315"/>
      <c r="C128" s="1309"/>
      <c r="D128" s="730" t="s">
        <v>3289</v>
      </c>
      <c r="E128" s="36" t="s">
        <v>3313</v>
      </c>
      <c r="F128" s="730"/>
      <c r="G128" s="729" t="s">
        <v>3291</v>
      </c>
      <c r="H128" s="724" t="s">
        <v>3292</v>
      </c>
      <c r="I128" s="724" t="s">
        <v>3293</v>
      </c>
    </row>
    <row r="129" spans="1:8" ht="35.1" customHeight="1" thickBot="1">
      <c r="A129" s="1302"/>
      <c r="B129" s="1315"/>
      <c r="C129" s="105"/>
      <c r="D129" s="733"/>
      <c r="E129" s="734"/>
      <c r="F129" s="100"/>
      <c r="G129" s="95"/>
    </row>
    <row r="130" spans="1:8" ht="35.1" customHeight="1" thickBot="1">
      <c r="A130" s="1303"/>
      <c r="B130" s="1316"/>
      <c r="C130" s="12"/>
      <c r="D130" s="11"/>
      <c r="E130" s="10"/>
      <c r="F130" s="10"/>
      <c r="G130" s="9"/>
    </row>
    <row r="131" spans="1:8" ht="35.1" customHeight="1">
      <c r="A131" s="1301">
        <v>44796</v>
      </c>
      <c r="B131" s="1314" t="s">
        <v>3</v>
      </c>
      <c r="C131" s="1310" t="s">
        <v>3267</v>
      </c>
      <c r="D131" s="27" t="s">
        <v>3243</v>
      </c>
      <c r="E131" s="27" t="s">
        <v>1798</v>
      </c>
      <c r="F131" s="730"/>
      <c r="G131" s="1311" t="s">
        <v>2459</v>
      </c>
    </row>
    <row r="132" spans="1:8" ht="35.1" customHeight="1">
      <c r="A132" s="1302"/>
      <c r="B132" s="1315"/>
      <c r="C132" s="1309"/>
      <c r="D132" s="27" t="s">
        <v>3242</v>
      </c>
      <c r="E132" s="39" t="s">
        <v>1347</v>
      </c>
      <c r="F132" s="730"/>
      <c r="G132" s="1313"/>
    </row>
    <row r="133" spans="1:8" ht="35.1" customHeight="1">
      <c r="A133" s="1302"/>
      <c r="B133" s="1315"/>
      <c r="C133" s="731" t="s">
        <v>3280</v>
      </c>
      <c r="D133" s="40" t="s">
        <v>3281</v>
      </c>
      <c r="E133" s="39" t="s">
        <v>3302</v>
      </c>
      <c r="F133" s="730"/>
      <c r="G133" s="727"/>
    </row>
    <row r="134" spans="1:8" ht="35.1" customHeight="1">
      <c r="A134" s="1302"/>
      <c r="B134" s="1315"/>
      <c r="C134" s="1310" t="s">
        <v>3317</v>
      </c>
      <c r="D134" s="37" t="s">
        <v>3318</v>
      </c>
      <c r="E134" s="36" t="s">
        <v>3319</v>
      </c>
      <c r="F134" s="730"/>
      <c r="G134" s="1311" t="s">
        <v>3325</v>
      </c>
      <c r="H134" s="732"/>
    </row>
    <row r="135" spans="1:8" ht="35.1" customHeight="1">
      <c r="A135" s="1302"/>
      <c r="B135" s="1315"/>
      <c r="C135" s="1308"/>
      <c r="D135" s="37" t="s">
        <v>3320</v>
      </c>
      <c r="E135" s="36" t="s">
        <v>3322</v>
      </c>
      <c r="F135" s="730"/>
      <c r="G135" s="1312"/>
      <c r="H135" s="732"/>
    </row>
    <row r="136" spans="1:8" ht="35.1" customHeight="1">
      <c r="A136" s="1302"/>
      <c r="B136" s="1315"/>
      <c r="C136" s="1308"/>
      <c r="D136" s="37" t="s">
        <v>109</v>
      </c>
      <c r="E136" s="36" t="s">
        <v>3323</v>
      </c>
      <c r="F136" s="730"/>
      <c r="G136" s="1312"/>
      <c r="H136" s="732"/>
    </row>
    <row r="137" spans="1:8" ht="35.1" customHeight="1">
      <c r="A137" s="1302"/>
      <c r="B137" s="1315"/>
      <c r="C137" s="1309"/>
      <c r="D137" s="37" t="s">
        <v>3321</v>
      </c>
      <c r="E137" s="36" t="s">
        <v>3324</v>
      </c>
      <c r="F137" s="730"/>
      <c r="G137" s="1313"/>
      <c r="H137" s="732"/>
    </row>
    <row r="138" spans="1:8" ht="35.1" customHeight="1">
      <c r="A138" s="1302"/>
      <c r="B138" s="1315"/>
      <c r="C138" s="726" t="s">
        <v>3326</v>
      </c>
      <c r="D138" s="730" t="s">
        <v>3327</v>
      </c>
      <c r="E138" s="730" t="s">
        <v>3328</v>
      </c>
      <c r="F138" s="730" t="s">
        <v>3348</v>
      </c>
      <c r="G138" s="728" t="s">
        <v>3329</v>
      </c>
      <c r="H138" s="732"/>
    </row>
    <row r="139" spans="1:8" ht="35.1" customHeight="1">
      <c r="A139" s="1302"/>
      <c r="B139" s="1315"/>
      <c r="C139" s="731" t="s">
        <v>3336</v>
      </c>
      <c r="D139" s="40" t="s">
        <v>109</v>
      </c>
      <c r="E139" s="39" t="s">
        <v>3337</v>
      </c>
      <c r="F139" s="730" t="s">
        <v>1380</v>
      </c>
      <c r="G139" s="727" t="s">
        <v>3338</v>
      </c>
      <c r="H139" s="746" t="s">
        <v>3339</v>
      </c>
    </row>
    <row r="140" spans="1:8" ht="36" customHeight="1" thickBot="1">
      <c r="A140" s="1302"/>
      <c r="B140" s="1315"/>
      <c r="C140" s="64"/>
      <c r="D140" s="66"/>
      <c r="E140" s="33"/>
      <c r="F140" s="62"/>
      <c r="G140" s="65"/>
      <c r="H140" s="732"/>
    </row>
    <row r="141" spans="1:8" ht="35.1" customHeight="1" thickBot="1">
      <c r="A141" s="1303"/>
      <c r="B141" s="1316"/>
      <c r="C141" s="12"/>
      <c r="D141" s="11"/>
      <c r="E141" s="10"/>
      <c r="F141" s="10"/>
      <c r="G141" s="9"/>
    </row>
    <row r="142" spans="1:8" ht="35.1" customHeight="1">
      <c r="A142" s="1301">
        <v>44797</v>
      </c>
      <c r="B142" s="1314" t="s">
        <v>247</v>
      </c>
      <c r="C142" s="1307" t="s">
        <v>3282</v>
      </c>
      <c r="D142" s="27" t="s">
        <v>3281</v>
      </c>
      <c r="E142" s="27" t="s">
        <v>3340</v>
      </c>
      <c r="F142" s="741"/>
      <c r="G142" s="737"/>
    </row>
    <row r="143" spans="1:8" ht="35.1" customHeight="1">
      <c r="A143" s="1302"/>
      <c r="B143" s="1315"/>
      <c r="C143" s="1309"/>
      <c r="D143" s="27" t="s">
        <v>3314</v>
      </c>
      <c r="E143" s="27" t="s">
        <v>3276</v>
      </c>
      <c r="F143" s="741"/>
      <c r="G143" s="737"/>
      <c r="H143" s="724"/>
    </row>
    <row r="144" spans="1:8" ht="35.1" customHeight="1">
      <c r="A144" s="1302"/>
      <c r="B144" s="1315"/>
      <c r="C144" s="1310" t="s">
        <v>3303</v>
      </c>
      <c r="D144" s="27" t="s">
        <v>3304</v>
      </c>
      <c r="E144" s="27" t="s">
        <v>3307</v>
      </c>
      <c r="F144" s="741"/>
      <c r="G144" s="737"/>
      <c r="H144" s="724"/>
    </row>
    <row r="145" spans="1:8" ht="35.1" customHeight="1">
      <c r="A145" s="1302"/>
      <c r="B145" s="1315"/>
      <c r="C145" s="1308"/>
      <c r="D145" s="40" t="s">
        <v>3305</v>
      </c>
      <c r="E145" s="39" t="s">
        <v>3308</v>
      </c>
      <c r="F145" s="741"/>
      <c r="G145" s="737"/>
      <c r="H145" s="724"/>
    </row>
    <row r="146" spans="1:8" ht="35.1" customHeight="1">
      <c r="A146" s="1302"/>
      <c r="B146" s="1315"/>
      <c r="C146" s="1308"/>
      <c r="D146" s="27" t="s">
        <v>3306</v>
      </c>
      <c r="E146" s="27" t="s">
        <v>3309</v>
      </c>
      <c r="F146" s="741"/>
      <c r="G146" s="737"/>
    </row>
    <row r="147" spans="1:8" ht="35.1" customHeight="1">
      <c r="A147" s="1302"/>
      <c r="B147" s="1315"/>
      <c r="C147" s="1309"/>
      <c r="D147" s="739" t="s">
        <v>3352</v>
      </c>
      <c r="E147" s="739" t="s">
        <v>3353</v>
      </c>
      <c r="F147" s="741"/>
      <c r="G147" s="737"/>
      <c r="H147" s="744"/>
    </row>
    <row r="148" spans="1:8" ht="35.1" customHeight="1">
      <c r="A148" s="1302"/>
      <c r="B148" s="1315"/>
      <c r="C148" s="742" t="s">
        <v>2815</v>
      </c>
      <c r="D148" s="40" t="s">
        <v>3316</v>
      </c>
      <c r="E148" s="39" t="s">
        <v>1876</v>
      </c>
      <c r="F148" s="27"/>
      <c r="G148" s="41" t="s">
        <v>1500</v>
      </c>
      <c r="H148" s="732"/>
    </row>
    <row r="149" spans="1:8" ht="36" customHeight="1">
      <c r="A149" s="1302"/>
      <c r="B149" s="1315"/>
      <c r="C149" s="736" t="s">
        <v>1526</v>
      </c>
      <c r="D149" s="27" t="s">
        <v>1375</v>
      </c>
      <c r="E149" s="36" t="s">
        <v>1550</v>
      </c>
      <c r="F149" s="741" t="s">
        <v>1529</v>
      </c>
      <c r="G149" s="41" t="s">
        <v>1620</v>
      </c>
      <c r="H149" s="732" t="s">
        <v>3347</v>
      </c>
    </row>
    <row r="150" spans="1:8" ht="35.1" customHeight="1">
      <c r="A150" s="1302"/>
      <c r="B150" s="1315"/>
      <c r="C150" s="742" t="s">
        <v>3341</v>
      </c>
      <c r="D150" s="40" t="s">
        <v>3343</v>
      </c>
      <c r="E150" s="39" t="s">
        <v>3342</v>
      </c>
      <c r="F150" s="27"/>
      <c r="G150" s="41" t="s">
        <v>3344</v>
      </c>
    </row>
    <row r="151" spans="1:8" ht="35.1" customHeight="1">
      <c r="A151" s="1302"/>
      <c r="B151" s="1315"/>
      <c r="C151" s="742" t="s">
        <v>2717</v>
      </c>
      <c r="D151" s="40" t="s">
        <v>3349</v>
      </c>
      <c r="E151" s="39" t="s">
        <v>3350</v>
      </c>
      <c r="F151" s="27"/>
      <c r="G151" s="41" t="s">
        <v>3351</v>
      </c>
      <c r="H151" s="732"/>
    </row>
    <row r="152" spans="1:8" ht="35.1" customHeight="1">
      <c r="A152" s="1302"/>
      <c r="B152" s="1315"/>
      <c r="C152" s="735" t="s">
        <v>3355</v>
      </c>
      <c r="D152" s="44" t="s">
        <v>109</v>
      </c>
      <c r="E152" s="43" t="s">
        <v>3356</v>
      </c>
      <c r="F152" s="740" t="s">
        <v>107</v>
      </c>
      <c r="G152" s="738" t="s">
        <v>3357</v>
      </c>
      <c r="H152" s="744" t="s">
        <v>3358</v>
      </c>
    </row>
    <row r="153" spans="1:8" ht="35.1" customHeight="1" thickBot="1">
      <c r="A153" s="1302"/>
      <c r="B153" s="1315"/>
      <c r="C153" s="743" t="s">
        <v>3359</v>
      </c>
      <c r="D153" s="75" t="s">
        <v>3360</v>
      </c>
      <c r="E153" s="74" t="s">
        <v>3361</v>
      </c>
      <c r="F153" s="73"/>
      <c r="G153" s="72" t="s">
        <v>1442</v>
      </c>
      <c r="H153" s="744"/>
    </row>
    <row r="154" spans="1:8" ht="35.1" customHeight="1" thickBot="1">
      <c r="A154" s="1303"/>
      <c r="B154" s="1316"/>
      <c r="C154" s="12"/>
      <c r="D154" s="11"/>
      <c r="E154" s="10"/>
      <c r="F154" s="10"/>
      <c r="G154" s="9"/>
    </row>
    <row r="155" spans="1:8" ht="35.1" customHeight="1">
      <c r="A155" s="1301">
        <v>44798</v>
      </c>
      <c r="B155" s="1314" t="s">
        <v>1</v>
      </c>
      <c r="C155" s="749" t="s">
        <v>3277</v>
      </c>
      <c r="D155" s="27" t="s">
        <v>3278</v>
      </c>
      <c r="E155" s="27" t="s">
        <v>3279</v>
      </c>
      <c r="F155" s="748"/>
      <c r="G155" s="747"/>
    </row>
    <row r="156" spans="1:8" ht="35.1" customHeight="1">
      <c r="A156" s="1302"/>
      <c r="B156" s="1315"/>
      <c r="C156" s="1310" t="s">
        <v>3354</v>
      </c>
      <c r="D156" s="751" t="s">
        <v>1812</v>
      </c>
      <c r="E156" s="54" t="s">
        <v>1453</v>
      </c>
      <c r="F156" s="748"/>
      <c r="G156" s="747"/>
      <c r="H156" s="744"/>
    </row>
    <row r="157" spans="1:8" ht="35.1" customHeight="1">
      <c r="A157" s="1302"/>
      <c r="B157" s="1315"/>
      <c r="C157" s="1309"/>
      <c r="D157" s="27" t="s">
        <v>3413</v>
      </c>
      <c r="E157" s="27" t="s">
        <v>3414</v>
      </c>
      <c r="F157" s="748"/>
      <c r="G157" s="747"/>
    </row>
    <row r="158" spans="1:8" ht="35.1" customHeight="1">
      <c r="A158" s="1302"/>
      <c r="B158" s="1315"/>
      <c r="C158" s="755" t="s">
        <v>3363</v>
      </c>
      <c r="D158" s="40" t="s">
        <v>109</v>
      </c>
      <c r="E158" s="39" t="s">
        <v>3370</v>
      </c>
      <c r="F158" s="754" t="s">
        <v>3365</v>
      </c>
      <c r="G158" s="753" t="s">
        <v>3364</v>
      </c>
    </row>
    <row r="159" spans="1:8" ht="35.1" customHeight="1" thickBot="1">
      <c r="A159" s="1302"/>
      <c r="B159" s="1315"/>
      <c r="C159" s="755" t="s">
        <v>3366</v>
      </c>
      <c r="D159" s="40" t="s">
        <v>3369</v>
      </c>
      <c r="E159" s="39" t="s">
        <v>3367</v>
      </c>
      <c r="F159" s="27"/>
      <c r="G159" s="41" t="s">
        <v>3368</v>
      </c>
      <c r="H159" s="750"/>
    </row>
    <row r="160" spans="1:8" ht="35.1" customHeight="1" thickBot="1">
      <c r="A160" s="1303"/>
      <c r="B160" s="1316"/>
      <c r="C160" s="12"/>
      <c r="D160" s="11"/>
      <c r="E160" s="10"/>
      <c r="F160" s="10"/>
      <c r="G160" s="9"/>
    </row>
    <row r="161" spans="1:8" ht="35.1" customHeight="1">
      <c r="A161" s="1301">
        <v>44799</v>
      </c>
      <c r="B161" s="1314" t="s">
        <v>0</v>
      </c>
      <c r="C161" s="1307" t="s">
        <v>3139</v>
      </c>
      <c r="D161" s="27" t="s">
        <v>2858</v>
      </c>
      <c r="E161" s="27" t="s">
        <v>3315</v>
      </c>
      <c r="F161" s="754"/>
      <c r="G161" s="753"/>
    </row>
    <row r="162" spans="1:8" ht="35.1" customHeight="1">
      <c r="A162" s="1302"/>
      <c r="B162" s="1315"/>
      <c r="C162" s="1309"/>
      <c r="D162" s="27" t="s">
        <v>8</v>
      </c>
      <c r="E162" s="27" t="s">
        <v>3376</v>
      </c>
      <c r="F162" s="754"/>
      <c r="G162" s="753"/>
    </row>
    <row r="163" spans="1:8" ht="35.1" customHeight="1">
      <c r="A163" s="1302"/>
      <c r="B163" s="1315"/>
      <c r="C163" s="1310" t="s">
        <v>1742</v>
      </c>
      <c r="D163" s="27" t="s">
        <v>109</v>
      </c>
      <c r="E163" s="27" t="s">
        <v>2042</v>
      </c>
      <c r="F163" s="754"/>
      <c r="G163" s="1311" t="s">
        <v>1733</v>
      </c>
      <c r="H163" s="750" t="s">
        <v>3312</v>
      </c>
    </row>
    <row r="164" spans="1:8" ht="35.1" customHeight="1">
      <c r="A164" s="1302"/>
      <c r="B164" s="1315"/>
      <c r="C164" s="1308"/>
      <c r="D164" s="27" t="s">
        <v>1823</v>
      </c>
      <c r="E164" s="39" t="s">
        <v>1750</v>
      </c>
      <c r="F164" s="754"/>
      <c r="G164" s="1312"/>
      <c r="H164" s="750"/>
    </row>
    <row r="165" spans="1:8" ht="35.1" customHeight="1">
      <c r="A165" s="1302"/>
      <c r="B165" s="1315"/>
      <c r="C165" s="1308"/>
      <c r="D165" s="27" t="s">
        <v>2340</v>
      </c>
      <c r="E165" s="27" t="s">
        <v>1750</v>
      </c>
      <c r="F165" s="754"/>
      <c r="G165" s="1312"/>
      <c r="H165" s="750"/>
    </row>
    <row r="166" spans="1:8" ht="35.1" customHeight="1">
      <c r="A166" s="1302"/>
      <c r="B166" s="1315"/>
      <c r="C166" s="1308"/>
      <c r="D166" s="27" t="s">
        <v>1791</v>
      </c>
      <c r="E166" s="39" t="s">
        <v>2221</v>
      </c>
      <c r="F166" s="754"/>
      <c r="G166" s="1312"/>
      <c r="H166" s="750"/>
    </row>
    <row r="167" spans="1:8" ht="35.1" customHeight="1">
      <c r="A167" s="1302"/>
      <c r="B167" s="1315"/>
      <c r="C167" s="1308"/>
      <c r="D167" s="27" t="s">
        <v>1689</v>
      </c>
      <c r="E167" s="27" t="s">
        <v>2452</v>
      </c>
      <c r="F167" s="754"/>
      <c r="G167" s="1312"/>
      <c r="H167" s="750"/>
    </row>
    <row r="168" spans="1:8" ht="35.1" customHeight="1">
      <c r="A168" s="1302"/>
      <c r="B168" s="1315"/>
      <c r="C168" s="1309"/>
      <c r="D168" s="40" t="s">
        <v>3310</v>
      </c>
      <c r="E168" s="39" t="s">
        <v>1779</v>
      </c>
      <c r="F168" s="754" t="s">
        <v>3311</v>
      </c>
      <c r="G168" s="1313"/>
      <c r="H168" s="750"/>
    </row>
    <row r="169" spans="1:8" ht="35.1" customHeight="1">
      <c r="A169" s="1302"/>
      <c r="B169" s="1315"/>
      <c r="C169" s="755"/>
      <c r="D169" s="27" t="s">
        <v>3375</v>
      </c>
      <c r="E169" s="27"/>
      <c r="F169" s="754"/>
      <c r="G169" s="753"/>
      <c r="H169" s="744"/>
    </row>
    <row r="170" spans="1:8" ht="35.1" customHeight="1" thickBot="1">
      <c r="A170" s="1302"/>
      <c r="B170" s="1315"/>
      <c r="C170" s="759" t="s">
        <v>2361</v>
      </c>
      <c r="D170" s="27" t="s">
        <v>3380</v>
      </c>
      <c r="E170" s="27" t="s">
        <v>3381</v>
      </c>
      <c r="F170" s="761" t="s">
        <v>3382</v>
      </c>
      <c r="G170" s="760" t="s">
        <v>3383</v>
      </c>
      <c r="H170" s="744"/>
    </row>
    <row r="171" spans="1:8" ht="35.1" hidden="1" customHeight="1">
      <c r="A171" s="1302"/>
      <c r="B171" s="1315"/>
      <c r="C171" s="21"/>
      <c r="D171" s="22"/>
      <c r="E171" s="19"/>
      <c r="F171" s="503"/>
      <c r="G171" s="725"/>
      <c r="H171" s="744"/>
    </row>
    <row r="172" spans="1:8" ht="35.1" hidden="1" customHeight="1">
      <c r="A172" s="1302"/>
      <c r="B172" s="1315"/>
      <c r="C172" s="745"/>
      <c r="D172" s="16"/>
      <c r="E172" s="15"/>
      <c r="F172" s="22"/>
      <c r="G172" s="725"/>
      <c r="H172" s="744"/>
    </row>
    <row r="173" spans="1:8" ht="35.1" hidden="1" customHeight="1">
      <c r="A173" s="1302"/>
      <c r="B173" s="1315"/>
      <c r="C173" s="21"/>
      <c r="D173" s="22"/>
      <c r="E173" s="19"/>
      <c r="F173" s="503"/>
      <c r="G173" s="592"/>
    </row>
    <row r="174" spans="1:8" ht="35.1" hidden="1" customHeight="1" thickBot="1">
      <c r="A174" s="1302"/>
      <c r="B174" s="1315"/>
      <c r="C174" s="623"/>
      <c r="D174" s="16"/>
      <c r="E174" s="15"/>
      <c r="F174" s="482"/>
      <c r="G174" s="592"/>
    </row>
    <row r="175" spans="1:8" ht="35.1" customHeight="1" thickBot="1">
      <c r="A175" s="1303"/>
      <c r="B175" s="1316"/>
      <c r="C175" s="12"/>
      <c r="D175" s="11"/>
      <c r="E175" s="10"/>
      <c r="F175" s="10"/>
      <c r="G175" s="9"/>
    </row>
    <row r="176" spans="1:8" ht="35.1" customHeight="1">
      <c r="A176" s="1301">
        <v>44800</v>
      </c>
      <c r="B176" s="1314" t="s">
        <v>3371</v>
      </c>
      <c r="C176" s="1307" t="s">
        <v>1948</v>
      </c>
      <c r="D176" s="27" t="s">
        <v>447</v>
      </c>
      <c r="E176" s="27" t="s">
        <v>525</v>
      </c>
      <c r="F176" s="763"/>
      <c r="G176" s="762"/>
      <c r="H176" s="750"/>
    </row>
    <row r="177" spans="1:9" ht="35.1" customHeight="1">
      <c r="A177" s="1302"/>
      <c r="B177" s="1315"/>
      <c r="C177" s="1308"/>
      <c r="D177" s="27" t="s">
        <v>3372</v>
      </c>
      <c r="E177" s="27" t="s">
        <v>3373</v>
      </c>
      <c r="F177" s="763"/>
      <c r="G177" s="762"/>
      <c r="H177" s="750"/>
    </row>
    <row r="178" spans="1:9" ht="35.1" customHeight="1" thickBot="1">
      <c r="A178" s="1302"/>
      <c r="B178" s="1315"/>
      <c r="C178" s="1309"/>
      <c r="D178" s="27" t="s">
        <v>109</v>
      </c>
      <c r="E178" s="27" t="s">
        <v>3374</v>
      </c>
      <c r="F178" s="763"/>
      <c r="G178" s="762"/>
      <c r="H178" s="750"/>
    </row>
    <row r="179" spans="1:9" ht="35.1" hidden="1" customHeight="1">
      <c r="A179" s="1302"/>
      <c r="B179" s="1315"/>
      <c r="C179" s="21"/>
      <c r="D179" s="20"/>
      <c r="E179" s="19"/>
      <c r="F179" s="503"/>
      <c r="G179" s="725"/>
      <c r="H179" s="750"/>
    </row>
    <row r="180" spans="1:9" ht="35.1" hidden="1" customHeight="1" thickBot="1">
      <c r="A180" s="1302"/>
      <c r="B180" s="1315"/>
      <c r="C180" s="752"/>
      <c r="D180" s="16"/>
      <c r="E180" s="15"/>
      <c r="F180" s="482"/>
      <c r="G180" s="725"/>
      <c r="H180" s="750"/>
    </row>
    <row r="181" spans="1:9" ht="35.1" customHeight="1" thickBot="1">
      <c r="A181" s="1303"/>
      <c r="B181" s="1316"/>
      <c r="C181" s="12"/>
      <c r="D181" s="11"/>
      <c r="E181" s="10"/>
      <c r="F181" s="10"/>
      <c r="G181" s="9"/>
      <c r="H181" s="750"/>
    </row>
    <row r="182" spans="1:9" ht="35.1" customHeight="1" thickBot="1">
      <c r="A182" s="1298" t="s">
        <v>5</v>
      </c>
      <c r="B182" s="1299"/>
      <c r="C182" s="1299"/>
      <c r="D182" s="1299"/>
      <c r="E182" s="1299"/>
      <c r="F182" s="1299"/>
      <c r="G182" s="1300"/>
    </row>
    <row r="183" spans="1:9" ht="35.1" customHeight="1">
      <c r="A183" s="1301">
        <v>44802</v>
      </c>
      <c r="B183" s="1314" t="s">
        <v>4</v>
      </c>
      <c r="C183" s="764" t="s">
        <v>3345</v>
      </c>
      <c r="D183" s="27" t="s">
        <v>3346</v>
      </c>
      <c r="E183" s="27" t="s">
        <v>1562</v>
      </c>
      <c r="F183" s="763"/>
      <c r="G183" s="762"/>
    </row>
    <row r="184" spans="1:9" ht="35.1" customHeight="1">
      <c r="A184" s="1302"/>
      <c r="B184" s="1315"/>
      <c r="C184" s="764" t="s">
        <v>1314</v>
      </c>
      <c r="D184" s="27" t="s">
        <v>1322</v>
      </c>
      <c r="E184" s="27" t="s">
        <v>1315</v>
      </c>
      <c r="F184" s="763" t="s">
        <v>1316</v>
      </c>
      <c r="G184" s="762"/>
      <c r="H184" s="621">
        <v>2250</v>
      </c>
      <c r="I184" s="621" t="s">
        <v>3362</v>
      </c>
    </row>
    <row r="185" spans="1:9" ht="35.1" customHeight="1">
      <c r="A185" s="1302"/>
      <c r="B185" s="1315"/>
      <c r="C185" s="1310" t="s">
        <v>3386</v>
      </c>
      <c r="D185" s="40" t="s">
        <v>109</v>
      </c>
      <c r="E185" s="39" t="s">
        <v>3387</v>
      </c>
      <c r="F185" s="27" t="s">
        <v>1768</v>
      </c>
      <c r="G185" s="41"/>
    </row>
    <row r="186" spans="1:9" ht="35.1" customHeight="1" thickBot="1">
      <c r="A186" s="1302"/>
      <c r="B186" s="1315"/>
      <c r="C186" s="1309"/>
      <c r="D186" s="40" t="s">
        <v>327</v>
      </c>
      <c r="E186" s="39" t="s">
        <v>3388</v>
      </c>
      <c r="F186" s="763"/>
      <c r="G186" s="41"/>
      <c r="H186" s="758"/>
    </row>
    <row r="187" spans="1:9" ht="35.1" hidden="1" customHeight="1">
      <c r="A187" s="1302"/>
      <c r="B187" s="1315"/>
      <c r="C187" s="757"/>
      <c r="D187" s="34"/>
      <c r="E187" s="33"/>
      <c r="F187" s="503"/>
      <c r="G187" s="594"/>
      <c r="H187" s="758"/>
    </row>
    <row r="188" spans="1:9" ht="35.1" hidden="1" customHeight="1">
      <c r="A188" s="1302"/>
      <c r="B188" s="1315"/>
      <c r="C188" s="757"/>
      <c r="D188" s="34"/>
      <c r="E188" s="33"/>
      <c r="F188" s="503"/>
      <c r="G188" s="594"/>
      <c r="H188" s="758"/>
    </row>
    <row r="189" spans="1:9" ht="35.1" hidden="1" customHeight="1" thickBot="1">
      <c r="A189" s="1302"/>
      <c r="B189" s="1315"/>
      <c r="C189" s="756"/>
      <c r="D189" s="30"/>
      <c r="E189" s="29"/>
      <c r="F189" s="482"/>
      <c r="G189" s="593"/>
    </row>
    <row r="190" spans="1:9" ht="35.1" customHeight="1" thickBot="1">
      <c r="A190" s="1303"/>
      <c r="B190" s="1316"/>
      <c r="C190" s="12" t="s">
        <v>2522</v>
      </c>
      <c r="D190" s="11" t="s">
        <v>1417</v>
      </c>
      <c r="E190" s="10" t="s">
        <v>3301</v>
      </c>
      <c r="F190" s="10" t="s">
        <v>1419</v>
      </c>
      <c r="G190" s="9"/>
    </row>
    <row r="191" spans="1:9" ht="35.1" customHeight="1">
      <c r="A191" s="1301">
        <v>44803</v>
      </c>
      <c r="B191" s="1314" t="s">
        <v>3</v>
      </c>
      <c r="C191" s="1307" t="s">
        <v>3377</v>
      </c>
      <c r="D191" s="27" t="s">
        <v>3378</v>
      </c>
      <c r="E191" s="27" t="s">
        <v>3379</v>
      </c>
      <c r="F191" s="768"/>
      <c r="G191" s="767"/>
    </row>
    <row r="192" spans="1:9" ht="35.1" customHeight="1">
      <c r="A192" s="1302"/>
      <c r="B192" s="1315"/>
      <c r="C192" s="1309"/>
      <c r="D192" s="27" t="s">
        <v>3389</v>
      </c>
      <c r="E192" s="27" t="s">
        <v>3390</v>
      </c>
      <c r="F192" s="768" t="s">
        <v>3402</v>
      </c>
      <c r="G192" s="767"/>
    </row>
    <row r="193" spans="1:8" ht="35.1" customHeight="1" thickBot="1">
      <c r="A193" s="1302"/>
      <c r="B193" s="1315"/>
      <c r="C193" s="769" t="s">
        <v>3403</v>
      </c>
      <c r="D193" s="40" t="s">
        <v>3404</v>
      </c>
      <c r="E193" s="39" t="s">
        <v>3405</v>
      </c>
      <c r="F193" s="768" t="s">
        <v>3406</v>
      </c>
      <c r="G193" s="767"/>
      <c r="H193" s="621" t="s">
        <v>3412</v>
      </c>
    </row>
    <row r="194" spans="1:8" ht="35.1" hidden="1" customHeight="1" thickBot="1">
      <c r="A194" s="1302"/>
      <c r="B194" s="1315"/>
      <c r="C194" s="623"/>
      <c r="D194" s="16"/>
      <c r="E194" s="15"/>
      <c r="F194" s="482"/>
      <c r="G194" s="592"/>
    </row>
    <row r="195" spans="1:8" ht="35.1" customHeight="1" thickBot="1">
      <c r="A195" s="1303"/>
      <c r="B195" s="1316"/>
      <c r="C195" s="12" t="s">
        <v>3330</v>
      </c>
      <c r="D195" s="11" t="s">
        <v>3331</v>
      </c>
      <c r="E195" s="10" t="s">
        <v>3332</v>
      </c>
      <c r="F195" s="10" t="s">
        <v>3333</v>
      </c>
      <c r="G195" s="9"/>
    </row>
    <row r="196" spans="1:8" ht="35.1" customHeight="1">
      <c r="A196" s="1301">
        <v>44804</v>
      </c>
      <c r="B196" s="1314" t="s">
        <v>2</v>
      </c>
      <c r="C196" s="775" t="s">
        <v>1022</v>
      </c>
      <c r="D196" s="27" t="s">
        <v>3418</v>
      </c>
      <c r="E196" s="27" t="s">
        <v>382</v>
      </c>
      <c r="F196" s="774"/>
      <c r="G196" s="773" t="s">
        <v>416</v>
      </c>
    </row>
    <row r="197" spans="1:8" ht="35.1" customHeight="1">
      <c r="A197" s="1302"/>
      <c r="B197" s="1315"/>
      <c r="C197" s="775" t="s">
        <v>209</v>
      </c>
      <c r="D197" s="27" t="s">
        <v>621</v>
      </c>
      <c r="E197" s="27" t="s">
        <v>452</v>
      </c>
      <c r="F197" s="774" t="s">
        <v>3419</v>
      </c>
      <c r="G197" s="773" t="s">
        <v>3417</v>
      </c>
    </row>
    <row r="198" spans="1:8" ht="35.1" customHeight="1">
      <c r="A198" s="1302"/>
      <c r="B198" s="1315"/>
      <c r="C198" s="1310" t="s">
        <v>1100</v>
      </c>
      <c r="D198" s="40" t="s">
        <v>447</v>
      </c>
      <c r="E198" s="39" t="s">
        <v>171</v>
      </c>
      <c r="F198" s="774" t="s">
        <v>1102</v>
      </c>
      <c r="G198" s="773"/>
    </row>
    <row r="199" spans="1:8" ht="35.1" customHeight="1">
      <c r="A199" s="1302"/>
      <c r="B199" s="1315"/>
      <c r="C199" s="1309"/>
      <c r="D199" s="777" t="s">
        <v>3420</v>
      </c>
      <c r="E199" s="54" t="s">
        <v>525</v>
      </c>
      <c r="F199" s="27"/>
      <c r="G199" s="41"/>
      <c r="H199" s="766"/>
    </row>
    <row r="200" spans="1:8" ht="35.1" customHeight="1" thickBot="1">
      <c r="A200" s="1302"/>
      <c r="B200" s="1315"/>
      <c r="C200" s="775" t="s">
        <v>3422</v>
      </c>
      <c r="D200" s="777" t="s">
        <v>3423</v>
      </c>
      <c r="E200" s="54" t="s">
        <v>3424</v>
      </c>
      <c r="F200" s="27"/>
      <c r="G200" s="41"/>
      <c r="H200" s="766"/>
    </row>
    <row r="201" spans="1:8" ht="35.1" hidden="1" customHeight="1">
      <c r="A201" s="1302"/>
      <c r="B201" s="1315"/>
      <c r="C201" s="770"/>
      <c r="D201" s="20"/>
      <c r="E201" s="19"/>
      <c r="F201" s="503"/>
      <c r="G201" s="65"/>
    </row>
    <row r="202" spans="1:8" ht="35.1" hidden="1" customHeight="1" thickBot="1">
      <c r="A202" s="1302"/>
      <c r="B202" s="1315"/>
      <c r="C202" s="772"/>
      <c r="D202" s="30"/>
      <c r="E202" s="29"/>
      <c r="F202" s="482"/>
      <c r="G202" s="593"/>
      <c r="H202" s="771"/>
    </row>
    <row r="203" spans="1:8" ht="35.1" customHeight="1" thickBot="1">
      <c r="A203" s="1303"/>
      <c r="B203" s="1316"/>
      <c r="C203" s="12" t="s">
        <v>3334</v>
      </c>
      <c r="D203" s="11" t="s">
        <v>1842</v>
      </c>
      <c r="E203" s="10" t="s">
        <v>3335</v>
      </c>
      <c r="F203" s="10" t="s">
        <v>2470</v>
      </c>
      <c r="G203" s="9"/>
    </row>
    <row r="204" spans="1:8" ht="35.1" customHeight="1"/>
    <row r="205" spans="1:8" ht="35.1" customHeight="1"/>
    <row r="206" spans="1:8" ht="35.1" customHeight="1"/>
    <row r="207" spans="1:8" ht="35.1" customHeight="1"/>
    <row r="208" spans="1:8" ht="35.1" customHeight="1"/>
    <row r="209" ht="35.1" customHeight="1"/>
    <row r="210" ht="35.1" customHeight="1"/>
    <row r="211" ht="35.1" customHeight="1"/>
    <row r="212" ht="35.1" customHeight="1"/>
    <row r="213" ht="35.1" customHeight="1"/>
    <row r="214" ht="35.1" customHeight="1"/>
    <row r="215" ht="35.1" customHeight="1"/>
    <row r="216" ht="35.1" customHeight="1"/>
    <row r="217" ht="35.1" customHeight="1"/>
    <row r="218" ht="35.1" customHeight="1"/>
    <row r="219" ht="35.1" customHeight="1"/>
  </sheetData>
  <mergeCells count="106">
    <mergeCell ref="C185:C186"/>
    <mergeCell ref="C156:C157"/>
    <mergeCell ref="C134:C137"/>
    <mergeCell ref="G134:G137"/>
    <mergeCell ref="C131:C132"/>
    <mergeCell ref="G131:G132"/>
    <mergeCell ref="A40:G40"/>
    <mergeCell ref="A81:A92"/>
    <mergeCell ref="B81:B92"/>
    <mergeCell ref="A41:A46"/>
    <mergeCell ref="C161:C162"/>
    <mergeCell ref="C126:C128"/>
    <mergeCell ref="G126:G127"/>
    <mergeCell ref="F126:F127"/>
    <mergeCell ref="C142:C143"/>
    <mergeCell ref="G102:G103"/>
    <mergeCell ref="C144:C147"/>
    <mergeCell ref="B41:B46"/>
    <mergeCell ref="A47:A58"/>
    <mergeCell ref="B47:B58"/>
    <mergeCell ref="A59:A70"/>
    <mergeCell ref="B59:B70"/>
    <mergeCell ref="A71:A79"/>
    <mergeCell ref="B71:B79"/>
    <mergeCell ref="A1:G1"/>
    <mergeCell ref="A2:A14"/>
    <mergeCell ref="B2:B14"/>
    <mergeCell ref="A15:A27"/>
    <mergeCell ref="B15:B27"/>
    <mergeCell ref="A28:A39"/>
    <mergeCell ref="B28:B39"/>
    <mergeCell ref="C31:C32"/>
    <mergeCell ref="G31:G32"/>
    <mergeCell ref="C3:C6"/>
    <mergeCell ref="G17:G20"/>
    <mergeCell ref="C10:C12"/>
    <mergeCell ref="F10:F12"/>
    <mergeCell ref="G10:G12"/>
    <mergeCell ref="C33:C34"/>
    <mergeCell ref="C7:C9"/>
    <mergeCell ref="C21:C24"/>
    <mergeCell ref="G21:G24"/>
    <mergeCell ref="C37:C38"/>
    <mergeCell ref="A80:G80"/>
    <mergeCell ref="C42:C43"/>
    <mergeCell ref="C47:C48"/>
    <mergeCell ref="C81:C82"/>
    <mergeCell ref="C49:C55"/>
    <mergeCell ref="C63:C65"/>
    <mergeCell ref="C73:C75"/>
    <mergeCell ref="G73:G75"/>
    <mergeCell ref="C88:C91"/>
    <mergeCell ref="G88:G91"/>
    <mergeCell ref="C86:C87"/>
    <mergeCell ref="G49:G55"/>
    <mergeCell ref="C60:C62"/>
    <mergeCell ref="G83:G84"/>
    <mergeCell ref="G86:G87"/>
    <mergeCell ref="C83:C84"/>
    <mergeCell ref="B142:B154"/>
    <mergeCell ref="A93:A106"/>
    <mergeCell ref="B93:B106"/>
    <mergeCell ref="A107:A113"/>
    <mergeCell ref="B107:B113"/>
    <mergeCell ref="A114:A121"/>
    <mergeCell ref="B114:B121"/>
    <mergeCell ref="A122:G122"/>
    <mergeCell ref="A123:A130"/>
    <mergeCell ref="B123:B130"/>
    <mergeCell ref="A131:A141"/>
    <mergeCell ref="B131:B141"/>
    <mergeCell ref="C114:C115"/>
    <mergeCell ref="C94:C95"/>
    <mergeCell ref="C102:C103"/>
    <mergeCell ref="C97:C98"/>
    <mergeCell ref="G97:G98"/>
    <mergeCell ref="G94:G95"/>
    <mergeCell ref="G99:G100"/>
    <mergeCell ref="C124:C125"/>
    <mergeCell ref="G124:G125"/>
    <mergeCell ref="D108:G108"/>
    <mergeCell ref="G116:G117"/>
    <mergeCell ref="C198:C199"/>
    <mergeCell ref="C191:C192"/>
    <mergeCell ref="A176:A181"/>
    <mergeCell ref="B176:B181"/>
    <mergeCell ref="C176:C178"/>
    <mergeCell ref="C163:C168"/>
    <mergeCell ref="G163:G168"/>
    <mergeCell ref="C15:C16"/>
    <mergeCell ref="A191:A195"/>
    <mergeCell ref="B191:B195"/>
    <mergeCell ref="A196:A203"/>
    <mergeCell ref="B196:B203"/>
    <mergeCell ref="A155:A160"/>
    <mergeCell ref="B155:B160"/>
    <mergeCell ref="A161:A175"/>
    <mergeCell ref="B161:B175"/>
    <mergeCell ref="A182:G182"/>
    <mergeCell ref="A183:A190"/>
    <mergeCell ref="B183:B190"/>
    <mergeCell ref="G33:G34"/>
    <mergeCell ref="C28:C30"/>
    <mergeCell ref="C17:C20"/>
    <mergeCell ref="G60:G62"/>
    <mergeCell ref="A142:A154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4"/>
  <sheetViews>
    <sheetView topLeftCell="A163" zoomScale="70" zoomScaleNormal="70" zoomScaleSheetLayoutView="70" workbookViewId="0">
      <selection activeCell="C120" sqref="C120:C121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9.125" style="758" customWidth="1"/>
    <col min="9" max="16384" width="9" style="1"/>
  </cols>
  <sheetData>
    <row r="1" spans="1:8" s="758" customFormat="1" ht="60" customHeight="1" thickBot="1">
      <c r="A1" s="1298" t="s">
        <v>5</v>
      </c>
      <c r="B1" s="1299"/>
      <c r="C1" s="1299"/>
      <c r="D1" s="1299"/>
      <c r="E1" s="1299"/>
      <c r="F1" s="1299"/>
      <c r="G1" s="1300"/>
    </row>
    <row r="2" spans="1:8" s="758" customFormat="1" ht="30" customHeight="1">
      <c r="A2" s="1301">
        <v>44805</v>
      </c>
      <c r="B2" s="1314" t="s">
        <v>1</v>
      </c>
      <c r="C2" s="780" t="s">
        <v>538</v>
      </c>
      <c r="D2" s="27" t="s">
        <v>169</v>
      </c>
      <c r="E2" s="27" t="s">
        <v>1835</v>
      </c>
      <c r="F2" s="779" t="s">
        <v>3415</v>
      </c>
      <c r="G2" s="778"/>
    </row>
    <row r="3" spans="1:8" s="758" customFormat="1" ht="30" customHeight="1">
      <c r="A3" s="1302"/>
      <c r="B3" s="1315"/>
      <c r="C3" s="780"/>
      <c r="D3" s="27" t="s">
        <v>3416</v>
      </c>
      <c r="E3" s="27"/>
      <c r="F3" s="779"/>
      <c r="G3" s="778"/>
    </row>
    <row r="4" spans="1:8" s="758" customFormat="1" ht="30" customHeight="1">
      <c r="A4" s="1302"/>
      <c r="B4" s="1315"/>
      <c r="C4" s="780" t="s">
        <v>3451</v>
      </c>
      <c r="D4" s="40" t="s">
        <v>3436</v>
      </c>
      <c r="E4" s="39" t="s">
        <v>3452</v>
      </c>
      <c r="F4" s="779"/>
      <c r="G4" s="778" t="s">
        <v>3464</v>
      </c>
    </row>
    <row r="5" spans="1:8" s="776" customFormat="1" ht="30" customHeight="1">
      <c r="A5" s="1302"/>
      <c r="B5" s="1315"/>
      <c r="C5" s="1310" t="s">
        <v>3453</v>
      </c>
      <c r="D5" s="782" t="s">
        <v>3459</v>
      </c>
      <c r="E5" s="54" t="s">
        <v>3454</v>
      </c>
      <c r="F5" s="27"/>
      <c r="G5" s="1311" t="s">
        <v>3456</v>
      </c>
      <c r="H5" s="776" t="s">
        <v>3455</v>
      </c>
    </row>
    <row r="6" spans="1:8" s="776" customFormat="1" ht="30" customHeight="1">
      <c r="A6" s="1302"/>
      <c r="B6" s="1315"/>
      <c r="C6" s="1309"/>
      <c r="D6" s="27" t="s">
        <v>2041</v>
      </c>
      <c r="E6" s="54" t="s">
        <v>3457</v>
      </c>
      <c r="F6" s="27"/>
      <c r="G6" s="1313"/>
      <c r="H6" s="783" t="s">
        <v>3458</v>
      </c>
    </row>
    <row r="7" spans="1:8" s="758" customFormat="1" ht="30" customHeight="1">
      <c r="A7" s="1302"/>
      <c r="B7" s="1315"/>
      <c r="C7" s="780" t="s">
        <v>1825</v>
      </c>
      <c r="D7" s="27" t="s">
        <v>1407</v>
      </c>
      <c r="E7" s="27" t="s">
        <v>1276</v>
      </c>
      <c r="F7" s="779"/>
      <c r="G7" s="41" t="s">
        <v>1248</v>
      </c>
    </row>
    <row r="8" spans="1:8" s="781" customFormat="1" ht="30" customHeight="1">
      <c r="A8" s="1302"/>
      <c r="B8" s="1315"/>
      <c r="C8" s="780" t="s">
        <v>3469</v>
      </c>
      <c r="D8" s="27" t="s">
        <v>3470</v>
      </c>
      <c r="E8" s="27" t="s">
        <v>3471</v>
      </c>
      <c r="F8" s="27" t="s">
        <v>3472</v>
      </c>
      <c r="G8" s="41" t="s">
        <v>3473</v>
      </c>
    </row>
    <row r="9" spans="1:8" s="781" customFormat="1" ht="30" customHeight="1">
      <c r="A9" s="1302"/>
      <c r="B9" s="1315"/>
      <c r="C9" s="1310" t="s">
        <v>3474</v>
      </c>
      <c r="D9" s="27" t="s">
        <v>3096</v>
      </c>
      <c r="E9" s="27" t="s">
        <v>3476</v>
      </c>
      <c r="F9" s="27"/>
      <c r="G9" s="1311" t="s">
        <v>3478</v>
      </c>
      <c r="H9" s="781" t="s">
        <v>3479</v>
      </c>
    </row>
    <row r="10" spans="1:8" s="781" customFormat="1" ht="30" customHeight="1" thickBot="1">
      <c r="A10" s="1302"/>
      <c r="B10" s="1315"/>
      <c r="C10" s="1324"/>
      <c r="D10" s="787" t="s">
        <v>3475</v>
      </c>
      <c r="E10" s="787" t="s">
        <v>3477</v>
      </c>
      <c r="F10" s="787"/>
      <c r="G10" s="1325"/>
      <c r="H10" s="781" t="s">
        <v>3480</v>
      </c>
    </row>
    <row r="11" spans="1:8" s="758" customFormat="1" ht="30" customHeight="1" thickBot="1">
      <c r="A11" s="1303"/>
      <c r="B11" s="1316"/>
      <c r="C11" s="12"/>
      <c r="D11" s="11"/>
      <c r="E11" s="10"/>
      <c r="F11" s="10"/>
      <c r="G11" s="9"/>
    </row>
    <row r="12" spans="1:8" s="758" customFormat="1" ht="30" customHeight="1">
      <c r="A12" s="1301">
        <v>44806</v>
      </c>
      <c r="B12" s="1314" t="s">
        <v>0</v>
      </c>
      <c r="C12" s="1307" t="s">
        <v>3391</v>
      </c>
      <c r="D12" s="27" t="s">
        <v>3392</v>
      </c>
      <c r="E12" s="27" t="s">
        <v>3393</v>
      </c>
      <c r="F12" s="788"/>
      <c r="G12" s="1322" t="s">
        <v>3445</v>
      </c>
      <c r="H12" s="758" t="s">
        <v>3400</v>
      </c>
    </row>
    <row r="13" spans="1:8" s="765" customFormat="1" ht="30" customHeight="1">
      <c r="A13" s="1302"/>
      <c r="B13" s="1315"/>
      <c r="C13" s="1308"/>
      <c r="D13" s="27" t="s">
        <v>3394</v>
      </c>
      <c r="E13" s="27" t="s">
        <v>3395</v>
      </c>
      <c r="F13" s="788"/>
      <c r="G13" s="1312"/>
    </row>
    <row r="14" spans="1:8" s="765" customFormat="1" ht="30" customHeight="1">
      <c r="A14" s="1302"/>
      <c r="B14" s="1315"/>
      <c r="C14" s="1308"/>
      <c r="D14" s="27" t="s">
        <v>3396</v>
      </c>
      <c r="E14" s="27" t="s">
        <v>3397</v>
      </c>
      <c r="F14" s="788"/>
      <c r="G14" s="1312"/>
    </row>
    <row r="15" spans="1:8" s="765" customFormat="1" ht="30" customHeight="1">
      <c r="A15" s="1302"/>
      <c r="B15" s="1315"/>
      <c r="C15" s="1309"/>
      <c r="D15" s="27" t="s">
        <v>3398</v>
      </c>
      <c r="E15" s="27" t="s">
        <v>3399</v>
      </c>
      <c r="F15" s="788" t="s">
        <v>3401</v>
      </c>
      <c r="G15" s="1313"/>
    </row>
    <row r="16" spans="1:8" s="765" customFormat="1" ht="30" customHeight="1">
      <c r="A16" s="1302"/>
      <c r="B16" s="1315"/>
      <c r="C16" s="1310" t="s">
        <v>3425</v>
      </c>
      <c r="D16" s="27" t="s">
        <v>3426</v>
      </c>
      <c r="E16" s="27" t="s">
        <v>3427</v>
      </c>
      <c r="F16" s="788"/>
      <c r="G16" s="1311" t="s">
        <v>3430</v>
      </c>
    </row>
    <row r="17" spans="1:8" s="758" customFormat="1" ht="30" customHeight="1">
      <c r="A17" s="1302"/>
      <c r="B17" s="1315"/>
      <c r="C17" s="1308"/>
      <c r="D17" s="27" t="s">
        <v>2041</v>
      </c>
      <c r="E17" s="27" t="s">
        <v>3428</v>
      </c>
      <c r="F17" s="788"/>
      <c r="G17" s="1312"/>
    </row>
    <row r="18" spans="1:8" s="758" customFormat="1" ht="30" customHeight="1">
      <c r="A18" s="1302"/>
      <c r="B18" s="1315"/>
      <c r="C18" s="1309"/>
      <c r="D18" s="27" t="s">
        <v>2015</v>
      </c>
      <c r="E18" s="39" t="s">
        <v>3429</v>
      </c>
      <c r="F18" s="788"/>
      <c r="G18" s="1313"/>
    </row>
    <row r="19" spans="1:8" s="776" customFormat="1" ht="30" customHeight="1">
      <c r="A19" s="1302"/>
      <c r="B19" s="1315"/>
      <c r="C19" s="1310" t="s">
        <v>3431</v>
      </c>
      <c r="D19" s="786" t="s">
        <v>3432</v>
      </c>
      <c r="E19" s="54" t="s">
        <v>3433</v>
      </c>
      <c r="F19" s="27"/>
      <c r="G19" s="1311"/>
    </row>
    <row r="20" spans="1:8" s="776" customFormat="1" ht="30" customHeight="1">
      <c r="A20" s="1302"/>
      <c r="B20" s="1315"/>
      <c r="C20" s="1308"/>
      <c r="D20" s="786" t="s">
        <v>3434</v>
      </c>
      <c r="E20" s="54" t="s">
        <v>3435</v>
      </c>
      <c r="F20" s="27"/>
      <c r="G20" s="1312"/>
    </row>
    <row r="21" spans="1:8" s="776" customFormat="1" ht="30" customHeight="1">
      <c r="A21" s="1302"/>
      <c r="B21" s="1315"/>
      <c r="C21" s="1308"/>
      <c r="D21" s="786" t="s">
        <v>3436</v>
      </c>
      <c r="E21" s="54" t="s">
        <v>3437</v>
      </c>
      <c r="F21" s="27"/>
      <c r="G21" s="1312"/>
    </row>
    <row r="22" spans="1:8" s="776" customFormat="1" ht="30" customHeight="1">
      <c r="A22" s="1302"/>
      <c r="B22" s="1315"/>
      <c r="C22" s="1308"/>
      <c r="D22" s="786" t="s">
        <v>3439</v>
      </c>
      <c r="E22" s="54" t="s">
        <v>3438</v>
      </c>
      <c r="F22" s="27"/>
      <c r="G22" s="1312"/>
    </row>
    <row r="23" spans="1:8" s="790" customFormat="1" ht="30" customHeight="1">
      <c r="A23" s="1302"/>
      <c r="B23" s="1315"/>
      <c r="C23" s="1308"/>
      <c r="D23" s="27" t="s">
        <v>1592</v>
      </c>
      <c r="E23" s="54" t="s">
        <v>3440</v>
      </c>
      <c r="F23" s="27" t="s">
        <v>1529</v>
      </c>
      <c r="G23" s="1312"/>
    </row>
    <row r="24" spans="1:8" s="776" customFormat="1" ht="30" customHeight="1">
      <c r="A24" s="1302"/>
      <c r="B24" s="1315"/>
      <c r="C24" s="1308"/>
      <c r="D24" s="27" t="s">
        <v>3510</v>
      </c>
      <c r="E24" s="54" t="s">
        <v>3511</v>
      </c>
      <c r="F24" s="27"/>
      <c r="G24" s="1313"/>
    </row>
    <row r="25" spans="1:8" s="790" customFormat="1" ht="30" customHeight="1">
      <c r="A25" s="1302"/>
      <c r="B25" s="1315"/>
      <c r="C25" s="1309"/>
      <c r="D25" s="27" t="s">
        <v>3508</v>
      </c>
      <c r="E25" s="54" t="s">
        <v>3509</v>
      </c>
      <c r="F25" s="788"/>
      <c r="G25" s="785"/>
    </row>
    <row r="26" spans="1:8" s="776" customFormat="1" ht="30" customHeight="1">
      <c r="A26" s="1302"/>
      <c r="B26" s="1315"/>
      <c r="C26" s="784" t="s">
        <v>3441</v>
      </c>
      <c r="D26" s="27" t="s">
        <v>169</v>
      </c>
      <c r="E26" s="39" t="s">
        <v>3442</v>
      </c>
      <c r="F26" s="788"/>
      <c r="G26" s="785" t="s">
        <v>3443</v>
      </c>
      <c r="H26" s="776" t="s">
        <v>3444</v>
      </c>
    </row>
    <row r="27" spans="1:8" s="776" customFormat="1" ht="30" customHeight="1">
      <c r="A27" s="1302"/>
      <c r="B27" s="1315"/>
      <c r="C27" s="1310" t="s">
        <v>3465</v>
      </c>
      <c r="D27" s="788" t="s">
        <v>3466</v>
      </c>
      <c r="E27" s="36" t="s">
        <v>3467</v>
      </c>
      <c r="F27" s="788"/>
      <c r="G27" s="1311" t="s">
        <v>1500</v>
      </c>
    </row>
    <row r="28" spans="1:8" s="776" customFormat="1" ht="30" customHeight="1">
      <c r="A28" s="1302"/>
      <c r="B28" s="1315"/>
      <c r="C28" s="1309"/>
      <c r="D28" s="27" t="s">
        <v>1387</v>
      </c>
      <c r="E28" s="36" t="s">
        <v>3468</v>
      </c>
      <c r="F28" s="788"/>
      <c r="G28" s="1313"/>
    </row>
    <row r="29" spans="1:8" s="790" customFormat="1" ht="30" customHeight="1">
      <c r="A29" s="1302"/>
      <c r="B29" s="1315"/>
      <c r="C29" s="1310" t="s">
        <v>3494</v>
      </c>
      <c r="D29" s="27" t="s">
        <v>3488</v>
      </c>
      <c r="E29" s="39" t="s">
        <v>3489</v>
      </c>
      <c r="F29" s="27"/>
      <c r="G29" s="41" t="s">
        <v>3490</v>
      </c>
    </row>
    <row r="30" spans="1:8" s="790" customFormat="1" ht="30" customHeight="1">
      <c r="A30" s="1302"/>
      <c r="B30" s="1315"/>
      <c r="C30" s="1309"/>
      <c r="D30" s="788" t="s">
        <v>3491</v>
      </c>
      <c r="E30" s="36" t="s">
        <v>3492</v>
      </c>
      <c r="F30" s="788"/>
      <c r="G30" s="785" t="s">
        <v>3493</v>
      </c>
    </row>
    <row r="31" spans="1:8" s="758" customFormat="1" ht="30" customHeight="1" thickBot="1">
      <c r="A31" s="1302"/>
      <c r="B31" s="1315"/>
      <c r="C31" s="792" t="s">
        <v>3499</v>
      </c>
      <c r="D31" s="27" t="s">
        <v>1592</v>
      </c>
      <c r="E31" s="39" t="s">
        <v>3495</v>
      </c>
      <c r="F31" s="27" t="s">
        <v>3497</v>
      </c>
      <c r="G31" s="41" t="s">
        <v>3498</v>
      </c>
      <c r="H31" s="758" t="s">
        <v>3496</v>
      </c>
    </row>
    <row r="32" spans="1:8" s="790" customFormat="1" ht="30" hidden="1" customHeight="1" thickBot="1">
      <c r="A32" s="1302"/>
      <c r="B32" s="1315"/>
      <c r="C32" s="789"/>
      <c r="D32" s="30"/>
      <c r="E32" s="29"/>
      <c r="F32" s="482"/>
      <c r="G32" s="791"/>
    </row>
    <row r="33" spans="1:8" s="758" customFormat="1" ht="30" customHeight="1" thickBot="1">
      <c r="A33" s="1303"/>
      <c r="B33" s="1316"/>
      <c r="C33" s="12"/>
      <c r="D33" s="11"/>
      <c r="E33" s="10"/>
      <c r="F33" s="10"/>
      <c r="G33" s="9"/>
    </row>
    <row r="34" spans="1:8" s="758" customFormat="1" ht="60" customHeight="1" thickBot="1">
      <c r="A34" s="1298" t="s">
        <v>5</v>
      </c>
      <c r="B34" s="1299"/>
      <c r="C34" s="1299"/>
      <c r="D34" s="1299"/>
      <c r="E34" s="1299"/>
      <c r="F34" s="1299"/>
      <c r="G34" s="1300"/>
    </row>
    <row r="35" spans="1:8" s="758" customFormat="1" ht="36" customHeight="1">
      <c r="A35" s="1301">
        <v>44809</v>
      </c>
      <c r="B35" s="1314" t="s">
        <v>4</v>
      </c>
      <c r="C35" s="795" t="s">
        <v>3481</v>
      </c>
      <c r="D35" s="27" t="s">
        <v>3482</v>
      </c>
      <c r="E35" s="27" t="s">
        <v>3538</v>
      </c>
      <c r="F35" s="794" t="s">
        <v>3500</v>
      </c>
      <c r="G35" s="1322"/>
      <c r="H35" s="758" t="s">
        <v>3539</v>
      </c>
    </row>
    <row r="36" spans="1:8" s="758" customFormat="1" ht="36" customHeight="1">
      <c r="A36" s="1302"/>
      <c r="B36" s="1315"/>
      <c r="C36" s="795" t="s">
        <v>3483</v>
      </c>
      <c r="D36" s="1358" t="s">
        <v>3484</v>
      </c>
      <c r="E36" s="1361"/>
      <c r="F36" s="794"/>
      <c r="G36" s="1313"/>
    </row>
    <row r="37" spans="1:8" s="790" customFormat="1" ht="36" customHeight="1">
      <c r="A37" s="1302"/>
      <c r="B37" s="1315"/>
      <c r="C37" s="795" t="s">
        <v>3501</v>
      </c>
      <c r="D37" s="27" t="s">
        <v>3503</v>
      </c>
      <c r="E37" s="27" t="s">
        <v>3502</v>
      </c>
      <c r="F37" s="794"/>
      <c r="G37" s="41"/>
    </row>
    <row r="38" spans="1:8" s="758" customFormat="1" ht="36" customHeight="1">
      <c r="A38" s="1302"/>
      <c r="B38" s="1315"/>
      <c r="C38" s="795" t="s">
        <v>3504</v>
      </c>
      <c r="D38" s="40" t="s">
        <v>3505</v>
      </c>
      <c r="E38" s="39" t="s">
        <v>3506</v>
      </c>
      <c r="F38" s="794"/>
      <c r="G38" s="793"/>
    </row>
    <row r="39" spans="1:8" s="796" customFormat="1" ht="36" customHeight="1">
      <c r="A39" s="1302"/>
      <c r="B39" s="1315"/>
      <c r="C39" s="1310" t="s">
        <v>3518</v>
      </c>
      <c r="D39" s="37" t="s">
        <v>3519</v>
      </c>
      <c r="E39" s="36" t="s">
        <v>3520</v>
      </c>
      <c r="F39" s="794" t="s">
        <v>3521</v>
      </c>
      <c r="G39" s="1311" t="s">
        <v>3523</v>
      </c>
      <c r="H39" s="796" t="s">
        <v>3524</v>
      </c>
    </row>
    <row r="40" spans="1:8" s="796" customFormat="1" ht="36" customHeight="1">
      <c r="A40" s="1302"/>
      <c r="B40" s="1315"/>
      <c r="C40" s="1309"/>
      <c r="D40" s="37" t="s">
        <v>3517</v>
      </c>
      <c r="E40" s="36" t="s">
        <v>3522</v>
      </c>
      <c r="F40" s="794"/>
      <c r="G40" s="1313"/>
    </row>
    <row r="41" spans="1:8" s="790" customFormat="1" ht="36" customHeight="1">
      <c r="A41" s="1302"/>
      <c r="B41" s="1315"/>
      <c r="C41" s="1310" t="s">
        <v>3525</v>
      </c>
      <c r="D41" s="40" t="s">
        <v>3096</v>
      </c>
      <c r="E41" s="39" t="s">
        <v>3526</v>
      </c>
      <c r="F41" s="27" t="s">
        <v>3527</v>
      </c>
      <c r="G41" s="1348" t="s">
        <v>3540</v>
      </c>
    </row>
    <row r="42" spans="1:8" s="796" customFormat="1" ht="36" customHeight="1">
      <c r="A42" s="1302"/>
      <c r="B42" s="1315"/>
      <c r="C42" s="1308"/>
      <c r="D42" s="40" t="s">
        <v>3528</v>
      </c>
      <c r="E42" s="39" t="s">
        <v>3529</v>
      </c>
      <c r="F42" s="1323" t="s">
        <v>3532</v>
      </c>
      <c r="G42" s="1312"/>
    </row>
    <row r="43" spans="1:8" s="796" customFormat="1" ht="36" customHeight="1" thickBot="1">
      <c r="A43" s="1302"/>
      <c r="B43" s="1315"/>
      <c r="C43" s="1309"/>
      <c r="D43" s="37" t="s">
        <v>3530</v>
      </c>
      <c r="E43" s="36" t="s">
        <v>3531</v>
      </c>
      <c r="F43" s="1321"/>
      <c r="G43" s="1313"/>
    </row>
    <row r="44" spans="1:8" s="790" customFormat="1" ht="36" hidden="1" customHeight="1" thickBot="1">
      <c r="A44" s="1302"/>
      <c r="B44" s="1315"/>
      <c r="C44" s="789"/>
      <c r="D44" s="30"/>
      <c r="E44" s="29"/>
      <c r="F44" s="482"/>
      <c r="G44" s="791"/>
    </row>
    <row r="45" spans="1:8" s="758" customFormat="1" ht="36" customHeight="1" thickBot="1">
      <c r="A45" s="1303"/>
      <c r="B45" s="1316"/>
      <c r="C45" s="12"/>
      <c r="D45" s="11"/>
      <c r="E45" s="10"/>
      <c r="F45" s="10"/>
      <c r="G45" s="9"/>
    </row>
    <row r="46" spans="1:8" s="758" customFormat="1" ht="36" customHeight="1">
      <c r="A46" s="1301">
        <v>44810</v>
      </c>
      <c r="B46" s="1314" t="s">
        <v>3</v>
      </c>
      <c r="C46" s="53" t="s">
        <v>3486</v>
      </c>
      <c r="D46" s="27" t="s">
        <v>3487</v>
      </c>
      <c r="E46" s="27" t="s">
        <v>3485</v>
      </c>
      <c r="F46" s="799"/>
      <c r="G46" s="798"/>
    </row>
    <row r="47" spans="1:8" s="758" customFormat="1" ht="36" customHeight="1">
      <c r="A47" s="1302"/>
      <c r="B47" s="1315"/>
      <c r="C47" s="797" t="s">
        <v>3543</v>
      </c>
      <c r="D47" s="27" t="s">
        <v>3544</v>
      </c>
      <c r="E47" s="27" t="s">
        <v>525</v>
      </c>
      <c r="F47" s="799"/>
      <c r="G47" s="798"/>
    </row>
    <row r="48" spans="1:8" s="796" customFormat="1" ht="36" customHeight="1">
      <c r="A48" s="1302"/>
      <c r="B48" s="1315"/>
      <c r="C48" s="1310" t="s">
        <v>1506</v>
      </c>
      <c r="D48" s="801" t="s">
        <v>3533</v>
      </c>
      <c r="E48" s="54" t="s">
        <v>3534</v>
      </c>
      <c r="F48" s="1323" t="s">
        <v>3536</v>
      </c>
      <c r="G48" s="1311" t="s">
        <v>1248</v>
      </c>
    </row>
    <row r="49" spans="1:11" s="796" customFormat="1" ht="36" customHeight="1">
      <c r="A49" s="1302"/>
      <c r="B49" s="1315"/>
      <c r="C49" s="1309"/>
      <c r="D49" s="40" t="s">
        <v>3513</v>
      </c>
      <c r="E49" s="39" t="s">
        <v>3535</v>
      </c>
      <c r="F49" s="1321"/>
      <c r="G49" s="1313"/>
    </row>
    <row r="50" spans="1:11" s="800" customFormat="1" ht="36" customHeight="1">
      <c r="A50" s="1302"/>
      <c r="B50" s="1315"/>
      <c r="C50" s="1308" t="s">
        <v>1506</v>
      </c>
      <c r="D50" s="37" t="s">
        <v>2435</v>
      </c>
      <c r="E50" s="36" t="s">
        <v>2153</v>
      </c>
      <c r="F50" s="1320" t="s">
        <v>3537</v>
      </c>
      <c r="G50" s="1312" t="s">
        <v>1649</v>
      </c>
    </row>
    <row r="51" spans="1:11" s="800" customFormat="1" ht="36" customHeight="1">
      <c r="A51" s="1302"/>
      <c r="B51" s="1315"/>
      <c r="C51" s="1309"/>
      <c r="D51" s="37" t="s">
        <v>2437</v>
      </c>
      <c r="E51" s="36" t="s">
        <v>1362</v>
      </c>
      <c r="F51" s="1321"/>
      <c r="G51" s="1313"/>
    </row>
    <row r="52" spans="1:11" s="800" customFormat="1" ht="36" customHeight="1" thickBot="1">
      <c r="A52" s="1302"/>
      <c r="B52" s="1315"/>
      <c r="C52" s="806" t="s">
        <v>3516</v>
      </c>
      <c r="D52" s="40" t="s">
        <v>1375</v>
      </c>
      <c r="E52" s="39" t="s">
        <v>1404</v>
      </c>
      <c r="F52" s="805" t="s">
        <v>2082</v>
      </c>
      <c r="G52" s="803"/>
    </row>
    <row r="53" spans="1:11" s="758" customFormat="1" ht="36" hidden="1" customHeight="1" thickBot="1">
      <c r="A53" s="1302"/>
      <c r="B53" s="1315"/>
      <c r="C53" s="752"/>
      <c r="D53" s="16"/>
      <c r="E53" s="15"/>
      <c r="F53" s="482"/>
      <c r="G53" s="725"/>
    </row>
    <row r="54" spans="1:11" s="758" customFormat="1" ht="36" customHeight="1" thickBot="1">
      <c r="A54" s="1303"/>
      <c r="B54" s="1316"/>
      <c r="C54" s="12"/>
      <c r="D54" s="11"/>
      <c r="E54" s="10"/>
      <c r="F54" s="10"/>
      <c r="G54" s="9"/>
    </row>
    <row r="55" spans="1:11" s="758" customFormat="1" ht="36" customHeight="1">
      <c r="A55" s="1301">
        <v>44811</v>
      </c>
      <c r="B55" s="1314" t="s">
        <v>2</v>
      </c>
      <c r="C55" s="806" t="s">
        <v>1303</v>
      </c>
      <c r="D55" s="27" t="s">
        <v>3385</v>
      </c>
      <c r="E55" s="27" t="s">
        <v>3548</v>
      </c>
      <c r="F55" s="805"/>
      <c r="G55" s="803"/>
    </row>
    <row r="56" spans="1:11" s="758" customFormat="1" ht="36" customHeight="1">
      <c r="A56" s="1302"/>
      <c r="B56" s="1315"/>
      <c r="C56" s="806" t="s">
        <v>3514</v>
      </c>
      <c r="D56" s="27" t="s">
        <v>3557</v>
      </c>
      <c r="E56" s="27" t="s">
        <v>3515</v>
      </c>
      <c r="F56" s="805"/>
      <c r="G56" s="803" t="s">
        <v>3545</v>
      </c>
      <c r="H56" s="758" t="s">
        <v>3546</v>
      </c>
      <c r="K56" s="800" t="s">
        <v>3547</v>
      </c>
    </row>
    <row r="57" spans="1:11" s="758" customFormat="1" ht="36" customHeight="1" thickBot="1">
      <c r="A57" s="1302"/>
      <c r="B57" s="1315"/>
      <c r="C57" s="802" t="s">
        <v>3573</v>
      </c>
      <c r="D57" s="40" t="s">
        <v>109</v>
      </c>
      <c r="E57" s="54" t="s">
        <v>3574</v>
      </c>
      <c r="F57" s="804"/>
      <c r="G57" s="803" t="s">
        <v>3575</v>
      </c>
    </row>
    <row r="58" spans="1:11" s="758" customFormat="1" ht="36" customHeight="1" thickBot="1">
      <c r="A58" s="1303"/>
      <c r="B58" s="1316"/>
      <c r="C58" s="12" t="s">
        <v>3446</v>
      </c>
      <c r="D58" s="11" t="s">
        <v>3447</v>
      </c>
      <c r="E58" s="10" t="s">
        <v>3448</v>
      </c>
      <c r="F58" s="10" t="s">
        <v>3449</v>
      </c>
      <c r="G58" s="9"/>
    </row>
    <row r="59" spans="1:11" s="758" customFormat="1" ht="36" customHeight="1">
      <c r="A59" s="1301">
        <v>44812</v>
      </c>
      <c r="B59" s="1314" t="s">
        <v>1</v>
      </c>
      <c r="C59" s="813" t="s">
        <v>3549</v>
      </c>
      <c r="D59" s="27" t="s">
        <v>3550</v>
      </c>
      <c r="E59" s="27" t="s">
        <v>3551</v>
      </c>
      <c r="F59" s="812"/>
      <c r="G59" s="810"/>
    </row>
    <row r="60" spans="1:11" s="758" customFormat="1" ht="36" customHeight="1" thickBot="1">
      <c r="A60" s="1302"/>
      <c r="B60" s="1315"/>
      <c r="C60" s="813" t="s">
        <v>383</v>
      </c>
      <c r="D60" s="40" t="s">
        <v>109</v>
      </c>
      <c r="E60" s="39" t="s">
        <v>382</v>
      </c>
      <c r="F60" s="812" t="s">
        <v>3576</v>
      </c>
      <c r="G60" s="810"/>
    </row>
    <row r="61" spans="1:11" s="758" customFormat="1" ht="36" hidden="1" customHeight="1" thickBot="1">
      <c r="A61" s="1302"/>
      <c r="B61" s="1315"/>
      <c r="C61" s="752"/>
      <c r="D61" s="16"/>
      <c r="E61" s="15"/>
      <c r="F61" s="482"/>
      <c r="G61" s="725"/>
    </row>
    <row r="62" spans="1:11" s="758" customFormat="1" ht="36" customHeight="1" thickBot="1">
      <c r="A62" s="1303"/>
      <c r="B62" s="1316"/>
      <c r="C62" s="12"/>
      <c r="D62" s="11"/>
      <c r="E62" s="10"/>
      <c r="F62" s="10"/>
      <c r="G62" s="9"/>
    </row>
    <row r="63" spans="1:11" s="758" customFormat="1" ht="60" customHeight="1" thickBot="1">
      <c r="A63" s="1298" t="s">
        <v>5</v>
      </c>
      <c r="B63" s="1299"/>
      <c r="C63" s="1299"/>
      <c r="D63" s="1299"/>
      <c r="E63" s="1299"/>
      <c r="F63" s="1299"/>
      <c r="G63" s="1300"/>
    </row>
    <row r="64" spans="1:11" s="758" customFormat="1" ht="36" customHeight="1">
      <c r="A64" s="1301">
        <v>44817</v>
      </c>
      <c r="B64" s="1314" t="s">
        <v>3</v>
      </c>
      <c r="C64" s="813" t="s">
        <v>354</v>
      </c>
      <c r="D64" s="27" t="s">
        <v>305</v>
      </c>
      <c r="E64" s="27" t="s">
        <v>452</v>
      </c>
      <c r="F64" s="812"/>
      <c r="G64" s="810"/>
    </row>
    <row r="65" spans="1:8" s="758" customFormat="1" ht="36" customHeight="1">
      <c r="A65" s="1302"/>
      <c r="B65" s="1315"/>
      <c r="C65" s="1310" t="s">
        <v>3559</v>
      </c>
      <c r="D65" s="27" t="s">
        <v>3560</v>
      </c>
      <c r="E65" s="27" t="s">
        <v>3561</v>
      </c>
      <c r="F65" s="27"/>
      <c r="G65" s="810"/>
    </row>
    <row r="66" spans="1:8" s="758" customFormat="1" ht="36" customHeight="1">
      <c r="A66" s="1302"/>
      <c r="B66" s="1315"/>
      <c r="C66" s="1309"/>
      <c r="D66" s="40" t="s">
        <v>3562</v>
      </c>
      <c r="E66" s="39" t="s">
        <v>3563</v>
      </c>
      <c r="F66" s="812"/>
      <c r="G66" s="810"/>
    </row>
    <row r="67" spans="1:8" s="808" customFormat="1" ht="36" customHeight="1">
      <c r="A67" s="1302"/>
      <c r="B67" s="1315"/>
      <c r="C67" s="1310" t="s">
        <v>3564</v>
      </c>
      <c r="D67" s="40" t="s">
        <v>109</v>
      </c>
      <c r="E67" s="39" t="s">
        <v>3565</v>
      </c>
      <c r="F67" s="27" t="s">
        <v>3566</v>
      </c>
      <c r="G67" s="41"/>
    </row>
    <row r="68" spans="1:8" s="808" customFormat="1" ht="36" customHeight="1">
      <c r="A68" s="1302"/>
      <c r="B68" s="1315"/>
      <c r="C68" s="1308"/>
      <c r="D68" s="37" t="s">
        <v>3567</v>
      </c>
      <c r="E68" s="36" t="s">
        <v>3568</v>
      </c>
      <c r="F68" s="812"/>
      <c r="G68" s="811"/>
    </row>
    <row r="69" spans="1:8" s="808" customFormat="1" ht="36" customHeight="1">
      <c r="A69" s="1302"/>
      <c r="B69" s="1315"/>
      <c r="C69" s="1309"/>
      <c r="D69" s="40" t="s">
        <v>3570</v>
      </c>
      <c r="E69" s="39" t="s">
        <v>3571</v>
      </c>
      <c r="F69" s="27"/>
      <c r="G69" s="41" t="s">
        <v>3572</v>
      </c>
    </row>
    <row r="70" spans="1:8" s="88" customFormat="1" ht="36" customHeight="1">
      <c r="A70" s="1302"/>
      <c r="B70" s="1315"/>
      <c r="C70" s="813" t="s">
        <v>2907</v>
      </c>
      <c r="D70" s="40" t="s">
        <v>109</v>
      </c>
      <c r="E70" s="39" t="s">
        <v>2908</v>
      </c>
      <c r="F70" s="27" t="s">
        <v>107</v>
      </c>
      <c r="G70" s="41" t="s">
        <v>2610</v>
      </c>
    </row>
    <row r="71" spans="1:8" s="808" customFormat="1" ht="36" customHeight="1">
      <c r="A71" s="1302"/>
      <c r="B71" s="1315"/>
      <c r="C71" s="809" t="s">
        <v>3592</v>
      </c>
      <c r="D71" s="37" t="s">
        <v>3600</v>
      </c>
      <c r="E71" s="36" t="s">
        <v>3601</v>
      </c>
      <c r="F71" s="812"/>
      <c r="G71" s="811" t="s">
        <v>3593</v>
      </c>
      <c r="H71" s="808" t="s">
        <v>3594</v>
      </c>
    </row>
    <row r="72" spans="1:8" s="808" customFormat="1" ht="36" customHeight="1" thickBot="1">
      <c r="A72" s="1302"/>
      <c r="B72" s="1315"/>
      <c r="C72" s="809" t="s">
        <v>3595</v>
      </c>
      <c r="D72" s="37" t="s">
        <v>3596</v>
      </c>
      <c r="E72" s="36" t="s">
        <v>3597</v>
      </c>
      <c r="F72" s="812" t="s">
        <v>3598</v>
      </c>
      <c r="G72" s="811"/>
    </row>
    <row r="73" spans="1:8" s="758" customFormat="1" ht="36" hidden="1" customHeight="1" thickBot="1">
      <c r="A73" s="1302"/>
      <c r="B73" s="1315"/>
      <c r="C73" s="807"/>
      <c r="D73" s="30"/>
      <c r="E73" s="29"/>
      <c r="F73" s="482"/>
      <c r="G73" s="791"/>
    </row>
    <row r="74" spans="1:8" s="758" customFormat="1" ht="36" customHeight="1" thickBot="1">
      <c r="A74" s="1303"/>
      <c r="B74" s="1316"/>
      <c r="C74" s="12" t="s">
        <v>1961</v>
      </c>
      <c r="D74" s="11" t="s">
        <v>1842</v>
      </c>
      <c r="E74" s="10" t="s">
        <v>3450</v>
      </c>
      <c r="F74" s="10" t="s">
        <v>3599</v>
      </c>
      <c r="G74" s="9"/>
    </row>
    <row r="75" spans="1:8" s="758" customFormat="1" ht="36" customHeight="1">
      <c r="A75" s="1301">
        <v>44818</v>
      </c>
      <c r="B75" s="1314" t="s">
        <v>2</v>
      </c>
      <c r="C75" s="1307" t="s">
        <v>1393</v>
      </c>
      <c r="D75" s="27" t="s">
        <v>1394</v>
      </c>
      <c r="E75" s="27" t="s">
        <v>3581</v>
      </c>
      <c r="F75" s="816"/>
      <c r="G75" s="815"/>
    </row>
    <row r="76" spans="1:8" s="758" customFormat="1" ht="36" customHeight="1">
      <c r="A76" s="1302"/>
      <c r="B76" s="1315"/>
      <c r="C76" s="1309"/>
      <c r="D76" s="27" t="s">
        <v>38</v>
      </c>
      <c r="E76" s="27" t="s">
        <v>171</v>
      </c>
      <c r="F76" s="816"/>
      <c r="G76" s="815"/>
    </row>
    <row r="77" spans="1:8" s="758" customFormat="1" ht="36" customHeight="1" thickBot="1">
      <c r="A77" s="1302"/>
      <c r="B77" s="1315"/>
      <c r="C77" s="21"/>
      <c r="D77" s="20"/>
      <c r="E77" s="19"/>
      <c r="F77" s="22"/>
      <c r="G77" s="96"/>
      <c r="H77" s="808"/>
    </row>
    <row r="78" spans="1:8" s="758" customFormat="1" ht="36" hidden="1" customHeight="1" thickBot="1">
      <c r="A78" s="1302"/>
      <c r="B78" s="1315"/>
      <c r="C78" s="752"/>
      <c r="D78" s="16"/>
      <c r="E78" s="15"/>
      <c r="F78" s="482"/>
      <c r="G78" s="725"/>
    </row>
    <row r="79" spans="1:8" s="758" customFormat="1" ht="36" customHeight="1" thickBot="1">
      <c r="A79" s="1303"/>
      <c r="B79" s="1316"/>
      <c r="C79" s="12" t="s">
        <v>3577</v>
      </c>
      <c r="D79" s="11" t="s">
        <v>3578</v>
      </c>
      <c r="E79" s="10" t="s">
        <v>3579</v>
      </c>
      <c r="F79" s="10" t="s">
        <v>3580</v>
      </c>
      <c r="G79" s="9"/>
    </row>
    <row r="80" spans="1:8" s="758" customFormat="1" ht="36" customHeight="1">
      <c r="A80" s="1301">
        <v>44819</v>
      </c>
      <c r="B80" s="1314" t="s">
        <v>1</v>
      </c>
      <c r="C80" s="822" t="s">
        <v>3552</v>
      </c>
      <c r="D80" s="27" t="s">
        <v>3553</v>
      </c>
      <c r="E80" s="27" t="s">
        <v>3630</v>
      </c>
      <c r="F80" s="821"/>
      <c r="G80" s="819"/>
      <c r="H80" s="758" t="s">
        <v>3542</v>
      </c>
    </row>
    <row r="81" spans="1:19" s="814" customFormat="1" ht="36" customHeight="1">
      <c r="A81" s="1302"/>
      <c r="B81" s="1315"/>
      <c r="C81" s="1310" t="s">
        <v>2734</v>
      </c>
      <c r="D81" s="27" t="s">
        <v>109</v>
      </c>
      <c r="E81" s="27" t="s">
        <v>3602</v>
      </c>
      <c r="F81" s="821"/>
      <c r="G81" s="1311" t="s">
        <v>3610</v>
      </c>
    </row>
    <row r="82" spans="1:19" s="814" customFormat="1" ht="36" customHeight="1">
      <c r="A82" s="1302"/>
      <c r="B82" s="1315"/>
      <c r="C82" s="1308"/>
      <c r="D82" s="27" t="s">
        <v>3603</v>
      </c>
      <c r="E82" s="27" t="s">
        <v>3604</v>
      </c>
      <c r="F82" s="821"/>
      <c r="G82" s="1312"/>
    </row>
    <row r="83" spans="1:19" s="814" customFormat="1" ht="36" customHeight="1">
      <c r="A83" s="1302"/>
      <c r="B83" s="1315"/>
      <c r="C83" s="1308"/>
      <c r="D83" s="27" t="s">
        <v>3605</v>
      </c>
      <c r="E83" s="27" t="s">
        <v>2621</v>
      </c>
      <c r="F83" s="821"/>
      <c r="G83" s="1312"/>
    </row>
    <row r="84" spans="1:19" s="814" customFormat="1" ht="36" customHeight="1">
      <c r="A84" s="1302"/>
      <c r="B84" s="1315"/>
      <c r="C84" s="1308"/>
      <c r="D84" s="27" t="s">
        <v>3606</v>
      </c>
      <c r="E84" s="27" t="s">
        <v>3607</v>
      </c>
      <c r="F84" s="821"/>
      <c r="G84" s="1312"/>
    </row>
    <row r="85" spans="1:19" s="814" customFormat="1" ht="36" customHeight="1">
      <c r="A85" s="1302"/>
      <c r="B85" s="1315"/>
      <c r="C85" s="1309"/>
      <c r="D85" s="27" t="s">
        <v>3608</v>
      </c>
      <c r="E85" s="27" t="s">
        <v>3609</v>
      </c>
      <c r="F85" s="821"/>
      <c r="G85" s="1313"/>
    </row>
    <row r="86" spans="1:19" s="814" customFormat="1" ht="36" customHeight="1">
      <c r="A86" s="1302"/>
      <c r="B86" s="1315"/>
      <c r="C86" s="822" t="s">
        <v>3623</v>
      </c>
      <c r="D86" s="27" t="s">
        <v>109</v>
      </c>
      <c r="E86" s="27" t="s">
        <v>3624</v>
      </c>
      <c r="F86" s="821" t="s">
        <v>107</v>
      </c>
      <c r="G86" s="819" t="s">
        <v>2598</v>
      </c>
      <c r="H86" s="814" t="s">
        <v>3625</v>
      </c>
      <c r="S86" s="814">
        <v>2750</v>
      </c>
    </row>
    <row r="87" spans="1:19" s="758" customFormat="1" ht="36" customHeight="1">
      <c r="A87" s="1302"/>
      <c r="B87" s="1315"/>
      <c r="C87" s="822" t="s">
        <v>321</v>
      </c>
      <c r="D87" s="27" t="s">
        <v>109</v>
      </c>
      <c r="E87" s="27" t="s">
        <v>320</v>
      </c>
      <c r="F87" s="821" t="s">
        <v>1004</v>
      </c>
      <c r="G87" s="819" t="s">
        <v>2610</v>
      </c>
      <c r="H87" s="758" t="s">
        <v>3632</v>
      </c>
    </row>
    <row r="88" spans="1:19" s="758" customFormat="1" ht="36" customHeight="1">
      <c r="A88" s="1302"/>
      <c r="B88" s="1315"/>
      <c r="C88" s="827" t="s">
        <v>397</v>
      </c>
      <c r="D88" s="40" t="s">
        <v>109</v>
      </c>
      <c r="E88" s="39" t="s">
        <v>3644</v>
      </c>
      <c r="F88" s="826" t="s">
        <v>1004</v>
      </c>
      <c r="G88" s="825" t="s">
        <v>3635</v>
      </c>
      <c r="H88" s="758" t="s">
        <v>3634</v>
      </c>
    </row>
    <row r="89" spans="1:19" s="758" customFormat="1" ht="36" customHeight="1" thickBot="1">
      <c r="A89" s="1302"/>
      <c r="B89" s="1315"/>
      <c r="C89" s="818" t="s">
        <v>3636</v>
      </c>
      <c r="D89" s="824" t="s">
        <v>109</v>
      </c>
      <c r="E89" s="54" t="s">
        <v>320</v>
      </c>
      <c r="F89" s="820" t="s">
        <v>298</v>
      </c>
      <c r="G89" s="819" t="s">
        <v>350</v>
      </c>
    </row>
    <row r="90" spans="1:19" s="758" customFormat="1" ht="36" customHeight="1" thickBot="1">
      <c r="A90" s="1303"/>
      <c r="B90" s="1316"/>
      <c r="C90" s="12"/>
      <c r="D90" s="11"/>
      <c r="E90" s="10"/>
      <c r="F90" s="10"/>
      <c r="G90" s="9"/>
    </row>
    <row r="91" spans="1:19" s="758" customFormat="1" ht="36" customHeight="1">
      <c r="A91" s="1301">
        <v>44820</v>
      </c>
      <c r="B91" s="1314" t="s">
        <v>0</v>
      </c>
      <c r="C91" s="1307" t="s">
        <v>3582</v>
      </c>
      <c r="D91" s="27" t="s">
        <v>3583</v>
      </c>
      <c r="E91" s="27" t="s">
        <v>3584</v>
      </c>
      <c r="F91" s="834"/>
      <c r="G91" s="830"/>
    </row>
    <row r="92" spans="1:19" s="758" customFormat="1" ht="36" customHeight="1">
      <c r="A92" s="1302"/>
      <c r="B92" s="1315"/>
      <c r="C92" s="1308"/>
      <c r="D92" s="27" t="s">
        <v>3585</v>
      </c>
      <c r="E92" s="27" t="s">
        <v>3586</v>
      </c>
      <c r="F92" s="834"/>
      <c r="G92" s="830"/>
    </row>
    <row r="93" spans="1:19" s="758" customFormat="1" ht="36" customHeight="1">
      <c r="A93" s="1302"/>
      <c r="B93" s="1315"/>
      <c r="C93" s="1309"/>
      <c r="D93" s="40" t="s">
        <v>3587</v>
      </c>
      <c r="E93" s="39" t="s">
        <v>3588</v>
      </c>
      <c r="F93" s="834"/>
      <c r="G93" s="830"/>
    </row>
    <row r="94" spans="1:19" s="814" customFormat="1" ht="36" customHeight="1">
      <c r="A94" s="1302"/>
      <c r="B94" s="1315"/>
      <c r="C94" s="836" t="s">
        <v>3589</v>
      </c>
      <c r="D94" s="40" t="s">
        <v>3590</v>
      </c>
      <c r="E94" s="39" t="s">
        <v>3591</v>
      </c>
      <c r="F94" s="27"/>
      <c r="G94" s="41"/>
    </row>
    <row r="95" spans="1:19" s="814" customFormat="1" ht="36" customHeight="1">
      <c r="A95" s="1302"/>
      <c r="B95" s="1315"/>
      <c r="C95" s="836" t="s">
        <v>3541</v>
      </c>
      <c r="D95" s="27" t="s">
        <v>1974</v>
      </c>
      <c r="E95" s="27" t="s">
        <v>525</v>
      </c>
      <c r="F95" s="834"/>
      <c r="G95" s="831"/>
    </row>
    <row r="96" spans="1:19" s="817" customFormat="1" ht="36" customHeight="1">
      <c r="A96" s="1302"/>
      <c r="B96" s="1315"/>
      <c r="C96" s="1310" t="s">
        <v>3618</v>
      </c>
      <c r="D96" s="27" t="s">
        <v>3631</v>
      </c>
      <c r="E96" s="27" t="s">
        <v>3619</v>
      </c>
      <c r="F96" s="27"/>
      <c r="G96" s="41"/>
    </row>
    <row r="97" spans="1:16" s="817" customFormat="1" ht="36" customHeight="1">
      <c r="A97" s="1302"/>
      <c r="B97" s="1315"/>
      <c r="C97" s="1308"/>
      <c r="D97" s="834" t="s">
        <v>3620</v>
      </c>
      <c r="E97" s="834" t="s">
        <v>3621</v>
      </c>
      <c r="F97" s="834"/>
      <c r="G97" s="831"/>
    </row>
    <row r="98" spans="1:16" s="814" customFormat="1" ht="36" customHeight="1">
      <c r="A98" s="1302"/>
      <c r="B98" s="1315"/>
      <c r="C98" s="1309"/>
      <c r="D98" s="37" t="s">
        <v>109</v>
      </c>
      <c r="E98" s="36" t="s">
        <v>3622</v>
      </c>
      <c r="F98" s="834"/>
      <c r="G98" s="831"/>
    </row>
    <row r="99" spans="1:16" s="823" customFormat="1" ht="36" customHeight="1" thickBot="1">
      <c r="A99" s="1302"/>
      <c r="B99" s="1315"/>
      <c r="C99" s="835" t="s">
        <v>2798</v>
      </c>
      <c r="D99" s="44" t="s">
        <v>3650</v>
      </c>
      <c r="E99" s="43" t="s">
        <v>3651</v>
      </c>
      <c r="F99" s="833" t="s">
        <v>3654</v>
      </c>
      <c r="G99" s="832" t="s">
        <v>3652</v>
      </c>
      <c r="H99" s="823" t="s">
        <v>3653</v>
      </c>
      <c r="P99" s="823" t="s">
        <v>3655</v>
      </c>
    </row>
    <row r="100" spans="1:16" s="758" customFormat="1" ht="36" customHeight="1" thickBot="1">
      <c r="A100" s="1303"/>
      <c r="B100" s="1316"/>
      <c r="C100" s="12"/>
      <c r="D100" s="11"/>
      <c r="E100" s="10"/>
      <c r="F100" s="10"/>
      <c r="G100" s="9"/>
    </row>
    <row r="101" spans="1:16" s="758" customFormat="1" ht="60" customHeight="1" thickBot="1">
      <c r="A101" s="1298" t="s">
        <v>5</v>
      </c>
      <c r="B101" s="1299"/>
      <c r="C101" s="1299"/>
      <c r="D101" s="1299"/>
      <c r="E101" s="1299"/>
      <c r="F101" s="1299"/>
      <c r="G101" s="1300"/>
    </row>
    <row r="102" spans="1:16" s="758" customFormat="1" ht="36" customHeight="1">
      <c r="A102" s="1301">
        <v>44823</v>
      </c>
      <c r="B102" s="1314" t="s">
        <v>4</v>
      </c>
      <c r="C102" s="836" t="s">
        <v>394</v>
      </c>
      <c r="D102" s="27" t="s">
        <v>109</v>
      </c>
      <c r="E102" s="27" t="s">
        <v>168</v>
      </c>
      <c r="F102" s="834" t="s">
        <v>107</v>
      </c>
      <c r="G102" s="830"/>
    </row>
    <row r="103" spans="1:16" s="758" customFormat="1" ht="36" customHeight="1">
      <c r="A103" s="1302"/>
      <c r="B103" s="1315"/>
      <c r="C103" s="836" t="s">
        <v>3569</v>
      </c>
      <c r="D103" s="40" t="s">
        <v>109</v>
      </c>
      <c r="E103" s="39" t="s">
        <v>1404</v>
      </c>
      <c r="F103" s="834"/>
      <c r="G103" s="830"/>
      <c r="H103" s="758">
        <v>3150</v>
      </c>
    </row>
    <row r="104" spans="1:16" s="817" customFormat="1" ht="36" customHeight="1">
      <c r="A104" s="1302"/>
      <c r="B104" s="1315"/>
      <c r="C104" s="1310" t="s">
        <v>3617</v>
      </c>
      <c r="D104" s="40" t="s">
        <v>3626</v>
      </c>
      <c r="E104" s="39" t="s">
        <v>3621</v>
      </c>
      <c r="F104" s="834"/>
      <c r="G104" s="830"/>
    </row>
    <row r="105" spans="1:16" s="817" customFormat="1" ht="36" customHeight="1">
      <c r="A105" s="1302"/>
      <c r="B105" s="1315"/>
      <c r="C105" s="1308"/>
      <c r="D105" s="40" t="s">
        <v>3627</v>
      </c>
      <c r="E105" s="39" t="s">
        <v>3628</v>
      </c>
      <c r="F105" s="834"/>
      <c r="G105" s="830"/>
    </row>
    <row r="106" spans="1:16" s="817" customFormat="1" ht="36" customHeight="1">
      <c r="A106" s="1302"/>
      <c r="B106" s="1315"/>
      <c r="C106" s="1309"/>
      <c r="D106" s="40" t="s">
        <v>1334</v>
      </c>
      <c r="E106" s="39" t="s">
        <v>3629</v>
      </c>
      <c r="F106" s="834"/>
      <c r="G106" s="830"/>
    </row>
    <row r="107" spans="1:16" s="758" customFormat="1" ht="36" customHeight="1">
      <c r="A107" s="1302"/>
      <c r="B107" s="1315"/>
      <c r="C107" s="836" t="s">
        <v>3666</v>
      </c>
      <c r="D107" s="40" t="s">
        <v>3667</v>
      </c>
      <c r="E107" s="39" t="s">
        <v>3668</v>
      </c>
      <c r="F107" s="834"/>
      <c r="G107" s="830"/>
    </row>
    <row r="108" spans="1:16" s="828" customFormat="1" ht="36" customHeight="1" thickBot="1">
      <c r="A108" s="1302"/>
      <c r="B108" s="1315"/>
      <c r="C108" s="829" t="s">
        <v>3670</v>
      </c>
      <c r="D108" s="40" t="s">
        <v>3672</v>
      </c>
      <c r="E108" s="39" t="s">
        <v>408</v>
      </c>
      <c r="F108" s="834"/>
      <c r="G108" s="830" t="s">
        <v>3671</v>
      </c>
    </row>
    <row r="109" spans="1:16" s="758" customFormat="1" ht="36" hidden="1" customHeight="1" thickBot="1">
      <c r="A109" s="1302"/>
      <c r="B109" s="1315"/>
      <c r="C109" s="752"/>
      <c r="D109" s="16"/>
      <c r="E109" s="15"/>
      <c r="F109" s="482"/>
      <c r="G109" s="725"/>
    </row>
    <row r="110" spans="1:16" s="758" customFormat="1" ht="36" customHeight="1" thickBot="1">
      <c r="A110" s="1303"/>
      <c r="B110" s="1316"/>
      <c r="C110" s="12"/>
      <c r="D110" s="11"/>
      <c r="E110" s="10"/>
      <c r="F110" s="10"/>
      <c r="G110" s="9"/>
    </row>
    <row r="111" spans="1:16" s="758" customFormat="1" ht="36" customHeight="1">
      <c r="A111" s="1301">
        <v>44824</v>
      </c>
      <c r="B111" s="1314" t="s">
        <v>3</v>
      </c>
      <c r="C111" s="840" t="s">
        <v>3611</v>
      </c>
      <c r="D111" s="27" t="s">
        <v>3612</v>
      </c>
      <c r="E111" s="27" t="s">
        <v>3673</v>
      </c>
      <c r="F111" s="839"/>
      <c r="G111" s="838"/>
    </row>
    <row r="112" spans="1:16" s="758" customFormat="1" ht="36" customHeight="1">
      <c r="A112" s="1302"/>
      <c r="B112" s="1315"/>
      <c r="C112" s="840" t="s">
        <v>3663</v>
      </c>
      <c r="D112" s="27" t="s">
        <v>3664</v>
      </c>
      <c r="E112" s="27" t="s">
        <v>3669</v>
      </c>
      <c r="F112" s="839" t="s">
        <v>3665</v>
      </c>
      <c r="G112" s="838"/>
    </row>
    <row r="113" spans="1:8" s="758" customFormat="1" ht="36" hidden="1" customHeight="1">
      <c r="A113" s="1302"/>
      <c r="B113" s="1315"/>
      <c r="C113" s="64"/>
      <c r="D113" s="67"/>
      <c r="E113" s="19"/>
      <c r="F113" s="62"/>
      <c r="G113" s="626"/>
    </row>
    <row r="114" spans="1:8" s="758" customFormat="1" ht="36" hidden="1" customHeight="1" thickBot="1">
      <c r="A114" s="1302"/>
      <c r="B114" s="1315"/>
      <c r="C114" s="752"/>
      <c r="D114" s="16"/>
      <c r="E114" s="15"/>
      <c r="F114" s="482"/>
      <c r="G114" s="725"/>
    </row>
    <row r="115" spans="1:8" s="841" customFormat="1" ht="36" customHeight="1" thickBot="1">
      <c r="A115" s="1302"/>
      <c r="B115" s="1315"/>
      <c r="C115" s="851" t="s">
        <v>3694</v>
      </c>
      <c r="D115" s="40" t="s">
        <v>3695</v>
      </c>
      <c r="E115" s="39" t="s">
        <v>3692</v>
      </c>
      <c r="F115" s="850"/>
      <c r="G115" s="847"/>
      <c r="H115" s="841" t="s">
        <v>3696</v>
      </c>
    </row>
    <row r="116" spans="1:8" s="837" customFormat="1" ht="36" customHeight="1">
      <c r="A116" s="1302"/>
      <c r="B116" s="1315"/>
      <c r="C116" s="842" t="s">
        <v>2522</v>
      </c>
      <c r="D116" s="843" t="s">
        <v>1417</v>
      </c>
      <c r="E116" s="844" t="s">
        <v>3613</v>
      </c>
      <c r="F116" s="844" t="s">
        <v>1419</v>
      </c>
      <c r="G116" s="845"/>
    </row>
    <row r="117" spans="1:8" s="758" customFormat="1" ht="36" customHeight="1" thickBot="1">
      <c r="A117" s="1303"/>
      <c r="B117" s="1316"/>
      <c r="C117" s="81" t="s">
        <v>3615</v>
      </c>
      <c r="D117" s="80" t="s">
        <v>1417</v>
      </c>
      <c r="E117" s="79" t="s">
        <v>3616</v>
      </c>
      <c r="F117" s="79" t="s">
        <v>3614</v>
      </c>
      <c r="G117" s="78"/>
    </row>
    <row r="118" spans="1:8" s="823" customFormat="1" ht="36" customHeight="1">
      <c r="A118" s="1301">
        <v>44825</v>
      </c>
      <c r="B118" s="1317" t="s">
        <v>2</v>
      </c>
      <c r="C118" s="1307" t="s">
        <v>3633</v>
      </c>
      <c r="D118" s="27" t="s">
        <v>3677</v>
      </c>
      <c r="E118" s="27" t="s">
        <v>3697</v>
      </c>
      <c r="F118" s="850"/>
      <c r="G118" s="847"/>
      <c r="H118" s="823" t="s">
        <v>3698</v>
      </c>
    </row>
    <row r="119" spans="1:8" s="823" customFormat="1" ht="36" customHeight="1">
      <c r="A119" s="1302"/>
      <c r="B119" s="1318"/>
      <c r="C119" s="1309"/>
      <c r="D119" s="27" t="s">
        <v>3678</v>
      </c>
      <c r="E119" s="27" t="s">
        <v>1290</v>
      </c>
      <c r="F119" s="850"/>
      <c r="G119" s="847"/>
    </row>
    <row r="120" spans="1:8" s="823" customFormat="1" ht="36" customHeight="1">
      <c r="A120" s="1302"/>
      <c r="B120" s="1318"/>
      <c r="C120" s="1310" t="s">
        <v>3637</v>
      </c>
      <c r="D120" s="40" t="s">
        <v>3638</v>
      </c>
      <c r="E120" s="39" t="s">
        <v>3639</v>
      </c>
      <c r="F120" s="27"/>
      <c r="G120" s="1311" t="s">
        <v>3643</v>
      </c>
      <c r="H120" s="823" t="s">
        <v>3700</v>
      </c>
    </row>
    <row r="121" spans="1:8" s="823" customFormat="1" ht="36" customHeight="1">
      <c r="A121" s="1302"/>
      <c r="B121" s="1318"/>
      <c r="C121" s="1309"/>
      <c r="D121" s="40" t="s">
        <v>3640</v>
      </c>
      <c r="E121" s="39" t="s">
        <v>3641</v>
      </c>
      <c r="F121" s="850" t="s">
        <v>3642</v>
      </c>
      <c r="G121" s="1313"/>
      <c r="H121" s="823" t="s">
        <v>3699</v>
      </c>
    </row>
    <row r="122" spans="1:8" s="823" customFormat="1" ht="36" customHeight="1">
      <c r="A122" s="1302"/>
      <c r="B122" s="1318"/>
      <c r="C122" s="846"/>
      <c r="D122" s="37" t="s">
        <v>3645</v>
      </c>
      <c r="E122" s="36"/>
      <c r="F122" s="850"/>
      <c r="G122" s="848"/>
    </row>
    <row r="123" spans="1:8" s="823" customFormat="1" ht="36" customHeight="1">
      <c r="A123" s="1302"/>
      <c r="B123" s="1318"/>
      <c r="C123" s="1310" t="s">
        <v>3674</v>
      </c>
      <c r="D123" s="37" t="s">
        <v>3675</v>
      </c>
      <c r="E123" s="36" t="s">
        <v>3701</v>
      </c>
      <c r="F123" s="850" t="s">
        <v>3676</v>
      </c>
      <c r="G123" s="848"/>
    </row>
    <row r="124" spans="1:8" s="852" customFormat="1" ht="36" customHeight="1">
      <c r="A124" s="1302"/>
      <c r="B124" s="1318"/>
      <c r="C124" s="1309"/>
      <c r="D124" s="40" t="s">
        <v>1366</v>
      </c>
      <c r="E124" s="36" t="s">
        <v>3702</v>
      </c>
      <c r="F124" s="850"/>
      <c r="G124" s="848" t="s">
        <v>3703</v>
      </c>
      <c r="H124" s="852" t="s">
        <v>3704</v>
      </c>
    </row>
    <row r="125" spans="1:8" s="837" customFormat="1" ht="36" customHeight="1">
      <c r="A125" s="1302"/>
      <c r="B125" s="1318"/>
      <c r="C125" s="851" t="s">
        <v>2019</v>
      </c>
      <c r="D125" s="40" t="s">
        <v>3418</v>
      </c>
      <c r="E125" s="39" t="s">
        <v>382</v>
      </c>
      <c r="F125" s="27"/>
      <c r="G125" s="41" t="s">
        <v>416</v>
      </c>
    </row>
    <row r="126" spans="1:8" s="837" customFormat="1" ht="36" customHeight="1">
      <c r="A126" s="1302"/>
      <c r="B126" s="1318"/>
      <c r="C126" s="1310" t="s">
        <v>3709</v>
      </c>
      <c r="D126" s="40" t="s">
        <v>3710</v>
      </c>
      <c r="E126" s="39" t="s">
        <v>3711</v>
      </c>
      <c r="F126" s="27"/>
      <c r="G126" s="1311" t="s">
        <v>3716</v>
      </c>
    </row>
    <row r="127" spans="1:8" s="837" customFormat="1" ht="36" customHeight="1">
      <c r="A127" s="1302"/>
      <c r="B127" s="1318"/>
      <c r="C127" s="1308"/>
      <c r="D127" s="37" t="s">
        <v>3712</v>
      </c>
      <c r="E127" s="36" t="s">
        <v>3713</v>
      </c>
      <c r="F127" s="850" t="s">
        <v>3707</v>
      </c>
      <c r="G127" s="1312"/>
      <c r="H127" s="837" t="s">
        <v>3708</v>
      </c>
    </row>
    <row r="128" spans="1:8" s="852" customFormat="1" ht="36" customHeight="1" thickBot="1">
      <c r="A128" s="1302"/>
      <c r="B128" s="1318"/>
      <c r="C128" s="1324"/>
      <c r="D128" s="44" t="s">
        <v>3714</v>
      </c>
      <c r="E128" s="43" t="s">
        <v>3715</v>
      </c>
      <c r="F128" s="849"/>
      <c r="G128" s="1325"/>
    </row>
    <row r="129" spans="1:8" s="823" customFormat="1" ht="36" customHeight="1" thickBot="1">
      <c r="A129" s="1303"/>
      <c r="B129" s="1319"/>
      <c r="C129" s="12"/>
      <c r="D129" s="11"/>
      <c r="E129" s="10"/>
      <c r="F129" s="10"/>
      <c r="G129" s="9"/>
    </row>
    <row r="130" spans="1:8" s="758" customFormat="1" ht="36" customHeight="1">
      <c r="A130" s="1301">
        <v>44826</v>
      </c>
      <c r="B130" s="1314" t="s">
        <v>1</v>
      </c>
      <c r="C130" s="1307" t="s">
        <v>1424</v>
      </c>
      <c r="D130" s="27" t="s">
        <v>3682</v>
      </c>
      <c r="E130" s="27" t="s">
        <v>3683</v>
      </c>
      <c r="F130" s="854"/>
      <c r="G130" s="1322" t="s">
        <v>3693</v>
      </c>
    </row>
    <row r="131" spans="1:8" s="841" customFormat="1" ht="36" customHeight="1">
      <c r="A131" s="1302"/>
      <c r="B131" s="1315"/>
      <c r="C131" s="1308"/>
      <c r="D131" s="27" t="s">
        <v>3684</v>
      </c>
      <c r="E131" s="27" t="s">
        <v>3685</v>
      </c>
      <c r="F131" s="854"/>
      <c r="G131" s="1312"/>
    </row>
    <row r="132" spans="1:8" s="841" customFormat="1" ht="36" customHeight="1">
      <c r="A132" s="1302"/>
      <c r="B132" s="1315"/>
      <c r="C132" s="1308"/>
      <c r="D132" s="40" t="s">
        <v>3686</v>
      </c>
      <c r="E132" s="39" t="s">
        <v>3687</v>
      </c>
      <c r="F132" s="854"/>
      <c r="G132" s="1312"/>
    </row>
    <row r="133" spans="1:8" s="758" customFormat="1" ht="36" customHeight="1">
      <c r="A133" s="1302"/>
      <c r="B133" s="1315"/>
      <c r="C133" s="1309"/>
      <c r="D133" s="27" t="s">
        <v>3689</v>
      </c>
      <c r="E133" s="27" t="s">
        <v>3688</v>
      </c>
      <c r="F133" s="854" t="s">
        <v>3690</v>
      </c>
      <c r="G133" s="1313"/>
    </row>
    <row r="134" spans="1:8" s="858" customFormat="1" ht="36" customHeight="1">
      <c r="A134" s="1302"/>
      <c r="B134" s="1315"/>
      <c r="C134" s="1310" t="s">
        <v>3721</v>
      </c>
      <c r="D134" s="40" t="s">
        <v>3722</v>
      </c>
      <c r="E134" s="39" t="s">
        <v>3723</v>
      </c>
      <c r="F134" s="854" t="s">
        <v>3724</v>
      </c>
      <c r="G134" s="853" t="s">
        <v>3725</v>
      </c>
    </row>
    <row r="135" spans="1:8" s="858" customFormat="1" ht="36" customHeight="1">
      <c r="A135" s="1302"/>
      <c r="B135" s="1315"/>
      <c r="C135" s="1308"/>
      <c r="D135" s="40" t="s">
        <v>3719</v>
      </c>
      <c r="E135" s="39" t="s">
        <v>3726</v>
      </c>
      <c r="F135" s="854"/>
      <c r="G135" s="1311" t="s">
        <v>3729</v>
      </c>
    </row>
    <row r="136" spans="1:8" s="858" customFormat="1" ht="36" customHeight="1">
      <c r="A136" s="1302"/>
      <c r="B136" s="1315"/>
      <c r="C136" s="1309"/>
      <c r="D136" s="40" t="s">
        <v>3727</v>
      </c>
      <c r="E136" s="39" t="s">
        <v>3728</v>
      </c>
      <c r="F136" s="854"/>
      <c r="G136" s="1313"/>
    </row>
    <row r="137" spans="1:8" s="858" customFormat="1" ht="36" customHeight="1">
      <c r="A137" s="1302"/>
      <c r="B137" s="1315"/>
      <c r="C137" s="855" t="s">
        <v>1476</v>
      </c>
      <c r="D137" s="40" t="s">
        <v>1366</v>
      </c>
      <c r="E137" s="39" t="s">
        <v>1378</v>
      </c>
      <c r="F137" s="27" t="s">
        <v>3734</v>
      </c>
      <c r="G137" s="41"/>
    </row>
    <row r="138" spans="1:8" s="758" customFormat="1" ht="36" customHeight="1" thickBot="1">
      <c r="A138" s="1302"/>
      <c r="B138" s="1315"/>
      <c r="C138" s="855" t="s">
        <v>3750</v>
      </c>
      <c r="D138" s="40" t="s">
        <v>3751</v>
      </c>
      <c r="E138" s="39" t="s">
        <v>3752</v>
      </c>
      <c r="F138" s="854" t="s">
        <v>3753</v>
      </c>
      <c r="G138" s="853"/>
    </row>
    <row r="139" spans="1:8" s="758" customFormat="1" ht="36" hidden="1" customHeight="1" thickBot="1">
      <c r="A139" s="1302"/>
      <c r="B139" s="1315"/>
      <c r="C139" s="752"/>
      <c r="D139" s="16"/>
      <c r="E139" s="15"/>
      <c r="F139" s="482"/>
      <c r="G139" s="725"/>
    </row>
    <row r="140" spans="1:8" s="758" customFormat="1" ht="36" customHeight="1" thickBot="1">
      <c r="A140" s="1303"/>
      <c r="B140" s="1316"/>
      <c r="C140" s="12" t="s">
        <v>3646</v>
      </c>
      <c r="D140" s="11" t="s">
        <v>3647</v>
      </c>
      <c r="E140" s="10" t="s">
        <v>3648</v>
      </c>
      <c r="F140" s="10" t="s">
        <v>3649</v>
      </c>
      <c r="G140" s="9"/>
    </row>
    <row r="141" spans="1:8" s="758" customFormat="1" ht="36" customHeight="1">
      <c r="A141" s="1301">
        <v>44827</v>
      </c>
      <c r="B141" s="1314" t="s">
        <v>0</v>
      </c>
      <c r="C141" s="863" t="s">
        <v>3754</v>
      </c>
      <c r="D141" s="27" t="s">
        <v>3755</v>
      </c>
      <c r="E141" s="27" t="s">
        <v>520</v>
      </c>
      <c r="F141" s="862" t="s">
        <v>3756</v>
      </c>
      <c r="G141" s="861"/>
      <c r="H141" s="758" t="s">
        <v>3737</v>
      </c>
    </row>
    <row r="142" spans="1:8" s="758" customFormat="1" ht="36" customHeight="1">
      <c r="A142" s="1302"/>
      <c r="B142" s="1315"/>
      <c r="C142" s="863"/>
      <c r="D142" s="27" t="s">
        <v>3757</v>
      </c>
      <c r="E142" s="27"/>
      <c r="F142" s="862"/>
      <c r="G142" s="861"/>
      <c r="H142" s="758" t="s">
        <v>3730</v>
      </c>
    </row>
    <row r="143" spans="1:8" s="758" customFormat="1" ht="36" customHeight="1">
      <c r="A143" s="1302"/>
      <c r="B143" s="1315"/>
      <c r="C143" s="863" t="s">
        <v>3758</v>
      </c>
      <c r="D143" s="40" t="s">
        <v>3759</v>
      </c>
      <c r="E143" s="39" t="s">
        <v>3760</v>
      </c>
      <c r="F143" s="862"/>
      <c r="G143" s="41"/>
    </row>
    <row r="144" spans="1:8" s="864" customFormat="1" ht="36" customHeight="1">
      <c r="A144" s="1302"/>
      <c r="B144" s="1315"/>
      <c r="C144" s="1310" t="s">
        <v>3761</v>
      </c>
      <c r="D144" s="37" t="s">
        <v>3712</v>
      </c>
      <c r="E144" s="36" t="s">
        <v>3250</v>
      </c>
      <c r="F144" s="862" t="s">
        <v>3707</v>
      </c>
      <c r="G144" s="1311" t="s">
        <v>3763</v>
      </c>
    </row>
    <row r="145" spans="1:8" s="864" customFormat="1" ht="36" customHeight="1" thickBot="1">
      <c r="A145" s="1302"/>
      <c r="B145" s="1315"/>
      <c r="C145" s="1309"/>
      <c r="D145" s="27" t="s">
        <v>1330</v>
      </c>
      <c r="E145" s="36" t="s">
        <v>3762</v>
      </c>
      <c r="F145" s="862"/>
      <c r="G145" s="1313"/>
      <c r="H145" s="864" t="s">
        <v>3764</v>
      </c>
    </row>
    <row r="146" spans="1:8" s="858" customFormat="1" ht="36" hidden="1" customHeight="1">
      <c r="A146" s="1302"/>
      <c r="B146" s="1315"/>
      <c r="C146" s="857"/>
      <c r="D146" s="34"/>
      <c r="E146" s="33"/>
      <c r="F146" s="503"/>
      <c r="G146" s="860"/>
    </row>
    <row r="147" spans="1:8" s="758" customFormat="1" ht="36" hidden="1" customHeight="1" thickBot="1">
      <c r="A147" s="1302"/>
      <c r="B147" s="1315"/>
      <c r="C147" s="856"/>
      <c r="D147" s="30"/>
      <c r="E147" s="29"/>
      <c r="F147" s="482"/>
      <c r="G147" s="859"/>
    </row>
    <row r="148" spans="1:8" s="758" customFormat="1" ht="36" customHeight="1" thickBot="1">
      <c r="A148" s="1303"/>
      <c r="B148" s="1316"/>
      <c r="C148" s="12"/>
      <c r="D148" s="11"/>
      <c r="E148" s="10"/>
      <c r="F148" s="10"/>
      <c r="G148" s="9"/>
    </row>
    <row r="149" spans="1:8" s="758" customFormat="1" ht="60" customHeight="1" thickBot="1">
      <c r="A149" s="1298" t="s">
        <v>5</v>
      </c>
      <c r="B149" s="1299"/>
      <c r="C149" s="1299"/>
      <c r="D149" s="1299"/>
      <c r="E149" s="1299"/>
      <c r="F149" s="1299"/>
      <c r="G149" s="1300"/>
    </row>
    <row r="150" spans="1:8" s="758" customFormat="1" ht="36" customHeight="1">
      <c r="A150" s="1301">
        <v>44830</v>
      </c>
      <c r="B150" s="1314" t="s">
        <v>4</v>
      </c>
      <c r="C150" s="868" t="s">
        <v>3717</v>
      </c>
      <c r="D150" s="27" t="s">
        <v>3719</v>
      </c>
      <c r="E150" s="27" t="s">
        <v>3718</v>
      </c>
      <c r="F150" s="867"/>
      <c r="G150" s="865" t="s">
        <v>3720</v>
      </c>
    </row>
    <row r="151" spans="1:8" s="864" customFormat="1" ht="36" customHeight="1">
      <c r="A151" s="1302"/>
      <c r="B151" s="1315"/>
      <c r="C151" s="868" t="s">
        <v>3691</v>
      </c>
      <c r="D151" s="27" t="s">
        <v>1345</v>
      </c>
      <c r="E151" s="27" t="s">
        <v>1347</v>
      </c>
      <c r="F151" s="867"/>
      <c r="G151" s="865"/>
      <c r="H151" s="864" t="s">
        <v>3737</v>
      </c>
    </row>
    <row r="152" spans="1:8" s="864" customFormat="1" ht="36" customHeight="1">
      <c r="A152" s="1302"/>
      <c r="B152" s="1315"/>
      <c r="C152" s="1310" t="s">
        <v>3637</v>
      </c>
      <c r="D152" s="40" t="s">
        <v>3735</v>
      </c>
      <c r="E152" s="39" t="s">
        <v>1991</v>
      </c>
      <c r="F152" s="27" t="s">
        <v>3736</v>
      </c>
      <c r="G152" s="41"/>
    </row>
    <row r="153" spans="1:8" s="864" customFormat="1" ht="36" customHeight="1">
      <c r="A153" s="1302"/>
      <c r="B153" s="1315"/>
      <c r="C153" s="1309"/>
      <c r="D153" s="37" t="s">
        <v>3606</v>
      </c>
      <c r="E153" s="36" t="s">
        <v>3773</v>
      </c>
      <c r="F153" s="867" t="s">
        <v>3736</v>
      </c>
      <c r="G153" s="866"/>
    </row>
    <row r="154" spans="1:8" s="852" customFormat="1" ht="36" customHeight="1">
      <c r="A154" s="1302"/>
      <c r="B154" s="1315"/>
      <c r="C154" s="1310" t="s">
        <v>3731</v>
      </c>
      <c r="D154" s="27" t="s">
        <v>3732</v>
      </c>
      <c r="E154" s="27" t="s">
        <v>3733</v>
      </c>
      <c r="F154" s="867"/>
      <c r="G154" s="865" t="s">
        <v>3729</v>
      </c>
    </row>
    <row r="155" spans="1:8" ht="35.1" customHeight="1" thickBot="1">
      <c r="A155" s="1302"/>
      <c r="B155" s="1315"/>
      <c r="C155" s="1309"/>
      <c r="D155" s="27" t="s">
        <v>1496</v>
      </c>
      <c r="E155" s="39" t="s">
        <v>3805</v>
      </c>
      <c r="F155" s="867"/>
      <c r="G155" s="865" t="s">
        <v>3806</v>
      </c>
      <c r="H155" s="869"/>
    </row>
    <row r="156" spans="1:8" s="758" customFormat="1" ht="36" customHeight="1" thickBot="1">
      <c r="A156" s="1303"/>
      <c r="B156" s="1316"/>
      <c r="C156" s="12"/>
      <c r="D156" s="11"/>
      <c r="E156" s="10"/>
      <c r="F156" s="10"/>
      <c r="G156" s="9"/>
    </row>
    <row r="157" spans="1:8" s="758" customFormat="1" ht="36" customHeight="1">
      <c r="A157" s="1301">
        <v>44831</v>
      </c>
      <c r="B157" s="1314" t="s">
        <v>3</v>
      </c>
      <c r="C157" s="53" t="s">
        <v>3768</v>
      </c>
      <c r="D157" s="94" t="s">
        <v>3769</v>
      </c>
      <c r="E157" s="93" t="s">
        <v>3770</v>
      </c>
      <c r="F157" s="71"/>
      <c r="G157" s="92"/>
    </row>
    <row r="158" spans="1:8" s="869" customFormat="1" ht="36" customHeight="1">
      <c r="A158" s="1302"/>
      <c r="B158" s="1315"/>
      <c r="C158" s="873" t="s">
        <v>3765</v>
      </c>
      <c r="D158" s="27" t="s">
        <v>3766</v>
      </c>
      <c r="E158" s="27" t="s">
        <v>3767</v>
      </c>
      <c r="F158" s="27" t="s">
        <v>3772</v>
      </c>
      <c r="G158" s="41" t="s">
        <v>3771</v>
      </c>
    </row>
    <row r="159" spans="1:8" s="758" customFormat="1" ht="36" customHeight="1">
      <c r="A159" s="1302"/>
      <c r="B159" s="1315"/>
      <c r="C159" s="1308" t="s">
        <v>1495</v>
      </c>
      <c r="D159" s="872" t="s">
        <v>1496</v>
      </c>
      <c r="E159" s="872" t="s">
        <v>1479</v>
      </c>
      <c r="F159" s="872"/>
      <c r="G159" s="1311" t="s">
        <v>3800</v>
      </c>
    </row>
    <row r="160" spans="1:8" s="758" customFormat="1" ht="36" customHeight="1">
      <c r="A160" s="1302"/>
      <c r="B160" s="1315"/>
      <c r="C160" s="1308"/>
      <c r="D160" s="27" t="s">
        <v>1592</v>
      </c>
      <c r="E160" s="27" t="s">
        <v>1626</v>
      </c>
      <c r="F160" s="872"/>
      <c r="G160" s="1312"/>
    </row>
    <row r="161" spans="1:9" s="869" customFormat="1" ht="36" customHeight="1">
      <c r="A161" s="1302"/>
      <c r="B161" s="1315"/>
      <c r="C161" s="1309"/>
      <c r="D161" s="40" t="s">
        <v>1458</v>
      </c>
      <c r="E161" s="39" t="s">
        <v>1626</v>
      </c>
      <c r="F161" s="872"/>
      <c r="G161" s="1313"/>
    </row>
    <row r="162" spans="1:9" s="869" customFormat="1" ht="36" customHeight="1">
      <c r="A162" s="1302"/>
      <c r="B162" s="1315"/>
      <c r="C162" s="870" t="s">
        <v>3787</v>
      </c>
      <c r="D162" s="27" t="s">
        <v>1592</v>
      </c>
      <c r="E162" s="54" t="s">
        <v>3788</v>
      </c>
      <c r="F162" s="27" t="s">
        <v>3789</v>
      </c>
      <c r="G162" s="871" t="s">
        <v>3790</v>
      </c>
    </row>
    <row r="163" spans="1:9" ht="35.1" customHeight="1">
      <c r="A163" s="1302"/>
      <c r="B163" s="1315"/>
      <c r="C163" s="873" t="s">
        <v>3363</v>
      </c>
      <c r="D163" s="40" t="s">
        <v>109</v>
      </c>
      <c r="E163" s="39" t="s">
        <v>1891</v>
      </c>
      <c r="F163" s="872" t="s">
        <v>1529</v>
      </c>
      <c r="G163" s="871" t="s">
        <v>1530</v>
      </c>
      <c r="H163" s="869"/>
    </row>
    <row r="164" spans="1:9" ht="35.1" customHeight="1">
      <c r="A164" s="1302"/>
      <c r="B164" s="1315"/>
      <c r="C164" s="873" t="s">
        <v>3807</v>
      </c>
      <c r="D164" s="40" t="s">
        <v>109</v>
      </c>
      <c r="E164" s="39" t="s">
        <v>1891</v>
      </c>
      <c r="F164" s="872" t="s">
        <v>1529</v>
      </c>
      <c r="G164" s="871" t="s">
        <v>1530</v>
      </c>
      <c r="H164" s="869" t="s">
        <v>3808</v>
      </c>
    </row>
    <row r="165" spans="1:9" ht="35.1" customHeight="1">
      <c r="A165" s="1302"/>
      <c r="B165" s="1315"/>
      <c r="C165" s="873" t="s">
        <v>1506</v>
      </c>
      <c r="D165" s="40" t="s">
        <v>3818</v>
      </c>
      <c r="E165" s="39" t="s">
        <v>3819</v>
      </c>
      <c r="F165" s="872" t="s">
        <v>3820</v>
      </c>
      <c r="G165" s="871" t="s">
        <v>1649</v>
      </c>
      <c r="H165" s="874"/>
    </row>
    <row r="166" spans="1:9" s="869" customFormat="1" ht="36" customHeight="1" thickBot="1">
      <c r="A166" s="1302"/>
      <c r="B166" s="1315"/>
      <c r="C166" s="873" t="s">
        <v>1506</v>
      </c>
      <c r="D166" s="27" t="s">
        <v>3816</v>
      </c>
      <c r="E166" s="27" t="s">
        <v>3812</v>
      </c>
      <c r="F166" s="872" t="s">
        <v>3813</v>
      </c>
      <c r="G166" s="871" t="s">
        <v>3814</v>
      </c>
      <c r="H166" s="869" t="s">
        <v>3815</v>
      </c>
      <c r="I166" s="874" t="s">
        <v>3817</v>
      </c>
    </row>
    <row r="167" spans="1:9" s="758" customFormat="1" ht="36" customHeight="1" thickBot="1">
      <c r="A167" s="1303"/>
      <c r="B167" s="1316"/>
      <c r="C167" s="12" t="s">
        <v>3774</v>
      </c>
      <c r="D167" s="11" t="s">
        <v>3775</v>
      </c>
      <c r="E167" s="10" t="s">
        <v>3776</v>
      </c>
      <c r="F167" s="10" t="s">
        <v>3777</v>
      </c>
      <c r="G167" s="9"/>
    </row>
    <row r="168" spans="1:9" s="858" customFormat="1" ht="36" customHeight="1">
      <c r="A168" s="1301">
        <v>44832</v>
      </c>
      <c r="B168" s="1317" t="s">
        <v>2</v>
      </c>
      <c r="C168" s="1307" t="s">
        <v>3679</v>
      </c>
      <c r="D168" s="27" t="s">
        <v>3385</v>
      </c>
      <c r="E168" s="27" t="s">
        <v>3681</v>
      </c>
      <c r="F168" s="878"/>
      <c r="G168" s="877"/>
    </row>
    <row r="169" spans="1:9" s="858" customFormat="1" ht="36" customHeight="1">
      <c r="A169" s="1302"/>
      <c r="B169" s="1318"/>
      <c r="C169" s="1309"/>
      <c r="D169" s="27" t="s">
        <v>3680</v>
      </c>
      <c r="E169" s="27" t="s">
        <v>2078</v>
      </c>
      <c r="F169" s="878"/>
      <c r="G169" s="877"/>
    </row>
    <row r="170" spans="1:9" s="869" customFormat="1" ht="36" customHeight="1">
      <c r="A170" s="1302"/>
      <c r="B170" s="1318"/>
      <c r="C170" s="1310" t="s">
        <v>3783</v>
      </c>
      <c r="D170" s="37" t="s">
        <v>3784</v>
      </c>
      <c r="E170" s="36" t="s">
        <v>3785</v>
      </c>
      <c r="F170" s="878" t="s">
        <v>3801</v>
      </c>
      <c r="G170" s="1311" t="s">
        <v>3799</v>
      </c>
    </row>
    <row r="171" spans="1:9" s="869" customFormat="1" ht="36" customHeight="1">
      <c r="A171" s="1302"/>
      <c r="B171" s="1318"/>
      <c r="C171" s="1309"/>
      <c r="D171" s="27" t="s">
        <v>1592</v>
      </c>
      <c r="E171" s="36" t="s">
        <v>3786</v>
      </c>
      <c r="F171" s="878" t="s">
        <v>3829</v>
      </c>
      <c r="G171" s="1313"/>
    </row>
    <row r="172" spans="1:9" s="758" customFormat="1" ht="36" customHeight="1">
      <c r="A172" s="1302"/>
      <c r="B172" s="1318"/>
      <c r="C172" s="879" t="s">
        <v>3830</v>
      </c>
      <c r="D172" s="40" t="s">
        <v>109</v>
      </c>
      <c r="E172" s="39" t="s">
        <v>3831</v>
      </c>
      <c r="F172" s="878" t="s">
        <v>3832</v>
      </c>
      <c r="G172" s="877" t="s">
        <v>3833</v>
      </c>
      <c r="H172" s="880" t="s">
        <v>3834</v>
      </c>
    </row>
    <row r="173" spans="1:9" s="880" customFormat="1" ht="30" customHeight="1" thickBot="1">
      <c r="A173" s="1302"/>
      <c r="B173" s="1318"/>
      <c r="C173" s="879" t="s">
        <v>1274</v>
      </c>
      <c r="D173" s="27" t="s">
        <v>109</v>
      </c>
      <c r="E173" s="27" t="s">
        <v>1745</v>
      </c>
      <c r="F173" s="878" t="s">
        <v>1825</v>
      </c>
      <c r="G173" s="877" t="s">
        <v>1649</v>
      </c>
    </row>
    <row r="174" spans="1:9" s="758" customFormat="1" ht="36" hidden="1" customHeight="1" thickBot="1">
      <c r="A174" s="1302"/>
      <c r="B174" s="1318"/>
      <c r="C174" s="752"/>
      <c r="D174" s="16"/>
      <c r="E174" s="15"/>
      <c r="F174" s="482"/>
      <c r="G174" s="725"/>
    </row>
    <row r="175" spans="1:9" s="758" customFormat="1" ht="36" customHeight="1" thickBot="1">
      <c r="A175" s="1303"/>
      <c r="B175" s="1319"/>
      <c r="C175" s="12"/>
      <c r="D175" s="11"/>
      <c r="E175" s="10"/>
      <c r="F175" s="10"/>
      <c r="G175" s="9"/>
    </row>
    <row r="176" spans="1:9" s="858" customFormat="1" ht="36" customHeight="1">
      <c r="A176" s="1301">
        <v>44833</v>
      </c>
      <c r="B176" s="1317" t="s">
        <v>1</v>
      </c>
      <c r="C176" s="1307" t="s">
        <v>3738</v>
      </c>
      <c r="D176" s="27" t="s">
        <v>3739</v>
      </c>
      <c r="E176" s="27" t="s">
        <v>3740</v>
      </c>
      <c r="F176" s="885" t="s">
        <v>3809</v>
      </c>
      <c r="G176" s="882"/>
    </row>
    <row r="177" spans="1:8" s="858" customFormat="1" ht="36" customHeight="1">
      <c r="A177" s="1302"/>
      <c r="B177" s="1318"/>
      <c r="C177" s="1308"/>
      <c r="D177" s="27" t="s">
        <v>3742</v>
      </c>
      <c r="E177" s="27" t="s">
        <v>3733</v>
      </c>
      <c r="F177" s="885"/>
      <c r="G177" s="882"/>
    </row>
    <row r="178" spans="1:8" s="858" customFormat="1" ht="36" customHeight="1">
      <c r="A178" s="1302"/>
      <c r="B178" s="1318"/>
      <c r="C178" s="1309"/>
      <c r="D178" s="40" t="s">
        <v>3743</v>
      </c>
      <c r="E178" s="39" t="s">
        <v>3741</v>
      </c>
      <c r="F178" s="885"/>
      <c r="G178" s="882"/>
    </row>
    <row r="179" spans="1:8" s="869" customFormat="1" ht="36" customHeight="1">
      <c r="A179" s="1302"/>
      <c r="B179" s="1318"/>
      <c r="C179" s="881" t="s">
        <v>3804</v>
      </c>
      <c r="D179" s="884" t="s">
        <v>3802</v>
      </c>
      <c r="E179" s="884" t="s">
        <v>3795</v>
      </c>
      <c r="F179" s="885" t="s">
        <v>3803</v>
      </c>
      <c r="G179" s="882"/>
    </row>
    <row r="180" spans="1:8" s="758" customFormat="1" ht="36" customHeight="1">
      <c r="A180" s="1302"/>
      <c r="B180" s="1318"/>
      <c r="C180" s="886" t="s">
        <v>3835</v>
      </c>
      <c r="D180" s="890" t="s">
        <v>109</v>
      </c>
      <c r="E180" s="54" t="s">
        <v>2239</v>
      </c>
      <c r="F180" s="27" t="s">
        <v>1278</v>
      </c>
      <c r="G180" s="882"/>
      <c r="H180" s="892" t="s">
        <v>3836</v>
      </c>
    </row>
    <row r="181" spans="1:8" s="889" customFormat="1" ht="30" customHeight="1">
      <c r="A181" s="1302"/>
      <c r="B181" s="1318"/>
      <c r="C181" s="1308" t="s">
        <v>3837</v>
      </c>
      <c r="D181" s="27" t="s">
        <v>1282</v>
      </c>
      <c r="E181" s="27" t="s">
        <v>3838</v>
      </c>
      <c r="F181" s="885"/>
      <c r="G181" s="1311" t="s">
        <v>3846</v>
      </c>
    </row>
    <row r="182" spans="1:8" s="889" customFormat="1" ht="30" customHeight="1">
      <c r="A182" s="1302"/>
      <c r="B182" s="1318"/>
      <c r="C182" s="1308"/>
      <c r="D182" s="40" t="s">
        <v>3839</v>
      </c>
      <c r="E182" s="39" t="s">
        <v>3840</v>
      </c>
      <c r="F182" s="885"/>
      <c r="G182" s="1312"/>
    </row>
    <row r="183" spans="1:8" s="889" customFormat="1" ht="30" customHeight="1">
      <c r="A183" s="1302"/>
      <c r="B183" s="1318"/>
      <c r="C183" s="1308"/>
      <c r="D183" s="27" t="s">
        <v>3841</v>
      </c>
      <c r="E183" s="27" t="s">
        <v>3842</v>
      </c>
      <c r="F183" s="885"/>
      <c r="G183" s="1312"/>
    </row>
    <row r="184" spans="1:8" s="889" customFormat="1" ht="30" customHeight="1">
      <c r="A184" s="1302"/>
      <c r="B184" s="1318"/>
      <c r="C184" s="1308"/>
      <c r="D184" s="890" t="s">
        <v>109</v>
      </c>
      <c r="E184" s="39" t="s">
        <v>3843</v>
      </c>
      <c r="F184" s="885"/>
      <c r="G184" s="1312"/>
    </row>
    <row r="185" spans="1:8" s="889" customFormat="1" ht="30" customHeight="1">
      <c r="A185" s="1302"/>
      <c r="B185" s="1318"/>
      <c r="C185" s="1309"/>
      <c r="D185" s="890" t="s">
        <v>3844</v>
      </c>
      <c r="E185" s="27" t="s">
        <v>3845</v>
      </c>
      <c r="F185" s="885"/>
      <c r="G185" s="1313"/>
    </row>
    <row r="186" spans="1:8" s="889" customFormat="1" ht="30" customHeight="1">
      <c r="A186" s="1302"/>
      <c r="B186" s="1318"/>
      <c r="C186" s="1310" t="s">
        <v>3851</v>
      </c>
      <c r="D186" s="890" t="s">
        <v>109</v>
      </c>
      <c r="E186" s="27" t="s">
        <v>3854</v>
      </c>
      <c r="F186" s="885"/>
      <c r="G186" s="1311" t="s">
        <v>3861</v>
      </c>
    </row>
    <row r="187" spans="1:8" s="889" customFormat="1" ht="30" customHeight="1">
      <c r="A187" s="1302"/>
      <c r="B187" s="1318"/>
      <c r="C187" s="1308"/>
      <c r="D187" s="890" t="s">
        <v>3852</v>
      </c>
      <c r="E187" s="27" t="s">
        <v>3855</v>
      </c>
      <c r="F187" s="885"/>
      <c r="G187" s="1312"/>
    </row>
    <row r="188" spans="1:8" s="889" customFormat="1" ht="30" customHeight="1">
      <c r="A188" s="1302"/>
      <c r="B188" s="1318"/>
      <c r="C188" s="1308"/>
      <c r="D188" s="890" t="s">
        <v>3853</v>
      </c>
      <c r="E188" s="27" t="s">
        <v>3856</v>
      </c>
      <c r="F188" s="885"/>
      <c r="G188" s="1312"/>
    </row>
    <row r="189" spans="1:8" s="889" customFormat="1" ht="30" customHeight="1">
      <c r="A189" s="1302"/>
      <c r="B189" s="1318"/>
      <c r="C189" s="1308"/>
      <c r="D189" s="890" t="s">
        <v>3857</v>
      </c>
      <c r="E189" s="27" t="s">
        <v>3858</v>
      </c>
      <c r="F189" s="885"/>
      <c r="G189" s="1313"/>
    </row>
    <row r="190" spans="1:8" s="889" customFormat="1" ht="30" customHeight="1">
      <c r="A190" s="1302"/>
      <c r="B190" s="1318"/>
      <c r="C190" s="1308"/>
      <c r="D190" s="890" t="s">
        <v>3859</v>
      </c>
      <c r="E190" s="27" t="s">
        <v>3860</v>
      </c>
      <c r="F190" s="885"/>
      <c r="G190" s="1312" t="s">
        <v>3846</v>
      </c>
      <c r="H190" s="889" t="s">
        <v>3863</v>
      </c>
    </row>
    <row r="191" spans="1:8" s="889" customFormat="1" ht="30" customHeight="1">
      <c r="A191" s="1302"/>
      <c r="B191" s="1318"/>
      <c r="C191" s="1309"/>
      <c r="D191" s="890" t="s">
        <v>109</v>
      </c>
      <c r="E191" s="27" t="s">
        <v>3862</v>
      </c>
      <c r="F191" s="885"/>
      <c r="G191" s="1313"/>
    </row>
    <row r="192" spans="1:8" s="889" customFormat="1" ht="30" customHeight="1" thickBot="1">
      <c r="A192" s="1302"/>
      <c r="B192" s="1318"/>
      <c r="C192" s="881" t="s">
        <v>3864</v>
      </c>
      <c r="D192" s="890" t="s">
        <v>109</v>
      </c>
      <c r="E192" s="27" t="s">
        <v>3865</v>
      </c>
      <c r="F192" s="885" t="s">
        <v>107</v>
      </c>
      <c r="G192" s="883" t="s">
        <v>3867</v>
      </c>
      <c r="H192" s="889" t="s">
        <v>3866</v>
      </c>
    </row>
    <row r="193" spans="1:8" s="889" customFormat="1" ht="30" hidden="1" customHeight="1">
      <c r="A193" s="1302"/>
      <c r="B193" s="1318"/>
      <c r="C193" s="21"/>
      <c r="D193" s="20"/>
      <c r="E193" s="19"/>
      <c r="F193" s="22"/>
      <c r="G193" s="96"/>
    </row>
    <row r="194" spans="1:8" s="889" customFormat="1" ht="30" hidden="1" customHeight="1">
      <c r="A194" s="1302"/>
      <c r="B194" s="1318"/>
      <c r="C194" s="888"/>
      <c r="D194" s="34"/>
      <c r="E194" s="33"/>
      <c r="F194" s="503"/>
      <c r="G194" s="860"/>
    </row>
    <row r="195" spans="1:8" s="889" customFormat="1" ht="30" hidden="1" customHeight="1" thickBot="1">
      <c r="A195" s="1302"/>
      <c r="B195" s="1318"/>
      <c r="C195" s="887"/>
      <c r="D195" s="30"/>
      <c r="E195" s="29"/>
      <c r="F195" s="482"/>
      <c r="G195" s="859"/>
    </row>
    <row r="196" spans="1:8" s="758" customFormat="1" ht="36" customHeight="1" thickBot="1">
      <c r="A196" s="1303"/>
      <c r="B196" s="1319"/>
      <c r="C196" s="12"/>
      <c r="D196" s="11"/>
      <c r="E196" s="10"/>
      <c r="F196" s="10"/>
      <c r="G196" s="9"/>
    </row>
    <row r="197" spans="1:8" s="858" customFormat="1" ht="36" customHeight="1">
      <c r="A197" s="1301">
        <v>44834</v>
      </c>
      <c r="B197" s="1317" t="s">
        <v>0</v>
      </c>
      <c r="C197" s="53" t="s">
        <v>3780</v>
      </c>
      <c r="D197" s="27" t="s">
        <v>3781</v>
      </c>
      <c r="E197" s="27" t="s">
        <v>3782</v>
      </c>
      <c r="F197" s="896"/>
      <c r="G197" s="894"/>
    </row>
    <row r="198" spans="1:8" s="869" customFormat="1" ht="36" customHeight="1">
      <c r="A198" s="1302"/>
      <c r="B198" s="1318"/>
      <c r="C198" s="898" t="s">
        <v>3873</v>
      </c>
      <c r="D198" s="897" t="s">
        <v>3874</v>
      </c>
      <c r="E198" s="897" t="s">
        <v>3875</v>
      </c>
      <c r="F198" s="27"/>
      <c r="G198" s="894"/>
    </row>
    <row r="199" spans="1:8" s="869" customFormat="1" ht="36" customHeight="1">
      <c r="A199" s="1302"/>
      <c r="B199" s="1318"/>
      <c r="C199" s="898" t="s">
        <v>2420</v>
      </c>
      <c r="D199" s="897" t="s">
        <v>3877</v>
      </c>
      <c r="E199" s="897" t="s">
        <v>3876</v>
      </c>
      <c r="F199" s="27"/>
      <c r="G199" s="894"/>
    </row>
    <row r="200" spans="1:8" s="889" customFormat="1" ht="36" customHeight="1">
      <c r="A200" s="1302"/>
      <c r="B200" s="1318"/>
      <c r="C200" s="898" t="s">
        <v>3878</v>
      </c>
      <c r="D200" s="27" t="s">
        <v>3879</v>
      </c>
      <c r="E200" s="27" t="s">
        <v>3880</v>
      </c>
      <c r="F200" s="27"/>
      <c r="G200" s="41"/>
    </row>
    <row r="201" spans="1:8" s="889" customFormat="1" ht="36" customHeight="1" thickBot="1">
      <c r="A201" s="1302"/>
      <c r="B201" s="1318"/>
      <c r="C201" s="893" t="s">
        <v>110</v>
      </c>
      <c r="D201" s="896" t="s">
        <v>109</v>
      </c>
      <c r="E201" s="896" t="s">
        <v>3890</v>
      </c>
      <c r="F201" s="896" t="s">
        <v>107</v>
      </c>
      <c r="G201" s="895" t="s">
        <v>3891</v>
      </c>
      <c r="H201" s="900" t="s">
        <v>3892</v>
      </c>
    </row>
    <row r="202" spans="1:8" s="889" customFormat="1" ht="36" hidden="1" customHeight="1">
      <c r="A202" s="1302"/>
      <c r="B202" s="1318"/>
      <c r="C202" s="888"/>
      <c r="D202" s="503"/>
      <c r="E202" s="503"/>
      <c r="F202" s="503"/>
      <c r="G202" s="860"/>
    </row>
    <row r="203" spans="1:8" s="758" customFormat="1" ht="36" hidden="1" customHeight="1" thickBot="1">
      <c r="A203" s="1302"/>
      <c r="B203" s="1318"/>
      <c r="C203" s="887"/>
      <c r="D203" s="30"/>
      <c r="E203" s="29"/>
      <c r="F203" s="482"/>
      <c r="G203" s="859"/>
    </row>
    <row r="204" spans="1:8" s="758" customFormat="1" ht="36" customHeight="1" thickBot="1">
      <c r="A204" s="1303"/>
      <c r="B204" s="1319"/>
      <c r="C204" s="12"/>
      <c r="D204" s="11"/>
      <c r="E204" s="10"/>
      <c r="F204" s="10"/>
      <c r="G204" s="9"/>
    </row>
  </sheetData>
  <mergeCells count="104">
    <mergeCell ref="G181:G185"/>
    <mergeCell ref="C186:C191"/>
    <mergeCell ref="G186:G189"/>
    <mergeCell ref="G190:G191"/>
    <mergeCell ref="A75:A79"/>
    <mergeCell ref="B75:B79"/>
    <mergeCell ref="A80:A90"/>
    <mergeCell ref="B80:B90"/>
    <mergeCell ref="A91:A100"/>
    <mergeCell ref="B91:B100"/>
    <mergeCell ref="B102:B110"/>
    <mergeCell ref="A111:A117"/>
    <mergeCell ref="A149:G149"/>
    <mergeCell ref="B111:B117"/>
    <mergeCell ref="A118:A129"/>
    <mergeCell ref="B118:B129"/>
    <mergeCell ref="A130:A140"/>
    <mergeCell ref="B130:B140"/>
    <mergeCell ref="A141:A148"/>
    <mergeCell ref="B141:B148"/>
    <mergeCell ref="C104:C106"/>
    <mergeCell ref="C118:C119"/>
    <mergeCell ref="G126:G128"/>
    <mergeCell ref="C144:C145"/>
    <mergeCell ref="G144:G145"/>
    <mergeCell ref="C134:C136"/>
    <mergeCell ref="A1:G1"/>
    <mergeCell ref="A2:A11"/>
    <mergeCell ref="B2:B11"/>
    <mergeCell ref="A12:A33"/>
    <mergeCell ref="B12:B33"/>
    <mergeCell ref="C12:C15"/>
    <mergeCell ref="C16:C18"/>
    <mergeCell ref="G16:G18"/>
    <mergeCell ref="G12:G15"/>
    <mergeCell ref="G19:G24"/>
    <mergeCell ref="C5:C6"/>
    <mergeCell ref="G5:G6"/>
    <mergeCell ref="C29:C30"/>
    <mergeCell ref="G27:G28"/>
    <mergeCell ref="C27:C28"/>
    <mergeCell ref="C9:C10"/>
    <mergeCell ref="A35:A45"/>
    <mergeCell ref="B35:B45"/>
    <mergeCell ref="A34:G34"/>
    <mergeCell ref="A63:G63"/>
    <mergeCell ref="A64:A74"/>
    <mergeCell ref="B64:B74"/>
    <mergeCell ref="A46:A54"/>
    <mergeCell ref="B46:B54"/>
    <mergeCell ref="A55:A58"/>
    <mergeCell ref="B55:B58"/>
    <mergeCell ref="A59:A62"/>
    <mergeCell ref="B59:B62"/>
    <mergeCell ref="C50:C51"/>
    <mergeCell ref="G39:G40"/>
    <mergeCell ref="C41:C43"/>
    <mergeCell ref="G41:G43"/>
    <mergeCell ref="G135:G136"/>
    <mergeCell ref="C39:C40"/>
    <mergeCell ref="G9:G10"/>
    <mergeCell ref="C75:C76"/>
    <mergeCell ref="D36:E36"/>
    <mergeCell ref="F42:F43"/>
    <mergeCell ref="C48:C49"/>
    <mergeCell ref="F48:F49"/>
    <mergeCell ref="G48:G49"/>
    <mergeCell ref="G35:G36"/>
    <mergeCell ref="C19:C25"/>
    <mergeCell ref="C65:C66"/>
    <mergeCell ref="C67:C69"/>
    <mergeCell ref="A101:G101"/>
    <mergeCell ref="A102:A110"/>
    <mergeCell ref="C130:C133"/>
    <mergeCell ref="G130:G133"/>
    <mergeCell ref="F50:F51"/>
    <mergeCell ref="G50:G51"/>
    <mergeCell ref="C91:C93"/>
    <mergeCell ref="C81:C85"/>
    <mergeCell ref="G81:G85"/>
    <mergeCell ref="C96:C98"/>
    <mergeCell ref="G120:G121"/>
    <mergeCell ref="C120:C121"/>
    <mergeCell ref="C123:C124"/>
    <mergeCell ref="C126:C128"/>
    <mergeCell ref="A197:A204"/>
    <mergeCell ref="B197:B204"/>
    <mergeCell ref="C168:C169"/>
    <mergeCell ref="A168:A175"/>
    <mergeCell ref="B168:B175"/>
    <mergeCell ref="C176:C178"/>
    <mergeCell ref="A176:A196"/>
    <mergeCell ref="B176:B196"/>
    <mergeCell ref="C170:C171"/>
    <mergeCell ref="C181:C185"/>
    <mergeCell ref="G170:G171"/>
    <mergeCell ref="G159:G161"/>
    <mergeCell ref="C154:C155"/>
    <mergeCell ref="A150:A156"/>
    <mergeCell ref="B150:B156"/>
    <mergeCell ref="C152:C153"/>
    <mergeCell ref="C159:C161"/>
    <mergeCell ref="A157:A167"/>
    <mergeCell ref="B157:B16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"/>
  <sheetViews>
    <sheetView topLeftCell="A12" zoomScale="70" zoomScaleNormal="70" zoomScaleSheetLayoutView="70" workbookViewId="0">
      <selection activeCell="D99" sqref="D99:E99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858" customWidth="1"/>
    <col min="9" max="17" width="9" style="1"/>
    <col min="18" max="18" width="12.25" style="1" bestFit="1" customWidth="1"/>
    <col min="19" max="16384" width="9" style="1"/>
  </cols>
  <sheetData>
    <row r="1" spans="1:8" s="858" customFormat="1" ht="60" customHeight="1" thickBot="1">
      <c r="A1" s="1298" t="s">
        <v>5</v>
      </c>
      <c r="B1" s="1299"/>
      <c r="C1" s="1299"/>
      <c r="D1" s="1299"/>
      <c r="E1" s="1299"/>
      <c r="F1" s="1299"/>
      <c r="G1" s="1300"/>
    </row>
    <row r="2" spans="1:8" s="889" customFormat="1" ht="36" customHeight="1" thickBot="1">
      <c r="A2" s="1301">
        <v>44835</v>
      </c>
      <c r="B2" s="1317" t="s">
        <v>3869</v>
      </c>
      <c r="C2" s="53" t="s">
        <v>3870</v>
      </c>
      <c r="D2" s="27" t="s">
        <v>3871</v>
      </c>
      <c r="E2" s="27" t="s">
        <v>3872</v>
      </c>
      <c r="F2" s="906"/>
      <c r="G2" s="904"/>
    </row>
    <row r="3" spans="1:8" s="889" customFormat="1" ht="36" hidden="1" customHeight="1" thickBot="1">
      <c r="A3" s="1302"/>
      <c r="B3" s="1318"/>
      <c r="C3" s="21"/>
      <c r="D3" s="875"/>
      <c r="E3" s="875"/>
      <c r="F3" s="22"/>
      <c r="G3" s="876"/>
    </row>
    <row r="4" spans="1:8" s="889" customFormat="1" ht="36" hidden="1" customHeight="1">
      <c r="A4" s="1302"/>
      <c r="B4" s="1318"/>
      <c r="C4" s="888"/>
      <c r="D4" s="875"/>
      <c r="E4" s="875"/>
      <c r="F4" s="22"/>
      <c r="G4" s="876"/>
    </row>
    <row r="5" spans="1:8" s="889" customFormat="1" ht="36" hidden="1" customHeight="1">
      <c r="A5" s="1302"/>
      <c r="B5" s="1318"/>
      <c r="C5" s="891"/>
      <c r="D5" s="16"/>
      <c r="E5" s="15"/>
      <c r="F5" s="482"/>
      <c r="G5" s="876"/>
    </row>
    <row r="6" spans="1:8" s="889" customFormat="1" ht="36" customHeight="1" thickBot="1">
      <c r="A6" s="1303"/>
      <c r="B6" s="1319"/>
      <c r="C6" s="12"/>
      <c r="D6" s="11"/>
      <c r="E6" s="10"/>
      <c r="F6" s="10"/>
      <c r="G6" s="9"/>
    </row>
    <row r="7" spans="1:8" s="858" customFormat="1" ht="30" customHeight="1">
      <c r="A7" s="1301">
        <v>44838</v>
      </c>
      <c r="B7" s="1314" t="s">
        <v>3</v>
      </c>
      <c r="C7" s="907" t="s">
        <v>3747</v>
      </c>
      <c r="D7" s="27" t="s">
        <v>3748</v>
      </c>
      <c r="E7" s="27" t="s">
        <v>3749</v>
      </c>
      <c r="F7" s="906" t="s">
        <v>3811</v>
      </c>
      <c r="G7" s="904"/>
      <c r="H7" s="858" t="s">
        <v>3810</v>
      </c>
    </row>
    <row r="8" spans="1:8" s="874" customFormat="1" ht="30" customHeight="1">
      <c r="A8" s="1302"/>
      <c r="B8" s="1315"/>
      <c r="C8" s="907" t="s">
        <v>3847</v>
      </c>
      <c r="D8" s="40" t="s">
        <v>3848</v>
      </c>
      <c r="E8" s="39" t="s">
        <v>3849</v>
      </c>
      <c r="F8" s="906"/>
      <c r="G8" s="904" t="s">
        <v>3850</v>
      </c>
      <c r="H8" s="908" t="s">
        <v>3929</v>
      </c>
    </row>
    <row r="9" spans="1:8" s="874" customFormat="1" ht="30" customHeight="1">
      <c r="A9" s="1302"/>
      <c r="B9" s="1315"/>
      <c r="C9" s="903" t="s">
        <v>3912</v>
      </c>
      <c r="D9" s="909" t="s">
        <v>3913</v>
      </c>
      <c r="E9" s="54" t="s">
        <v>3923</v>
      </c>
      <c r="F9" s="27"/>
      <c r="G9" s="904" t="s">
        <v>3927</v>
      </c>
    </row>
    <row r="10" spans="1:8" s="908" customFormat="1" ht="30" customHeight="1">
      <c r="A10" s="1302"/>
      <c r="B10" s="1315"/>
      <c r="C10" s="907" t="s">
        <v>110</v>
      </c>
      <c r="D10" s="40" t="s">
        <v>109</v>
      </c>
      <c r="E10" s="39" t="s">
        <v>3916</v>
      </c>
      <c r="F10" s="906" t="s">
        <v>107</v>
      </c>
      <c r="G10" s="904" t="s">
        <v>106</v>
      </c>
    </row>
    <row r="11" spans="1:8" s="858" customFormat="1" ht="30" customHeight="1">
      <c r="A11" s="1302"/>
      <c r="B11" s="1315"/>
      <c r="C11" s="907" t="s">
        <v>2595</v>
      </c>
      <c r="D11" s="40" t="s">
        <v>109</v>
      </c>
      <c r="E11" s="39" t="s">
        <v>3917</v>
      </c>
      <c r="F11" s="906" t="s">
        <v>107</v>
      </c>
      <c r="G11" s="904"/>
      <c r="H11" s="858" t="s">
        <v>3918</v>
      </c>
    </row>
    <row r="12" spans="1:8" s="858" customFormat="1" ht="30" customHeight="1" thickBot="1">
      <c r="A12" s="1302"/>
      <c r="B12" s="1315"/>
      <c r="C12" s="903" t="s">
        <v>3919</v>
      </c>
      <c r="D12" s="909" t="s">
        <v>3920</v>
      </c>
      <c r="E12" s="54" t="s">
        <v>3922</v>
      </c>
      <c r="F12" s="905"/>
      <c r="G12" s="904" t="s">
        <v>3921</v>
      </c>
    </row>
    <row r="13" spans="1:8" s="858" customFormat="1" ht="30" customHeight="1" thickBot="1">
      <c r="A13" s="1303"/>
      <c r="B13" s="1316"/>
      <c r="C13" s="12"/>
      <c r="D13" s="11"/>
      <c r="E13" s="10"/>
      <c r="F13" s="10"/>
      <c r="G13" s="9"/>
    </row>
    <row r="14" spans="1:8" s="858" customFormat="1" ht="30" customHeight="1">
      <c r="A14" s="1301">
        <v>44839</v>
      </c>
      <c r="B14" s="1314" t="s">
        <v>2</v>
      </c>
      <c r="C14" s="1307" t="s">
        <v>3791</v>
      </c>
      <c r="D14" s="27" t="s">
        <v>3792</v>
      </c>
      <c r="E14" s="27" t="s">
        <v>3793</v>
      </c>
      <c r="F14" s="911"/>
      <c r="G14" s="910"/>
      <c r="H14" s="858" t="s">
        <v>3886</v>
      </c>
    </row>
    <row r="15" spans="1:8" s="858" customFormat="1" ht="30" customHeight="1">
      <c r="A15" s="1302"/>
      <c r="B15" s="1315"/>
      <c r="C15" s="1308"/>
      <c r="D15" s="27" t="s">
        <v>3794</v>
      </c>
      <c r="E15" s="27" t="s">
        <v>3911</v>
      </c>
      <c r="F15" s="911"/>
      <c r="G15" s="910"/>
    </row>
    <row r="16" spans="1:8" s="858" customFormat="1" ht="30" customHeight="1">
      <c r="A16" s="1302"/>
      <c r="B16" s="1315"/>
      <c r="C16" s="1309"/>
      <c r="D16" s="40" t="s">
        <v>3796</v>
      </c>
      <c r="E16" s="39" t="s">
        <v>3795</v>
      </c>
      <c r="F16" s="911"/>
      <c r="G16" s="910"/>
    </row>
    <row r="17" spans="1:8" s="880" customFormat="1" ht="30" customHeight="1">
      <c r="A17" s="1302"/>
      <c r="B17" s="1315"/>
      <c r="C17" s="1310" t="s">
        <v>3896</v>
      </c>
      <c r="D17" s="915" t="s">
        <v>3901</v>
      </c>
      <c r="E17" s="54" t="s">
        <v>3888</v>
      </c>
      <c r="F17" s="27"/>
      <c r="G17" s="1311" t="s">
        <v>3928</v>
      </c>
      <c r="H17" s="880" t="s">
        <v>3897</v>
      </c>
    </row>
    <row r="18" spans="1:8" s="900" customFormat="1" ht="30" customHeight="1">
      <c r="A18" s="1302"/>
      <c r="B18" s="1315"/>
      <c r="C18" s="1308"/>
      <c r="D18" s="40" t="s">
        <v>3924</v>
      </c>
      <c r="E18" s="39" t="s">
        <v>3898</v>
      </c>
      <c r="F18" s="911"/>
      <c r="G18" s="1312"/>
      <c r="H18" s="900" t="s">
        <v>3925</v>
      </c>
    </row>
    <row r="19" spans="1:8" s="900" customFormat="1" ht="30" customHeight="1">
      <c r="A19" s="1302"/>
      <c r="B19" s="1315"/>
      <c r="C19" s="1309"/>
      <c r="D19" s="37" t="s">
        <v>3899</v>
      </c>
      <c r="E19" s="36" t="s">
        <v>3900</v>
      </c>
      <c r="F19" s="911"/>
      <c r="G19" s="1313"/>
      <c r="H19" s="900" t="s">
        <v>3926</v>
      </c>
    </row>
    <row r="20" spans="1:8" s="914" customFormat="1" ht="30" customHeight="1">
      <c r="A20" s="1302"/>
      <c r="B20" s="1315"/>
      <c r="C20" s="912" t="s">
        <v>3932</v>
      </c>
      <c r="D20" s="40" t="s">
        <v>3933</v>
      </c>
      <c r="E20" s="39" t="s">
        <v>3934</v>
      </c>
      <c r="F20" s="27"/>
      <c r="G20" s="41" t="s">
        <v>3935</v>
      </c>
    </row>
    <row r="21" spans="1:8" s="914" customFormat="1" ht="30" customHeight="1" thickBot="1">
      <c r="A21" s="1302"/>
      <c r="B21" s="1315"/>
      <c r="C21" s="912" t="s">
        <v>3747</v>
      </c>
      <c r="D21" s="40" t="s">
        <v>2876</v>
      </c>
      <c r="E21" s="39" t="s">
        <v>1876</v>
      </c>
      <c r="F21" s="27"/>
      <c r="G21" s="41"/>
      <c r="H21" s="914" t="s">
        <v>3881</v>
      </c>
    </row>
    <row r="22" spans="1:8" s="914" customFormat="1" ht="30" hidden="1" customHeight="1">
      <c r="A22" s="1302"/>
      <c r="B22" s="1315"/>
      <c r="C22" s="913"/>
      <c r="D22" s="34"/>
      <c r="E22" s="33"/>
      <c r="F22" s="902"/>
      <c r="G22" s="916"/>
    </row>
    <row r="23" spans="1:8" s="858" customFormat="1" ht="30" hidden="1" customHeight="1" thickBot="1">
      <c r="A23" s="1302"/>
      <c r="B23" s="1315"/>
      <c r="C23" s="899"/>
      <c r="D23" s="30"/>
      <c r="E23" s="29"/>
      <c r="F23" s="482"/>
      <c r="G23" s="901"/>
    </row>
    <row r="24" spans="1:8" s="858" customFormat="1" ht="30" customHeight="1" thickBot="1">
      <c r="A24" s="1303"/>
      <c r="B24" s="1316"/>
      <c r="C24" s="12" t="s">
        <v>3882</v>
      </c>
      <c r="D24" s="11" t="s">
        <v>3883</v>
      </c>
      <c r="E24" s="10" t="s">
        <v>3884</v>
      </c>
      <c r="F24" s="10" t="s">
        <v>3885</v>
      </c>
      <c r="G24" s="9"/>
    </row>
    <row r="25" spans="1:8" s="858" customFormat="1" ht="30" customHeight="1">
      <c r="A25" s="1301">
        <v>44840</v>
      </c>
      <c r="B25" s="1314" t="s">
        <v>1</v>
      </c>
      <c r="C25" s="920" t="s">
        <v>3825</v>
      </c>
      <c r="D25" s="27" t="s">
        <v>3826</v>
      </c>
      <c r="E25" s="27" t="s">
        <v>3827</v>
      </c>
      <c r="F25" s="919" t="s">
        <v>3828</v>
      </c>
      <c r="G25" s="1322" t="s">
        <v>3952</v>
      </c>
    </row>
    <row r="26" spans="1:8" s="914" customFormat="1" ht="36" customHeight="1">
      <c r="A26" s="1302"/>
      <c r="B26" s="1315"/>
      <c r="C26" s="1310" t="s">
        <v>2383</v>
      </c>
      <c r="D26" s="918" t="s">
        <v>1630</v>
      </c>
      <c r="E26" s="918" t="s">
        <v>1549</v>
      </c>
      <c r="F26" s="919"/>
      <c r="G26" s="1312"/>
    </row>
    <row r="27" spans="1:8" s="914" customFormat="1" ht="36" customHeight="1">
      <c r="A27" s="1302"/>
      <c r="B27" s="1315"/>
      <c r="C27" s="1308"/>
      <c r="D27" s="918" t="s">
        <v>1734</v>
      </c>
      <c r="E27" s="918" t="s">
        <v>1548</v>
      </c>
      <c r="F27" s="919"/>
      <c r="G27" s="1312"/>
    </row>
    <row r="28" spans="1:8" s="914" customFormat="1" ht="36" customHeight="1">
      <c r="A28" s="1302"/>
      <c r="B28" s="1315"/>
      <c r="C28" s="1308"/>
      <c r="D28" s="918" t="s">
        <v>1547</v>
      </c>
      <c r="E28" s="918" t="s">
        <v>1548</v>
      </c>
      <c r="F28" s="919"/>
      <c r="G28" s="1312"/>
    </row>
    <row r="29" spans="1:8" s="914" customFormat="1" ht="36" customHeight="1">
      <c r="A29" s="1302"/>
      <c r="B29" s="1315"/>
      <c r="C29" s="1309"/>
      <c r="D29" s="918" t="s">
        <v>2681</v>
      </c>
      <c r="E29" s="918" t="s">
        <v>3868</v>
      </c>
      <c r="F29" s="919"/>
      <c r="G29" s="1313"/>
    </row>
    <row r="30" spans="1:8" s="880" customFormat="1" ht="36" customHeight="1">
      <c r="A30" s="1302"/>
      <c r="B30" s="1315"/>
      <c r="C30" s="1310" t="s">
        <v>3778</v>
      </c>
      <c r="D30" s="918" t="s">
        <v>3779</v>
      </c>
      <c r="E30" s="918" t="s">
        <v>525</v>
      </c>
      <c r="F30" s="27"/>
      <c r="G30" s="917"/>
    </row>
    <row r="31" spans="1:8" s="880" customFormat="1" ht="36" customHeight="1">
      <c r="A31" s="1302"/>
      <c r="B31" s="1315"/>
      <c r="C31" s="1309"/>
      <c r="D31" s="918" t="s">
        <v>1672</v>
      </c>
      <c r="E31" s="918" t="s">
        <v>525</v>
      </c>
      <c r="F31" s="27"/>
      <c r="G31" s="917"/>
    </row>
    <row r="32" spans="1:8" s="900" customFormat="1" ht="30" customHeight="1">
      <c r="A32" s="1302"/>
      <c r="B32" s="1315"/>
      <c r="C32" s="920" t="s">
        <v>3893</v>
      </c>
      <c r="D32" s="40" t="s">
        <v>3894</v>
      </c>
      <c r="E32" s="39" t="s">
        <v>3895</v>
      </c>
      <c r="F32" s="919"/>
      <c r="G32" s="917" t="s">
        <v>3951</v>
      </c>
      <c r="H32" s="900" t="s">
        <v>3936</v>
      </c>
    </row>
    <row r="33" spans="1:8" s="914" customFormat="1" ht="30" customHeight="1" thickBot="1">
      <c r="A33" s="1302"/>
      <c r="B33" s="1315"/>
      <c r="C33" s="920" t="s">
        <v>3946</v>
      </c>
      <c r="D33" s="40" t="s">
        <v>3947</v>
      </c>
      <c r="E33" s="39" t="s">
        <v>3948</v>
      </c>
      <c r="F33" s="27"/>
      <c r="G33" s="41" t="s">
        <v>3949</v>
      </c>
      <c r="H33" s="914" t="s">
        <v>3950</v>
      </c>
    </row>
    <row r="34" spans="1:8" s="914" customFormat="1" ht="30" hidden="1" customHeight="1">
      <c r="A34" s="1302"/>
      <c r="B34" s="1315"/>
      <c r="C34" s="21"/>
      <c r="D34" s="20"/>
      <c r="E34" s="19"/>
      <c r="F34" s="22"/>
      <c r="G34" s="96"/>
    </row>
    <row r="35" spans="1:8" s="858" customFormat="1" ht="30" hidden="1" customHeight="1" thickBot="1">
      <c r="A35" s="1302"/>
      <c r="B35" s="1315"/>
      <c r="C35" s="899"/>
      <c r="D35" s="30"/>
      <c r="E35" s="29"/>
      <c r="F35" s="482"/>
      <c r="G35" s="901"/>
    </row>
    <row r="36" spans="1:8" s="858" customFormat="1" ht="30" customHeight="1" thickBot="1">
      <c r="A36" s="1303"/>
      <c r="B36" s="1316"/>
      <c r="C36" s="12"/>
      <c r="D36" s="11"/>
      <c r="E36" s="10"/>
      <c r="F36" s="10"/>
      <c r="G36" s="9"/>
    </row>
    <row r="37" spans="1:8" s="908" customFormat="1" ht="36" customHeight="1">
      <c r="A37" s="1301">
        <v>44841</v>
      </c>
      <c r="B37" s="1317" t="s">
        <v>211</v>
      </c>
      <c r="C37" s="924" t="s">
        <v>3914</v>
      </c>
      <c r="D37" s="27" t="s">
        <v>2860</v>
      </c>
      <c r="E37" s="27" t="s">
        <v>3915</v>
      </c>
      <c r="F37" s="922"/>
      <c r="G37" s="921"/>
    </row>
    <row r="38" spans="1:8" s="900" customFormat="1" ht="30" customHeight="1">
      <c r="A38" s="1302"/>
      <c r="B38" s="1318"/>
      <c r="C38" s="1310" t="s">
        <v>3902</v>
      </c>
      <c r="D38" s="27" t="s">
        <v>3903</v>
      </c>
      <c r="E38" s="27" t="s">
        <v>3904</v>
      </c>
      <c r="F38" s="922"/>
      <c r="G38" s="921"/>
    </row>
    <row r="39" spans="1:8" s="900" customFormat="1" ht="30" customHeight="1">
      <c r="A39" s="1302"/>
      <c r="B39" s="1318"/>
      <c r="C39" s="1308"/>
      <c r="D39" s="27" t="s">
        <v>3905</v>
      </c>
      <c r="E39" s="27" t="s">
        <v>3906</v>
      </c>
      <c r="F39" s="922"/>
      <c r="G39" s="921"/>
    </row>
    <row r="40" spans="1:8" s="900" customFormat="1" ht="30" customHeight="1">
      <c r="A40" s="1302"/>
      <c r="B40" s="1318"/>
      <c r="C40" s="1308"/>
      <c r="D40" s="27" t="s">
        <v>3909</v>
      </c>
      <c r="E40" s="27" t="s">
        <v>3900</v>
      </c>
      <c r="F40" s="922"/>
      <c r="G40" s="921"/>
    </row>
    <row r="41" spans="1:8" s="914" customFormat="1" ht="36" customHeight="1">
      <c r="A41" s="1302"/>
      <c r="B41" s="1318"/>
      <c r="C41" s="1308"/>
      <c r="D41" s="923" t="s">
        <v>1734</v>
      </c>
      <c r="E41" s="923" t="s">
        <v>1562</v>
      </c>
      <c r="F41" s="922"/>
      <c r="G41" s="921"/>
    </row>
    <row r="42" spans="1:8" s="900" customFormat="1" ht="30" customHeight="1">
      <c r="A42" s="1302"/>
      <c r="B42" s="1318"/>
      <c r="C42" s="1309"/>
      <c r="D42" s="27" t="s">
        <v>3907</v>
      </c>
      <c r="E42" s="27" t="s">
        <v>3908</v>
      </c>
      <c r="F42" s="922" t="s">
        <v>3910</v>
      </c>
      <c r="G42" s="921"/>
    </row>
    <row r="43" spans="1:8" s="858" customFormat="1" ht="30" customHeight="1">
      <c r="A43" s="1302"/>
      <c r="B43" s="1318"/>
      <c r="C43" s="1310" t="s">
        <v>1484</v>
      </c>
      <c r="D43" s="27" t="s">
        <v>1496</v>
      </c>
      <c r="E43" s="27" t="s">
        <v>3959</v>
      </c>
      <c r="F43" s="922"/>
      <c r="G43" s="1311" t="s">
        <v>3963</v>
      </c>
      <c r="H43" s="925" t="s">
        <v>3961</v>
      </c>
    </row>
    <row r="44" spans="1:8" s="925" customFormat="1" ht="30" customHeight="1">
      <c r="A44" s="1302"/>
      <c r="B44" s="1318"/>
      <c r="C44" s="1309"/>
      <c r="D44" s="27" t="s">
        <v>1496</v>
      </c>
      <c r="E44" s="27" t="s">
        <v>3960</v>
      </c>
      <c r="F44" s="922"/>
      <c r="G44" s="1313"/>
      <c r="H44" s="925" t="s">
        <v>3962</v>
      </c>
    </row>
    <row r="45" spans="1:8" s="925" customFormat="1" ht="30" customHeight="1">
      <c r="A45" s="1302"/>
      <c r="B45" s="1318"/>
      <c r="C45" s="928" t="s">
        <v>3964</v>
      </c>
      <c r="D45" s="27" t="s">
        <v>109</v>
      </c>
      <c r="E45" s="27" t="s">
        <v>3965</v>
      </c>
      <c r="F45" s="931" t="s">
        <v>107</v>
      </c>
      <c r="G45" s="41" t="s">
        <v>3966</v>
      </c>
      <c r="H45" s="925" t="s">
        <v>3967</v>
      </c>
    </row>
    <row r="46" spans="1:8" s="925" customFormat="1" ht="30" customHeight="1" thickBot="1">
      <c r="A46" s="1302"/>
      <c r="B46" s="1318"/>
      <c r="C46" s="928" t="s">
        <v>3996</v>
      </c>
      <c r="D46" s="27" t="s">
        <v>3997</v>
      </c>
      <c r="E46" s="27" t="s">
        <v>3998</v>
      </c>
      <c r="F46" s="931"/>
      <c r="G46" s="930" t="s">
        <v>3999</v>
      </c>
    </row>
    <row r="47" spans="1:8" s="858" customFormat="1" ht="30" hidden="1" customHeight="1">
      <c r="A47" s="1302"/>
      <c r="B47" s="1318"/>
      <c r="C47" s="21"/>
      <c r="D47" s="20"/>
      <c r="E47" s="19"/>
      <c r="F47" s="503"/>
      <c r="G47" s="725"/>
    </row>
    <row r="48" spans="1:8" s="858" customFormat="1" ht="30" hidden="1" customHeight="1" thickBot="1">
      <c r="A48" s="1302"/>
      <c r="B48" s="1318"/>
      <c r="C48" s="752"/>
      <c r="D48" s="16"/>
      <c r="E48" s="15"/>
      <c r="F48" s="482"/>
      <c r="G48" s="725"/>
    </row>
    <row r="49" spans="1:8" s="858" customFormat="1" ht="30" customHeight="1" thickBot="1">
      <c r="A49" s="1303"/>
      <c r="B49" s="1319"/>
      <c r="C49" s="12" t="s">
        <v>3954</v>
      </c>
      <c r="D49" s="11" t="s">
        <v>3955</v>
      </c>
      <c r="E49" s="10" t="s">
        <v>3956</v>
      </c>
      <c r="F49" s="10" t="s">
        <v>3957</v>
      </c>
      <c r="G49" s="9"/>
    </row>
    <row r="50" spans="1:8" s="925" customFormat="1" ht="36" customHeight="1">
      <c r="A50" s="1301">
        <v>44842</v>
      </c>
      <c r="B50" s="1314" t="s">
        <v>3968</v>
      </c>
      <c r="C50" s="932" t="s">
        <v>3969</v>
      </c>
      <c r="D50" s="27" t="s">
        <v>3970</v>
      </c>
      <c r="E50" s="27" t="s">
        <v>3971</v>
      </c>
      <c r="F50" s="931" t="s">
        <v>3986</v>
      </c>
      <c r="G50" s="929" t="s">
        <v>3972</v>
      </c>
    </row>
    <row r="51" spans="1:8" s="925" customFormat="1" ht="36" customHeight="1">
      <c r="A51" s="1302"/>
      <c r="B51" s="1315"/>
      <c r="C51" s="1310" t="s">
        <v>3978</v>
      </c>
      <c r="D51" s="27" t="s">
        <v>3979</v>
      </c>
      <c r="E51" s="27" t="s">
        <v>3980</v>
      </c>
      <c r="F51" s="931"/>
      <c r="G51" s="929"/>
    </row>
    <row r="52" spans="1:8" s="925" customFormat="1" ht="36" customHeight="1">
      <c r="A52" s="1302"/>
      <c r="B52" s="1315"/>
      <c r="C52" s="1308"/>
      <c r="D52" s="27" t="s">
        <v>3981</v>
      </c>
      <c r="E52" s="27" t="s">
        <v>3982</v>
      </c>
      <c r="F52" s="931"/>
      <c r="G52" s="929"/>
    </row>
    <row r="53" spans="1:8" s="925" customFormat="1" ht="36" customHeight="1">
      <c r="A53" s="1302"/>
      <c r="B53" s="1315"/>
      <c r="C53" s="1308"/>
      <c r="D53" s="27" t="s">
        <v>3983</v>
      </c>
      <c r="E53" s="27" t="s">
        <v>3980</v>
      </c>
      <c r="F53" s="931"/>
      <c r="G53" s="929"/>
    </row>
    <row r="54" spans="1:8" s="925" customFormat="1" ht="36" customHeight="1" thickBot="1">
      <c r="A54" s="1302"/>
      <c r="B54" s="1315"/>
      <c r="C54" s="1309"/>
      <c r="D54" s="40" t="s">
        <v>109</v>
      </c>
      <c r="E54" s="39" t="s">
        <v>3984</v>
      </c>
      <c r="F54" s="931" t="s">
        <v>3985</v>
      </c>
      <c r="G54" s="929"/>
    </row>
    <row r="55" spans="1:8" s="925" customFormat="1" ht="36" hidden="1" customHeight="1" thickBot="1">
      <c r="A55" s="1302"/>
      <c r="B55" s="1315"/>
      <c r="C55" s="926"/>
      <c r="D55" s="16"/>
      <c r="E55" s="15"/>
      <c r="F55" s="482"/>
      <c r="G55" s="927"/>
    </row>
    <row r="56" spans="1:8" s="925" customFormat="1" ht="36" customHeight="1" thickBot="1">
      <c r="A56" s="1303"/>
      <c r="B56" s="1316"/>
      <c r="C56" s="12"/>
      <c r="D56" s="11"/>
      <c r="E56" s="10"/>
      <c r="F56" s="10"/>
      <c r="G56" s="9"/>
    </row>
    <row r="57" spans="1:8" s="858" customFormat="1" ht="60" customHeight="1" thickBot="1">
      <c r="A57" s="1298" t="s">
        <v>5</v>
      </c>
      <c r="B57" s="1299"/>
      <c r="C57" s="1299"/>
      <c r="D57" s="1299"/>
      <c r="E57" s="1299"/>
      <c r="F57" s="1299"/>
      <c r="G57" s="1300"/>
    </row>
    <row r="58" spans="1:8" s="925" customFormat="1" ht="30" customHeight="1">
      <c r="A58" s="1301">
        <v>44845</v>
      </c>
      <c r="B58" s="1317" t="s">
        <v>3</v>
      </c>
      <c r="C58" s="1310" t="s">
        <v>1484</v>
      </c>
      <c r="D58" s="27" t="s">
        <v>1496</v>
      </c>
      <c r="E58" s="27" t="s">
        <v>1628</v>
      </c>
      <c r="F58" s="931"/>
      <c r="G58" s="1322" t="s">
        <v>4009</v>
      </c>
    </row>
    <row r="59" spans="1:8" s="925" customFormat="1" ht="30" customHeight="1">
      <c r="A59" s="1302"/>
      <c r="B59" s="1318"/>
      <c r="C59" s="1308"/>
      <c r="D59" s="27" t="s">
        <v>2353</v>
      </c>
      <c r="E59" s="27" t="s">
        <v>2045</v>
      </c>
      <c r="F59" s="931"/>
      <c r="G59" s="1312"/>
    </row>
    <row r="60" spans="1:8" s="925" customFormat="1" ht="30" customHeight="1">
      <c r="A60" s="1302"/>
      <c r="B60" s="1318"/>
      <c r="C60" s="1308"/>
      <c r="D60" s="27" t="s">
        <v>1592</v>
      </c>
      <c r="E60" s="27" t="s">
        <v>1745</v>
      </c>
      <c r="F60" s="931"/>
      <c r="G60" s="1313"/>
    </row>
    <row r="61" spans="1:8" s="914" customFormat="1" ht="36" customHeight="1">
      <c r="A61" s="1302"/>
      <c r="B61" s="1318"/>
      <c r="C61" s="1310" t="s">
        <v>3937</v>
      </c>
      <c r="D61" s="27" t="s">
        <v>109</v>
      </c>
      <c r="E61" s="27" t="s">
        <v>3939</v>
      </c>
      <c r="F61" s="27"/>
      <c r="G61" s="1311" t="s">
        <v>3958</v>
      </c>
    </row>
    <row r="62" spans="1:8" s="914" customFormat="1" ht="36" customHeight="1">
      <c r="A62" s="1302"/>
      <c r="B62" s="1318"/>
      <c r="C62" s="1308"/>
      <c r="D62" s="27" t="s">
        <v>3938</v>
      </c>
      <c r="E62" s="27" t="s">
        <v>3940</v>
      </c>
      <c r="F62" s="931"/>
      <c r="G62" s="1312"/>
    </row>
    <row r="63" spans="1:8" s="858" customFormat="1" ht="36" customHeight="1">
      <c r="A63" s="1302"/>
      <c r="B63" s="1318"/>
      <c r="C63" s="1309"/>
      <c r="D63" s="40" t="s">
        <v>447</v>
      </c>
      <c r="E63" s="39" t="s">
        <v>3941</v>
      </c>
      <c r="F63" s="931"/>
      <c r="G63" s="1313"/>
    </row>
    <row r="64" spans="1:8" s="934" customFormat="1" ht="36" customHeight="1">
      <c r="A64" s="1302"/>
      <c r="B64" s="1318"/>
      <c r="C64" s="1308" t="s">
        <v>1475</v>
      </c>
      <c r="D64" s="931" t="s">
        <v>3942</v>
      </c>
      <c r="E64" s="931" t="s">
        <v>3943</v>
      </c>
      <c r="F64" s="931" t="s">
        <v>3945</v>
      </c>
      <c r="G64" s="930"/>
      <c r="H64" s="934" t="s">
        <v>3944</v>
      </c>
    </row>
    <row r="65" spans="1:8" s="934" customFormat="1" ht="36" customHeight="1">
      <c r="A65" s="1302"/>
      <c r="B65" s="1318"/>
      <c r="C65" s="1308"/>
      <c r="D65" s="27" t="s">
        <v>1734</v>
      </c>
      <c r="E65" s="27" t="s">
        <v>1483</v>
      </c>
      <c r="F65" s="931"/>
      <c r="G65" s="929"/>
    </row>
    <row r="66" spans="1:8" s="934" customFormat="1" ht="36" customHeight="1">
      <c r="A66" s="1302"/>
      <c r="B66" s="1318"/>
      <c r="C66" s="1308"/>
      <c r="D66" s="27" t="s">
        <v>1688</v>
      </c>
      <c r="E66" s="27" t="s">
        <v>1483</v>
      </c>
      <c r="F66" s="931"/>
      <c r="G66" s="929"/>
    </row>
    <row r="67" spans="1:8" s="934" customFormat="1" ht="36" customHeight="1">
      <c r="A67" s="1302"/>
      <c r="B67" s="1318"/>
      <c r="C67" s="1309"/>
      <c r="D67" s="27" t="s">
        <v>1459</v>
      </c>
      <c r="E67" s="27" t="s">
        <v>1549</v>
      </c>
      <c r="F67" s="931"/>
      <c r="G67" s="929"/>
    </row>
    <row r="68" spans="1:8" s="925" customFormat="1" ht="30" customHeight="1">
      <c r="A68" s="1302"/>
      <c r="B68" s="1318"/>
      <c r="C68" s="932" t="s">
        <v>1469</v>
      </c>
      <c r="D68" s="27" t="s">
        <v>1496</v>
      </c>
      <c r="E68" s="27" t="s">
        <v>1629</v>
      </c>
      <c r="F68" s="931" t="s">
        <v>1694</v>
      </c>
      <c r="G68" s="929" t="s">
        <v>1487</v>
      </c>
    </row>
    <row r="69" spans="1:8" s="934" customFormat="1" ht="30" customHeight="1">
      <c r="A69" s="1302"/>
      <c r="B69" s="1318"/>
      <c r="C69" s="1310" t="s">
        <v>4000</v>
      </c>
      <c r="D69" s="40" t="s">
        <v>109</v>
      </c>
      <c r="E69" s="39" t="s">
        <v>4001</v>
      </c>
      <c r="F69" s="27" t="s">
        <v>4011</v>
      </c>
      <c r="G69" s="1311" t="s">
        <v>4003</v>
      </c>
    </row>
    <row r="70" spans="1:8" s="934" customFormat="1" ht="30" customHeight="1">
      <c r="A70" s="1302"/>
      <c r="B70" s="1318"/>
      <c r="C70" s="1309"/>
      <c r="D70" s="37" t="s">
        <v>447</v>
      </c>
      <c r="E70" s="36" t="s">
        <v>4002</v>
      </c>
      <c r="F70" s="931"/>
      <c r="G70" s="1313"/>
    </row>
    <row r="71" spans="1:8" s="934" customFormat="1" ht="30" customHeight="1">
      <c r="A71" s="1302"/>
      <c r="B71" s="1318"/>
      <c r="C71" s="932" t="s">
        <v>110</v>
      </c>
      <c r="D71" s="40" t="s">
        <v>109</v>
      </c>
      <c r="E71" s="39" t="s">
        <v>4013</v>
      </c>
      <c r="F71" s="27" t="s">
        <v>107</v>
      </c>
      <c r="G71" s="41" t="s">
        <v>106</v>
      </c>
      <c r="H71" s="934" t="s">
        <v>4012</v>
      </c>
    </row>
    <row r="72" spans="1:8" s="934" customFormat="1" ht="30" customHeight="1">
      <c r="A72" s="1302"/>
      <c r="B72" s="1318"/>
      <c r="C72" s="932" t="s">
        <v>4014</v>
      </c>
      <c r="D72" s="40" t="s">
        <v>4015</v>
      </c>
      <c r="E72" s="39" t="s">
        <v>4013</v>
      </c>
      <c r="F72" s="27"/>
      <c r="G72" s="41" t="s">
        <v>4016</v>
      </c>
    </row>
    <row r="73" spans="1:8" s="858" customFormat="1" ht="36" customHeight="1" thickBot="1">
      <c r="A73" s="1302"/>
      <c r="B73" s="1318"/>
      <c r="C73" s="933"/>
      <c r="D73" s="30"/>
      <c r="E73" s="29"/>
      <c r="F73" s="482"/>
      <c r="G73" s="935"/>
    </row>
    <row r="74" spans="1:8" s="858" customFormat="1" ht="36" customHeight="1" thickBot="1">
      <c r="A74" s="1303"/>
      <c r="B74" s="1319"/>
      <c r="C74" s="12"/>
      <c r="D74" s="11"/>
      <c r="E74" s="10"/>
      <c r="F74" s="10"/>
      <c r="G74" s="9"/>
    </row>
    <row r="75" spans="1:8" s="858" customFormat="1" ht="36" customHeight="1">
      <c r="A75" s="1301">
        <v>44846</v>
      </c>
      <c r="B75" s="1317" t="s">
        <v>2</v>
      </c>
      <c r="C75" s="940" t="s">
        <v>3887</v>
      </c>
      <c r="D75" s="27" t="s">
        <v>109</v>
      </c>
      <c r="E75" s="27" t="s">
        <v>168</v>
      </c>
      <c r="F75" s="938" t="s">
        <v>3889</v>
      </c>
      <c r="G75" s="41"/>
    </row>
    <row r="76" spans="1:8" s="934" customFormat="1" ht="36" customHeight="1">
      <c r="A76" s="1302"/>
      <c r="B76" s="1318"/>
      <c r="C76" s="940" t="s">
        <v>3930</v>
      </c>
      <c r="D76" s="27" t="s">
        <v>2020</v>
      </c>
      <c r="E76" s="27" t="s">
        <v>1606</v>
      </c>
      <c r="F76" s="27" t="s">
        <v>3472</v>
      </c>
      <c r="G76" s="949"/>
      <c r="H76" s="934" t="s">
        <v>3931</v>
      </c>
    </row>
    <row r="77" spans="1:8" s="934" customFormat="1" ht="30" customHeight="1">
      <c r="A77" s="1302"/>
      <c r="B77" s="1318"/>
      <c r="C77" s="936" t="s">
        <v>4004</v>
      </c>
      <c r="D77" s="37" t="s">
        <v>4006</v>
      </c>
      <c r="E77" s="36" t="s">
        <v>4005</v>
      </c>
      <c r="F77" s="938" t="s">
        <v>4007</v>
      </c>
      <c r="G77" s="937" t="s">
        <v>4008</v>
      </c>
      <c r="H77" s="934" t="s">
        <v>4010</v>
      </c>
    </row>
    <row r="78" spans="1:8" s="934" customFormat="1" ht="36" customHeight="1">
      <c r="A78" s="1302"/>
      <c r="B78" s="1318"/>
      <c r="C78" s="1310" t="s">
        <v>1484</v>
      </c>
      <c r="D78" s="939" t="s">
        <v>1466</v>
      </c>
      <c r="E78" s="939" t="s">
        <v>4022</v>
      </c>
      <c r="F78" s="1323" t="s">
        <v>1760</v>
      </c>
      <c r="G78" s="1311" t="s">
        <v>2126</v>
      </c>
    </row>
    <row r="79" spans="1:8" s="934" customFormat="1" ht="36" customHeight="1">
      <c r="A79" s="1302"/>
      <c r="B79" s="1318"/>
      <c r="C79" s="1308"/>
      <c r="D79" s="939" t="s">
        <v>1761</v>
      </c>
      <c r="E79" s="939" t="s">
        <v>1483</v>
      </c>
      <c r="F79" s="1320"/>
      <c r="G79" s="1312"/>
    </row>
    <row r="80" spans="1:8" s="934" customFormat="1" ht="30" customHeight="1">
      <c r="A80" s="1302"/>
      <c r="B80" s="1318"/>
      <c r="C80" s="1308"/>
      <c r="D80" s="27" t="s">
        <v>1762</v>
      </c>
      <c r="E80" s="27" t="s">
        <v>1524</v>
      </c>
      <c r="F80" s="1321"/>
      <c r="G80" s="1313"/>
    </row>
    <row r="81" spans="1:8" s="943" customFormat="1" ht="30" customHeight="1">
      <c r="A81" s="1302"/>
      <c r="B81" s="1318"/>
      <c r="C81" s="1310" t="s">
        <v>1506</v>
      </c>
      <c r="D81" s="40" t="s">
        <v>1616</v>
      </c>
      <c r="E81" s="39" t="s">
        <v>1328</v>
      </c>
      <c r="F81" s="1323" t="s">
        <v>3537</v>
      </c>
      <c r="G81" s="1311" t="s">
        <v>1248</v>
      </c>
    </row>
    <row r="82" spans="1:8" s="943" customFormat="1" ht="30" customHeight="1">
      <c r="A82" s="1302"/>
      <c r="B82" s="1318"/>
      <c r="C82" s="1309"/>
      <c r="D82" s="40" t="s">
        <v>2836</v>
      </c>
      <c r="E82" s="39" t="s">
        <v>1328</v>
      </c>
      <c r="F82" s="1321"/>
      <c r="G82" s="1313"/>
    </row>
    <row r="83" spans="1:8" s="858" customFormat="1" ht="36" customHeight="1">
      <c r="A83" s="1302"/>
      <c r="B83" s="1318"/>
      <c r="C83" s="1310" t="s">
        <v>4024</v>
      </c>
      <c r="D83" s="40" t="s">
        <v>109</v>
      </c>
      <c r="E83" s="39" t="s">
        <v>4025</v>
      </c>
      <c r="F83" s="27"/>
      <c r="G83" s="41"/>
    </row>
    <row r="84" spans="1:8" s="943" customFormat="1" ht="36" customHeight="1" thickBot="1">
      <c r="A84" s="1302"/>
      <c r="B84" s="1318"/>
      <c r="C84" s="1309"/>
      <c r="D84" s="37" t="s">
        <v>4026</v>
      </c>
      <c r="E84" s="36" t="s">
        <v>4025</v>
      </c>
      <c r="F84" s="938"/>
      <c r="G84" s="937"/>
    </row>
    <row r="85" spans="1:8" s="943" customFormat="1" ht="36" hidden="1" customHeight="1">
      <c r="A85" s="1302"/>
      <c r="B85" s="1318"/>
      <c r="C85" s="942"/>
      <c r="D85" s="34"/>
      <c r="E85" s="33"/>
      <c r="F85" s="902"/>
      <c r="G85" s="916"/>
    </row>
    <row r="86" spans="1:8" s="943" customFormat="1" ht="36" hidden="1" customHeight="1" thickBot="1">
      <c r="A86" s="1302"/>
      <c r="B86" s="1318"/>
      <c r="C86" s="941"/>
      <c r="D86" s="30"/>
      <c r="E86" s="29"/>
      <c r="F86" s="482"/>
      <c r="G86" s="935"/>
    </row>
    <row r="87" spans="1:8" s="858" customFormat="1" ht="36" customHeight="1" thickBot="1">
      <c r="A87" s="1303"/>
      <c r="B87" s="1319"/>
      <c r="C87" s="12" t="s">
        <v>4017</v>
      </c>
      <c r="D87" s="11" t="s">
        <v>4018</v>
      </c>
      <c r="E87" s="10" t="s">
        <v>4019</v>
      </c>
      <c r="F87" s="10" t="s">
        <v>4020</v>
      </c>
      <c r="G87" s="9"/>
    </row>
    <row r="88" spans="1:8" s="858" customFormat="1" ht="36" customHeight="1">
      <c r="A88" s="1301">
        <v>44847</v>
      </c>
      <c r="B88" s="1314" t="s">
        <v>1</v>
      </c>
      <c r="C88" s="946" t="s">
        <v>3791</v>
      </c>
      <c r="D88" s="27" t="s">
        <v>3797</v>
      </c>
      <c r="E88" s="27" t="s">
        <v>3798</v>
      </c>
      <c r="F88" s="945"/>
      <c r="G88" s="944"/>
    </row>
    <row r="89" spans="1:8" s="858" customFormat="1" ht="36" customHeight="1">
      <c r="A89" s="1302"/>
      <c r="B89" s="1315"/>
      <c r="C89" s="946" t="s">
        <v>4027</v>
      </c>
      <c r="D89" s="40" t="s">
        <v>109</v>
      </c>
      <c r="E89" s="27" t="s">
        <v>4028</v>
      </c>
      <c r="F89" s="945" t="s">
        <v>1004</v>
      </c>
      <c r="G89" s="944" t="s">
        <v>4029</v>
      </c>
      <c r="H89" s="858" t="s">
        <v>4030</v>
      </c>
    </row>
    <row r="90" spans="1:8" s="858" customFormat="1" ht="36" customHeight="1">
      <c r="A90" s="1302"/>
      <c r="B90" s="1315"/>
      <c r="C90" s="946" t="s">
        <v>4032</v>
      </c>
      <c r="D90" s="40" t="s">
        <v>4033</v>
      </c>
      <c r="E90" s="39" t="s">
        <v>4034</v>
      </c>
      <c r="F90" s="945" t="s">
        <v>4035</v>
      </c>
      <c r="G90" s="944" t="s">
        <v>4036</v>
      </c>
    </row>
    <row r="91" spans="1:8" s="858" customFormat="1" ht="36" customHeight="1">
      <c r="A91" s="1302"/>
      <c r="B91" s="1315"/>
      <c r="C91" s="1310" t="s">
        <v>4037</v>
      </c>
      <c r="D91" s="40" t="s">
        <v>4039</v>
      </c>
      <c r="E91" s="39" t="s">
        <v>4040</v>
      </c>
      <c r="F91" s="27"/>
      <c r="G91" s="1311" t="s">
        <v>4042</v>
      </c>
    </row>
    <row r="92" spans="1:8" s="948" customFormat="1" ht="36" customHeight="1">
      <c r="A92" s="1302"/>
      <c r="B92" s="1315"/>
      <c r="C92" s="1309"/>
      <c r="D92" s="37" t="s">
        <v>4038</v>
      </c>
      <c r="E92" s="36" t="s">
        <v>4041</v>
      </c>
      <c r="F92" s="945"/>
      <c r="G92" s="1313"/>
    </row>
    <row r="93" spans="1:8" s="948" customFormat="1" ht="36" customHeight="1" thickBot="1">
      <c r="A93" s="1302"/>
      <c r="B93" s="1315"/>
      <c r="C93" s="947"/>
      <c r="D93" s="30"/>
      <c r="E93" s="29"/>
      <c r="F93" s="482"/>
      <c r="G93" s="935"/>
    </row>
    <row r="94" spans="1:8" s="858" customFormat="1" ht="36" customHeight="1" thickBot="1">
      <c r="A94" s="1303"/>
      <c r="B94" s="1316"/>
      <c r="C94" s="12"/>
      <c r="D94" s="11"/>
      <c r="E94" s="10"/>
      <c r="F94" s="10"/>
      <c r="G94" s="9"/>
    </row>
    <row r="95" spans="1:8" s="858" customFormat="1" ht="36" customHeight="1">
      <c r="A95" s="1301">
        <v>44848</v>
      </c>
      <c r="B95" s="1314" t="s">
        <v>0</v>
      </c>
      <c r="C95" s="1307" t="s">
        <v>3987</v>
      </c>
      <c r="D95" s="27" t="s">
        <v>3988</v>
      </c>
      <c r="E95" s="27" t="s">
        <v>3989</v>
      </c>
      <c r="F95" s="951"/>
      <c r="G95" s="950"/>
    </row>
    <row r="96" spans="1:8" s="925" customFormat="1" ht="36" customHeight="1">
      <c r="A96" s="1302"/>
      <c r="B96" s="1315"/>
      <c r="C96" s="1308"/>
      <c r="D96" s="27" t="s">
        <v>3990</v>
      </c>
      <c r="E96" s="27" t="s">
        <v>4031</v>
      </c>
      <c r="F96" s="951"/>
      <c r="G96" s="950"/>
    </row>
    <row r="97" spans="1:8" s="925" customFormat="1" ht="36" customHeight="1">
      <c r="A97" s="1302"/>
      <c r="B97" s="1315"/>
      <c r="C97" s="1308"/>
      <c r="D97" s="27" t="s">
        <v>3991</v>
      </c>
      <c r="E97" s="27" t="s">
        <v>3992</v>
      </c>
      <c r="F97" s="951"/>
      <c r="G97" s="950"/>
    </row>
    <row r="98" spans="1:8" s="925" customFormat="1" ht="36" customHeight="1">
      <c r="A98" s="1302"/>
      <c r="B98" s="1315"/>
      <c r="C98" s="1309"/>
      <c r="D98" s="27" t="s">
        <v>681</v>
      </c>
      <c r="E98" s="27" t="s">
        <v>584</v>
      </c>
      <c r="F98" s="951"/>
      <c r="G98" s="950"/>
    </row>
    <row r="99" spans="1:8" s="925" customFormat="1" ht="36" customHeight="1">
      <c r="A99" s="1302"/>
      <c r="B99" s="1315"/>
      <c r="C99" s="952" t="s">
        <v>4043</v>
      </c>
      <c r="D99" s="27" t="s">
        <v>4044</v>
      </c>
      <c r="E99" s="27" t="s">
        <v>4045</v>
      </c>
      <c r="F99" s="951"/>
      <c r="G99" s="950" t="s">
        <v>4046</v>
      </c>
    </row>
    <row r="100" spans="1:8" s="858" customFormat="1" ht="36" customHeight="1">
      <c r="A100" s="1302"/>
      <c r="B100" s="1315"/>
      <c r="C100" s="952" t="s">
        <v>4047</v>
      </c>
      <c r="D100" s="27" t="s">
        <v>4048</v>
      </c>
      <c r="E100" s="27" t="s">
        <v>4040</v>
      </c>
      <c r="F100" s="951"/>
      <c r="G100" s="950"/>
    </row>
    <row r="101" spans="1:8" s="858" customFormat="1" ht="36" customHeight="1">
      <c r="A101" s="1302"/>
      <c r="B101" s="1315"/>
      <c r="C101" s="952" t="s">
        <v>4049</v>
      </c>
      <c r="D101" s="40" t="s">
        <v>4050</v>
      </c>
      <c r="E101" s="39" t="s">
        <v>4051</v>
      </c>
      <c r="F101" s="951" t="s">
        <v>4052</v>
      </c>
      <c r="G101" s="950"/>
    </row>
    <row r="102" spans="1:8" s="858" customFormat="1" ht="36" customHeight="1" thickBot="1">
      <c r="A102" s="1302"/>
      <c r="B102" s="1315"/>
      <c r="C102" s="952" t="s">
        <v>4053</v>
      </c>
      <c r="D102" s="40" t="s">
        <v>4054</v>
      </c>
      <c r="E102" s="39" t="s">
        <v>4055</v>
      </c>
      <c r="F102" s="27" t="s">
        <v>4056</v>
      </c>
      <c r="G102" s="41" t="s">
        <v>4057</v>
      </c>
      <c r="H102" s="955" t="s">
        <v>4058</v>
      </c>
    </row>
    <row r="103" spans="1:8" s="955" customFormat="1" ht="36" hidden="1" customHeight="1">
      <c r="A103" s="1302"/>
      <c r="B103" s="1315"/>
      <c r="C103" s="954"/>
      <c r="D103" s="34"/>
      <c r="E103" s="33"/>
      <c r="F103" s="902"/>
      <c r="G103" s="916"/>
    </row>
    <row r="104" spans="1:8" s="955" customFormat="1" ht="36" hidden="1" customHeight="1" thickBot="1">
      <c r="A104" s="1302"/>
      <c r="B104" s="1315"/>
      <c r="C104" s="953"/>
      <c r="D104" s="30"/>
      <c r="E104" s="29"/>
      <c r="F104" s="482"/>
      <c r="G104" s="935"/>
    </row>
    <row r="105" spans="1:8" s="858" customFormat="1" ht="36" customHeight="1" thickBot="1">
      <c r="A105" s="1303"/>
      <c r="B105" s="1316"/>
      <c r="C105" s="12"/>
      <c r="D105" s="11"/>
      <c r="E105" s="10"/>
      <c r="F105" s="10"/>
      <c r="G105" s="9"/>
    </row>
    <row r="106" spans="1:8" s="858" customFormat="1" ht="60" customHeight="1" thickBot="1">
      <c r="A106" s="1298" t="s">
        <v>5</v>
      </c>
      <c r="B106" s="1299"/>
      <c r="C106" s="1299"/>
      <c r="D106" s="1299"/>
      <c r="E106" s="1299"/>
      <c r="F106" s="1299"/>
      <c r="G106" s="1300"/>
    </row>
    <row r="107" spans="1:8" s="858" customFormat="1" ht="36" customHeight="1">
      <c r="A107" s="1301">
        <v>44851</v>
      </c>
      <c r="B107" s="1314" t="s">
        <v>4066</v>
      </c>
      <c r="C107" s="964"/>
      <c r="D107" s="27" t="s">
        <v>4023</v>
      </c>
      <c r="E107" s="27"/>
      <c r="F107" s="963"/>
      <c r="G107" s="962"/>
    </row>
    <row r="108" spans="1:8" s="858" customFormat="1" ht="36" customHeight="1">
      <c r="A108" s="1302"/>
      <c r="B108" s="1315"/>
      <c r="C108" s="1310" t="s">
        <v>4061</v>
      </c>
      <c r="D108" s="27" t="s">
        <v>4062</v>
      </c>
      <c r="E108" s="27" t="s">
        <v>4063</v>
      </c>
      <c r="F108" s="963"/>
      <c r="G108" s="962"/>
    </row>
    <row r="109" spans="1:8" s="858" customFormat="1" ht="36" customHeight="1">
      <c r="A109" s="1302"/>
      <c r="B109" s="1315"/>
      <c r="C109" s="1309"/>
      <c r="D109" s="40" t="s">
        <v>4064</v>
      </c>
      <c r="E109" s="39" t="s">
        <v>4065</v>
      </c>
      <c r="F109" s="963"/>
      <c r="G109" s="962"/>
    </row>
    <row r="110" spans="1:8" s="858" customFormat="1" ht="36" customHeight="1" thickBot="1">
      <c r="A110" s="1302"/>
      <c r="B110" s="1315"/>
      <c r="C110" s="964" t="s">
        <v>110</v>
      </c>
      <c r="D110" s="40" t="s">
        <v>109</v>
      </c>
      <c r="E110" s="39" t="s">
        <v>584</v>
      </c>
      <c r="F110" s="27" t="s">
        <v>107</v>
      </c>
      <c r="G110" s="41" t="s">
        <v>106</v>
      </c>
      <c r="H110" s="960" t="s">
        <v>4070</v>
      </c>
    </row>
    <row r="111" spans="1:8" s="960" customFormat="1" ht="36" hidden="1" customHeight="1">
      <c r="A111" s="1302"/>
      <c r="B111" s="1315"/>
      <c r="C111" s="959"/>
      <c r="D111" s="34"/>
      <c r="E111" s="33"/>
      <c r="F111" s="902"/>
      <c r="G111" s="916"/>
    </row>
    <row r="112" spans="1:8" s="960" customFormat="1" ht="36" hidden="1" customHeight="1" thickBot="1">
      <c r="A112" s="1302"/>
      <c r="B112" s="1315"/>
      <c r="C112" s="958"/>
      <c r="D112" s="30"/>
      <c r="E112" s="29"/>
      <c r="F112" s="482"/>
      <c r="G112" s="935"/>
    </row>
    <row r="113" spans="1:8" s="858" customFormat="1" ht="36" customHeight="1" thickBot="1">
      <c r="A113" s="1303"/>
      <c r="B113" s="1316"/>
      <c r="C113" s="12"/>
      <c r="D113" s="11"/>
      <c r="E113" s="10"/>
      <c r="F113" s="10"/>
      <c r="G113" s="9"/>
    </row>
    <row r="114" spans="1:8" s="858" customFormat="1" ht="36" customHeight="1">
      <c r="A114" s="1301">
        <v>44852</v>
      </c>
      <c r="B114" s="1314" t="s">
        <v>88</v>
      </c>
      <c r="C114" s="964" t="s">
        <v>3993</v>
      </c>
      <c r="D114" s="27" t="s">
        <v>3994</v>
      </c>
      <c r="E114" s="27" t="s">
        <v>3995</v>
      </c>
      <c r="F114" s="963"/>
      <c r="G114" s="962"/>
    </row>
    <row r="115" spans="1:8" s="858" customFormat="1" ht="36" customHeight="1">
      <c r="A115" s="1302"/>
      <c r="B115" s="1315"/>
      <c r="C115" s="961" t="s">
        <v>4071</v>
      </c>
      <c r="D115" s="27" t="s">
        <v>4072</v>
      </c>
      <c r="E115" s="27" t="s">
        <v>4073</v>
      </c>
      <c r="F115" s="963"/>
      <c r="G115" s="962"/>
      <c r="H115" s="858" t="s">
        <v>4074</v>
      </c>
    </row>
    <row r="116" spans="1:8" s="858" customFormat="1" ht="36" customHeight="1">
      <c r="A116" s="1302"/>
      <c r="B116" s="1315"/>
      <c r="C116" s="964" t="s">
        <v>4075</v>
      </c>
      <c r="D116" s="40" t="s">
        <v>4076</v>
      </c>
      <c r="E116" s="39" t="s">
        <v>4077</v>
      </c>
      <c r="F116" s="27" t="s">
        <v>4078</v>
      </c>
      <c r="G116" s="41" t="s">
        <v>4079</v>
      </c>
    </row>
    <row r="117" spans="1:8" s="966" customFormat="1" ht="36" customHeight="1">
      <c r="A117" s="1302"/>
      <c r="B117" s="1315"/>
      <c r="C117" s="1310" t="s">
        <v>4080</v>
      </c>
      <c r="D117" s="40" t="s">
        <v>4081</v>
      </c>
      <c r="E117" s="39" t="s">
        <v>4082</v>
      </c>
      <c r="F117" s="27" t="s">
        <v>1278</v>
      </c>
      <c r="G117" s="1311" t="s">
        <v>1442</v>
      </c>
    </row>
    <row r="118" spans="1:8" s="966" customFormat="1" ht="36" customHeight="1" thickBot="1">
      <c r="A118" s="1302"/>
      <c r="B118" s="1315"/>
      <c r="C118" s="1309"/>
      <c r="D118" s="37" t="s">
        <v>4083</v>
      </c>
      <c r="E118" s="36" t="s">
        <v>4084</v>
      </c>
      <c r="F118" s="963"/>
      <c r="G118" s="1313"/>
    </row>
    <row r="119" spans="1:8" s="966" customFormat="1" ht="36" hidden="1" customHeight="1" thickBot="1">
      <c r="A119" s="1302"/>
      <c r="B119" s="1315"/>
      <c r="C119" s="965"/>
      <c r="D119" s="30"/>
      <c r="E119" s="29"/>
      <c r="F119" s="482"/>
      <c r="G119" s="935"/>
    </row>
    <row r="120" spans="1:8" s="858" customFormat="1" ht="36" customHeight="1" thickBot="1">
      <c r="A120" s="1303"/>
      <c r="B120" s="1316"/>
      <c r="C120" s="12"/>
      <c r="D120" s="11"/>
      <c r="E120" s="10"/>
      <c r="F120" s="10"/>
      <c r="G120" s="9"/>
    </row>
    <row r="121" spans="1:8" s="858" customFormat="1" ht="36" customHeight="1">
      <c r="A121" s="1301">
        <v>44853</v>
      </c>
      <c r="B121" s="1317" t="s">
        <v>2</v>
      </c>
      <c r="C121" s="972" t="s">
        <v>4068</v>
      </c>
      <c r="D121" s="27" t="s">
        <v>169</v>
      </c>
      <c r="E121" s="27" t="s">
        <v>382</v>
      </c>
      <c r="F121" s="971" t="s">
        <v>4069</v>
      </c>
      <c r="G121" s="968"/>
    </row>
    <row r="122" spans="1:8" s="858" customFormat="1" ht="36" customHeight="1">
      <c r="A122" s="1302"/>
      <c r="B122" s="1318"/>
      <c r="C122" s="972" t="s">
        <v>4085</v>
      </c>
      <c r="D122" s="40" t="s">
        <v>4086</v>
      </c>
      <c r="E122" s="39" t="s">
        <v>4087</v>
      </c>
      <c r="F122" s="27"/>
      <c r="G122" s="41"/>
    </row>
    <row r="123" spans="1:8" s="973" customFormat="1" ht="36" customHeight="1">
      <c r="A123" s="1302"/>
      <c r="B123" s="1318"/>
      <c r="C123" s="967" t="s">
        <v>4094</v>
      </c>
      <c r="D123" s="44" t="s">
        <v>4097</v>
      </c>
      <c r="E123" s="43" t="s">
        <v>4095</v>
      </c>
      <c r="F123" s="970"/>
      <c r="G123" s="969" t="s">
        <v>4096</v>
      </c>
    </row>
    <row r="124" spans="1:8" s="973" customFormat="1" ht="36" customHeight="1" thickBot="1">
      <c r="A124" s="1302"/>
      <c r="B124" s="1318"/>
      <c r="C124" s="976"/>
      <c r="D124" s="977"/>
      <c r="E124" s="978"/>
      <c r="F124" s="979"/>
      <c r="G124" s="980"/>
    </row>
    <row r="125" spans="1:8" s="858" customFormat="1" ht="36" customHeight="1" thickBot="1">
      <c r="A125" s="1303"/>
      <c r="B125" s="1319"/>
      <c r="C125" s="12"/>
      <c r="D125" s="11"/>
      <c r="E125" s="10"/>
      <c r="F125" s="10"/>
      <c r="G125" s="9"/>
    </row>
    <row r="126" spans="1:8" s="957" customFormat="1" ht="36" customHeight="1">
      <c r="A126" s="1301">
        <v>44854</v>
      </c>
      <c r="B126" s="1317" t="s">
        <v>1</v>
      </c>
      <c r="C126" s="985" t="s">
        <v>1303</v>
      </c>
      <c r="D126" s="27" t="s">
        <v>1304</v>
      </c>
      <c r="E126" s="27" t="s">
        <v>4098</v>
      </c>
      <c r="F126" s="984"/>
      <c r="G126" s="982"/>
    </row>
    <row r="127" spans="1:8" s="957" customFormat="1" ht="36" customHeight="1">
      <c r="A127" s="1302"/>
      <c r="B127" s="1318"/>
      <c r="C127" s="1310" t="s">
        <v>1741</v>
      </c>
      <c r="D127" s="27" t="s">
        <v>1322</v>
      </c>
      <c r="E127" s="27" t="s">
        <v>1328</v>
      </c>
      <c r="F127" s="27" t="s">
        <v>4059</v>
      </c>
      <c r="G127" s="982"/>
    </row>
    <row r="128" spans="1:8" s="957" customFormat="1" ht="36" customHeight="1">
      <c r="A128" s="1302"/>
      <c r="B128" s="1318"/>
      <c r="C128" s="1308"/>
      <c r="D128" s="27" t="s">
        <v>2327</v>
      </c>
      <c r="E128" s="27" t="s">
        <v>1247</v>
      </c>
      <c r="F128" s="984" t="s">
        <v>4059</v>
      </c>
      <c r="G128" s="982"/>
    </row>
    <row r="129" spans="1:8" s="957" customFormat="1" ht="36" customHeight="1">
      <c r="A129" s="1302"/>
      <c r="B129" s="1318"/>
      <c r="C129" s="1309"/>
      <c r="D129" s="27" t="s">
        <v>2252</v>
      </c>
      <c r="E129" s="27" t="s">
        <v>1247</v>
      </c>
      <c r="F129" s="984" t="s">
        <v>4059</v>
      </c>
      <c r="G129" s="41"/>
      <c r="H129" s="957" t="s">
        <v>4060</v>
      </c>
    </row>
    <row r="130" spans="1:8" s="973" customFormat="1" ht="36" customHeight="1">
      <c r="A130" s="1302"/>
      <c r="B130" s="1318"/>
      <c r="C130" s="981" t="s">
        <v>4088</v>
      </c>
      <c r="D130" s="37" t="s">
        <v>4089</v>
      </c>
      <c r="E130" s="36" t="s">
        <v>4087</v>
      </c>
      <c r="F130" s="984"/>
      <c r="G130" s="983" t="s">
        <v>4091</v>
      </c>
      <c r="H130" s="973" t="s">
        <v>4090</v>
      </c>
    </row>
    <row r="131" spans="1:8" s="858" customFormat="1" ht="36" customHeight="1">
      <c r="A131" s="1302"/>
      <c r="B131" s="1318"/>
      <c r="C131" s="985" t="s">
        <v>4102</v>
      </c>
      <c r="D131" s="27" t="s">
        <v>4103</v>
      </c>
      <c r="E131" s="27" t="s">
        <v>4104</v>
      </c>
      <c r="F131" s="27" t="s">
        <v>4105</v>
      </c>
      <c r="G131" s="41" t="s">
        <v>4106</v>
      </c>
      <c r="H131" s="975" t="s">
        <v>4110</v>
      </c>
    </row>
    <row r="132" spans="1:8" s="973" customFormat="1" ht="36" customHeight="1">
      <c r="A132" s="1302"/>
      <c r="B132" s="1318"/>
      <c r="C132" s="1310" t="s">
        <v>1447</v>
      </c>
      <c r="D132" s="27" t="s">
        <v>109</v>
      </c>
      <c r="E132" s="27" t="s">
        <v>1404</v>
      </c>
      <c r="F132" s="27" t="s">
        <v>4109</v>
      </c>
      <c r="G132" s="1311" t="s">
        <v>1500</v>
      </c>
    </row>
    <row r="133" spans="1:8" s="973" customFormat="1" ht="36" customHeight="1">
      <c r="A133" s="1302"/>
      <c r="B133" s="1318"/>
      <c r="C133" s="1308"/>
      <c r="D133" s="27" t="s">
        <v>1387</v>
      </c>
      <c r="E133" s="27" t="s">
        <v>1404</v>
      </c>
      <c r="F133" s="984"/>
      <c r="G133" s="1312"/>
    </row>
    <row r="134" spans="1:8" s="973" customFormat="1" ht="36" customHeight="1">
      <c r="A134" s="1302"/>
      <c r="B134" s="1318"/>
      <c r="C134" s="1309"/>
      <c r="D134" s="40" t="s">
        <v>447</v>
      </c>
      <c r="E134" s="39" t="s">
        <v>1436</v>
      </c>
      <c r="F134" s="984"/>
      <c r="G134" s="1313"/>
    </row>
    <row r="135" spans="1:8" s="858" customFormat="1" ht="36" customHeight="1">
      <c r="A135" s="1302"/>
      <c r="B135" s="1318"/>
      <c r="C135" s="985" t="s">
        <v>4114</v>
      </c>
      <c r="D135" s="40" t="s">
        <v>4115</v>
      </c>
      <c r="E135" s="39" t="s">
        <v>4116</v>
      </c>
      <c r="F135" s="984" t="s">
        <v>4113</v>
      </c>
      <c r="G135" s="982"/>
    </row>
    <row r="136" spans="1:8" s="858" customFormat="1" ht="36" customHeight="1" thickBot="1">
      <c r="A136" s="1302"/>
      <c r="B136" s="1318"/>
      <c r="C136" s="752"/>
      <c r="D136" s="16"/>
      <c r="E136" s="15"/>
      <c r="F136" s="482"/>
      <c r="G136" s="725"/>
    </row>
    <row r="137" spans="1:8" s="858" customFormat="1" ht="36" customHeight="1" thickBot="1">
      <c r="A137" s="1303"/>
      <c r="B137" s="1319"/>
      <c r="C137" s="12"/>
      <c r="D137" s="11"/>
      <c r="E137" s="10"/>
      <c r="F137" s="10"/>
      <c r="G137" s="9"/>
    </row>
    <row r="138" spans="1:8" s="858" customFormat="1" ht="36" customHeight="1">
      <c r="A138" s="1301">
        <v>44855</v>
      </c>
      <c r="B138" s="1314" t="s">
        <v>0</v>
      </c>
      <c r="C138" s="992"/>
      <c r="D138" s="27" t="s">
        <v>4067</v>
      </c>
      <c r="E138" s="27"/>
      <c r="F138" s="991"/>
      <c r="G138" s="988"/>
    </row>
    <row r="139" spans="1:8" s="975" customFormat="1" ht="36" customHeight="1">
      <c r="A139" s="1302"/>
      <c r="B139" s="1315"/>
      <c r="C139" s="992" t="s">
        <v>2306</v>
      </c>
      <c r="D139" s="27" t="s">
        <v>109</v>
      </c>
      <c r="E139" s="27" t="s">
        <v>2869</v>
      </c>
      <c r="F139" s="991" t="s">
        <v>2082</v>
      </c>
      <c r="G139" s="988" t="s">
        <v>1442</v>
      </c>
    </row>
    <row r="140" spans="1:8" s="858" customFormat="1" ht="36" customHeight="1" thickBot="1">
      <c r="A140" s="1302"/>
      <c r="B140" s="1315"/>
      <c r="C140" s="992" t="s">
        <v>4117</v>
      </c>
      <c r="D140" s="27" t="s">
        <v>4118</v>
      </c>
      <c r="E140" s="27" t="s">
        <v>4119</v>
      </c>
      <c r="F140" s="991" t="s">
        <v>4122</v>
      </c>
      <c r="G140" s="988" t="s">
        <v>4120</v>
      </c>
      <c r="H140" s="986" t="s">
        <v>4129</v>
      </c>
    </row>
    <row r="141" spans="1:8" s="955" customFormat="1" ht="36" hidden="1" customHeight="1">
      <c r="A141" s="1302"/>
      <c r="B141" s="1315"/>
      <c r="C141" s="21"/>
      <c r="D141" s="22"/>
      <c r="E141" s="22"/>
      <c r="F141" s="902"/>
      <c r="G141" s="927"/>
      <c r="H141" s="986" t="s">
        <v>4123</v>
      </c>
    </row>
    <row r="142" spans="1:8" s="955" customFormat="1" ht="36" hidden="1" customHeight="1" thickBot="1">
      <c r="A142" s="1302"/>
      <c r="B142" s="1315"/>
      <c r="C142" s="956"/>
      <c r="D142" s="22"/>
      <c r="E142" s="22"/>
      <c r="F142" s="902"/>
      <c r="G142" s="927"/>
    </row>
    <row r="143" spans="1:8" s="858" customFormat="1" ht="36" hidden="1" customHeight="1">
      <c r="A143" s="1302"/>
      <c r="B143" s="1315"/>
      <c r="C143" s="21"/>
      <c r="D143" s="20"/>
      <c r="E143" s="19"/>
      <c r="F143" s="503"/>
      <c r="G143" s="725"/>
    </row>
    <row r="144" spans="1:8" s="858" customFormat="1" ht="36" hidden="1" customHeight="1" thickBot="1">
      <c r="A144" s="1302"/>
      <c r="B144" s="1315"/>
      <c r="C144" s="752"/>
      <c r="D144" s="16"/>
      <c r="E144" s="15"/>
      <c r="F144" s="482"/>
      <c r="G144" s="725"/>
    </row>
    <row r="145" spans="1:8" s="858" customFormat="1" ht="36" customHeight="1" thickBot="1">
      <c r="A145" s="1303"/>
      <c r="B145" s="1316"/>
      <c r="C145" s="12" t="s">
        <v>4092</v>
      </c>
      <c r="D145" s="11" t="s">
        <v>1417</v>
      </c>
      <c r="E145" s="10" t="s">
        <v>4093</v>
      </c>
      <c r="F145" s="10" t="s">
        <v>4111</v>
      </c>
      <c r="G145" s="9"/>
    </row>
    <row r="146" spans="1:8" s="858" customFormat="1" ht="60" customHeight="1" thickBot="1">
      <c r="A146" s="1298" t="s">
        <v>5</v>
      </c>
      <c r="B146" s="1299"/>
      <c r="C146" s="1299"/>
      <c r="D146" s="1299"/>
      <c r="E146" s="1299"/>
      <c r="F146" s="1299"/>
      <c r="G146" s="1300"/>
    </row>
    <row r="147" spans="1:8" s="858" customFormat="1" ht="40.5">
      <c r="A147" s="1301">
        <v>44858</v>
      </c>
      <c r="B147" s="1314" t="s">
        <v>4</v>
      </c>
      <c r="C147" s="992" t="s">
        <v>4126</v>
      </c>
      <c r="D147" s="27" t="s">
        <v>4127</v>
      </c>
      <c r="E147" s="27" t="s">
        <v>4124</v>
      </c>
      <c r="F147" s="37" t="s">
        <v>4128</v>
      </c>
      <c r="G147" s="988" t="s">
        <v>4125</v>
      </c>
    </row>
    <row r="148" spans="1:8" s="858" customFormat="1" ht="36" customHeight="1">
      <c r="A148" s="1302"/>
      <c r="B148" s="1315"/>
      <c r="C148" s="1310" t="s">
        <v>4135</v>
      </c>
      <c r="D148" s="40" t="s">
        <v>4136</v>
      </c>
      <c r="E148" s="39" t="s">
        <v>4137</v>
      </c>
      <c r="F148" s="27" t="s">
        <v>4143</v>
      </c>
      <c r="G148" s="41" t="s">
        <v>4142</v>
      </c>
    </row>
    <row r="149" spans="1:8" s="993" customFormat="1" ht="36" customHeight="1">
      <c r="A149" s="1302"/>
      <c r="B149" s="1315"/>
      <c r="C149" s="1308"/>
      <c r="D149" s="37" t="s">
        <v>4138</v>
      </c>
      <c r="E149" s="36" t="s">
        <v>4139</v>
      </c>
      <c r="F149" s="991"/>
      <c r="G149" s="1311" t="s">
        <v>4141</v>
      </c>
    </row>
    <row r="150" spans="1:8" s="993" customFormat="1" ht="36" customHeight="1">
      <c r="A150" s="1302"/>
      <c r="B150" s="1315"/>
      <c r="C150" s="1309"/>
      <c r="D150" s="27" t="s">
        <v>109</v>
      </c>
      <c r="E150" s="36" t="s">
        <v>4140</v>
      </c>
      <c r="F150" s="991" t="s">
        <v>4144</v>
      </c>
      <c r="G150" s="1313"/>
    </row>
    <row r="151" spans="1:8" s="993" customFormat="1" ht="36" customHeight="1" thickBot="1">
      <c r="A151" s="1302"/>
      <c r="B151" s="1315"/>
      <c r="C151" s="987" t="s">
        <v>4145</v>
      </c>
      <c r="D151" s="27" t="s">
        <v>109</v>
      </c>
      <c r="E151" s="43" t="s">
        <v>4146</v>
      </c>
      <c r="F151" s="990" t="s">
        <v>107</v>
      </c>
      <c r="G151" s="989" t="s">
        <v>4147</v>
      </c>
      <c r="H151" s="993" t="s">
        <v>4148</v>
      </c>
    </row>
    <row r="152" spans="1:8" s="858" customFormat="1" ht="36" customHeight="1" thickBot="1">
      <c r="A152" s="1303"/>
      <c r="B152" s="1316"/>
      <c r="C152" s="12"/>
      <c r="D152" s="11"/>
      <c r="E152" s="10"/>
      <c r="F152" s="10"/>
      <c r="G152" s="9"/>
    </row>
    <row r="153" spans="1:8" s="858" customFormat="1" ht="36" customHeight="1">
      <c r="A153" s="1301">
        <v>44859</v>
      </c>
      <c r="B153" s="1314" t="s">
        <v>3</v>
      </c>
      <c r="C153" s="996" t="s">
        <v>61</v>
      </c>
      <c r="D153" s="27" t="s">
        <v>8</v>
      </c>
      <c r="E153" s="27" t="s">
        <v>4149</v>
      </c>
      <c r="F153" s="995"/>
      <c r="G153" s="994"/>
    </row>
    <row r="154" spans="1:8" s="858" customFormat="1" ht="36" customHeight="1">
      <c r="A154" s="1302"/>
      <c r="B154" s="1315"/>
      <c r="C154" s="996" t="s">
        <v>4150</v>
      </c>
      <c r="D154" s="27" t="s">
        <v>1709</v>
      </c>
      <c r="E154" s="27" t="s">
        <v>525</v>
      </c>
      <c r="F154" s="995" t="s">
        <v>4151</v>
      </c>
      <c r="G154" s="994"/>
    </row>
    <row r="155" spans="1:8" s="997" customFormat="1" ht="36" customHeight="1">
      <c r="A155" s="1302"/>
      <c r="B155" s="1315"/>
      <c r="C155" s="1310" t="s">
        <v>1264</v>
      </c>
      <c r="D155" s="27" t="s">
        <v>109</v>
      </c>
      <c r="E155" s="27" t="s">
        <v>4152</v>
      </c>
      <c r="F155" s="995" t="s">
        <v>4154</v>
      </c>
      <c r="G155" s="1311" t="s">
        <v>1442</v>
      </c>
    </row>
    <row r="156" spans="1:8" s="997" customFormat="1" ht="36" customHeight="1">
      <c r="A156" s="1302"/>
      <c r="B156" s="1315"/>
      <c r="C156" s="1308"/>
      <c r="D156" s="40" t="s">
        <v>1403</v>
      </c>
      <c r="E156" s="39" t="s">
        <v>4153</v>
      </c>
      <c r="F156" s="27"/>
      <c r="G156" s="1312"/>
    </row>
    <row r="157" spans="1:8" s="997" customFormat="1" ht="36" customHeight="1" thickBot="1">
      <c r="A157" s="1302"/>
      <c r="B157" s="1315"/>
      <c r="C157" s="1309"/>
      <c r="D157" s="37" t="s">
        <v>1334</v>
      </c>
      <c r="E157" s="36" t="s">
        <v>1513</v>
      </c>
      <c r="F157" s="995"/>
      <c r="G157" s="1313"/>
    </row>
    <row r="158" spans="1:8" s="858" customFormat="1" ht="36" hidden="1" customHeight="1">
      <c r="A158" s="1302"/>
      <c r="B158" s="1315"/>
      <c r="C158" s="21"/>
      <c r="D158" s="20"/>
      <c r="E158" s="19"/>
      <c r="F158" s="503"/>
      <c r="G158" s="725"/>
    </row>
    <row r="159" spans="1:8" s="858" customFormat="1" ht="36" hidden="1" customHeight="1" thickBot="1">
      <c r="A159" s="1302"/>
      <c r="B159" s="1315"/>
      <c r="C159" s="752"/>
      <c r="D159" s="16"/>
      <c r="E159" s="15"/>
      <c r="F159" s="482"/>
      <c r="G159" s="725"/>
    </row>
    <row r="160" spans="1:8" s="858" customFormat="1" ht="36" customHeight="1" thickBot="1">
      <c r="A160" s="1303"/>
      <c r="B160" s="1316"/>
      <c r="C160" s="12"/>
      <c r="D160" s="11"/>
      <c r="E160" s="10"/>
      <c r="F160" s="10"/>
      <c r="G160" s="9"/>
    </row>
    <row r="161" spans="1:8" s="858" customFormat="1" ht="36" customHeight="1">
      <c r="A161" s="1301">
        <v>44860</v>
      </c>
      <c r="B161" s="1314" t="s">
        <v>247</v>
      </c>
      <c r="C161" s="1307" t="s">
        <v>4099</v>
      </c>
      <c r="D161" s="27" t="s">
        <v>4100</v>
      </c>
      <c r="E161" s="27" t="s">
        <v>4101</v>
      </c>
      <c r="F161" s="999"/>
      <c r="G161" s="998"/>
    </row>
    <row r="162" spans="1:8" s="858" customFormat="1" ht="36" customHeight="1">
      <c r="A162" s="1302"/>
      <c r="B162" s="1315"/>
      <c r="C162" s="1308"/>
      <c r="D162" s="27" t="s">
        <v>4121</v>
      </c>
      <c r="E162" s="27" t="s">
        <v>4131</v>
      </c>
      <c r="F162" s="999"/>
      <c r="G162" s="998"/>
      <c r="H162" s="858" t="s">
        <v>4132</v>
      </c>
    </row>
    <row r="163" spans="1:8" s="858" customFormat="1" ht="36" customHeight="1">
      <c r="A163" s="1302"/>
      <c r="B163" s="1315"/>
      <c r="C163" s="1308"/>
      <c r="D163" s="27" t="s">
        <v>4130</v>
      </c>
      <c r="E163" s="27" t="s">
        <v>1562</v>
      </c>
      <c r="F163" s="999"/>
      <c r="G163" s="998"/>
    </row>
    <row r="164" spans="1:8" s="975" customFormat="1" ht="36" customHeight="1" thickBot="1">
      <c r="A164" s="1302"/>
      <c r="B164" s="1315"/>
      <c r="C164" s="1309"/>
      <c r="D164" s="40" t="s">
        <v>1407</v>
      </c>
      <c r="E164" s="39" t="s">
        <v>2621</v>
      </c>
      <c r="F164" s="27"/>
      <c r="G164" s="998"/>
    </row>
    <row r="165" spans="1:8" s="997" customFormat="1" ht="36" hidden="1" customHeight="1">
      <c r="A165" s="1302"/>
      <c r="B165" s="1315"/>
      <c r="C165" s="21"/>
      <c r="D165" s="875"/>
      <c r="E165" s="875"/>
      <c r="F165" s="902"/>
      <c r="G165" s="927"/>
    </row>
    <row r="166" spans="1:8" s="997" customFormat="1" ht="36" hidden="1" customHeight="1">
      <c r="A166" s="1302"/>
      <c r="B166" s="1315"/>
      <c r="C166" s="21"/>
      <c r="D166" s="875"/>
      <c r="E166" s="875"/>
      <c r="F166" s="902"/>
      <c r="G166" s="927"/>
    </row>
    <row r="167" spans="1:8" s="997" customFormat="1" ht="36" hidden="1" customHeight="1">
      <c r="A167" s="1302"/>
      <c r="B167" s="1315"/>
      <c r="C167" s="1000"/>
      <c r="D167" s="875"/>
      <c r="E167" s="875"/>
      <c r="F167" s="902"/>
      <c r="G167" s="927"/>
    </row>
    <row r="168" spans="1:8" s="975" customFormat="1" ht="36" hidden="1" customHeight="1">
      <c r="A168" s="1302"/>
      <c r="B168" s="1315"/>
      <c r="C168" s="974"/>
      <c r="D168" s="875"/>
      <c r="E168" s="15"/>
      <c r="F168" s="22"/>
      <c r="G168" s="927"/>
    </row>
    <row r="169" spans="1:8" s="858" customFormat="1" ht="36" hidden="1" customHeight="1" thickBot="1">
      <c r="A169" s="1302"/>
      <c r="B169" s="1315"/>
      <c r="C169" s="752"/>
      <c r="D169" s="16"/>
      <c r="E169" s="15"/>
      <c r="F169" s="482"/>
      <c r="G169" s="725"/>
    </row>
    <row r="170" spans="1:8" s="858" customFormat="1" ht="36" customHeight="1" thickBot="1">
      <c r="A170" s="1303"/>
      <c r="B170" s="1316"/>
      <c r="C170" s="12"/>
      <c r="D170" s="11"/>
      <c r="E170" s="10"/>
      <c r="F170" s="10"/>
      <c r="G170" s="9"/>
    </row>
    <row r="171" spans="1:8" s="858" customFormat="1" ht="36" customHeight="1">
      <c r="A171" s="1301">
        <v>44861</v>
      </c>
      <c r="B171" s="1314" t="s">
        <v>1</v>
      </c>
      <c r="C171" s="1008" t="s">
        <v>209</v>
      </c>
      <c r="D171" s="27" t="s">
        <v>208</v>
      </c>
      <c r="E171" s="27" t="s">
        <v>207</v>
      </c>
      <c r="F171" s="1007"/>
      <c r="G171" s="1004"/>
    </row>
    <row r="172" spans="1:8" s="1009" customFormat="1" ht="36" customHeight="1">
      <c r="A172" s="1302"/>
      <c r="B172" s="1315"/>
      <c r="C172" s="1008" t="s">
        <v>4167</v>
      </c>
      <c r="D172" s="27" t="s">
        <v>4168</v>
      </c>
      <c r="E172" s="27" t="s">
        <v>4169</v>
      </c>
      <c r="F172" s="1007" t="s">
        <v>4170</v>
      </c>
      <c r="G172" s="1004"/>
    </row>
    <row r="173" spans="1:8" s="1009" customFormat="1" ht="36" customHeight="1">
      <c r="A173" s="1302"/>
      <c r="B173" s="1315"/>
      <c r="C173" s="1310" t="s">
        <v>4175</v>
      </c>
      <c r="D173" s="27" t="s">
        <v>1801</v>
      </c>
      <c r="E173" s="27" t="s">
        <v>1247</v>
      </c>
      <c r="F173" s="27"/>
      <c r="G173" s="41"/>
    </row>
    <row r="174" spans="1:8" s="1009" customFormat="1" ht="36" customHeight="1">
      <c r="A174" s="1302"/>
      <c r="B174" s="1315"/>
      <c r="C174" s="1308"/>
      <c r="D174" s="27" t="s">
        <v>1334</v>
      </c>
      <c r="E174" s="1006" t="s">
        <v>2631</v>
      </c>
      <c r="F174" s="1007"/>
      <c r="G174" s="949"/>
    </row>
    <row r="175" spans="1:8" s="1009" customFormat="1" ht="36" customHeight="1">
      <c r="A175" s="1302"/>
      <c r="B175" s="1315"/>
      <c r="C175" s="1308"/>
      <c r="D175" s="27" t="s">
        <v>1334</v>
      </c>
      <c r="E175" s="54" t="s">
        <v>1821</v>
      </c>
      <c r="F175" s="1323" t="s">
        <v>4155</v>
      </c>
      <c r="G175" s="949"/>
    </row>
    <row r="176" spans="1:8" s="1009" customFormat="1" ht="36" customHeight="1">
      <c r="A176" s="1302"/>
      <c r="B176" s="1315"/>
      <c r="C176" s="1309"/>
      <c r="D176" s="27" t="s">
        <v>1330</v>
      </c>
      <c r="E176" s="27" t="s">
        <v>2890</v>
      </c>
      <c r="F176" s="1321"/>
      <c r="G176" s="1018"/>
    </row>
    <row r="177" spans="1:8" s="1001" customFormat="1" ht="36" customHeight="1">
      <c r="A177" s="1302"/>
      <c r="B177" s="1315"/>
      <c r="C177" s="1008" t="s">
        <v>397</v>
      </c>
      <c r="D177" s="27" t="s">
        <v>109</v>
      </c>
      <c r="E177" s="27" t="s">
        <v>113</v>
      </c>
      <c r="F177" s="27" t="s">
        <v>1004</v>
      </c>
      <c r="G177" s="41" t="s">
        <v>106</v>
      </c>
      <c r="H177" s="1001" t="s">
        <v>3634</v>
      </c>
    </row>
    <row r="178" spans="1:8" s="87" customFormat="1" ht="36" customHeight="1">
      <c r="A178" s="1302"/>
      <c r="B178" s="1315"/>
      <c r="C178" s="1003" t="s">
        <v>158</v>
      </c>
      <c r="D178" s="37" t="s">
        <v>80</v>
      </c>
      <c r="E178" s="36" t="s">
        <v>30</v>
      </c>
      <c r="F178" s="1007" t="s">
        <v>157</v>
      </c>
      <c r="G178" s="1005" t="s">
        <v>48</v>
      </c>
      <c r="H178" s="88"/>
    </row>
    <row r="179" spans="1:8" s="87" customFormat="1" ht="36" customHeight="1">
      <c r="A179" s="1302"/>
      <c r="B179" s="1315"/>
      <c r="C179" s="1003" t="s">
        <v>2361</v>
      </c>
      <c r="D179" s="37" t="s">
        <v>733</v>
      </c>
      <c r="E179" s="36" t="s">
        <v>30</v>
      </c>
      <c r="F179" s="1007" t="s">
        <v>157</v>
      </c>
      <c r="G179" s="1005" t="s">
        <v>4177</v>
      </c>
      <c r="H179" s="88"/>
    </row>
    <row r="180" spans="1:8" s="858" customFormat="1" ht="36" customHeight="1" thickBot="1">
      <c r="A180" s="1302"/>
      <c r="B180" s="1315"/>
      <c r="C180" s="752"/>
      <c r="D180" s="16"/>
      <c r="E180" s="15"/>
      <c r="F180" s="482"/>
      <c r="G180" s="725"/>
    </row>
    <row r="181" spans="1:8" s="858" customFormat="1" ht="36" customHeight="1" thickBot="1">
      <c r="A181" s="1303"/>
      <c r="B181" s="1316"/>
      <c r="C181" s="12"/>
      <c r="D181" s="11"/>
      <c r="E181" s="10"/>
      <c r="F181" s="10"/>
      <c r="G181" s="9"/>
    </row>
    <row r="182" spans="1:8" s="858" customFormat="1" ht="36" customHeight="1">
      <c r="A182" s="1301">
        <v>44862</v>
      </c>
      <c r="B182" s="1314" t="s">
        <v>0</v>
      </c>
      <c r="C182" s="1013" t="s">
        <v>4178</v>
      </c>
      <c r="D182" s="40" t="s">
        <v>3766</v>
      </c>
      <c r="E182" s="39" t="s">
        <v>4179</v>
      </c>
      <c r="F182" s="1012" t="s">
        <v>4069</v>
      </c>
      <c r="G182" s="1011" t="s">
        <v>3038</v>
      </c>
    </row>
    <row r="183" spans="1:8" s="858" customFormat="1" ht="36" customHeight="1">
      <c r="A183" s="1302"/>
      <c r="B183" s="1315"/>
      <c r="C183" s="1013" t="s">
        <v>4163</v>
      </c>
      <c r="D183" s="40" t="s">
        <v>4164</v>
      </c>
      <c r="E183" s="39" t="s">
        <v>4162</v>
      </c>
      <c r="F183" s="1012" t="s">
        <v>4165</v>
      </c>
      <c r="G183" s="1011" t="s">
        <v>4166</v>
      </c>
    </row>
    <row r="184" spans="1:8" s="858" customFormat="1" ht="36" customHeight="1">
      <c r="A184" s="1302"/>
      <c r="B184" s="1315"/>
      <c r="C184" s="21"/>
      <c r="D184" s="20"/>
      <c r="E184" s="19"/>
      <c r="F184" s="22"/>
      <c r="G184" s="96"/>
    </row>
    <row r="185" spans="1:8" s="1015" customFormat="1" ht="36" customHeight="1" thickBot="1">
      <c r="A185" s="1302"/>
      <c r="B185" s="1315"/>
      <c r="C185" s="1014"/>
      <c r="D185" s="30"/>
      <c r="E185" s="29"/>
      <c r="F185" s="482"/>
      <c r="G185" s="935"/>
    </row>
    <row r="186" spans="1:8" s="973" customFormat="1" ht="36" customHeight="1" thickBot="1">
      <c r="A186" s="1303"/>
      <c r="B186" s="1316"/>
      <c r="C186" s="12" t="s">
        <v>1879</v>
      </c>
      <c r="D186" s="11" t="s">
        <v>1842</v>
      </c>
      <c r="E186" s="10" t="s">
        <v>4134</v>
      </c>
      <c r="F186" s="10" t="s">
        <v>4180</v>
      </c>
      <c r="G186" s="9"/>
    </row>
    <row r="187" spans="1:8" s="858" customFormat="1" ht="60" customHeight="1" thickBot="1">
      <c r="A187" s="1298" t="s">
        <v>5</v>
      </c>
      <c r="B187" s="1299"/>
      <c r="C187" s="1299"/>
      <c r="D187" s="1299"/>
      <c r="E187" s="1299"/>
      <c r="F187" s="1299"/>
      <c r="G187" s="1300"/>
    </row>
    <row r="188" spans="1:8" s="1015" customFormat="1" ht="36" customHeight="1">
      <c r="A188" s="1301">
        <v>44865</v>
      </c>
      <c r="B188" s="1304" t="s">
        <v>4</v>
      </c>
      <c r="C188" s="1024" t="s">
        <v>1473</v>
      </c>
      <c r="D188" s="27" t="s">
        <v>4133</v>
      </c>
      <c r="E188" s="27" t="s">
        <v>1273</v>
      </c>
      <c r="F188" s="1023"/>
      <c r="G188" s="1021"/>
    </row>
    <row r="189" spans="1:8" s="1009" customFormat="1" ht="36" customHeight="1">
      <c r="A189" s="1302"/>
      <c r="B189" s="1305"/>
      <c r="C189" s="1024" t="s">
        <v>1889</v>
      </c>
      <c r="D189" s="40" t="s">
        <v>109</v>
      </c>
      <c r="E189" s="39" t="s">
        <v>1513</v>
      </c>
      <c r="F189" s="27" t="s">
        <v>107</v>
      </c>
      <c r="G189" s="41" t="s">
        <v>2610</v>
      </c>
    </row>
    <row r="190" spans="1:8" s="1019" customFormat="1" ht="30" customHeight="1">
      <c r="A190" s="1302"/>
      <c r="B190" s="1305"/>
      <c r="C190" s="1310" t="s">
        <v>4193</v>
      </c>
      <c r="D190" s="27" t="s">
        <v>4194</v>
      </c>
      <c r="E190" s="27" t="s">
        <v>4195</v>
      </c>
      <c r="F190" s="1023"/>
      <c r="G190" s="1311" t="s">
        <v>4196</v>
      </c>
    </row>
    <row r="191" spans="1:8" s="1019" customFormat="1" ht="30" customHeight="1">
      <c r="A191" s="1302"/>
      <c r="B191" s="1305"/>
      <c r="C191" s="1309"/>
      <c r="D191" s="27" t="s">
        <v>109</v>
      </c>
      <c r="E191" s="27" t="s">
        <v>4208</v>
      </c>
      <c r="F191" s="1023" t="s">
        <v>4272</v>
      </c>
      <c r="G191" s="1313"/>
    </row>
    <row r="192" spans="1:8" s="1019" customFormat="1" ht="36" customHeight="1" thickBot="1">
      <c r="A192" s="1302"/>
      <c r="B192" s="1305"/>
      <c r="C192" s="1020" t="s">
        <v>209</v>
      </c>
      <c r="D192" s="1023" t="s">
        <v>621</v>
      </c>
      <c r="E192" s="1023" t="s">
        <v>522</v>
      </c>
      <c r="F192" s="1023" t="s">
        <v>4161</v>
      </c>
      <c r="G192" s="1022"/>
    </row>
    <row r="193" spans="1:7" s="858" customFormat="1" ht="36" hidden="1" customHeight="1">
      <c r="A193" s="1302"/>
      <c r="B193" s="1305"/>
      <c r="C193" s="21"/>
      <c r="D193" s="20"/>
      <c r="E193" s="19"/>
      <c r="F193" s="503"/>
      <c r="G193" s="725"/>
    </row>
    <row r="194" spans="1:7" s="1015" customFormat="1" ht="36" hidden="1" customHeight="1">
      <c r="A194" s="1302"/>
      <c r="B194" s="1305"/>
      <c r="C194" s="21"/>
      <c r="D194" s="20"/>
      <c r="E194" s="19"/>
      <c r="F194" s="22"/>
      <c r="G194" s="96"/>
    </row>
    <row r="195" spans="1:7" s="858" customFormat="1" ht="36" hidden="1" customHeight="1" thickBot="1">
      <c r="A195" s="1302"/>
      <c r="B195" s="1305"/>
      <c r="C195" s="1014"/>
      <c r="D195" s="30"/>
      <c r="E195" s="29"/>
      <c r="F195" s="482"/>
      <c r="G195" s="935"/>
    </row>
    <row r="196" spans="1:7" s="858" customFormat="1" ht="36" customHeight="1" thickBot="1">
      <c r="A196" s="1303"/>
      <c r="B196" s="1306"/>
      <c r="C196" s="12"/>
      <c r="D196" s="11"/>
      <c r="E196" s="10"/>
      <c r="F196" s="10"/>
      <c r="G196" s="9"/>
    </row>
  </sheetData>
  <mergeCells count="89">
    <mergeCell ref="C155:C157"/>
    <mergeCell ref="G155:G157"/>
    <mergeCell ref="C190:C191"/>
    <mergeCell ref="G190:G191"/>
    <mergeCell ref="A58:A74"/>
    <mergeCell ref="B58:B74"/>
    <mergeCell ref="G58:G60"/>
    <mergeCell ref="A75:A87"/>
    <mergeCell ref="B75:B87"/>
    <mergeCell ref="C78:C80"/>
    <mergeCell ref="F78:F80"/>
    <mergeCell ref="C61:C63"/>
    <mergeCell ref="G61:G63"/>
    <mergeCell ref="G81:G82"/>
    <mergeCell ref="C83:C84"/>
    <mergeCell ref="C58:C60"/>
    <mergeCell ref="C69:C70"/>
    <mergeCell ref="G78:G80"/>
    <mergeCell ref="G69:G70"/>
    <mergeCell ref="C64:C67"/>
    <mergeCell ref="A25:A36"/>
    <mergeCell ref="B25:B36"/>
    <mergeCell ref="A57:G57"/>
    <mergeCell ref="C30:C31"/>
    <mergeCell ref="C38:C42"/>
    <mergeCell ref="A50:A56"/>
    <mergeCell ref="B50:B56"/>
    <mergeCell ref="C26:C29"/>
    <mergeCell ref="G25:G29"/>
    <mergeCell ref="G43:G44"/>
    <mergeCell ref="C43:C44"/>
    <mergeCell ref="C51:C54"/>
    <mergeCell ref="A37:A49"/>
    <mergeCell ref="B37:B49"/>
    <mergeCell ref="A1:G1"/>
    <mergeCell ref="A7:A13"/>
    <mergeCell ref="B7:B13"/>
    <mergeCell ref="A14:A24"/>
    <mergeCell ref="B14:B24"/>
    <mergeCell ref="C14:C16"/>
    <mergeCell ref="A2:A6"/>
    <mergeCell ref="B2:B6"/>
    <mergeCell ref="C17:C19"/>
    <mergeCell ref="G17:G19"/>
    <mergeCell ref="A147:A152"/>
    <mergeCell ref="B147:B152"/>
    <mergeCell ref="A182:A186"/>
    <mergeCell ref="B182:B186"/>
    <mergeCell ref="A187:G187"/>
    <mergeCell ref="A153:A160"/>
    <mergeCell ref="B153:B160"/>
    <mergeCell ref="A161:A170"/>
    <mergeCell ref="B161:B170"/>
    <mergeCell ref="A171:A181"/>
    <mergeCell ref="B171:B181"/>
    <mergeCell ref="C148:C150"/>
    <mergeCell ref="G149:G150"/>
    <mergeCell ref="F175:F176"/>
    <mergeCell ref="C173:C176"/>
    <mergeCell ref="C161:C164"/>
    <mergeCell ref="C91:C92"/>
    <mergeCell ref="G91:G92"/>
    <mergeCell ref="C108:C109"/>
    <mergeCell ref="C127:C129"/>
    <mergeCell ref="A146:G146"/>
    <mergeCell ref="G117:G118"/>
    <mergeCell ref="G132:G134"/>
    <mergeCell ref="A95:A105"/>
    <mergeCell ref="B95:B105"/>
    <mergeCell ref="A106:G106"/>
    <mergeCell ref="A107:A113"/>
    <mergeCell ref="B107:B113"/>
    <mergeCell ref="C95:C98"/>
    <mergeCell ref="A188:A196"/>
    <mergeCell ref="B188:B196"/>
    <mergeCell ref="A126:A137"/>
    <mergeCell ref="C81:C82"/>
    <mergeCell ref="F81:F82"/>
    <mergeCell ref="C117:C118"/>
    <mergeCell ref="C132:C134"/>
    <mergeCell ref="A121:A125"/>
    <mergeCell ref="B121:B125"/>
    <mergeCell ref="B126:B137"/>
    <mergeCell ref="A138:A145"/>
    <mergeCell ref="B138:B145"/>
    <mergeCell ref="A114:A120"/>
    <mergeCell ref="B114:B120"/>
    <mergeCell ref="A88:A94"/>
    <mergeCell ref="B88:B94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5"/>
  <sheetViews>
    <sheetView topLeftCell="A129" zoomScale="70" zoomScaleNormal="70" zoomScaleSheetLayoutView="70" workbookViewId="0">
      <selection activeCell="N152" sqref="N152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001" customWidth="1"/>
    <col min="9" max="16384" width="9" style="1"/>
  </cols>
  <sheetData>
    <row r="1" spans="1:8" s="1001" customFormat="1" ht="60" customHeight="1" thickBot="1">
      <c r="A1" s="1298" t="s">
        <v>5</v>
      </c>
      <c r="B1" s="1299"/>
      <c r="C1" s="1299"/>
      <c r="D1" s="1299"/>
      <c r="E1" s="1299"/>
      <c r="F1" s="1299"/>
      <c r="G1" s="1300"/>
    </row>
    <row r="2" spans="1:8" s="1001" customFormat="1" ht="30" customHeight="1">
      <c r="A2" s="1301">
        <v>44866</v>
      </c>
      <c r="B2" s="1314" t="s">
        <v>4158</v>
      </c>
      <c r="C2" s="21" t="s">
        <v>4188</v>
      </c>
      <c r="D2" s="22" t="s">
        <v>1672</v>
      </c>
      <c r="E2" s="22" t="s">
        <v>525</v>
      </c>
      <c r="F2" s="902" t="s">
        <v>4189</v>
      </c>
      <c r="G2" s="927" t="s">
        <v>416</v>
      </c>
    </row>
    <row r="3" spans="1:8" s="1015" customFormat="1" ht="30" customHeight="1">
      <c r="A3" s="1302"/>
      <c r="B3" s="1315"/>
      <c r="C3" s="1310" t="s">
        <v>4181</v>
      </c>
      <c r="D3" s="27" t="s">
        <v>4182</v>
      </c>
      <c r="E3" s="27" t="s">
        <v>4183</v>
      </c>
      <c r="F3" s="27"/>
      <c r="G3" s="1021"/>
    </row>
    <row r="4" spans="1:8" s="1015" customFormat="1" ht="30" customHeight="1">
      <c r="A4" s="1302"/>
      <c r="B4" s="1315"/>
      <c r="C4" s="1308"/>
      <c r="D4" s="40" t="s">
        <v>4184</v>
      </c>
      <c r="E4" s="39" t="s">
        <v>4185</v>
      </c>
      <c r="F4" s="1023"/>
      <c r="G4" s="1021"/>
    </row>
    <row r="5" spans="1:8" s="1015" customFormat="1" ht="30" customHeight="1">
      <c r="A5" s="1302"/>
      <c r="B5" s="1315"/>
      <c r="C5" s="1308"/>
      <c r="D5" s="27" t="s">
        <v>4186</v>
      </c>
      <c r="E5" s="27" t="s">
        <v>4187</v>
      </c>
      <c r="F5" s="1023"/>
      <c r="G5" s="41"/>
    </row>
    <row r="6" spans="1:8" s="1019" customFormat="1" ht="30" customHeight="1">
      <c r="A6" s="1302"/>
      <c r="B6" s="1315"/>
      <c r="C6" s="1309"/>
      <c r="D6" s="1023" t="s">
        <v>4190</v>
      </c>
      <c r="E6" s="1023" t="s">
        <v>4191</v>
      </c>
      <c r="F6" s="1023" t="s">
        <v>4192</v>
      </c>
      <c r="G6" s="41"/>
    </row>
    <row r="7" spans="1:8" s="1019" customFormat="1" ht="30" customHeight="1">
      <c r="A7" s="1302"/>
      <c r="B7" s="1315"/>
      <c r="C7" s="1024" t="s">
        <v>4202</v>
      </c>
      <c r="D7" s="27" t="s">
        <v>109</v>
      </c>
      <c r="E7" s="1023" t="s">
        <v>4203</v>
      </c>
      <c r="F7" s="1023" t="s">
        <v>4204</v>
      </c>
      <c r="G7" s="41" t="s">
        <v>4225</v>
      </c>
    </row>
    <row r="8" spans="1:8" s="1001" customFormat="1" ht="30" customHeight="1">
      <c r="A8" s="1302"/>
      <c r="B8" s="1315"/>
      <c r="C8" s="1024" t="s">
        <v>4205</v>
      </c>
      <c r="D8" s="27" t="s">
        <v>4206</v>
      </c>
      <c r="E8" s="27" t="s">
        <v>4207</v>
      </c>
      <c r="F8" s="1023"/>
      <c r="G8" s="1021" t="s">
        <v>4237</v>
      </c>
      <c r="H8" s="1025" t="s">
        <v>4231</v>
      </c>
    </row>
    <row r="9" spans="1:8" s="1001" customFormat="1" ht="30" customHeight="1" thickBot="1">
      <c r="A9" s="1302"/>
      <c r="B9" s="1315"/>
      <c r="C9" s="1002"/>
      <c r="D9" s="16"/>
      <c r="E9" s="15"/>
      <c r="F9" s="482"/>
      <c r="G9" s="927"/>
    </row>
    <row r="10" spans="1:8" s="1001" customFormat="1" ht="30" customHeight="1" thickBot="1">
      <c r="A10" s="1303"/>
      <c r="B10" s="1316"/>
      <c r="C10" s="12" t="s">
        <v>4219</v>
      </c>
      <c r="D10" s="11" t="s">
        <v>4220</v>
      </c>
      <c r="E10" s="10" t="s">
        <v>4221</v>
      </c>
      <c r="F10" s="10" t="s">
        <v>4222</v>
      </c>
      <c r="G10" s="9"/>
    </row>
    <row r="11" spans="1:8" ht="30" customHeight="1">
      <c r="A11" s="1301">
        <v>44867</v>
      </c>
      <c r="B11" s="1314" t="s">
        <v>4159</v>
      </c>
      <c r="C11" s="1307" t="s">
        <v>4197</v>
      </c>
      <c r="D11" s="27" t="s">
        <v>4209</v>
      </c>
      <c r="E11" s="27" t="s">
        <v>4198</v>
      </c>
      <c r="F11" s="1027"/>
      <c r="G11" s="1026"/>
    </row>
    <row r="12" spans="1:8" ht="30" customHeight="1">
      <c r="A12" s="1302"/>
      <c r="B12" s="1315"/>
      <c r="C12" s="1308"/>
      <c r="D12" s="27" t="s">
        <v>4199</v>
      </c>
      <c r="E12" s="27" t="s">
        <v>4200</v>
      </c>
      <c r="F12" s="1027"/>
      <c r="G12" s="1026"/>
      <c r="H12" s="1019"/>
    </row>
    <row r="13" spans="1:8" ht="30" customHeight="1">
      <c r="A13" s="1302"/>
      <c r="B13" s="1315"/>
      <c r="C13" s="1308"/>
      <c r="D13" s="27" t="s">
        <v>4210</v>
      </c>
      <c r="E13" s="27" t="s">
        <v>4201</v>
      </c>
      <c r="F13" s="1027"/>
      <c r="G13" s="1026"/>
      <c r="H13" s="1019"/>
    </row>
    <row r="14" spans="1:8" ht="30" customHeight="1">
      <c r="A14" s="1302"/>
      <c r="B14" s="1315"/>
      <c r="C14" s="1309"/>
      <c r="D14" s="27" t="s">
        <v>109</v>
      </c>
      <c r="E14" s="27" t="s">
        <v>299</v>
      </c>
      <c r="F14" s="1027" t="s">
        <v>112</v>
      </c>
      <c r="G14" s="1026"/>
      <c r="H14" s="1019"/>
    </row>
    <row r="15" spans="1:8" ht="30" customHeight="1">
      <c r="A15" s="1302"/>
      <c r="B15" s="1315"/>
      <c r="C15" s="1028" t="s">
        <v>4238</v>
      </c>
      <c r="D15" s="27" t="s">
        <v>109</v>
      </c>
      <c r="E15" s="27" t="s">
        <v>4239</v>
      </c>
      <c r="F15" s="1027" t="s">
        <v>112</v>
      </c>
      <c r="G15" s="1026" t="s">
        <v>4240</v>
      </c>
      <c r="H15" s="1019" t="s">
        <v>4241</v>
      </c>
    </row>
    <row r="16" spans="1:8" ht="30" customHeight="1">
      <c r="A16" s="1302"/>
      <c r="B16" s="1315"/>
      <c r="C16" s="1310" t="s">
        <v>4245</v>
      </c>
      <c r="D16" s="27" t="s">
        <v>4246</v>
      </c>
      <c r="E16" s="27" t="s">
        <v>4247</v>
      </c>
      <c r="F16" s="1027" t="s">
        <v>4250</v>
      </c>
      <c r="G16" s="1348" t="s">
        <v>4252</v>
      </c>
    </row>
    <row r="17" spans="1:10" ht="30" customHeight="1">
      <c r="A17" s="1302"/>
      <c r="B17" s="1315"/>
      <c r="C17" s="1309"/>
      <c r="D17" s="40" t="s">
        <v>4248</v>
      </c>
      <c r="E17" s="39" t="s">
        <v>4249</v>
      </c>
      <c r="F17" s="1027" t="s">
        <v>4251</v>
      </c>
      <c r="G17" s="1313"/>
    </row>
    <row r="18" spans="1:10" ht="30" customHeight="1">
      <c r="A18" s="1302"/>
      <c r="B18" s="1315"/>
      <c r="C18" s="1028" t="s">
        <v>4254</v>
      </c>
      <c r="D18" s="40" t="s">
        <v>4255</v>
      </c>
      <c r="E18" s="39" t="s">
        <v>4256</v>
      </c>
      <c r="F18" s="27" t="s">
        <v>4264</v>
      </c>
      <c r="G18" s="41" t="s">
        <v>4257</v>
      </c>
      <c r="H18" s="1031" t="s">
        <v>4258</v>
      </c>
    </row>
    <row r="19" spans="1:10" s="1031" customFormat="1" ht="30" customHeight="1">
      <c r="A19" s="1302"/>
      <c r="B19" s="1315"/>
      <c r="C19" s="1028" t="s">
        <v>4268</v>
      </c>
      <c r="D19" s="40" t="s">
        <v>4226</v>
      </c>
      <c r="E19" s="39" t="s">
        <v>1499</v>
      </c>
      <c r="F19" s="27"/>
      <c r="G19" s="41"/>
      <c r="H19" s="1031" t="s">
        <v>4227</v>
      </c>
    </row>
    <row r="20" spans="1:10" ht="30" customHeight="1">
      <c r="A20" s="1302"/>
      <c r="B20" s="1315"/>
      <c r="C20" s="1030"/>
      <c r="D20" s="34"/>
      <c r="E20" s="33"/>
      <c r="F20" s="1010"/>
      <c r="G20" s="916"/>
      <c r="H20" s="1031"/>
    </row>
    <row r="21" spans="1:10" ht="30" customHeight="1" thickBot="1">
      <c r="A21" s="1302"/>
      <c r="B21" s="1315"/>
      <c r="C21" s="1029"/>
      <c r="D21" s="30"/>
      <c r="E21" s="29"/>
      <c r="F21" s="482"/>
      <c r="G21" s="935"/>
    </row>
    <row r="22" spans="1:10" ht="30" customHeight="1" thickBot="1">
      <c r="A22" s="1303"/>
      <c r="B22" s="1316"/>
      <c r="C22" s="12" t="s">
        <v>4223</v>
      </c>
      <c r="D22" s="11" t="s">
        <v>4224</v>
      </c>
      <c r="E22" s="10"/>
      <c r="F22" s="10" t="s">
        <v>4253</v>
      </c>
      <c r="G22" s="9"/>
    </row>
    <row r="23" spans="1:10" ht="30" customHeight="1">
      <c r="A23" s="1301">
        <v>44868</v>
      </c>
      <c r="B23" s="1314" t="s">
        <v>4160</v>
      </c>
      <c r="C23" s="1307" t="s">
        <v>4211</v>
      </c>
      <c r="D23" s="27" t="s">
        <v>4212</v>
      </c>
      <c r="E23" s="27" t="s">
        <v>4213</v>
      </c>
      <c r="F23" s="1038"/>
      <c r="G23" s="1036"/>
    </row>
    <row r="24" spans="1:10" ht="30" customHeight="1">
      <c r="A24" s="1302"/>
      <c r="B24" s="1315"/>
      <c r="C24" s="1308"/>
      <c r="D24" s="27" t="s">
        <v>4214</v>
      </c>
      <c r="E24" s="27" t="s">
        <v>4265</v>
      </c>
      <c r="F24" s="1038"/>
      <c r="G24" s="1036"/>
      <c r="H24" s="1019"/>
    </row>
    <row r="25" spans="1:10" ht="30" customHeight="1">
      <c r="A25" s="1302"/>
      <c r="B25" s="1315"/>
      <c r="C25" s="1309"/>
      <c r="D25" s="27" t="s">
        <v>4215</v>
      </c>
      <c r="E25" s="27" t="s">
        <v>4216</v>
      </c>
      <c r="F25" s="1038"/>
      <c r="G25" s="1036"/>
      <c r="H25" s="1019"/>
    </row>
    <row r="26" spans="1:10" ht="30" customHeight="1">
      <c r="A26" s="1302"/>
      <c r="B26" s="1315"/>
      <c r="C26" s="1039" t="s">
        <v>4156</v>
      </c>
      <c r="D26" s="27" t="s">
        <v>4157</v>
      </c>
      <c r="E26" s="27" t="s">
        <v>520</v>
      </c>
      <c r="F26" s="1038"/>
      <c r="G26" s="1311" t="s">
        <v>4278</v>
      </c>
      <c r="H26" s="1025" t="s">
        <v>4230</v>
      </c>
      <c r="J26" s="1032" t="s">
        <v>4232</v>
      </c>
    </row>
    <row r="27" spans="1:10" s="1025" customFormat="1" ht="30" customHeight="1">
      <c r="A27" s="1302"/>
      <c r="B27" s="1315"/>
      <c r="C27" s="1310" t="s">
        <v>1428</v>
      </c>
      <c r="D27" s="27" t="s">
        <v>109</v>
      </c>
      <c r="E27" s="27" t="s">
        <v>1624</v>
      </c>
      <c r="F27" s="1038"/>
      <c r="G27" s="1312"/>
    </row>
    <row r="28" spans="1:10" s="1025" customFormat="1" ht="30" customHeight="1">
      <c r="A28" s="1302"/>
      <c r="B28" s="1315"/>
      <c r="C28" s="1309"/>
      <c r="D28" s="40" t="s">
        <v>327</v>
      </c>
      <c r="E28" s="39" t="s">
        <v>2620</v>
      </c>
      <c r="F28" s="1038"/>
      <c r="G28" s="1313"/>
    </row>
    <row r="29" spans="1:10" ht="30" customHeight="1">
      <c r="A29" s="1302"/>
      <c r="B29" s="1315"/>
      <c r="C29" s="1039" t="s">
        <v>4242</v>
      </c>
      <c r="D29" s="27" t="s">
        <v>109</v>
      </c>
      <c r="E29" s="27" t="s">
        <v>3701</v>
      </c>
      <c r="F29" s="1038" t="s">
        <v>4243</v>
      </c>
      <c r="G29" s="1036" t="s">
        <v>4244</v>
      </c>
      <c r="H29" s="1001" t="s">
        <v>4276</v>
      </c>
    </row>
    <row r="30" spans="1:10" ht="30" customHeight="1">
      <c r="A30" s="1302"/>
      <c r="B30" s="1315"/>
      <c r="C30" s="1310" t="s">
        <v>4269</v>
      </c>
      <c r="D30" s="40" t="s">
        <v>4270</v>
      </c>
      <c r="E30" s="39" t="s">
        <v>4271</v>
      </c>
      <c r="F30" s="27" t="s">
        <v>4274</v>
      </c>
      <c r="G30" s="1311" t="s">
        <v>4275</v>
      </c>
      <c r="H30" s="1001" t="s">
        <v>4277</v>
      </c>
    </row>
    <row r="31" spans="1:10" ht="30" customHeight="1">
      <c r="A31" s="1302"/>
      <c r="B31" s="1315"/>
      <c r="C31" s="1309"/>
      <c r="D31" s="37" t="s">
        <v>4273</v>
      </c>
      <c r="E31" s="36"/>
      <c r="F31" s="1038"/>
      <c r="G31" s="1313"/>
      <c r="H31" s="1031"/>
    </row>
    <row r="32" spans="1:10" s="87" customFormat="1" ht="36" customHeight="1" thickBot="1">
      <c r="A32" s="1302"/>
      <c r="B32" s="1315"/>
      <c r="C32" s="1035" t="s">
        <v>2361</v>
      </c>
      <c r="D32" s="37" t="s">
        <v>733</v>
      </c>
      <c r="E32" s="36" t="s">
        <v>4279</v>
      </c>
      <c r="F32" s="1038" t="s">
        <v>122</v>
      </c>
      <c r="G32" s="1037" t="s">
        <v>323</v>
      </c>
      <c r="H32" s="88"/>
    </row>
    <row r="33" spans="1:8" ht="30" hidden="1" customHeight="1">
      <c r="A33" s="1302"/>
      <c r="B33" s="1315"/>
      <c r="C33" s="21"/>
      <c r="D33" s="20"/>
      <c r="E33" s="19"/>
      <c r="F33" s="22"/>
      <c r="G33" s="96"/>
      <c r="H33" s="1031"/>
    </row>
    <row r="34" spans="1:8" ht="30" hidden="1" customHeight="1" thickBot="1">
      <c r="A34" s="1302"/>
      <c r="B34" s="1315"/>
      <c r="C34" s="1029"/>
      <c r="D34" s="30"/>
      <c r="E34" s="29"/>
      <c r="F34" s="482"/>
      <c r="G34" s="935"/>
      <c r="H34" s="1031"/>
    </row>
    <row r="35" spans="1:8" ht="30" customHeight="1" thickBot="1">
      <c r="A35" s="1303"/>
      <c r="B35" s="1316"/>
      <c r="C35" s="12"/>
      <c r="D35" s="11"/>
      <c r="E35" s="10"/>
      <c r="F35" s="10"/>
      <c r="G35" s="9"/>
    </row>
    <row r="36" spans="1:8" s="1001" customFormat="1" ht="30" customHeight="1">
      <c r="A36" s="1301">
        <v>44869</v>
      </c>
      <c r="B36" s="1314" t="s">
        <v>211</v>
      </c>
      <c r="C36" s="1044" t="s">
        <v>4217</v>
      </c>
      <c r="D36" s="27" t="s">
        <v>4218</v>
      </c>
      <c r="E36" s="27" t="s">
        <v>4294</v>
      </c>
      <c r="F36" s="1043"/>
      <c r="G36" s="1042"/>
    </row>
    <row r="37" spans="1:8" s="1001" customFormat="1" ht="36" customHeight="1">
      <c r="A37" s="1302"/>
      <c r="B37" s="1315"/>
      <c r="C37" s="1044" t="s">
        <v>1100</v>
      </c>
      <c r="D37" s="27" t="s">
        <v>4176</v>
      </c>
      <c r="E37" s="27" t="s">
        <v>452</v>
      </c>
      <c r="F37" s="1043"/>
      <c r="G37" s="1042"/>
    </row>
    <row r="38" spans="1:8" s="1001" customFormat="1" ht="30" customHeight="1">
      <c r="A38" s="1302"/>
      <c r="B38" s="1315"/>
      <c r="C38" s="1310" t="s">
        <v>4298</v>
      </c>
      <c r="D38" s="27" t="s">
        <v>4299</v>
      </c>
      <c r="E38" s="27" t="s">
        <v>4300</v>
      </c>
      <c r="F38" s="1043" t="s">
        <v>4301</v>
      </c>
      <c r="G38" s="1042" t="s">
        <v>4302</v>
      </c>
    </row>
    <row r="39" spans="1:8" s="1040" customFormat="1" ht="30" customHeight="1">
      <c r="A39" s="1302"/>
      <c r="B39" s="1315"/>
      <c r="C39" s="1309"/>
      <c r="D39" s="27" t="s">
        <v>4307</v>
      </c>
      <c r="E39" s="27" t="s">
        <v>4308</v>
      </c>
      <c r="F39" s="1043"/>
      <c r="G39" s="1042" t="s">
        <v>4309</v>
      </c>
    </row>
    <row r="40" spans="1:8" s="1001" customFormat="1" ht="30" customHeight="1">
      <c r="A40" s="1302"/>
      <c r="B40" s="1315"/>
      <c r="C40" s="1041" t="s">
        <v>4303</v>
      </c>
      <c r="D40" s="27" t="s">
        <v>109</v>
      </c>
      <c r="E40" s="39" t="s">
        <v>4304</v>
      </c>
      <c r="F40" s="1043" t="s">
        <v>107</v>
      </c>
      <c r="G40" s="1042" t="s">
        <v>4305</v>
      </c>
      <c r="H40" s="1040" t="s">
        <v>4306</v>
      </c>
    </row>
    <row r="41" spans="1:8" s="1040" customFormat="1" ht="35.25" customHeight="1">
      <c r="A41" s="1302"/>
      <c r="B41" s="1315"/>
      <c r="C41" s="1044" t="s">
        <v>4310</v>
      </c>
      <c r="D41" s="40" t="s">
        <v>4311</v>
      </c>
      <c r="E41" s="39" t="s">
        <v>4312</v>
      </c>
      <c r="F41" s="1043"/>
      <c r="G41" s="1042" t="s">
        <v>4313</v>
      </c>
    </row>
    <row r="42" spans="1:8" s="1001" customFormat="1" ht="30" customHeight="1" thickBot="1">
      <c r="A42" s="1302"/>
      <c r="B42" s="1315"/>
      <c r="C42" s="1002"/>
      <c r="D42" s="16"/>
      <c r="E42" s="15"/>
      <c r="F42" s="482"/>
      <c r="G42" s="927"/>
    </row>
    <row r="43" spans="1:8" s="1001" customFormat="1" ht="30" customHeight="1" thickBot="1">
      <c r="A43" s="1303"/>
      <c r="B43" s="1316"/>
      <c r="C43" s="12" t="s">
        <v>4280</v>
      </c>
      <c r="D43" s="11" t="s">
        <v>4281</v>
      </c>
      <c r="E43" s="10" t="s">
        <v>4282</v>
      </c>
      <c r="F43" s="10" t="s">
        <v>4283</v>
      </c>
      <c r="G43" s="9"/>
    </row>
    <row r="44" spans="1:8" s="1001" customFormat="1" ht="30" hidden="1" customHeight="1">
      <c r="A44" s="1301"/>
      <c r="B44" s="1314"/>
      <c r="C44" s="21"/>
      <c r="D44" s="22"/>
      <c r="E44" s="22"/>
      <c r="F44" s="902"/>
      <c r="G44" s="927"/>
    </row>
    <row r="45" spans="1:8" s="1001" customFormat="1" ht="30" hidden="1" customHeight="1">
      <c r="A45" s="1302"/>
      <c r="B45" s="1315"/>
      <c r="C45" s="21"/>
      <c r="D45" s="22"/>
      <c r="E45" s="22"/>
      <c r="F45" s="902"/>
      <c r="G45" s="927"/>
    </row>
    <row r="46" spans="1:8" s="1001" customFormat="1" ht="30" hidden="1" customHeight="1">
      <c r="A46" s="1302"/>
      <c r="B46" s="1315"/>
      <c r="C46" s="21"/>
      <c r="D46" s="20"/>
      <c r="E46" s="19"/>
      <c r="F46" s="902"/>
      <c r="G46" s="927"/>
    </row>
    <row r="47" spans="1:8" s="1001" customFormat="1" ht="30" hidden="1" customHeight="1" thickBot="1">
      <c r="A47" s="1302"/>
      <c r="B47" s="1315"/>
      <c r="C47" s="1002"/>
      <c r="D47" s="16"/>
      <c r="E47" s="15"/>
      <c r="F47" s="482"/>
      <c r="G47" s="927"/>
    </row>
    <row r="48" spans="1:8" s="1001" customFormat="1" ht="30" hidden="1" customHeight="1" thickBot="1">
      <c r="A48" s="1303"/>
      <c r="B48" s="1316"/>
      <c r="C48" s="12"/>
      <c r="D48" s="11"/>
      <c r="E48" s="10"/>
      <c r="F48" s="10"/>
      <c r="G48" s="9"/>
    </row>
    <row r="49" spans="1:8" s="1001" customFormat="1" ht="60" customHeight="1" thickBot="1">
      <c r="A49" s="1298" t="s">
        <v>5</v>
      </c>
      <c r="B49" s="1299"/>
      <c r="C49" s="1299"/>
      <c r="D49" s="1299"/>
      <c r="E49" s="1299"/>
      <c r="F49" s="1299"/>
      <c r="G49" s="1300"/>
    </row>
    <row r="50" spans="1:8" s="1001" customFormat="1" ht="35.25" customHeight="1">
      <c r="A50" s="1301">
        <v>44872</v>
      </c>
      <c r="B50" s="1314" t="s">
        <v>4</v>
      </c>
      <c r="C50" s="1044" t="s">
        <v>4295</v>
      </c>
      <c r="D50" s="27" t="s">
        <v>4296</v>
      </c>
      <c r="E50" s="27" t="s">
        <v>4297</v>
      </c>
      <c r="F50" s="1043"/>
      <c r="G50" s="1042"/>
    </row>
    <row r="51" spans="1:8" ht="35.25" customHeight="1">
      <c r="A51" s="1302"/>
      <c r="B51" s="1315"/>
      <c r="C51" s="1310" t="s">
        <v>3543</v>
      </c>
      <c r="D51" s="27" t="s">
        <v>523</v>
      </c>
      <c r="E51" s="27" t="s">
        <v>522</v>
      </c>
      <c r="F51" s="1043"/>
      <c r="G51" s="1042"/>
      <c r="H51" s="1031"/>
    </row>
    <row r="52" spans="1:8" ht="35.25" customHeight="1">
      <c r="A52" s="1302"/>
      <c r="B52" s="1315"/>
      <c r="C52" s="1308"/>
      <c r="D52" s="27" t="s">
        <v>521</v>
      </c>
      <c r="E52" s="27" t="s">
        <v>520</v>
      </c>
      <c r="F52" s="1043"/>
      <c r="G52" s="1042"/>
      <c r="H52" s="1031"/>
    </row>
    <row r="53" spans="1:8" ht="35.25" customHeight="1">
      <c r="A53" s="1302"/>
      <c r="B53" s="1315"/>
      <c r="C53" s="1308"/>
      <c r="D53" s="27" t="s">
        <v>524</v>
      </c>
      <c r="E53" s="27" t="s">
        <v>1290</v>
      </c>
      <c r="F53" s="1043" t="s">
        <v>4355</v>
      </c>
      <c r="G53" s="1042"/>
      <c r="H53" s="1031"/>
    </row>
    <row r="54" spans="1:8" ht="35.25" customHeight="1">
      <c r="A54" s="1302"/>
      <c r="B54" s="1315"/>
      <c r="C54" s="1308"/>
      <c r="D54" s="27" t="s">
        <v>526</v>
      </c>
      <c r="E54" s="27" t="s">
        <v>525</v>
      </c>
      <c r="F54" s="1043" t="s">
        <v>4356</v>
      </c>
      <c r="G54" s="1104" t="s">
        <v>4357</v>
      </c>
      <c r="H54" s="1031"/>
    </row>
    <row r="55" spans="1:8" s="1001" customFormat="1" ht="35.25" customHeight="1">
      <c r="A55" s="1302"/>
      <c r="B55" s="1315"/>
      <c r="C55" s="1309"/>
      <c r="D55" s="27" t="s">
        <v>109</v>
      </c>
      <c r="E55" s="27" t="s">
        <v>168</v>
      </c>
      <c r="F55" s="1043" t="s">
        <v>112</v>
      </c>
      <c r="G55" s="1042"/>
    </row>
    <row r="56" spans="1:8" s="1001" customFormat="1" ht="35.25" customHeight="1">
      <c r="A56" s="1302"/>
      <c r="B56" s="1315"/>
      <c r="C56" s="1044" t="s">
        <v>4336</v>
      </c>
      <c r="D56" s="40" t="s">
        <v>327</v>
      </c>
      <c r="E56" s="39" t="s">
        <v>4337</v>
      </c>
      <c r="F56" s="1043" t="s">
        <v>4338</v>
      </c>
      <c r="G56" s="1042" t="s">
        <v>4339</v>
      </c>
      <c r="H56" s="1046" t="s">
        <v>4340</v>
      </c>
    </row>
    <row r="57" spans="1:8" s="1001" customFormat="1" ht="35.25" customHeight="1">
      <c r="A57" s="1302"/>
      <c r="B57" s="1315"/>
      <c r="C57" s="1044" t="s">
        <v>1495</v>
      </c>
      <c r="D57" s="40" t="s">
        <v>4342</v>
      </c>
      <c r="E57" s="39" t="s">
        <v>4343</v>
      </c>
      <c r="F57" s="27" t="s">
        <v>4344</v>
      </c>
      <c r="G57" s="41" t="s">
        <v>4345</v>
      </c>
      <c r="H57" s="1001" t="s">
        <v>4346</v>
      </c>
    </row>
    <row r="58" spans="1:8" s="1046" customFormat="1" ht="35.25" customHeight="1" thickBot="1">
      <c r="A58" s="1302"/>
      <c r="B58" s="1315"/>
      <c r="C58" s="1045"/>
      <c r="D58" s="30"/>
      <c r="E58" s="29"/>
      <c r="F58" s="482"/>
      <c r="G58" s="935"/>
    </row>
    <row r="59" spans="1:8" s="1001" customFormat="1" ht="36" customHeight="1" thickBot="1">
      <c r="A59" s="1303"/>
      <c r="B59" s="1316"/>
      <c r="C59" s="12" t="s">
        <v>4284</v>
      </c>
      <c r="D59" s="11" t="s">
        <v>4285</v>
      </c>
      <c r="E59" s="10"/>
      <c r="F59" s="10" t="s">
        <v>4286</v>
      </c>
      <c r="G59" s="9"/>
    </row>
    <row r="60" spans="1:8" s="87" customFormat="1" ht="36" customHeight="1">
      <c r="A60" s="1301">
        <v>44873</v>
      </c>
      <c r="B60" s="1317" t="s">
        <v>3</v>
      </c>
      <c r="C60" s="1050" t="s">
        <v>1976</v>
      </c>
      <c r="D60" s="40" t="s">
        <v>327</v>
      </c>
      <c r="E60" s="39" t="s">
        <v>320</v>
      </c>
      <c r="F60" s="1049"/>
      <c r="G60" s="1048"/>
      <c r="H60" s="88" t="s">
        <v>4293</v>
      </c>
    </row>
    <row r="61" spans="1:8" s="1001" customFormat="1" ht="36" customHeight="1">
      <c r="A61" s="1302"/>
      <c r="B61" s="1318"/>
      <c r="C61" s="1050" t="s">
        <v>4266</v>
      </c>
      <c r="D61" s="27" t="s">
        <v>4267</v>
      </c>
      <c r="E61" s="27" t="s">
        <v>1505</v>
      </c>
      <c r="F61" s="1049" t="s">
        <v>4326</v>
      </c>
      <c r="G61" s="1048"/>
    </row>
    <row r="62" spans="1:8" s="1040" customFormat="1" ht="36" customHeight="1">
      <c r="A62" s="1302"/>
      <c r="B62" s="1318"/>
      <c r="C62" s="1310" t="s">
        <v>4314</v>
      </c>
      <c r="D62" s="27" t="s">
        <v>4315</v>
      </c>
      <c r="E62" s="27" t="s">
        <v>4316</v>
      </c>
      <c r="F62" s="1049"/>
      <c r="G62" s="1311" t="s">
        <v>4341</v>
      </c>
    </row>
    <row r="63" spans="1:8" s="1040" customFormat="1" ht="36" customHeight="1">
      <c r="A63" s="1302"/>
      <c r="B63" s="1318"/>
      <c r="C63" s="1308"/>
      <c r="D63" s="27" t="s">
        <v>1330</v>
      </c>
      <c r="E63" s="27" t="s">
        <v>4317</v>
      </c>
      <c r="F63" s="1049" t="s">
        <v>1780</v>
      </c>
      <c r="G63" s="1312"/>
    </row>
    <row r="64" spans="1:8" s="1040" customFormat="1" ht="36" customHeight="1">
      <c r="A64" s="1302"/>
      <c r="B64" s="1318"/>
      <c r="C64" s="1308"/>
      <c r="D64" s="27" t="s">
        <v>4318</v>
      </c>
      <c r="E64" s="39" t="s">
        <v>4319</v>
      </c>
      <c r="F64" s="1049"/>
      <c r="G64" s="1312"/>
    </row>
    <row r="65" spans="1:8" s="1040" customFormat="1" ht="36" customHeight="1">
      <c r="A65" s="1302"/>
      <c r="B65" s="1318"/>
      <c r="C65" s="1309"/>
      <c r="D65" s="1052" t="s">
        <v>4320</v>
      </c>
      <c r="E65" s="54" t="s">
        <v>4354</v>
      </c>
      <c r="F65" s="27"/>
      <c r="G65" s="1313"/>
    </row>
    <row r="66" spans="1:8" s="1040" customFormat="1" ht="36" customHeight="1">
      <c r="A66" s="1302"/>
      <c r="B66" s="1318"/>
      <c r="C66" s="1310" t="s">
        <v>4322</v>
      </c>
      <c r="D66" s="27" t="s">
        <v>4323</v>
      </c>
      <c r="E66" s="27" t="s">
        <v>4324</v>
      </c>
      <c r="F66" s="1049"/>
      <c r="G66" s="1048"/>
    </row>
    <row r="67" spans="1:8" s="1040" customFormat="1" ht="36" customHeight="1">
      <c r="A67" s="1302"/>
      <c r="B67" s="1318"/>
      <c r="C67" s="1308"/>
      <c r="D67" s="40" t="s">
        <v>4386</v>
      </c>
      <c r="E67" s="39" t="s">
        <v>4316</v>
      </c>
      <c r="F67" s="1049"/>
      <c r="G67" s="1048"/>
    </row>
    <row r="68" spans="1:8" s="1040" customFormat="1" ht="36" customHeight="1">
      <c r="A68" s="1302"/>
      <c r="B68" s="1318"/>
      <c r="C68" s="1309"/>
      <c r="D68" s="27" t="s">
        <v>1330</v>
      </c>
      <c r="E68" s="27" t="s">
        <v>4317</v>
      </c>
      <c r="F68" s="27" t="s">
        <v>4325</v>
      </c>
      <c r="G68" s="1048"/>
    </row>
    <row r="69" spans="1:8" s="1001" customFormat="1" ht="36" customHeight="1">
      <c r="A69" s="1302"/>
      <c r="B69" s="1318"/>
      <c r="C69" s="1047" t="s">
        <v>4330</v>
      </c>
      <c r="D69" s="1052" t="s">
        <v>4331</v>
      </c>
      <c r="E69" s="54" t="s">
        <v>4332</v>
      </c>
      <c r="F69" s="27" t="s">
        <v>4358</v>
      </c>
      <c r="G69" s="1048" t="s">
        <v>4333</v>
      </c>
    </row>
    <row r="70" spans="1:8" s="1046" customFormat="1" ht="36" customHeight="1">
      <c r="A70" s="1302"/>
      <c r="B70" s="1318"/>
      <c r="C70" s="1050" t="s">
        <v>4321</v>
      </c>
      <c r="D70" s="40" t="s">
        <v>2481</v>
      </c>
      <c r="E70" s="39" t="s">
        <v>1561</v>
      </c>
      <c r="F70" s="1049"/>
      <c r="G70" s="1048" t="s">
        <v>1508</v>
      </c>
    </row>
    <row r="71" spans="1:8" s="1046" customFormat="1" ht="36" customHeight="1">
      <c r="A71" s="1302"/>
      <c r="B71" s="1318"/>
      <c r="C71" s="1050" t="s">
        <v>2884</v>
      </c>
      <c r="D71" s="40" t="s">
        <v>4364</v>
      </c>
      <c r="E71" s="39" t="s">
        <v>4365</v>
      </c>
      <c r="F71" s="27"/>
      <c r="G71" s="41" t="s">
        <v>4366</v>
      </c>
    </row>
    <row r="72" spans="1:8" s="1051" customFormat="1" ht="36" customHeight="1">
      <c r="A72" s="1302"/>
      <c r="B72" s="1318"/>
      <c r="C72" s="1310" t="s">
        <v>4370</v>
      </c>
      <c r="D72" s="27" t="s">
        <v>4371</v>
      </c>
      <c r="E72" s="39" t="s">
        <v>4372</v>
      </c>
      <c r="F72" s="27"/>
      <c r="G72" s="1311" t="s">
        <v>2840</v>
      </c>
    </row>
    <row r="73" spans="1:8" s="1051" customFormat="1" ht="36" customHeight="1">
      <c r="A73" s="1302"/>
      <c r="B73" s="1318"/>
      <c r="C73" s="1308"/>
      <c r="D73" s="40" t="s">
        <v>4373</v>
      </c>
      <c r="E73" s="39" t="s">
        <v>4374</v>
      </c>
      <c r="F73" s="27"/>
      <c r="G73" s="1312"/>
    </row>
    <row r="74" spans="1:8" s="1051" customFormat="1" ht="36" customHeight="1" thickBot="1">
      <c r="A74" s="1302"/>
      <c r="B74" s="1318"/>
      <c r="C74" s="1309"/>
      <c r="D74" s="40" t="s">
        <v>4375</v>
      </c>
      <c r="E74" s="39" t="s">
        <v>4376</v>
      </c>
      <c r="F74" s="27"/>
      <c r="G74" s="1313"/>
    </row>
    <row r="75" spans="1:8" s="1001" customFormat="1" ht="36" customHeight="1" thickBot="1">
      <c r="A75" s="1303"/>
      <c r="B75" s="1319"/>
      <c r="C75" s="12" t="s">
        <v>4287</v>
      </c>
      <c r="D75" s="11" t="s">
        <v>4288</v>
      </c>
      <c r="E75" s="10" t="s">
        <v>4289</v>
      </c>
      <c r="F75" s="10" t="s">
        <v>4290</v>
      </c>
      <c r="G75" s="9"/>
    </row>
    <row r="76" spans="1:8" s="1046" customFormat="1" ht="36" customHeight="1">
      <c r="A76" s="1301">
        <v>44874</v>
      </c>
      <c r="B76" s="1317" t="s">
        <v>2</v>
      </c>
      <c r="C76" s="53" t="s">
        <v>2419</v>
      </c>
      <c r="D76" s="27" t="s">
        <v>447</v>
      </c>
      <c r="E76" s="27" t="s">
        <v>3085</v>
      </c>
      <c r="F76" s="1058"/>
      <c r="G76" s="1322" t="s">
        <v>483</v>
      </c>
    </row>
    <row r="77" spans="1:8" s="1051" customFormat="1" ht="36" customHeight="1">
      <c r="A77" s="1302"/>
      <c r="B77" s="1318"/>
      <c r="C77" s="1054" t="s">
        <v>4361</v>
      </c>
      <c r="D77" s="27" t="s">
        <v>4359</v>
      </c>
      <c r="E77" s="27" t="s">
        <v>4360</v>
      </c>
      <c r="F77" s="1058" t="s">
        <v>4363</v>
      </c>
      <c r="G77" s="1313"/>
    </row>
    <row r="78" spans="1:8" ht="35.25" customHeight="1">
      <c r="A78" s="1302"/>
      <c r="B78" s="1318"/>
      <c r="C78" s="1059" t="s">
        <v>1736</v>
      </c>
      <c r="D78" s="27" t="s">
        <v>4228</v>
      </c>
      <c r="E78" s="27" t="s">
        <v>452</v>
      </c>
      <c r="F78" s="1058" t="s">
        <v>4229</v>
      </c>
      <c r="G78" s="1055" t="s">
        <v>2805</v>
      </c>
      <c r="H78" s="1040"/>
    </row>
    <row r="79" spans="1:8" s="1040" customFormat="1" ht="36" customHeight="1">
      <c r="A79" s="1302"/>
      <c r="B79" s="1318"/>
      <c r="C79" s="1059" t="s">
        <v>4107</v>
      </c>
      <c r="D79" s="40" t="s">
        <v>1361</v>
      </c>
      <c r="E79" s="39" t="s">
        <v>1273</v>
      </c>
      <c r="F79" s="27" t="s">
        <v>3654</v>
      </c>
      <c r="G79" s="41" t="s">
        <v>4309</v>
      </c>
      <c r="H79" s="1040" t="s">
        <v>4108</v>
      </c>
    </row>
    <row r="80" spans="1:8" s="1051" customFormat="1" ht="36" customHeight="1">
      <c r="A80" s="1302"/>
      <c r="B80" s="1318"/>
      <c r="C80" s="1308" t="s">
        <v>4327</v>
      </c>
      <c r="D80" s="1058" t="s">
        <v>2925</v>
      </c>
      <c r="E80" s="1058" t="s">
        <v>2962</v>
      </c>
      <c r="F80" s="1058"/>
      <c r="G80" s="1057"/>
    </row>
    <row r="81" spans="1:7" s="1051" customFormat="1" ht="36" customHeight="1">
      <c r="A81" s="1302"/>
      <c r="B81" s="1318"/>
      <c r="C81" s="1308"/>
      <c r="D81" s="27" t="s">
        <v>3306</v>
      </c>
      <c r="E81" s="27" t="s">
        <v>2962</v>
      </c>
      <c r="F81" s="1058"/>
      <c r="G81" s="1055"/>
    </row>
    <row r="82" spans="1:7" s="1051" customFormat="1" ht="36" customHeight="1">
      <c r="A82" s="1302"/>
      <c r="B82" s="1318"/>
      <c r="C82" s="1308"/>
      <c r="D82" s="27" t="s">
        <v>3080</v>
      </c>
      <c r="E82" s="27" t="s">
        <v>2962</v>
      </c>
      <c r="F82" s="1058"/>
      <c r="G82" s="1055"/>
    </row>
    <row r="83" spans="1:7" s="1051" customFormat="1" ht="36" customHeight="1">
      <c r="A83" s="1302"/>
      <c r="B83" s="1318"/>
      <c r="C83" s="1308"/>
      <c r="D83" s="27" t="s">
        <v>2993</v>
      </c>
      <c r="E83" s="27" t="s">
        <v>2842</v>
      </c>
      <c r="F83" s="1058"/>
      <c r="G83" s="1055"/>
    </row>
    <row r="84" spans="1:7" s="1051" customFormat="1" ht="36" customHeight="1">
      <c r="A84" s="1302"/>
      <c r="B84" s="1318"/>
      <c r="C84" s="1308"/>
      <c r="D84" s="40" t="s">
        <v>4347</v>
      </c>
      <c r="E84" s="39" t="s">
        <v>2901</v>
      </c>
      <c r="F84" s="1058"/>
      <c r="G84" s="1055"/>
    </row>
    <row r="85" spans="1:7" s="1051" customFormat="1" ht="36" customHeight="1">
      <c r="A85" s="1302"/>
      <c r="B85" s="1318"/>
      <c r="C85" s="1309"/>
      <c r="D85" s="27" t="s">
        <v>2906</v>
      </c>
      <c r="E85" s="27" t="s">
        <v>2842</v>
      </c>
      <c r="F85" s="1058" t="s">
        <v>4348</v>
      </c>
      <c r="G85" s="41"/>
    </row>
    <row r="86" spans="1:7" s="1001" customFormat="1" ht="36" customHeight="1">
      <c r="A86" s="1302"/>
      <c r="B86" s="1318"/>
      <c r="C86" s="1310" t="s">
        <v>4387</v>
      </c>
      <c r="D86" s="1058" t="s">
        <v>4388</v>
      </c>
      <c r="E86" s="1058" t="s">
        <v>4389</v>
      </c>
      <c r="F86" s="1058"/>
      <c r="G86" s="1311" t="s">
        <v>4392</v>
      </c>
    </row>
    <row r="87" spans="1:7" s="1001" customFormat="1" ht="36" customHeight="1">
      <c r="A87" s="1302"/>
      <c r="B87" s="1318"/>
      <c r="C87" s="1309"/>
      <c r="D87" s="40" t="s">
        <v>4390</v>
      </c>
      <c r="E87" s="39" t="s">
        <v>4391</v>
      </c>
      <c r="F87" s="1058"/>
      <c r="G87" s="1313"/>
    </row>
    <row r="88" spans="1:7" s="1001" customFormat="1" ht="36" customHeight="1">
      <c r="A88" s="1302"/>
      <c r="B88" s="1318"/>
      <c r="C88" s="1310" t="s">
        <v>4393</v>
      </c>
      <c r="D88" s="40" t="s">
        <v>4394</v>
      </c>
      <c r="E88" s="39" t="s">
        <v>4395</v>
      </c>
      <c r="F88" s="27"/>
      <c r="G88" s="1311" t="s">
        <v>4398</v>
      </c>
    </row>
    <row r="89" spans="1:7" s="1061" customFormat="1" ht="36" customHeight="1">
      <c r="A89" s="1302"/>
      <c r="B89" s="1318"/>
      <c r="C89" s="1309"/>
      <c r="D89" s="37" t="s">
        <v>4396</v>
      </c>
      <c r="E89" s="36" t="s">
        <v>4397</v>
      </c>
      <c r="F89" s="1058"/>
      <c r="G89" s="1313"/>
    </row>
    <row r="90" spans="1:7" s="1061" customFormat="1" ht="36" customHeight="1" thickBot="1">
      <c r="A90" s="1302"/>
      <c r="B90" s="1318"/>
      <c r="C90" s="1054" t="s">
        <v>4399</v>
      </c>
      <c r="D90" s="37" t="s">
        <v>4400</v>
      </c>
      <c r="E90" s="36" t="s">
        <v>4401</v>
      </c>
      <c r="F90" s="1058"/>
      <c r="G90" s="1056"/>
    </row>
    <row r="91" spans="1:7" s="1061" customFormat="1" ht="36" hidden="1" customHeight="1" thickBot="1">
      <c r="A91" s="1302"/>
      <c r="B91" s="1318"/>
      <c r="C91" s="1060"/>
      <c r="D91" s="30"/>
      <c r="E91" s="29"/>
      <c r="F91" s="482"/>
      <c r="G91" s="1053"/>
    </row>
    <row r="92" spans="1:7" s="1001" customFormat="1" ht="36" customHeight="1" thickBot="1">
      <c r="A92" s="1303"/>
      <c r="B92" s="1319"/>
      <c r="C92" s="12"/>
      <c r="D92" s="11"/>
      <c r="E92" s="10"/>
      <c r="F92" s="10"/>
      <c r="G92" s="9"/>
    </row>
    <row r="93" spans="1:7" s="1051" customFormat="1" ht="36" customHeight="1">
      <c r="A93" s="1302">
        <v>44875</v>
      </c>
      <c r="B93" s="1315" t="s">
        <v>4362</v>
      </c>
      <c r="C93" s="1069" t="s">
        <v>3227</v>
      </c>
      <c r="D93" s="27" t="s">
        <v>3567</v>
      </c>
      <c r="E93" s="27" t="s">
        <v>2839</v>
      </c>
      <c r="F93" s="1067" t="s">
        <v>2912</v>
      </c>
      <c r="G93" s="1063" t="s">
        <v>3572</v>
      </c>
    </row>
    <row r="94" spans="1:7" s="1051" customFormat="1" ht="36" customHeight="1">
      <c r="A94" s="1302"/>
      <c r="B94" s="1315"/>
      <c r="C94" s="1069" t="s">
        <v>3637</v>
      </c>
      <c r="D94" s="27" t="s">
        <v>4334</v>
      </c>
      <c r="E94" s="27" t="s">
        <v>2839</v>
      </c>
      <c r="F94" s="1067"/>
      <c r="G94" s="1063"/>
    </row>
    <row r="95" spans="1:7" s="1001" customFormat="1" ht="36" customHeight="1">
      <c r="A95" s="1302"/>
      <c r="B95" s="1315"/>
      <c r="C95" s="1310" t="s">
        <v>4349</v>
      </c>
      <c r="D95" s="40" t="s">
        <v>4350</v>
      </c>
      <c r="E95" s="39" t="s">
        <v>4351</v>
      </c>
      <c r="F95" s="27" t="s">
        <v>4352</v>
      </c>
      <c r="G95" s="1063"/>
    </row>
    <row r="96" spans="1:7" s="1001" customFormat="1" ht="36" customHeight="1">
      <c r="A96" s="1302"/>
      <c r="B96" s="1315"/>
      <c r="C96" s="1309"/>
      <c r="D96" s="40" t="s">
        <v>4353</v>
      </c>
      <c r="E96" s="39" t="s">
        <v>4335</v>
      </c>
      <c r="F96" s="1067"/>
      <c r="G96" s="41"/>
    </row>
    <row r="97" spans="1:8" s="1061" customFormat="1" ht="36" customHeight="1">
      <c r="A97" s="1302"/>
      <c r="B97" s="1315"/>
      <c r="C97" s="1069" t="s">
        <v>4406</v>
      </c>
      <c r="D97" s="40" t="s">
        <v>4409</v>
      </c>
      <c r="E97" s="39" t="s">
        <v>4407</v>
      </c>
      <c r="F97" s="27"/>
      <c r="G97" s="41" t="s">
        <v>4408</v>
      </c>
      <c r="H97" s="1070" t="s">
        <v>4410</v>
      </c>
    </row>
    <row r="98" spans="1:8" s="1070" customFormat="1" ht="36" customHeight="1">
      <c r="A98" s="1302"/>
      <c r="B98" s="1315"/>
      <c r="C98" s="1062" t="s">
        <v>1861</v>
      </c>
      <c r="D98" s="1067" t="s">
        <v>1911</v>
      </c>
      <c r="E98" s="1067" t="s">
        <v>4413</v>
      </c>
      <c r="F98" s="1067"/>
      <c r="G98" s="1065" t="s">
        <v>4414</v>
      </c>
    </row>
    <row r="99" spans="1:8" s="1061" customFormat="1" ht="36" customHeight="1">
      <c r="A99" s="1302"/>
      <c r="B99" s="1315"/>
      <c r="C99" s="1310" t="s">
        <v>4415</v>
      </c>
      <c r="D99" s="40" t="s">
        <v>4416</v>
      </c>
      <c r="E99" s="39" t="s">
        <v>4417</v>
      </c>
      <c r="F99" s="27"/>
      <c r="G99" s="1311" t="s">
        <v>4420</v>
      </c>
    </row>
    <row r="100" spans="1:8" s="1070" customFormat="1" ht="36" customHeight="1">
      <c r="A100" s="1302"/>
      <c r="B100" s="1315"/>
      <c r="C100" s="1309"/>
      <c r="D100" s="40" t="s">
        <v>4418</v>
      </c>
      <c r="E100" s="36" t="s">
        <v>4419</v>
      </c>
      <c r="F100" s="1067"/>
      <c r="G100" s="1313"/>
    </row>
    <row r="101" spans="1:8" s="1070" customFormat="1" ht="36" customHeight="1" thickBot="1">
      <c r="A101" s="1302"/>
      <c r="B101" s="1315"/>
      <c r="C101" s="1068" t="s">
        <v>321</v>
      </c>
      <c r="D101" s="44" t="s">
        <v>109</v>
      </c>
      <c r="E101" s="43" t="s">
        <v>4421</v>
      </c>
      <c r="F101" s="1066" t="s">
        <v>1004</v>
      </c>
      <c r="G101" s="1064" t="s">
        <v>2610</v>
      </c>
      <c r="H101" s="1070" t="s">
        <v>3632</v>
      </c>
    </row>
    <row r="102" spans="1:8" s="1001" customFormat="1" ht="36" customHeight="1" thickBot="1">
      <c r="A102" s="1303"/>
      <c r="B102" s="1316"/>
      <c r="C102" s="12"/>
      <c r="D102" s="11"/>
      <c r="E102" s="10"/>
      <c r="F102" s="10"/>
      <c r="G102" s="9"/>
    </row>
    <row r="103" spans="1:8" s="1001" customFormat="1" ht="36" customHeight="1">
      <c r="A103" s="1301">
        <v>44876</v>
      </c>
      <c r="B103" s="1314" t="s">
        <v>0</v>
      </c>
      <c r="C103" s="53" t="s">
        <v>4328</v>
      </c>
      <c r="D103" s="71" t="s">
        <v>4329</v>
      </c>
      <c r="E103" s="71" t="s">
        <v>4411</v>
      </c>
      <c r="F103" s="71"/>
      <c r="G103" s="92"/>
    </row>
    <row r="104" spans="1:8" s="1051" customFormat="1" ht="36" customHeight="1">
      <c r="A104" s="1302"/>
      <c r="B104" s="1315"/>
      <c r="C104" s="1086"/>
      <c r="D104" s="1090" t="s">
        <v>2904</v>
      </c>
      <c r="E104" s="1090"/>
      <c r="F104" s="1090"/>
      <c r="G104" s="1089"/>
    </row>
    <row r="105" spans="1:8" s="1001" customFormat="1" ht="36" customHeight="1">
      <c r="A105" s="1302"/>
      <c r="B105" s="1315"/>
      <c r="C105" s="1310" t="s">
        <v>2884</v>
      </c>
      <c r="D105" s="27" t="s">
        <v>4359</v>
      </c>
      <c r="E105" s="27" t="s">
        <v>4367</v>
      </c>
      <c r="F105" s="1362" t="s">
        <v>4379</v>
      </c>
      <c r="G105" s="1311" t="s">
        <v>4369</v>
      </c>
    </row>
    <row r="106" spans="1:8" s="1075" customFormat="1" ht="36" customHeight="1">
      <c r="A106" s="1302"/>
      <c r="B106" s="1315"/>
      <c r="C106" s="1308"/>
      <c r="D106" s="27" t="s">
        <v>4450</v>
      </c>
      <c r="E106" s="27" t="s">
        <v>4451</v>
      </c>
      <c r="F106" s="1363"/>
      <c r="G106" s="1312"/>
    </row>
    <row r="107" spans="1:8" s="1075" customFormat="1" ht="36" customHeight="1">
      <c r="A107" s="1302"/>
      <c r="B107" s="1315"/>
      <c r="C107" s="1308"/>
      <c r="D107" s="27" t="s">
        <v>4452</v>
      </c>
      <c r="E107" s="27" t="s">
        <v>4453</v>
      </c>
      <c r="F107" s="1363"/>
      <c r="G107" s="1312"/>
    </row>
    <row r="108" spans="1:8" s="1001" customFormat="1" ht="36" customHeight="1">
      <c r="A108" s="1302"/>
      <c r="B108" s="1315"/>
      <c r="C108" s="1308"/>
      <c r="D108" s="40" t="s">
        <v>4446</v>
      </c>
      <c r="E108" s="39" t="s">
        <v>4368</v>
      </c>
      <c r="F108" s="1364"/>
      <c r="G108" s="1312"/>
    </row>
    <row r="109" spans="1:8" s="1075" customFormat="1" ht="36" customHeight="1">
      <c r="A109" s="1302"/>
      <c r="B109" s="1315"/>
      <c r="C109" s="1309"/>
      <c r="D109" s="40" t="s">
        <v>4447</v>
      </c>
      <c r="E109" s="39" t="s">
        <v>4448</v>
      </c>
      <c r="F109" s="1084"/>
      <c r="G109" s="1313"/>
    </row>
    <row r="110" spans="1:8" s="1051" customFormat="1" ht="36" customHeight="1">
      <c r="A110" s="1302"/>
      <c r="B110" s="1315"/>
      <c r="C110" s="1310" t="s">
        <v>4382</v>
      </c>
      <c r="D110" s="40" t="s">
        <v>4383</v>
      </c>
      <c r="E110" s="39" t="s">
        <v>4384</v>
      </c>
      <c r="F110" s="1085"/>
      <c r="G110" s="41"/>
    </row>
    <row r="111" spans="1:8" s="1051" customFormat="1" ht="36" customHeight="1">
      <c r="A111" s="1302"/>
      <c r="B111" s="1315"/>
      <c r="C111" s="1309"/>
      <c r="D111" s="37" t="s">
        <v>3161</v>
      </c>
      <c r="E111" s="36" t="s">
        <v>4385</v>
      </c>
      <c r="F111" s="1084"/>
      <c r="G111" s="1071"/>
    </row>
    <row r="112" spans="1:8" s="1001" customFormat="1" ht="36" customHeight="1">
      <c r="A112" s="1302"/>
      <c r="B112" s="1315"/>
      <c r="C112" s="1073" t="s">
        <v>4454</v>
      </c>
      <c r="D112" s="40" t="s">
        <v>4455</v>
      </c>
      <c r="E112" s="39" t="s">
        <v>4456</v>
      </c>
      <c r="F112" s="27" t="s">
        <v>4458</v>
      </c>
      <c r="G112" s="41" t="s">
        <v>4457</v>
      </c>
    </row>
    <row r="113" spans="1:8" s="1075" customFormat="1" ht="36" customHeight="1">
      <c r="A113" s="1302"/>
      <c r="B113" s="1315"/>
      <c r="C113" s="1310" t="s">
        <v>4465</v>
      </c>
      <c r="D113" s="40" t="s">
        <v>4466</v>
      </c>
      <c r="E113" s="39" t="s">
        <v>4467</v>
      </c>
      <c r="F113" s="27"/>
      <c r="G113" s="1311" t="s">
        <v>4470</v>
      </c>
    </row>
    <row r="114" spans="1:8" s="1075" customFormat="1" ht="36" customHeight="1">
      <c r="A114" s="1302"/>
      <c r="B114" s="1315"/>
      <c r="C114" s="1309"/>
      <c r="D114" s="37" t="s">
        <v>4468</v>
      </c>
      <c r="E114" s="36" t="s">
        <v>4469</v>
      </c>
      <c r="F114" s="1072"/>
      <c r="G114" s="1313"/>
    </row>
    <row r="115" spans="1:8" s="1075" customFormat="1" ht="36" customHeight="1" thickBot="1">
      <c r="A115" s="1302"/>
      <c r="B115" s="1315"/>
      <c r="C115" s="1074"/>
      <c r="D115" s="30"/>
      <c r="E115" s="29"/>
      <c r="F115" s="482"/>
      <c r="G115" s="1053"/>
    </row>
    <row r="116" spans="1:8" s="1001" customFormat="1" ht="36" customHeight="1" thickBot="1">
      <c r="A116" s="1303"/>
      <c r="B116" s="1316"/>
      <c r="C116" s="12" t="s">
        <v>3446</v>
      </c>
      <c r="D116" s="11" t="s">
        <v>2954</v>
      </c>
      <c r="E116" s="10" t="s">
        <v>4291</v>
      </c>
      <c r="F116" s="10" t="s">
        <v>2930</v>
      </c>
      <c r="G116" s="9"/>
    </row>
    <row r="117" spans="1:8" s="1075" customFormat="1" ht="36" customHeight="1">
      <c r="A117" s="1301">
        <v>44877</v>
      </c>
      <c r="B117" s="1314" t="s">
        <v>4432</v>
      </c>
      <c r="C117" s="1307" t="s">
        <v>1506</v>
      </c>
      <c r="D117" s="27" t="s">
        <v>4436</v>
      </c>
      <c r="E117" s="27" t="s">
        <v>4437</v>
      </c>
      <c r="F117" s="1081"/>
      <c r="G117" s="1322" t="s">
        <v>4442</v>
      </c>
    </row>
    <row r="118" spans="1:8" s="1075" customFormat="1" ht="36" customHeight="1">
      <c r="A118" s="1302"/>
      <c r="B118" s="1315"/>
      <c r="C118" s="1308"/>
      <c r="D118" s="27" t="s">
        <v>4438</v>
      </c>
      <c r="E118" s="27" t="s">
        <v>4439</v>
      </c>
      <c r="F118" s="1081"/>
      <c r="G118" s="1312"/>
    </row>
    <row r="119" spans="1:8" s="1075" customFormat="1" ht="36" customHeight="1" thickBot="1">
      <c r="A119" s="1302"/>
      <c r="B119" s="1315"/>
      <c r="C119" s="1309"/>
      <c r="D119" s="40" t="s">
        <v>4440</v>
      </c>
      <c r="E119" s="39" t="s">
        <v>4441</v>
      </c>
      <c r="F119" s="1081"/>
      <c r="G119" s="1313"/>
    </row>
    <row r="120" spans="1:8" s="1075" customFormat="1" ht="36" hidden="1" customHeight="1" thickBot="1">
      <c r="A120" s="1302"/>
      <c r="B120" s="1315"/>
      <c r="C120" s="1076"/>
      <c r="D120" s="16"/>
      <c r="E120" s="15"/>
      <c r="F120" s="482"/>
      <c r="G120" s="1077"/>
    </row>
    <row r="121" spans="1:8" s="1075" customFormat="1" ht="36" customHeight="1" thickBot="1">
      <c r="A121" s="1303"/>
      <c r="B121" s="1316"/>
      <c r="C121" s="12"/>
      <c r="D121" s="11"/>
      <c r="E121" s="10"/>
      <c r="F121" s="10"/>
      <c r="G121" s="9"/>
    </row>
    <row r="122" spans="1:8" s="1001" customFormat="1" ht="60" customHeight="1" thickBot="1">
      <c r="A122" s="1298" t="s">
        <v>5</v>
      </c>
      <c r="B122" s="1299"/>
      <c r="C122" s="1299"/>
      <c r="D122" s="1299"/>
      <c r="E122" s="1299"/>
      <c r="F122" s="1299"/>
      <c r="G122" s="1300"/>
    </row>
    <row r="123" spans="1:8" s="1001" customFormat="1" ht="36" customHeight="1">
      <c r="A123" s="1301">
        <v>44879</v>
      </c>
      <c r="B123" s="1314" t="s">
        <v>4</v>
      </c>
      <c r="C123" s="1078" t="s">
        <v>1746</v>
      </c>
      <c r="D123" s="37" t="s">
        <v>109</v>
      </c>
      <c r="E123" s="36" t="s">
        <v>4472</v>
      </c>
      <c r="F123" s="1081" t="s">
        <v>1004</v>
      </c>
      <c r="G123" s="1080" t="s">
        <v>2610</v>
      </c>
      <c r="H123" s="1070" t="s">
        <v>3632</v>
      </c>
    </row>
    <row r="124" spans="1:8" s="1061" customFormat="1" ht="36" customHeight="1">
      <c r="A124" s="1302"/>
      <c r="B124" s="1315"/>
      <c r="C124" s="1082" t="s">
        <v>1274</v>
      </c>
      <c r="D124" s="27" t="s">
        <v>109</v>
      </c>
      <c r="E124" s="27" t="s">
        <v>1745</v>
      </c>
      <c r="F124" s="1084" t="s">
        <v>4402</v>
      </c>
      <c r="G124" s="1079" t="s">
        <v>1649</v>
      </c>
    </row>
    <row r="125" spans="1:8" s="1001" customFormat="1" ht="36" customHeight="1">
      <c r="A125" s="1302"/>
      <c r="B125" s="1315"/>
      <c r="C125" s="1082" t="s">
        <v>4428</v>
      </c>
      <c r="D125" s="40" t="s">
        <v>4431</v>
      </c>
      <c r="E125" s="39" t="s">
        <v>4444</v>
      </c>
      <c r="F125" s="1081"/>
      <c r="G125" s="41"/>
    </row>
    <row r="126" spans="1:8" s="1075" customFormat="1" ht="36" customHeight="1">
      <c r="A126" s="1302"/>
      <c r="B126" s="1315"/>
      <c r="C126" s="1078" t="s">
        <v>1861</v>
      </c>
      <c r="D126" s="1081" t="s">
        <v>1911</v>
      </c>
      <c r="E126" s="1081" t="s">
        <v>4435</v>
      </c>
      <c r="F126" s="1081" t="s">
        <v>4434</v>
      </c>
      <c r="G126" s="1080" t="s">
        <v>4433</v>
      </c>
    </row>
    <row r="127" spans="1:8" s="1083" customFormat="1" ht="36" customHeight="1">
      <c r="A127" s="1302"/>
      <c r="B127" s="1315"/>
      <c r="C127" s="1310" t="s">
        <v>4474</v>
      </c>
      <c r="D127" s="1081" t="s">
        <v>4475</v>
      </c>
      <c r="E127" s="1081" t="s">
        <v>4481</v>
      </c>
      <c r="F127" s="1081"/>
      <c r="G127" s="1311" t="s">
        <v>4476</v>
      </c>
    </row>
    <row r="128" spans="1:8" s="1083" customFormat="1" ht="36" customHeight="1">
      <c r="A128" s="1302"/>
      <c r="B128" s="1315"/>
      <c r="C128" s="1309"/>
      <c r="D128" s="1081" t="s">
        <v>109</v>
      </c>
      <c r="E128" s="1081" t="s">
        <v>4482</v>
      </c>
      <c r="F128" s="1081"/>
      <c r="G128" s="1313"/>
    </row>
    <row r="129" spans="1:8" s="1001" customFormat="1" ht="36" customHeight="1">
      <c r="A129" s="1302"/>
      <c r="B129" s="1315"/>
      <c r="C129" s="1082" t="s">
        <v>1506</v>
      </c>
      <c r="D129" s="40" t="s">
        <v>1275</v>
      </c>
      <c r="E129" s="39" t="s">
        <v>1638</v>
      </c>
      <c r="F129" s="27"/>
      <c r="G129" s="41" t="s">
        <v>4443</v>
      </c>
    </row>
    <row r="130" spans="1:8" s="1075" customFormat="1" ht="36" customHeight="1" thickBot="1">
      <c r="A130" s="1302"/>
      <c r="B130" s="1315"/>
      <c r="C130" s="1086" t="s">
        <v>4485</v>
      </c>
      <c r="D130" s="1090" t="s">
        <v>109</v>
      </c>
      <c r="E130" s="1090" t="s">
        <v>4483</v>
      </c>
      <c r="F130" s="1090" t="s">
        <v>107</v>
      </c>
      <c r="G130" s="1088" t="s">
        <v>1370</v>
      </c>
      <c r="H130" s="1083" t="s">
        <v>4484</v>
      </c>
    </row>
    <row r="131" spans="1:8" s="1075" customFormat="1" ht="36" hidden="1" customHeight="1" thickBot="1">
      <c r="A131" s="1302"/>
      <c r="B131" s="1315"/>
      <c r="C131" s="1074"/>
      <c r="D131" s="30"/>
      <c r="E131" s="29"/>
      <c r="F131" s="482"/>
      <c r="G131" s="1053"/>
    </row>
    <row r="132" spans="1:8" s="1001" customFormat="1" ht="36" customHeight="1" thickBot="1">
      <c r="A132" s="1303"/>
      <c r="B132" s="1316"/>
      <c r="C132" s="12"/>
      <c r="D132" s="11"/>
      <c r="E132" s="10"/>
      <c r="F132" s="10"/>
      <c r="G132" s="9"/>
    </row>
    <row r="133" spans="1:8" s="1075" customFormat="1" ht="36" customHeight="1">
      <c r="A133" s="1301">
        <v>44880</v>
      </c>
      <c r="B133" s="1317" t="s">
        <v>88</v>
      </c>
      <c r="C133" s="1091" t="s">
        <v>4427</v>
      </c>
      <c r="D133" s="27" t="s">
        <v>4429</v>
      </c>
      <c r="E133" s="27" t="s">
        <v>4430</v>
      </c>
      <c r="F133" s="1090"/>
      <c r="G133" s="1087"/>
    </row>
    <row r="134" spans="1:8" s="1001" customFormat="1" ht="36" customHeight="1">
      <c r="A134" s="1302"/>
      <c r="B134" s="1318"/>
      <c r="C134" s="1091" t="s">
        <v>4380</v>
      </c>
      <c r="D134" s="27" t="s">
        <v>4381</v>
      </c>
      <c r="E134" s="27" t="s">
        <v>4425</v>
      </c>
      <c r="F134" s="1090" t="s">
        <v>4424</v>
      </c>
      <c r="G134" s="1087"/>
      <c r="H134" s="1001" t="s">
        <v>4426</v>
      </c>
    </row>
    <row r="135" spans="1:8" s="1001" customFormat="1" ht="36" customHeight="1">
      <c r="A135" s="1302"/>
      <c r="B135" s="1318"/>
      <c r="C135" s="1091" t="s">
        <v>4422</v>
      </c>
      <c r="D135" s="27" t="s">
        <v>4445</v>
      </c>
      <c r="E135" s="27" t="s">
        <v>4423</v>
      </c>
      <c r="F135" s="1090"/>
      <c r="G135" s="1087"/>
    </row>
    <row r="136" spans="1:8" s="1083" customFormat="1" ht="36" customHeight="1">
      <c r="A136" s="1302"/>
      <c r="B136" s="1318"/>
      <c r="C136" s="1091" t="s">
        <v>1522</v>
      </c>
      <c r="D136" s="27" t="s">
        <v>1523</v>
      </c>
      <c r="E136" s="27" t="s">
        <v>1415</v>
      </c>
      <c r="F136" s="1090"/>
      <c r="G136" s="41" t="s">
        <v>4490</v>
      </c>
    </row>
    <row r="137" spans="1:8" s="1083" customFormat="1" ht="36" customHeight="1">
      <c r="A137" s="1302"/>
      <c r="B137" s="1318"/>
      <c r="C137" s="1086" t="s">
        <v>4478</v>
      </c>
      <c r="D137" s="1090" t="s">
        <v>109</v>
      </c>
      <c r="E137" s="1090" t="s">
        <v>4479</v>
      </c>
      <c r="F137" s="1090" t="s">
        <v>4480</v>
      </c>
      <c r="G137" s="1088" t="s">
        <v>1370</v>
      </c>
    </row>
    <row r="138" spans="1:8" s="1083" customFormat="1" ht="36" customHeight="1">
      <c r="A138" s="1302"/>
      <c r="B138" s="1318"/>
      <c r="C138" s="1310" t="s">
        <v>1506</v>
      </c>
      <c r="D138" s="40" t="s">
        <v>2435</v>
      </c>
      <c r="E138" s="39" t="s">
        <v>1273</v>
      </c>
      <c r="F138" s="27"/>
      <c r="G138" s="1311" t="s">
        <v>1442</v>
      </c>
    </row>
    <row r="139" spans="1:8" s="1083" customFormat="1" ht="36" customHeight="1">
      <c r="A139" s="1302"/>
      <c r="B139" s="1318"/>
      <c r="C139" s="1309"/>
      <c r="D139" s="37" t="s">
        <v>3533</v>
      </c>
      <c r="E139" s="36" t="s">
        <v>1273</v>
      </c>
      <c r="F139" s="1090"/>
      <c r="G139" s="1313"/>
    </row>
    <row r="140" spans="1:8" s="1001" customFormat="1" ht="36" customHeight="1">
      <c r="A140" s="1302"/>
      <c r="B140" s="1318"/>
      <c r="C140" s="1091" t="s">
        <v>4491</v>
      </c>
      <c r="D140" s="40" t="s">
        <v>4492</v>
      </c>
      <c r="E140" s="39" t="s">
        <v>4493</v>
      </c>
      <c r="F140" s="1090"/>
      <c r="G140" s="1087"/>
    </row>
    <row r="141" spans="1:8" s="1094" customFormat="1" ht="36" customHeight="1" thickBot="1">
      <c r="A141" s="1302"/>
      <c r="B141" s="1318"/>
      <c r="C141" s="1091" t="s">
        <v>1506</v>
      </c>
      <c r="D141" s="40" t="s">
        <v>4494</v>
      </c>
      <c r="E141" s="39" t="s">
        <v>4495</v>
      </c>
      <c r="F141" s="27" t="s">
        <v>4496</v>
      </c>
      <c r="G141" s="41" t="s">
        <v>4512</v>
      </c>
      <c r="H141" s="1094" t="s">
        <v>4497</v>
      </c>
    </row>
    <row r="142" spans="1:8" s="1094" customFormat="1" ht="36" hidden="1" customHeight="1">
      <c r="A142" s="1302"/>
      <c r="B142" s="1318"/>
      <c r="C142" s="1093"/>
      <c r="D142" s="34"/>
      <c r="E142" s="33"/>
      <c r="F142" s="1010"/>
      <c r="G142" s="1095"/>
    </row>
    <row r="143" spans="1:8" s="1001" customFormat="1" ht="36" hidden="1" customHeight="1" thickBot="1">
      <c r="A143" s="1302"/>
      <c r="B143" s="1318"/>
      <c r="C143" s="1092"/>
      <c r="D143" s="30"/>
      <c r="E143" s="29"/>
      <c r="F143" s="482"/>
      <c r="G143" s="1053"/>
    </row>
    <row r="144" spans="1:8" s="1001" customFormat="1" ht="36" customHeight="1" thickBot="1">
      <c r="A144" s="1303"/>
      <c r="B144" s="1319"/>
      <c r="C144" s="12"/>
      <c r="D144" s="11"/>
      <c r="E144" s="10"/>
      <c r="F144" s="10"/>
      <c r="G144" s="9"/>
    </row>
    <row r="145" spans="1:8" s="1001" customFormat="1" ht="36" customHeight="1">
      <c r="A145" s="1301">
        <v>44881</v>
      </c>
      <c r="B145" s="1314" t="s">
        <v>2</v>
      </c>
      <c r="C145" s="1100" t="s">
        <v>4403</v>
      </c>
      <c r="D145" s="27" t="s">
        <v>4404</v>
      </c>
      <c r="E145" s="27" t="s">
        <v>4405</v>
      </c>
      <c r="F145" s="1099"/>
      <c r="G145" s="1097"/>
    </row>
    <row r="146" spans="1:8" s="1001" customFormat="1" ht="36" customHeight="1">
      <c r="A146" s="1302"/>
      <c r="B146" s="1315"/>
      <c r="C146" s="1100" t="s">
        <v>4508</v>
      </c>
      <c r="D146" s="27" t="s">
        <v>4509</v>
      </c>
      <c r="E146" s="27" t="s">
        <v>4510</v>
      </c>
      <c r="F146" s="1099"/>
      <c r="G146" s="1097" t="s">
        <v>4511</v>
      </c>
    </row>
    <row r="147" spans="1:8" s="1001" customFormat="1" ht="36" customHeight="1">
      <c r="A147" s="1302"/>
      <c r="B147" s="1315"/>
      <c r="C147" s="1100" t="s">
        <v>4513</v>
      </c>
      <c r="D147" s="40" t="s">
        <v>109</v>
      </c>
      <c r="E147" s="39" t="s">
        <v>4514</v>
      </c>
      <c r="F147" s="1099" t="s">
        <v>1899</v>
      </c>
      <c r="G147" s="1097" t="s">
        <v>4515</v>
      </c>
    </row>
    <row r="148" spans="1:8" s="1001" customFormat="1" ht="36" customHeight="1">
      <c r="A148" s="1302"/>
      <c r="B148" s="1315"/>
      <c r="C148" s="1100" t="s">
        <v>4516</v>
      </c>
      <c r="D148" s="40" t="s">
        <v>109</v>
      </c>
      <c r="E148" s="39" t="s">
        <v>168</v>
      </c>
      <c r="F148" s="27" t="s">
        <v>4518</v>
      </c>
      <c r="G148" s="41" t="s">
        <v>4517</v>
      </c>
    </row>
    <row r="149" spans="1:8" s="88" customFormat="1" ht="36" customHeight="1">
      <c r="A149" s="1302"/>
      <c r="B149" s="1315"/>
      <c r="C149" s="1096" t="s">
        <v>4527</v>
      </c>
      <c r="D149" s="37" t="s">
        <v>109</v>
      </c>
      <c r="E149" s="36" t="s">
        <v>4528</v>
      </c>
      <c r="F149" s="1099"/>
      <c r="G149" s="1098" t="s">
        <v>4529</v>
      </c>
      <c r="H149" s="88" t="s">
        <v>4530</v>
      </c>
    </row>
    <row r="150" spans="1:8" s="1102" customFormat="1" ht="36" customHeight="1" thickBot="1">
      <c r="A150" s="1302"/>
      <c r="B150" s="1315"/>
      <c r="C150" s="1101"/>
      <c r="D150" s="30"/>
      <c r="E150" s="29"/>
      <c r="F150" s="482"/>
      <c r="G150" s="1053"/>
    </row>
    <row r="151" spans="1:8" s="1001" customFormat="1" ht="36" customHeight="1" thickBot="1">
      <c r="A151" s="1303"/>
      <c r="B151" s="1316"/>
      <c r="C151" s="12" t="s">
        <v>3446</v>
      </c>
      <c r="D151" s="11" t="s">
        <v>1417</v>
      </c>
      <c r="E151" s="10" t="s">
        <v>4486</v>
      </c>
      <c r="F151" s="10" t="s">
        <v>2470</v>
      </c>
      <c r="G151" s="9"/>
    </row>
    <row r="152" spans="1:8" s="1094" customFormat="1" ht="36" customHeight="1">
      <c r="A152" s="1301">
        <v>44882</v>
      </c>
      <c r="B152" s="1317" t="s">
        <v>1</v>
      </c>
      <c r="C152" s="1310" t="s">
        <v>4498</v>
      </c>
      <c r="D152" s="27" t="s">
        <v>4506</v>
      </c>
      <c r="E152" s="27" t="s">
        <v>4499</v>
      </c>
      <c r="F152" s="1106"/>
      <c r="G152" s="1104"/>
    </row>
    <row r="153" spans="1:8" s="1094" customFormat="1" ht="36" customHeight="1">
      <c r="A153" s="1302"/>
      <c r="B153" s="1318"/>
      <c r="C153" s="1308"/>
      <c r="D153" s="27" t="s">
        <v>4500</v>
      </c>
      <c r="E153" s="27" t="s">
        <v>4501</v>
      </c>
      <c r="F153" s="1106"/>
      <c r="G153" s="1104"/>
    </row>
    <row r="154" spans="1:8" s="1001" customFormat="1" ht="36" customHeight="1">
      <c r="A154" s="1302"/>
      <c r="B154" s="1318"/>
      <c r="C154" s="1308"/>
      <c r="D154" s="27" t="s">
        <v>4503</v>
      </c>
      <c r="E154" s="27" t="s">
        <v>4502</v>
      </c>
      <c r="F154" s="1106"/>
      <c r="G154" s="1104"/>
    </row>
    <row r="155" spans="1:8" s="1001" customFormat="1" ht="36" customHeight="1">
      <c r="A155" s="1302"/>
      <c r="B155" s="1318"/>
      <c r="C155" s="1308"/>
      <c r="D155" s="40" t="s">
        <v>4504</v>
      </c>
      <c r="E155" s="39" t="s">
        <v>4505</v>
      </c>
      <c r="F155" s="1106"/>
      <c r="G155" s="1104"/>
    </row>
    <row r="156" spans="1:8" s="1102" customFormat="1" ht="36" customHeight="1">
      <c r="A156" s="1302"/>
      <c r="B156" s="1318"/>
      <c r="C156" s="1308"/>
      <c r="D156" s="40" t="s">
        <v>4531</v>
      </c>
      <c r="E156" s="39" t="s">
        <v>4532</v>
      </c>
      <c r="F156" s="1106"/>
      <c r="G156" s="1104"/>
    </row>
    <row r="157" spans="1:8" s="1102" customFormat="1" ht="36" customHeight="1">
      <c r="A157" s="1302"/>
      <c r="B157" s="1318"/>
      <c r="C157" s="1309"/>
      <c r="D157" s="40" t="s">
        <v>4537</v>
      </c>
      <c r="E157" s="39" t="s">
        <v>4538</v>
      </c>
      <c r="F157" s="1106"/>
      <c r="G157" s="1104"/>
    </row>
    <row r="158" spans="1:8" s="1001" customFormat="1" ht="36" customHeight="1">
      <c r="A158" s="1302"/>
      <c r="B158" s="1318"/>
      <c r="C158" s="1107" t="s">
        <v>4507</v>
      </c>
      <c r="D158" s="40" t="s">
        <v>526</v>
      </c>
      <c r="E158" s="39" t="s">
        <v>4525</v>
      </c>
      <c r="F158" s="27"/>
      <c r="G158" s="41" t="s">
        <v>4526</v>
      </c>
    </row>
    <row r="159" spans="1:8" s="1102" customFormat="1" ht="36" customHeight="1">
      <c r="A159" s="1302"/>
      <c r="B159" s="1318"/>
      <c r="C159" s="1103" t="s">
        <v>4519</v>
      </c>
      <c r="D159" s="37" t="s">
        <v>109</v>
      </c>
      <c r="E159" s="36" t="s">
        <v>4520</v>
      </c>
      <c r="F159" s="1106" t="s">
        <v>4521</v>
      </c>
      <c r="G159" s="1105" t="s">
        <v>4539</v>
      </c>
      <c r="H159" s="1102" t="s">
        <v>4524</v>
      </c>
    </row>
    <row r="160" spans="1:8" s="1108" customFormat="1" ht="36" customHeight="1">
      <c r="A160" s="1302"/>
      <c r="B160" s="1318"/>
      <c r="C160" s="1107" t="s">
        <v>2019</v>
      </c>
      <c r="D160" s="27" t="s">
        <v>4044</v>
      </c>
      <c r="E160" s="27" t="s">
        <v>1348</v>
      </c>
      <c r="F160" s="27"/>
      <c r="G160" s="41" t="s">
        <v>1442</v>
      </c>
    </row>
    <row r="161" spans="1:8" s="1094" customFormat="1" ht="36" customHeight="1" thickBot="1">
      <c r="A161" s="1302"/>
      <c r="B161" s="1318"/>
      <c r="C161" s="1093"/>
      <c r="D161" s="34"/>
      <c r="E161" s="33"/>
      <c r="F161" s="1010"/>
      <c r="G161" s="1095"/>
    </row>
    <row r="162" spans="1:8" s="1094" customFormat="1" ht="36" hidden="1" customHeight="1">
      <c r="A162" s="1302"/>
      <c r="B162" s="1318"/>
      <c r="C162" s="1093"/>
      <c r="D162" s="34"/>
      <c r="E162" s="33"/>
      <c r="F162" s="1010"/>
      <c r="G162" s="1095"/>
    </row>
    <row r="163" spans="1:8" s="1094" customFormat="1" ht="36" hidden="1" customHeight="1" thickBot="1">
      <c r="A163" s="1302"/>
      <c r="B163" s="1318"/>
      <c r="C163" s="1092"/>
      <c r="D163" s="30"/>
      <c r="E163" s="29"/>
      <c r="F163" s="482"/>
      <c r="G163" s="1053"/>
    </row>
    <row r="164" spans="1:8" s="1001" customFormat="1" ht="36" customHeight="1" thickBot="1">
      <c r="A164" s="1303"/>
      <c r="B164" s="1319"/>
      <c r="C164" s="12"/>
      <c r="D164" s="11"/>
      <c r="E164" s="10"/>
      <c r="F164" s="10"/>
      <c r="G164" s="9"/>
    </row>
    <row r="165" spans="1:8" s="1083" customFormat="1" ht="36" customHeight="1">
      <c r="A165" s="1301">
        <v>44883</v>
      </c>
      <c r="B165" s="1317" t="s">
        <v>0</v>
      </c>
      <c r="C165" s="1310" t="s">
        <v>4477</v>
      </c>
      <c r="D165" s="27" t="s">
        <v>4488</v>
      </c>
      <c r="E165" s="27" t="s">
        <v>4489</v>
      </c>
      <c r="F165" s="1117"/>
      <c r="G165" s="1113"/>
    </row>
    <row r="166" spans="1:8" s="1001" customFormat="1" ht="36" customHeight="1">
      <c r="A166" s="1302"/>
      <c r="B166" s="1318"/>
      <c r="C166" s="1309"/>
      <c r="D166" s="27" t="s">
        <v>1304</v>
      </c>
      <c r="E166" s="27" t="s">
        <v>4554</v>
      </c>
      <c r="F166" s="1117"/>
      <c r="G166" s="1113"/>
    </row>
    <row r="167" spans="1:8" s="1108" customFormat="1" ht="36" customHeight="1">
      <c r="A167" s="1302"/>
      <c r="B167" s="1318"/>
      <c r="C167" s="1118" t="s">
        <v>2815</v>
      </c>
      <c r="D167" s="27" t="s">
        <v>1361</v>
      </c>
      <c r="E167" s="27" t="s">
        <v>1328</v>
      </c>
      <c r="F167" s="1117"/>
      <c r="G167" s="1113"/>
    </row>
    <row r="168" spans="1:8" s="1001" customFormat="1" ht="36" customHeight="1">
      <c r="A168" s="1302"/>
      <c r="B168" s="1318"/>
      <c r="C168" s="1310" t="s">
        <v>4533</v>
      </c>
      <c r="D168" s="40" t="s">
        <v>4540</v>
      </c>
      <c r="E168" s="39">
        <v>31</v>
      </c>
      <c r="F168" s="27" t="s">
        <v>4534</v>
      </c>
      <c r="G168" s="1113"/>
    </row>
    <row r="169" spans="1:8" s="1001" customFormat="1" ht="36" customHeight="1">
      <c r="A169" s="1302"/>
      <c r="B169" s="1318"/>
      <c r="C169" s="1309"/>
      <c r="D169" s="40" t="s">
        <v>4536</v>
      </c>
      <c r="E169" s="39" t="s">
        <v>4535</v>
      </c>
      <c r="F169" s="1117"/>
      <c r="G169" s="41"/>
    </row>
    <row r="170" spans="1:8" s="1109" customFormat="1" ht="36" customHeight="1">
      <c r="A170" s="1302"/>
      <c r="B170" s="1318"/>
      <c r="C170" s="1112" t="s">
        <v>4555</v>
      </c>
      <c r="D170" s="37" t="s">
        <v>109</v>
      </c>
      <c r="E170" s="36" t="s">
        <v>4556</v>
      </c>
      <c r="F170" s="1117" t="s">
        <v>4558</v>
      </c>
      <c r="G170" s="1114" t="s">
        <v>4557</v>
      </c>
      <c r="H170" s="1109" t="s">
        <v>4559</v>
      </c>
    </row>
    <row r="171" spans="1:8" s="1109" customFormat="1" ht="36" customHeight="1" thickBot="1">
      <c r="A171" s="1302"/>
      <c r="B171" s="1318"/>
      <c r="C171" s="1110"/>
      <c r="D171" s="30"/>
      <c r="E171" s="29"/>
      <c r="F171" s="482"/>
      <c r="G171" s="1053"/>
    </row>
    <row r="172" spans="1:8" s="1001" customFormat="1" ht="36" customHeight="1" thickBot="1">
      <c r="A172" s="1303"/>
      <c r="B172" s="1319"/>
      <c r="C172" s="12" t="s">
        <v>3446</v>
      </c>
      <c r="D172" s="11" t="s">
        <v>1417</v>
      </c>
      <c r="E172" s="10" t="s">
        <v>4487</v>
      </c>
      <c r="F172" s="10" t="s">
        <v>2470</v>
      </c>
      <c r="G172" s="9"/>
    </row>
    <row r="173" spans="1:8" s="1001" customFormat="1" ht="60" customHeight="1" thickBot="1">
      <c r="A173" s="1298" t="s">
        <v>5</v>
      </c>
      <c r="B173" s="1299"/>
      <c r="C173" s="1299"/>
      <c r="D173" s="1299"/>
      <c r="E173" s="1299"/>
      <c r="F173" s="1299"/>
      <c r="G173" s="1300"/>
    </row>
    <row r="174" spans="1:8" s="1001" customFormat="1" ht="36" customHeight="1">
      <c r="A174" s="1301">
        <v>44886</v>
      </c>
      <c r="B174" s="1314" t="s">
        <v>4</v>
      </c>
      <c r="C174" s="1118" t="s">
        <v>4473</v>
      </c>
      <c r="D174" s="27" t="s">
        <v>1304</v>
      </c>
      <c r="E174" s="27" t="s">
        <v>4582</v>
      </c>
      <c r="F174" s="1117"/>
      <c r="G174" s="1113"/>
    </row>
    <row r="175" spans="1:8" s="1001" customFormat="1" ht="36" customHeight="1">
      <c r="A175" s="1302"/>
      <c r="B175" s="1315"/>
      <c r="C175" s="1118" t="s">
        <v>394</v>
      </c>
      <c r="D175" s="27" t="s">
        <v>109</v>
      </c>
      <c r="E175" s="27" t="s">
        <v>168</v>
      </c>
      <c r="F175" s="1117" t="s">
        <v>1004</v>
      </c>
      <c r="G175" s="1113" t="s">
        <v>4561</v>
      </c>
    </row>
    <row r="176" spans="1:8" s="1108" customFormat="1" ht="36" customHeight="1">
      <c r="A176" s="1302"/>
      <c r="B176" s="1315"/>
      <c r="C176" s="1310" t="s">
        <v>4541</v>
      </c>
      <c r="D176" s="27" t="s">
        <v>109</v>
      </c>
      <c r="E176" s="27" t="s">
        <v>4543</v>
      </c>
      <c r="F176" s="1117"/>
      <c r="G176" s="1311" t="s">
        <v>4550</v>
      </c>
      <c r="H176" s="1126">
        <v>0.4375</v>
      </c>
    </row>
    <row r="177" spans="1:7" s="1108" customFormat="1" ht="36" customHeight="1">
      <c r="A177" s="1302"/>
      <c r="B177" s="1315"/>
      <c r="C177" s="1308"/>
      <c r="D177" s="27" t="s">
        <v>4542</v>
      </c>
      <c r="E177" s="27" t="s">
        <v>4544</v>
      </c>
      <c r="F177" s="1117"/>
      <c r="G177" s="1312"/>
    </row>
    <row r="178" spans="1:7" s="1108" customFormat="1" ht="36" customHeight="1">
      <c r="A178" s="1302"/>
      <c r="B178" s="1315"/>
      <c r="C178" s="1308"/>
      <c r="D178" s="27" t="s">
        <v>4545</v>
      </c>
      <c r="E178" s="27" t="s">
        <v>4546</v>
      </c>
      <c r="F178" s="1117"/>
      <c r="G178" s="1312"/>
    </row>
    <row r="179" spans="1:7" s="1108" customFormat="1" ht="36" customHeight="1">
      <c r="A179" s="1302"/>
      <c r="B179" s="1315"/>
      <c r="C179" s="1309"/>
      <c r="D179" s="27" t="s">
        <v>4547</v>
      </c>
      <c r="E179" s="27" t="s">
        <v>4548</v>
      </c>
      <c r="F179" s="1117" t="s">
        <v>4549</v>
      </c>
      <c r="G179" s="1313"/>
    </row>
    <row r="180" spans="1:7" s="1001" customFormat="1" ht="36" customHeight="1">
      <c r="A180" s="1302"/>
      <c r="B180" s="1315"/>
      <c r="C180" s="1310" t="s">
        <v>4574</v>
      </c>
      <c r="D180" s="40" t="s">
        <v>4575</v>
      </c>
      <c r="E180" s="39" t="s">
        <v>4576</v>
      </c>
      <c r="F180" s="1117"/>
      <c r="G180" s="1311" t="s">
        <v>4581</v>
      </c>
    </row>
    <row r="181" spans="1:7" s="1120" customFormat="1" ht="36" customHeight="1">
      <c r="A181" s="1302"/>
      <c r="B181" s="1315"/>
      <c r="C181" s="1308"/>
      <c r="D181" s="1121" t="s">
        <v>4577</v>
      </c>
      <c r="E181" s="54" t="s">
        <v>4578</v>
      </c>
      <c r="F181" s="27"/>
      <c r="G181" s="1312"/>
    </row>
    <row r="182" spans="1:7" s="1120" customFormat="1" ht="36" customHeight="1">
      <c r="A182" s="1302"/>
      <c r="B182" s="1315"/>
      <c r="C182" s="1309"/>
      <c r="D182" s="1121" t="s">
        <v>4579</v>
      </c>
      <c r="E182" s="54" t="s">
        <v>4580</v>
      </c>
      <c r="F182" s="27"/>
      <c r="G182" s="1313"/>
    </row>
    <row r="183" spans="1:7" s="1001" customFormat="1" ht="36" customHeight="1">
      <c r="A183" s="1302"/>
      <c r="B183" s="1315"/>
      <c r="C183" s="1118" t="s">
        <v>4591</v>
      </c>
      <c r="D183" s="40" t="s">
        <v>4592</v>
      </c>
      <c r="E183" s="39" t="s">
        <v>4593</v>
      </c>
      <c r="F183" s="27"/>
      <c r="G183" s="41" t="s">
        <v>4594</v>
      </c>
    </row>
    <row r="184" spans="1:7" s="1120" customFormat="1" ht="36" customHeight="1" thickBot="1">
      <c r="A184" s="1302"/>
      <c r="B184" s="1315"/>
      <c r="C184" s="1111" t="s">
        <v>3152</v>
      </c>
      <c r="D184" s="44" t="s">
        <v>109</v>
      </c>
      <c r="E184" s="43" t="s">
        <v>584</v>
      </c>
      <c r="F184" s="1116" t="s">
        <v>298</v>
      </c>
      <c r="G184" s="1115" t="s">
        <v>297</v>
      </c>
    </row>
    <row r="185" spans="1:7" s="1001" customFormat="1" ht="36" customHeight="1" thickBot="1">
      <c r="A185" s="1303"/>
      <c r="B185" s="1316"/>
      <c r="C185" s="12"/>
      <c r="D185" s="11"/>
      <c r="E185" s="10"/>
      <c r="F185" s="10"/>
      <c r="G185" s="9"/>
    </row>
    <row r="186" spans="1:7" s="1001" customFormat="1" ht="36" customHeight="1">
      <c r="A186" s="1301">
        <v>44887</v>
      </c>
      <c r="B186" s="1314" t="s">
        <v>3</v>
      </c>
      <c r="C186" s="1124" t="s">
        <v>538</v>
      </c>
      <c r="D186" s="27" t="s">
        <v>4377</v>
      </c>
      <c r="E186" s="27" t="s">
        <v>4449</v>
      </c>
      <c r="F186" s="1123"/>
      <c r="G186" s="1122" t="s">
        <v>4378</v>
      </c>
    </row>
    <row r="187" spans="1:7" s="1001" customFormat="1" ht="36" customHeight="1">
      <c r="A187" s="1302"/>
      <c r="B187" s="1315"/>
      <c r="C187" s="1310" t="s">
        <v>4551</v>
      </c>
      <c r="D187" s="40" t="s">
        <v>4552</v>
      </c>
      <c r="E187" s="39" t="s">
        <v>4599</v>
      </c>
      <c r="F187" s="1123" t="s">
        <v>4553</v>
      </c>
      <c r="G187" s="1311" t="s">
        <v>4560</v>
      </c>
    </row>
    <row r="188" spans="1:7" s="1120" customFormat="1" ht="36" customHeight="1">
      <c r="A188" s="1302"/>
      <c r="B188" s="1315"/>
      <c r="C188" s="1309"/>
      <c r="D188" s="40" t="s">
        <v>4588</v>
      </c>
      <c r="E188" s="39" t="s">
        <v>4589</v>
      </c>
      <c r="F188" s="27"/>
      <c r="G188" s="1313"/>
    </row>
    <row r="189" spans="1:7" s="1120" customFormat="1" ht="36" customHeight="1">
      <c r="A189" s="1302"/>
      <c r="B189" s="1315"/>
      <c r="C189" s="1310" t="s">
        <v>4583</v>
      </c>
      <c r="D189" s="40" t="s">
        <v>4584</v>
      </c>
      <c r="E189" s="39" t="s">
        <v>4585</v>
      </c>
      <c r="F189" s="27"/>
      <c r="G189" s="1311" t="s">
        <v>4590</v>
      </c>
    </row>
    <row r="190" spans="1:7" s="1120" customFormat="1" ht="36" customHeight="1">
      <c r="A190" s="1302"/>
      <c r="B190" s="1315"/>
      <c r="C190" s="1309"/>
      <c r="D190" s="37" t="s">
        <v>4586</v>
      </c>
      <c r="E190" s="36" t="s">
        <v>4587</v>
      </c>
      <c r="F190" s="1123"/>
      <c r="G190" s="1313"/>
    </row>
    <row r="191" spans="1:7" s="1125" customFormat="1" ht="36" customHeight="1">
      <c r="A191" s="1302"/>
      <c r="B191" s="1315"/>
      <c r="C191" s="1124" t="s">
        <v>4595</v>
      </c>
      <c r="D191" s="40" t="s">
        <v>4607</v>
      </c>
      <c r="E191" s="39" t="s">
        <v>4596</v>
      </c>
      <c r="F191" s="27" t="s">
        <v>4597</v>
      </c>
      <c r="G191" s="41" t="s">
        <v>4598</v>
      </c>
    </row>
    <row r="192" spans="1:7" s="1125" customFormat="1" ht="36" customHeight="1">
      <c r="A192" s="1302"/>
      <c r="B192" s="1315"/>
      <c r="C192" s="1124" t="s">
        <v>4603</v>
      </c>
      <c r="D192" s="40" t="s">
        <v>4604</v>
      </c>
      <c r="E192" s="39" t="s">
        <v>4605</v>
      </c>
      <c r="F192" s="27" t="s">
        <v>4606</v>
      </c>
      <c r="G192" s="41" t="s">
        <v>4598</v>
      </c>
    </row>
    <row r="193" spans="1:8" s="1120" customFormat="1" ht="36" customHeight="1">
      <c r="A193" s="1302"/>
      <c r="B193" s="1315"/>
      <c r="C193" s="1124" t="s">
        <v>4562</v>
      </c>
      <c r="D193" s="40" t="s">
        <v>4563</v>
      </c>
      <c r="E193" s="39" t="s">
        <v>4564</v>
      </c>
      <c r="F193" s="27" t="s">
        <v>4565</v>
      </c>
      <c r="G193" s="41"/>
    </row>
    <row r="194" spans="1:8" s="1120" customFormat="1" ht="36" customHeight="1">
      <c r="A194" s="1302"/>
      <c r="B194" s="1315"/>
      <c r="C194" s="1124" t="s">
        <v>4600</v>
      </c>
      <c r="D194" s="40" t="s">
        <v>1431</v>
      </c>
      <c r="E194" s="39" t="s">
        <v>4601</v>
      </c>
      <c r="F194" s="27"/>
      <c r="G194" s="41" t="s">
        <v>4602</v>
      </c>
    </row>
    <row r="195" spans="1:8" s="1120" customFormat="1" ht="36" customHeight="1">
      <c r="A195" s="1302"/>
      <c r="B195" s="1315"/>
      <c r="C195" s="1310" t="s">
        <v>4608</v>
      </c>
      <c r="D195" s="40" t="s">
        <v>4609</v>
      </c>
      <c r="E195" s="39" t="s">
        <v>4610</v>
      </c>
      <c r="F195" s="27"/>
      <c r="G195" s="1311" t="s">
        <v>4613</v>
      </c>
    </row>
    <row r="196" spans="1:8" s="1125" customFormat="1" ht="36" customHeight="1">
      <c r="A196" s="1302"/>
      <c r="B196" s="1315"/>
      <c r="C196" s="1309"/>
      <c r="D196" s="37" t="s">
        <v>4611</v>
      </c>
      <c r="E196" s="36" t="s">
        <v>4612</v>
      </c>
      <c r="F196" s="1123"/>
      <c r="G196" s="1313"/>
    </row>
    <row r="197" spans="1:8" s="1125" customFormat="1" ht="36" customHeight="1">
      <c r="A197" s="1302"/>
      <c r="B197" s="1315"/>
      <c r="C197" s="1124" t="s">
        <v>110</v>
      </c>
      <c r="D197" s="40" t="s">
        <v>109</v>
      </c>
      <c r="E197" s="39" t="s">
        <v>584</v>
      </c>
      <c r="F197" s="27" t="s">
        <v>107</v>
      </c>
      <c r="G197" s="41" t="s">
        <v>106</v>
      </c>
      <c r="H197" s="1125" t="s">
        <v>4615</v>
      </c>
    </row>
    <row r="198" spans="1:8" s="1120" customFormat="1" ht="36" customHeight="1" thickBot="1">
      <c r="A198" s="1302"/>
      <c r="B198" s="1315"/>
      <c r="C198" s="1119"/>
      <c r="D198" s="30"/>
      <c r="E198" s="29"/>
      <c r="F198" s="482"/>
      <c r="G198" s="1053"/>
    </row>
    <row r="199" spans="1:8" s="1001" customFormat="1" ht="36" customHeight="1" thickBot="1">
      <c r="A199" s="1303"/>
      <c r="B199" s="1316"/>
      <c r="C199" s="12" t="s">
        <v>4566</v>
      </c>
      <c r="D199" s="11" t="s">
        <v>4567</v>
      </c>
      <c r="E199" s="10" t="s">
        <v>4568</v>
      </c>
      <c r="F199" s="10" t="s">
        <v>4569</v>
      </c>
      <c r="G199" s="9"/>
    </row>
    <row r="200" spans="1:8" s="1001" customFormat="1" ht="36" customHeight="1">
      <c r="A200" s="1301">
        <v>44888</v>
      </c>
      <c r="B200" s="1314" t="s">
        <v>247</v>
      </c>
      <c r="C200" s="1129"/>
      <c r="D200" s="27" t="s">
        <v>4292</v>
      </c>
      <c r="E200" s="27"/>
      <c r="F200" s="1128"/>
      <c r="G200" s="1127"/>
    </row>
    <row r="201" spans="1:8" s="1130" customFormat="1" ht="36" customHeight="1">
      <c r="A201" s="1302"/>
      <c r="B201" s="1315"/>
      <c r="C201" s="1129" t="s">
        <v>366</v>
      </c>
      <c r="D201" s="27" t="s">
        <v>109</v>
      </c>
      <c r="E201" s="27" t="s">
        <v>4621</v>
      </c>
      <c r="F201" s="1128" t="s">
        <v>4622</v>
      </c>
      <c r="G201" s="1127" t="s">
        <v>297</v>
      </c>
    </row>
    <row r="202" spans="1:8" s="1130" customFormat="1" ht="36" customHeight="1">
      <c r="A202" s="1302"/>
      <c r="B202" s="1315"/>
      <c r="C202" s="1129" t="s">
        <v>4623</v>
      </c>
      <c r="D202" s="27" t="s">
        <v>4624</v>
      </c>
      <c r="E202" s="27" t="s">
        <v>4625</v>
      </c>
      <c r="F202" s="1128"/>
      <c r="G202" s="1127" t="s">
        <v>4629</v>
      </c>
    </row>
    <row r="203" spans="1:8" s="1130" customFormat="1" ht="36" customHeight="1" thickBot="1">
      <c r="A203" s="1302"/>
      <c r="B203" s="1315"/>
      <c r="C203" s="1129" t="s">
        <v>4626</v>
      </c>
      <c r="D203" s="27" t="s">
        <v>4627</v>
      </c>
      <c r="E203" s="27" t="s">
        <v>4628</v>
      </c>
      <c r="F203" s="1128"/>
      <c r="G203" s="1127" t="s">
        <v>1442</v>
      </c>
    </row>
    <row r="204" spans="1:8" s="1130" customFormat="1" ht="36" hidden="1" customHeight="1">
      <c r="A204" s="1302"/>
      <c r="B204" s="1315"/>
      <c r="C204" s="21"/>
      <c r="D204" s="22"/>
      <c r="E204" s="22"/>
      <c r="F204" s="1010"/>
      <c r="G204" s="1077"/>
    </row>
    <row r="205" spans="1:8" s="1130" customFormat="1" ht="36" hidden="1" customHeight="1" thickBot="1">
      <c r="A205" s="1302"/>
      <c r="B205" s="1315"/>
      <c r="C205" s="21"/>
      <c r="D205" s="22"/>
      <c r="E205" s="22"/>
      <c r="F205" s="1010"/>
      <c r="G205" s="1077"/>
    </row>
    <row r="206" spans="1:8" s="1001" customFormat="1" ht="36" hidden="1" customHeight="1">
      <c r="A206" s="1302"/>
      <c r="B206" s="1315"/>
      <c r="C206" s="21"/>
      <c r="D206" s="20"/>
      <c r="E206" s="19"/>
      <c r="F206" s="902"/>
      <c r="G206" s="927"/>
    </row>
    <row r="207" spans="1:8" s="1001" customFormat="1" ht="36" hidden="1" customHeight="1" thickBot="1">
      <c r="A207" s="1302"/>
      <c r="B207" s="1315"/>
      <c r="C207" s="1002"/>
      <c r="D207" s="16"/>
      <c r="E207" s="15"/>
      <c r="F207" s="482"/>
      <c r="G207" s="927"/>
    </row>
    <row r="208" spans="1:8" s="1001" customFormat="1" ht="36" customHeight="1" thickBot="1">
      <c r="A208" s="1303"/>
      <c r="B208" s="1316"/>
      <c r="C208" s="12" t="s">
        <v>4570</v>
      </c>
      <c r="D208" s="11" t="s">
        <v>4571</v>
      </c>
      <c r="E208" s="10" t="s">
        <v>4572</v>
      </c>
      <c r="F208" s="10" t="s">
        <v>4573</v>
      </c>
      <c r="G208" s="9"/>
    </row>
    <row r="209" spans="1:8" s="1001" customFormat="1" ht="36" customHeight="1">
      <c r="A209" s="1301">
        <v>44889</v>
      </c>
      <c r="B209" s="1317" t="s">
        <v>1</v>
      </c>
      <c r="C209" s="1310" t="s">
        <v>4635</v>
      </c>
      <c r="D209" s="27" t="s">
        <v>4636</v>
      </c>
      <c r="E209" s="27" t="s">
        <v>4637</v>
      </c>
      <c r="F209" s="1323" t="s">
        <v>4645</v>
      </c>
      <c r="G209" s="1311" t="s">
        <v>4640</v>
      </c>
    </row>
    <row r="210" spans="1:8" s="1001" customFormat="1" ht="36" customHeight="1">
      <c r="A210" s="1302"/>
      <c r="B210" s="1318"/>
      <c r="C210" s="1309"/>
      <c r="D210" s="40" t="s">
        <v>4638</v>
      </c>
      <c r="E210" s="39" t="s">
        <v>4639</v>
      </c>
      <c r="F210" s="1321"/>
      <c r="G210" s="1313"/>
    </row>
    <row r="211" spans="1:8" s="1130" customFormat="1" ht="36" customHeight="1">
      <c r="A211" s="1302"/>
      <c r="B211" s="1318"/>
      <c r="C211" s="1131" t="s">
        <v>4641</v>
      </c>
      <c r="D211" s="1136" t="s">
        <v>4643</v>
      </c>
      <c r="E211" s="54" t="s">
        <v>4642</v>
      </c>
      <c r="F211" s="27"/>
      <c r="G211" s="1132" t="s">
        <v>4644</v>
      </c>
    </row>
    <row r="212" spans="1:8" s="1001" customFormat="1" ht="36" customHeight="1" thickBot="1">
      <c r="A212" s="1302"/>
      <c r="B212" s="1318"/>
      <c r="C212" s="1133" t="s">
        <v>4646</v>
      </c>
      <c r="D212" s="40" t="s">
        <v>4647</v>
      </c>
      <c r="E212" s="39" t="s">
        <v>4648</v>
      </c>
      <c r="F212" s="27"/>
      <c r="G212" s="41" t="s">
        <v>4650</v>
      </c>
      <c r="H212" s="1135" t="s">
        <v>4649</v>
      </c>
    </row>
    <row r="213" spans="1:8" s="1135" customFormat="1" ht="36" hidden="1" customHeight="1">
      <c r="A213" s="1302"/>
      <c r="B213" s="1318"/>
      <c r="C213" s="21"/>
      <c r="D213" s="20"/>
      <c r="E213" s="19"/>
      <c r="F213" s="22"/>
      <c r="G213" s="96"/>
    </row>
    <row r="214" spans="1:8" s="1135" customFormat="1" ht="36" hidden="1" customHeight="1" thickBot="1">
      <c r="A214" s="1302"/>
      <c r="B214" s="1318"/>
      <c r="C214" s="1134"/>
      <c r="D214" s="30"/>
      <c r="E214" s="29"/>
      <c r="F214" s="482"/>
      <c r="G214" s="1053"/>
    </row>
    <row r="215" spans="1:8" s="1001" customFormat="1" ht="36" customHeight="1" thickBot="1">
      <c r="A215" s="1303"/>
      <c r="B215" s="1319"/>
      <c r="C215" s="12"/>
      <c r="D215" s="11"/>
      <c r="E215" s="10"/>
      <c r="F215" s="10"/>
      <c r="G215" s="9"/>
    </row>
    <row r="216" spans="1:8" s="1001" customFormat="1" ht="36" customHeight="1">
      <c r="A216" s="1301">
        <v>44890</v>
      </c>
      <c r="B216" s="1314" t="s">
        <v>0</v>
      </c>
      <c r="C216" s="53" t="s">
        <v>61</v>
      </c>
      <c r="D216" s="27" t="s">
        <v>8</v>
      </c>
      <c r="E216" s="27" t="s">
        <v>4667</v>
      </c>
      <c r="F216" s="1143"/>
      <c r="G216" s="1140"/>
    </row>
    <row r="217" spans="1:8" s="1001" customFormat="1" ht="36" customHeight="1">
      <c r="A217" s="1302"/>
      <c r="B217" s="1315"/>
      <c r="C217" s="1144" t="s">
        <v>4658</v>
      </c>
      <c r="D217" s="27" t="s">
        <v>109</v>
      </c>
      <c r="E217" s="27" t="s">
        <v>4659</v>
      </c>
      <c r="F217" s="1143" t="s">
        <v>4660</v>
      </c>
      <c r="G217" s="1140" t="s">
        <v>1442</v>
      </c>
      <c r="H217" s="1001" t="s">
        <v>4661</v>
      </c>
    </row>
    <row r="218" spans="1:8" s="1001" customFormat="1" ht="36" customHeight="1">
      <c r="A218" s="1302"/>
      <c r="B218" s="1315"/>
      <c r="C218" s="1144" t="s">
        <v>4666</v>
      </c>
      <c r="D218" s="40" t="s">
        <v>4662</v>
      </c>
      <c r="E218" s="39" t="s">
        <v>4663</v>
      </c>
      <c r="F218" s="1143" t="s">
        <v>4664</v>
      </c>
      <c r="G218" s="1140" t="s">
        <v>4665</v>
      </c>
    </row>
    <row r="219" spans="1:8" s="1138" customFormat="1" ht="36" customHeight="1">
      <c r="A219" s="1302"/>
      <c r="B219" s="1315"/>
      <c r="C219" s="1144" t="s">
        <v>4630</v>
      </c>
      <c r="D219" s="27" t="s">
        <v>1911</v>
      </c>
      <c r="E219" s="27" t="s">
        <v>1328</v>
      </c>
      <c r="F219" s="1143"/>
      <c r="G219" s="1140" t="s">
        <v>1442</v>
      </c>
      <c r="H219" s="1138">
        <v>2200</v>
      </c>
    </row>
    <row r="220" spans="1:8" s="1001" customFormat="1" ht="36" customHeight="1">
      <c r="A220" s="1302"/>
      <c r="B220" s="1315"/>
      <c r="C220" s="1310" t="s">
        <v>4668</v>
      </c>
      <c r="D220" s="40" t="s">
        <v>4669</v>
      </c>
      <c r="E220" s="39" t="s">
        <v>4670</v>
      </c>
      <c r="F220" s="27"/>
      <c r="G220" s="1311" t="s">
        <v>1442</v>
      </c>
    </row>
    <row r="221" spans="1:8" s="1138" customFormat="1" ht="36" customHeight="1">
      <c r="A221" s="1302"/>
      <c r="B221" s="1315"/>
      <c r="C221" s="1308"/>
      <c r="D221" s="37" t="s">
        <v>109</v>
      </c>
      <c r="E221" s="36" t="s">
        <v>4672</v>
      </c>
      <c r="F221" s="1143" t="s">
        <v>1899</v>
      </c>
      <c r="G221" s="1312"/>
    </row>
    <row r="222" spans="1:8" s="1138" customFormat="1" ht="36" customHeight="1">
      <c r="A222" s="1302"/>
      <c r="B222" s="1315"/>
      <c r="C222" s="1309"/>
      <c r="D222" s="37" t="s">
        <v>4671</v>
      </c>
      <c r="E222" s="36" t="s">
        <v>4672</v>
      </c>
      <c r="F222" s="1143"/>
      <c r="G222" s="1313"/>
    </row>
    <row r="223" spans="1:8" s="1138" customFormat="1" ht="36" customHeight="1" thickBot="1">
      <c r="A223" s="1302"/>
      <c r="B223" s="1315"/>
      <c r="C223" s="1137"/>
      <c r="D223" s="30"/>
      <c r="E223" s="29"/>
      <c r="F223" s="482"/>
      <c r="G223" s="1053"/>
    </row>
    <row r="224" spans="1:8" s="1001" customFormat="1" ht="36" customHeight="1" thickBot="1">
      <c r="A224" s="1303"/>
      <c r="B224" s="1316"/>
      <c r="C224" s="12"/>
      <c r="D224" s="11"/>
      <c r="E224" s="10"/>
      <c r="F224" s="10"/>
      <c r="G224" s="9"/>
    </row>
    <row r="225" spans="1:8" s="1001" customFormat="1" ht="60" customHeight="1" thickBot="1">
      <c r="A225" s="1298" t="s">
        <v>5</v>
      </c>
      <c r="B225" s="1299"/>
      <c r="C225" s="1299"/>
      <c r="D225" s="1299"/>
      <c r="E225" s="1299"/>
      <c r="F225" s="1299"/>
      <c r="G225" s="1300"/>
    </row>
    <row r="226" spans="1:8" s="1001" customFormat="1" ht="36" hidden="1" customHeight="1">
      <c r="A226" s="1301">
        <v>44893</v>
      </c>
      <c r="B226" s="1314" t="s">
        <v>4</v>
      </c>
      <c r="C226" s="21"/>
      <c r="D226" s="22"/>
      <c r="E226" s="22"/>
      <c r="F226" s="902"/>
      <c r="G226" s="927"/>
    </row>
    <row r="227" spans="1:8" s="1001" customFormat="1" ht="36" hidden="1" customHeight="1">
      <c r="A227" s="1302"/>
      <c r="B227" s="1315"/>
      <c r="C227" s="21"/>
      <c r="D227" s="22"/>
      <c r="E227" s="22"/>
      <c r="F227" s="902"/>
      <c r="G227" s="927"/>
    </row>
    <row r="228" spans="1:8" s="1001" customFormat="1" ht="36" hidden="1" customHeight="1">
      <c r="A228" s="1302"/>
      <c r="B228" s="1315"/>
      <c r="C228" s="21"/>
      <c r="D228" s="20"/>
      <c r="E228" s="19"/>
      <c r="F228" s="902"/>
      <c r="G228" s="927"/>
    </row>
    <row r="229" spans="1:8" s="1001" customFormat="1" ht="36" hidden="1" customHeight="1" thickBot="1">
      <c r="A229" s="1302"/>
      <c r="B229" s="1315"/>
      <c r="C229" s="1002"/>
      <c r="D229" s="16"/>
      <c r="E229" s="15"/>
      <c r="F229" s="482"/>
      <c r="G229" s="927"/>
    </row>
    <row r="230" spans="1:8" s="1001" customFormat="1" ht="36" hidden="1" customHeight="1" thickBot="1">
      <c r="A230" s="1303"/>
      <c r="B230" s="1316"/>
      <c r="C230" s="12"/>
      <c r="D230" s="11"/>
      <c r="E230" s="10"/>
      <c r="F230" s="10"/>
      <c r="G230" s="9"/>
    </row>
    <row r="231" spans="1:8" s="1001" customFormat="1" ht="36" customHeight="1">
      <c r="A231" s="1301">
        <v>44894</v>
      </c>
      <c r="B231" s="1314" t="s">
        <v>3</v>
      </c>
      <c r="C231" s="1144" t="s">
        <v>4631</v>
      </c>
      <c r="D231" s="27" t="s">
        <v>4632</v>
      </c>
      <c r="E231" s="27" t="s">
        <v>4634</v>
      </c>
      <c r="F231" s="1143" t="s">
        <v>4633</v>
      </c>
      <c r="G231" s="1140"/>
    </row>
    <row r="232" spans="1:8" s="1135" customFormat="1" ht="36" customHeight="1">
      <c r="A232" s="1302"/>
      <c r="B232" s="1315"/>
      <c r="C232" s="1310" t="s">
        <v>4652</v>
      </c>
      <c r="D232" s="27" t="s">
        <v>4653</v>
      </c>
      <c r="E232" s="27" t="s">
        <v>4654</v>
      </c>
      <c r="F232" s="1143" t="s">
        <v>1694</v>
      </c>
      <c r="G232" s="1140"/>
    </row>
    <row r="233" spans="1:8" s="1135" customFormat="1" ht="36" customHeight="1">
      <c r="A233" s="1302"/>
      <c r="B233" s="1315"/>
      <c r="C233" s="1308"/>
      <c r="D233" s="27" t="s">
        <v>109</v>
      </c>
      <c r="E233" s="27" t="s">
        <v>4655</v>
      </c>
      <c r="F233" s="1143" t="s">
        <v>4656</v>
      </c>
      <c r="G233" s="1140"/>
    </row>
    <row r="234" spans="1:8" s="1001" customFormat="1" ht="36" customHeight="1">
      <c r="A234" s="1302"/>
      <c r="B234" s="1315"/>
      <c r="C234" s="1309"/>
      <c r="D234" s="27" t="s">
        <v>327</v>
      </c>
      <c r="E234" s="27" t="s">
        <v>4657</v>
      </c>
      <c r="F234" s="1143"/>
      <c r="G234" s="1140"/>
    </row>
    <row r="235" spans="1:8" s="1145" customFormat="1" ht="36" customHeight="1">
      <c r="A235" s="1302"/>
      <c r="B235" s="1315"/>
      <c r="C235" s="1310" t="s">
        <v>4673</v>
      </c>
      <c r="D235" s="27" t="s">
        <v>4674</v>
      </c>
      <c r="E235" s="27" t="s">
        <v>4675</v>
      </c>
      <c r="F235" s="1143"/>
      <c r="G235" s="1311" t="s">
        <v>4677</v>
      </c>
    </row>
    <row r="236" spans="1:8" s="1145" customFormat="1" ht="36" customHeight="1">
      <c r="A236" s="1302"/>
      <c r="B236" s="1315"/>
      <c r="C236" s="1309"/>
      <c r="D236" s="27" t="s">
        <v>4678</v>
      </c>
      <c r="E236" s="27" t="s">
        <v>4676</v>
      </c>
      <c r="F236" s="1143"/>
      <c r="G236" s="1313"/>
    </row>
    <row r="237" spans="1:8" s="1001" customFormat="1" ht="36" customHeight="1">
      <c r="A237" s="1302"/>
      <c r="B237" s="1315"/>
      <c r="C237" s="1144" t="s">
        <v>4679</v>
      </c>
      <c r="D237" s="40" t="s">
        <v>1291</v>
      </c>
      <c r="E237" s="39" t="s">
        <v>299</v>
      </c>
      <c r="F237" s="1143"/>
      <c r="G237" s="1140"/>
    </row>
    <row r="238" spans="1:8" s="1145" customFormat="1" ht="36" customHeight="1">
      <c r="A238" s="1302"/>
      <c r="B238" s="1315"/>
      <c r="C238" s="1310" t="s">
        <v>4680</v>
      </c>
      <c r="D238" s="1146" t="s">
        <v>4681</v>
      </c>
      <c r="E238" s="54" t="s">
        <v>4682</v>
      </c>
      <c r="F238" s="1323" t="s">
        <v>4685</v>
      </c>
      <c r="G238" s="1311" t="s">
        <v>4686</v>
      </c>
      <c r="H238" s="1145" t="s">
        <v>4687</v>
      </c>
    </row>
    <row r="239" spans="1:8" s="1145" customFormat="1" ht="36" customHeight="1">
      <c r="A239" s="1302"/>
      <c r="B239" s="1315"/>
      <c r="C239" s="1309"/>
      <c r="D239" s="27" t="s">
        <v>4684</v>
      </c>
      <c r="E239" s="54" t="s">
        <v>4683</v>
      </c>
      <c r="F239" s="1321"/>
      <c r="G239" s="1313"/>
    </row>
    <row r="240" spans="1:8" s="1001" customFormat="1" ht="36" customHeight="1">
      <c r="A240" s="1302"/>
      <c r="B240" s="1315"/>
      <c r="C240" s="1144" t="s">
        <v>4688</v>
      </c>
      <c r="D240" s="40" t="s">
        <v>109</v>
      </c>
      <c r="E240" s="39" t="s">
        <v>584</v>
      </c>
      <c r="F240" s="27" t="s">
        <v>107</v>
      </c>
      <c r="G240" s="41" t="s">
        <v>106</v>
      </c>
      <c r="H240" s="1145" t="s">
        <v>4689</v>
      </c>
    </row>
    <row r="241" spans="1:7" s="1145" customFormat="1" ht="36" customHeight="1">
      <c r="A241" s="1302"/>
      <c r="B241" s="1315"/>
      <c r="C241" s="1139" t="s">
        <v>4690</v>
      </c>
      <c r="D241" s="37" t="s">
        <v>4691</v>
      </c>
      <c r="E241" s="36" t="s">
        <v>4692</v>
      </c>
      <c r="F241" s="1143"/>
      <c r="G241" s="1141" t="s">
        <v>4693</v>
      </c>
    </row>
    <row r="242" spans="1:7" s="1145" customFormat="1" ht="36" customHeight="1">
      <c r="A242" s="1302"/>
      <c r="B242" s="1315"/>
      <c r="C242" s="1310" t="s">
        <v>4703</v>
      </c>
      <c r="D242" s="40" t="s">
        <v>4704</v>
      </c>
      <c r="E242" s="39" t="s">
        <v>4705</v>
      </c>
      <c r="F242" s="27"/>
      <c r="G242" s="1311" t="s">
        <v>4707</v>
      </c>
    </row>
    <row r="243" spans="1:7" s="1145" customFormat="1" ht="36" customHeight="1" thickBot="1">
      <c r="A243" s="1302"/>
      <c r="B243" s="1315"/>
      <c r="C243" s="1324"/>
      <c r="D243" s="44" t="s">
        <v>327</v>
      </c>
      <c r="E243" s="43" t="s">
        <v>4706</v>
      </c>
      <c r="F243" s="1142"/>
      <c r="G243" s="1325"/>
    </row>
    <row r="244" spans="1:7" s="1001" customFormat="1" ht="36" customHeight="1" thickBot="1">
      <c r="A244" s="1303"/>
      <c r="B244" s="1316"/>
      <c r="C244" s="12"/>
      <c r="D244" s="11"/>
      <c r="E244" s="10"/>
      <c r="F244" s="10"/>
      <c r="G244" s="9"/>
    </row>
    <row r="245" spans="1:7" s="1001" customFormat="1" ht="36" customHeight="1">
      <c r="A245" s="1301">
        <v>44895</v>
      </c>
      <c r="B245" s="1314" t="s">
        <v>2</v>
      </c>
      <c r="C245" s="53" t="s">
        <v>2019</v>
      </c>
      <c r="D245" s="27" t="s">
        <v>3418</v>
      </c>
      <c r="E245" s="27" t="s">
        <v>382</v>
      </c>
      <c r="F245" s="1152"/>
      <c r="G245" s="1149" t="s">
        <v>416</v>
      </c>
    </row>
    <row r="246" spans="1:7" s="1001" customFormat="1" ht="36" customHeight="1">
      <c r="A246" s="1302"/>
      <c r="B246" s="1315"/>
      <c r="C246" s="1148" t="s">
        <v>4700</v>
      </c>
      <c r="D246" s="27" t="s">
        <v>4701</v>
      </c>
      <c r="E246" s="27" t="s">
        <v>4702</v>
      </c>
      <c r="F246" s="1152"/>
      <c r="G246" s="1149"/>
    </row>
    <row r="247" spans="1:7" s="1001" customFormat="1" ht="36" customHeight="1">
      <c r="A247" s="1302"/>
      <c r="B247" s="1315"/>
      <c r="C247" s="1153" t="s">
        <v>4150</v>
      </c>
      <c r="D247" s="40" t="s">
        <v>1807</v>
      </c>
      <c r="E247" s="39" t="s">
        <v>382</v>
      </c>
      <c r="F247" s="1152"/>
      <c r="G247" s="1149" t="s">
        <v>4708</v>
      </c>
    </row>
    <row r="248" spans="1:7" s="1001" customFormat="1" ht="36" customHeight="1">
      <c r="A248" s="1302"/>
      <c r="B248" s="1315"/>
      <c r="C248" s="1310" t="s">
        <v>4709</v>
      </c>
      <c r="D248" s="40" t="s">
        <v>109</v>
      </c>
      <c r="E248" s="39" t="s">
        <v>4710</v>
      </c>
      <c r="F248" s="27"/>
      <c r="G248" s="1311" t="s">
        <v>4712</v>
      </c>
    </row>
    <row r="249" spans="1:7" s="1154" customFormat="1" ht="36" customHeight="1">
      <c r="A249" s="1302"/>
      <c r="B249" s="1315"/>
      <c r="C249" s="1309"/>
      <c r="D249" s="37" t="s">
        <v>327</v>
      </c>
      <c r="E249" s="36" t="s">
        <v>4711</v>
      </c>
      <c r="F249" s="1152"/>
      <c r="G249" s="1313"/>
    </row>
    <row r="250" spans="1:7" s="1154" customFormat="1" ht="36" customHeight="1">
      <c r="A250" s="1302"/>
      <c r="B250" s="1315"/>
      <c r="C250" s="1310" t="s">
        <v>4713</v>
      </c>
      <c r="D250" s="37" t="s">
        <v>109</v>
      </c>
      <c r="E250" s="36" t="s">
        <v>4714</v>
      </c>
      <c r="F250" s="1152" t="s">
        <v>4715</v>
      </c>
      <c r="G250" s="1311" t="s">
        <v>4719</v>
      </c>
    </row>
    <row r="251" spans="1:7" s="1154" customFormat="1" ht="36" customHeight="1">
      <c r="A251" s="1302"/>
      <c r="B251" s="1315"/>
      <c r="C251" s="1308"/>
      <c r="D251" s="37" t="s">
        <v>4727</v>
      </c>
      <c r="E251" s="36" t="s">
        <v>4728</v>
      </c>
      <c r="F251" s="1152"/>
      <c r="G251" s="1312"/>
    </row>
    <row r="252" spans="1:7" s="1154" customFormat="1" ht="36" customHeight="1">
      <c r="A252" s="1302"/>
      <c r="B252" s="1315"/>
      <c r="C252" s="1308"/>
      <c r="D252" s="37" t="s">
        <v>1282</v>
      </c>
      <c r="E252" s="36" t="s">
        <v>4716</v>
      </c>
      <c r="F252" s="1152"/>
      <c r="G252" s="1312"/>
    </row>
    <row r="253" spans="1:7" s="1154" customFormat="1" ht="36" customHeight="1">
      <c r="A253" s="1302"/>
      <c r="B253" s="1315"/>
      <c r="C253" s="1309"/>
      <c r="D253" s="37" t="s">
        <v>4717</v>
      </c>
      <c r="E253" s="36" t="s">
        <v>4718</v>
      </c>
      <c r="F253" s="1152"/>
      <c r="G253" s="1313"/>
    </row>
    <row r="254" spans="1:7" s="1154" customFormat="1" ht="36" customHeight="1" thickBot="1">
      <c r="A254" s="1302"/>
      <c r="B254" s="1315"/>
      <c r="C254" s="1147" t="s">
        <v>1506</v>
      </c>
      <c r="D254" s="44" t="s">
        <v>4729</v>
      </c>
      <c r="E254" s="43" t="s">
        <v>4730</v>
      </c>
      <c r="F254" s="1151"/>
      <c r="G254" s="1150" t="s">
        <v>1442</v>
      </c>
    </row>
    <row r="255" spans="1:7" s="1001" customFormat="1" ht="36" customHeight="1" thickBot="1">
      <c r="A255" s="1303"/>
      <c r="B255" s="1316"/>
      <c r="C255" s="12"/>
      <c r="D255" s="11"/>
      <c r="E255" s="10"/>
      <c r="F255" s="10"/>
      <c r="G255" s="9"/>
    </row>
  </sheetData>
  <mergeCells count="120">
    <mergeCell ref="C250:C253"/>
    <mergeCell ref="G250:G253"/>
    <mergeCell ref="A117:A121"/>
    <mergeCell ref="B117:B121"/>
    <mergeCell ref="C117:C119"/>
    <mergeCell ref="A60:A75"/>
    <mergeCell ref="B60:B75"/>
    <mergeCell ref="G62:G65"/>
    <mergeCell ref="C23:C25"/>
    <mergeCell ref="C95:C96"/>
    <mergeCell ref="C189:C190"/>
    <mergeCell ref="C187:C188"/>
    <mergeCell ref="G187:G188"/>
    <mergeCell ref="G189:G190"/>
    <mergeCell ref="A152:A164"/>
    <mergeCell ref="B152:B164"/>
    <mergeCell ref="A165:A172"/>
    <mergeCell ref="B165:B172"/>
    <mergeCell ref="C176:C179"/>
    <mergeCell ref="A173:G173"/>
    <mergeCell ref="A174:A185"/>
    <mergeCell ref="A186:A199"/>
    <mergeCell ref="B186:B199"/>
    <mergeCell ref="C165:C166"/>
    <mergeCell ref="C168:C169"/>
    <mergeCell ref="C152:C157"/>
    <mergeCell ref="B50:B59"/>
    <mergeCell ref="A23:A35"/>
    <mergeCell ref="B23:B35"/>
    <mergeCell ref="A36:A43"/>
    <mergeCell ref="B36:B43"/>
    <mergeCell ref="A44:A48"/>
    <mergeCell ref="B44:B48"/>
    <mergeCell ref="A49:G49"/>
    <mergeCell ref="C27:C28"/>
    <mergeCell ref="C30:C31"/>
    <mergeCell ref="G30:G31"/>
    <mergeCell ref="G26:G28"/>
    <mergeCell ref="A145:A151"/>
    <mergeCell ref="B145:B151"/>
    <mergeCell ref="C110:C111"/>
    <mergeCell ref="A93:A102"/>
    <mergeCell ref="B93:B102"/>
    <mergeCell ref="A103:A116"/>
    <mergeCell ref="B103:B116"/>
    <mergeCell ref="A122:G122"/>
    <mergeCell ref="A123:A132"/>
    <mergeCell ref="B123:B132"/>
    <mergeCell ref="A1:G1"/>
    <mergeCell ref="A2:A10"/>
    <mergeCell ref="B2:B10"/>
    <mergeCell ref="A11:A22"/>
    <mergeCell ref="B11:B22"/>
    <mergeCell ref="C11:C14"/>
    <mergeCell ref="G16:G17"/>
    <mergeCell ref="C16:C17"/>
    <mergeCell ref="A76:A92"/>
    <mergeCell ref="B76:B92"/>
    <mergeCell ref="G76:G77"/>
    <mergeCell ref="C86:C87"/>
    <mergeCell ref="C88:C89"/>
    <mergeCell ref="C80:C85"/>
    <mergeCell ref="C51:C55"/>
    <mergeCell ref="C38:C39"/>
    <mergeCell ref="C62:C65"/>
    <mergeCell ref="C66:C68"/>
    <mergeCell ref="C72:C74"/>
    <mergeCell ref="G72:G74"/>
    <mergeCell ref="G86:G87"/>
    <mergeCell ref="G88:G89"/>
    <mergeCell ref="C3:C6"/>
    <mergeCell ref="A50:A59"/>
    <mergeCell ref="G138:G139"/>
    <mergeCell ref="G127:G128"/>
    <mergeCell ref="C105:C109"/>
    <mergeCell ref="C113:C114"/>
    <mergeCell ref="C138:C139"/>
    <mergeCell ref="C127:C128"/>
    <mergeCell ref="C99:C100"/>
    <mergeCell ref="G99:G100"/>
    <mergeCell ref="G105:G109"/>
    <mergeCell ref="G113:G114"/>
    <mergeCell ref="G117:G119"/>
    <mergeCell ref="F105:F108"/>
    <mergeCell ref="A133:A144"/>
    <mergeCell ref="B133:B144"/>
    <mergeCell ref="A231:A244"/>
    <mergeCell ref="B231:B244"/>
    <mergeCell ref="A245:A255"/>
    <mergeCell ref="B245:B255"/>
    <mergeCell ref="A226:A230"/>
    <mergeCell ref="B226:B230"/>
    <mergeCell ref="C232:C234"/>
    <mergeCell ref="A225:G225"/>
    <mergeCell ref="A200:A208"/>
    <mergeCell ref="B200:B208"/>
    <mergeCell ref="A216:A224"/>
    <mergeCell ref="B216:B224"/>
    <mergeCell ref="A209:A215"/>
    <mergeCell ref="C220:C222"/>
    <mergeCell ref="G220:G222"/>
    <mergeCell ref="C235:C236"/>
    <mergeCell ref="G235:G236"/>
    <mergeCell ref="C238:C239"/>
    <mergeCell ref="F238:F239"/>
    <mergeCell ref="G238:G239"/>
    <mergeCell ref="C242:C243"/>
    <mergeCell ref="G242:G243"/>
    <mergeCell ref="C248:C249"/>
    <mergeCell ref="G248:G249"/>
    <mergeCell ref="G176:G179"/>
    <mergeCell ref="G180:G182"/>
    <mergeCell ref="C180:C182"/>
    <mergeCell ref="B174:B185"/>
    <mergeCell ref="C195:C196"/>
    <mergeCell ref="G195:G196"/>
    <mergeCell ref="C209:C210"/>
    <mergeCell ref="G209:G210"/>
    <mergeCell ref="F209:F210"/>
    <mergeCell ref="B209:B215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9"/>
  <sheetViews>
    <sheetView tabSelected="1" topLeftCell="A39" zoomScale="70" zoomScaleNormal="70" zoomScaleSheetLayoutView="70" workbookViewId="0">
      <selection activeCell="N49" sqref="N49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12.75" style="1135" customWidth="1"/>
    <col min="9" max="16384" width="9" style="1"/>
  </cols>
  <sheetData>
    <row r="1" spans="1:8" s="1135" customFormat="1" ht="60" customHeight="1" thickBot="1">
      <c r="A1" s="1298" t="s">
        <v>5</v>
      </c>
      <c r="B1" s="1299"/>
      <c r="C1" s="1299"/>
      <c r="D1" s="1299"/>
      <c r="E1" s="1299"/>
      <c r="F1" s="1299"/>
      <c r="G1" s="1300"/>
    </row>
    <row r="2" spans="1:8" s="1135" customFormat="1" ht="30" customHeight="1">
      <c r="A2" s="1301">
        <v>44896</v>
      </c>
      <c r="B2" s="1314" t="s">
        <v>1</v>
      </c>
      <c r="C2" s="1307" t="s">
        <v>4694</v>
      </c>
      <c r="D2" s="71" t="s">
        <v>4695</v>
      </c>
      <c r="E2" s="71" t="s">
        <v>4752</v>
      </c>
      <c r="F2" s="71"/>
      <c r="G2" s="92"/>
    </row>
    <row r="3" spans="1:8" s="1135" customFormat="1" ht="30" customHeight="1">
      <c r="A3" s="1302"/>
      <c r="B3" s="1315"/>
      <c r="C3" s="1309"/>
      <c r="D3" s="27" t="s">
        <v>4696</v>
      </c>
      <c r="E3" s="27" t="s">
        <v>4697</v>
      </c>
      <c r="F3" s="1157"/>
      <c r="G3" s="1156"/>
    </row>
    <row r="4" spans="1:8" s="1138" customFormat="1" ht="36" customHeight="1">
      <c r="A4" s="1302"/>
      <c r="B4" s="1315"/>
      <c r="C4" s="1155" t="s">
        <v>4748</v>
      </c>
      <c r="D4" s="1157" t="s">
        <v>4749</v>
      </c>
      <c r="E4" s="1157" t="s">
        <v>4750</v>
      </c>
      <c r="F4" s="1157"/>
      <c r="G4" s="1156" t="s">
        <v>4751</v>
      </c>
    </row>
    <row r="5" spans="1:8" s="1138" customFormat="1" ht="36" customHeight="1">
      <c r="A5" s="1302"/>
      <c r="B5" s="1315"/>
      <c r="C5" s="1155" t="s">
        <v>4754</v>
      </c>
      <c r="D5" s="1157" t="s">
        <v>4755</v>
      </c>
      <c r="E5" s="1157" t="s">
        <v>4756</v>
      </c>
      <c r="F5" s="1157" t="s">
        <v>4757</v>
      </c>
      <c r="G5" s="1156" t="s">
        <v>4758</v>
      </c>
      <c r="H5" s="1158" t="s">
        <v>4759</v>
      </c>
    </row>
    <row r="6" spans="1:8" s="1138" customFormat="1" ht="36" customHeight="1" thickBot="1">
      <c r="A6" s="1302"/>
      <c r="B6" s="1315"/>
      <c r="C6" s="1137"/>
      <c r="D6" s="482"/>
      <c r="E6" s="482"/>
      <c r="F6" s="482"/>
      <c r="G6" s="1053"/>
    </row>
    <row r="7" spans="1:8" s="1135" customFormat="1" ht="30" customHeight="1" thickBot="1">
      <c r="A7" s="1303"/>
      <c r="B7" s="1316"/>
      <c r="C7" s="12"/>
      <c r="D7" s="11"/>
      <c r="E7" s="10"/>
      <c r="F7" s="10"/>
      <c r="G7" s="9"/>
    </row>
    <row r="8" spans="1:8" s="1138" customFormat="1" ht="36" customHeight="1">
      <c r="A8" s="1301">
        <v>44897</v>
      </c>
      <c r="B8" s="1314" t="s">
        <v>0</v>
      </c>
      <c r="C8" s="1161" t="s">
        <v>4698</v>
      </c>
      <c r="D8" s="27" t="s">
        <v>4695</v>
      </c>
      <c r="E8" s="27" t="s">
        <v>4699</v>
      </c>
      <c r="F8" s="1160"/>
      <c r="G8" s="1159"/>
    </row>
    <row r="9" spans="1:8" s="1138" customFormat="1" ht="36" customHeight="1">
      <c r="A9" s="1302"/>
      <c r="B9" s="1315"/>
      <c r="C9" s="1161" t="s">
        <v>3930</v>
      </c>
      <c r="D9" s="27" t="s">
        <v>169</v>
      </c>
      <c r="E9" s="27" t="s">
        <v>4726</v>
      </c>
      <c r="F9" s="1160"/>
      <c r="G9" s="1159"/>
      <c r="H9" s="1145" t="s">
        <v>4651</v>
      </c>
    </row>
    <row r="10" spans="1:8" s="1138" customFormat="1" ht="36" customHeight="1">
      <c r="A10" s="1302"/>
      <c r="B10" s="1315"/>
      <c r="C10" s="1161" t="s">
        <v>4762</v>
      </c>
      <c r="D10" s="27" t="s">
        <v>4763</v>
      </c>
      <c r="E10" s="27" t="s">
        <v>4764</v>
      </c>
      <c r="F10" s="27" t="s">
        <v>4766</v>
      </c>
      <c r="G10" s="41" t="s">
        <v>4765</v>
      </c>
    </row>
    <row r="11" spans="1:8" s="1135" customFormat="1" ht="30" customHeight="1">
      <c r="A11" s="1302"/>
      <c r="B11" s="1315"/>
      <c r="C11" s="1310" t="s">
        <v>4771</v>
      </c>
      <c r="D11" s="1160" t="s">
        <v>1330</v>
      </c>
      <c r="E11" s="27" t="s">
        <v>4778</v>
      </c>
      <c r="F11" s="1160"/>
      <c r="G11" s="1312" t="s">
        <v>1442</v>
      </c>
    </row>
    <row r="12" spans="1:8" s="1135" customFormat="1" ht="30" customHeight="1">
      <c r="A12" s="1302"/>
      <c r="B12" s="1315"/>
      <c r="C12" s="1309"/>
      <c r="D12" s="27" t="s">
        <v>4777</v>
      </c>
      <c r="E12" s="39" t="s">
        <v>4779</v>
      </c>
      <c r="F12" s="1160"/>
      <c r="G12" s="1313"/>
    </row>
    <row r="13" spans="1:8" s="1164" customFormat="1" ht="30" customHeight="1">
      <c r="A13" s="1302"/>
      <c r="B13" s="1315"/>
      <c r="C13" s="1161" t="s">
        <v>4772</v>
      </c>
      <c r="D13" s="40" t="s">
        <v>4773</v>
      </c>
      <c r="E13" s="39" t="s">
        <v>4774</v>
      </c>
      <c r="F13" s="27" t="s">
        <v>4775</v>
      </c>
      <c r="G13" s="41" t="s">
        <v>4776</v>
      </c>
      <c r="H13" s="1164" t="s">
        <v>4780</v>
      </c>
    </row>
    <row r="14" spans="1:8" s="1135" customFormat="1" ht="30" customHeight="1" thickBot="1">
      <c r="A14" s="1302"/>
      <c r="B14" s="1315"/>
      <c r="C14" s="1170" t="s">
        <v>4789</v>
      </c>
      <c r="D14" s="40" t="s">
        <v>2548</v>
      </c>
      <c r="E14" s="39" t="s">
        <v>4790</v>
      </c>
      <c r="F14" s="27"/>
      <c r="G14" s="41" t="s">
        <v>4791</v>
      </c>
    </row>
    <row r="15" spans="1:8" s="1164" customFormat="1" ht="30" hidden="1" customHeight="1">
      <c r="A15" s="1302"/>
      <c r="B15" s="1315"/>
      <c r="C15" s="1163"/>
      <c r="D15" s="34"/>
      <c r="E15" s="33"/>
      <c r="F15" s="1010"/>
      <c r="G15" s="1166"/>
    </row>
    <row r="16" spans="1:8" s="1164" customFormat="1" ht="30" hidden="1" customHeight="1" thickBot="1">
      <c r="A16" s="1302"/>
      <c r="B16" s="1315"/>
      <c r="C16" s="1162"/>
      <c r="D16" s="30"/>
      <c r="E16" s="29"/>
      <c r="F16" s="482"/>
      <c r="G16" s="1165"/>
    </row>
    <row r="17" spans="1:7" s="1135" customFormat="1" ht="30" customHeight="1" thickBot="1">
      <c r="A17" s="1303"/>
      <c r="B17" s="1316"/>
      <c r="C17" s="12"/>
      <c r="D17" s="11"/>
      <c r="E17" s="10"/>
      <c r="F17" s="10"/>
      <c r="G17" s="9"/>
    </row>
    <row r="18" spans="1:7" s="1135" customFormat="1" ht="60" customHeight="1" thickBot="1">
      <c r="A18" s="1298" t="s">
        <v>5</v>
      </c>
      <c r="B18" s="1299"/>
      <c r="C18" s="1299"/>
      <c r="D18" s="1299"/>
      <c r="E18" s="1299"/>
      <c r="F18" s="1299"/>
      <c r="G18" s="1300"/>
    </row>
    <row r="19" spans="1:7" s="1135" customFormat="1" ht="36" customHeight="1">
      <c r="A19" s="1301">
        <v>44900</v>
      </c>
      <c r="B19" s="1314" t="s">
        <v>4</v>
      </c>
      <c r="C19" s="1307" t="s">
        <v>4723</v>
      </c>
      <c r="D19" s="27" t="s">
        <v>109</v>
      </c>
      <c r="E19" s="27" t="s">
        <v>4724</v>
      </c>
      <c r="F19" s="1169"/>
      <c r="G19" s="1167"/>
    </row>
    <row r="20" spans="1:7" s="1135" customFormat="1" ht="36" customHeight="1">
      <c r="A20" s="1302"/>
      <c r="B20" s="1315"/>
      <c r="C20" s="1309"/>
      <c r="D20" s="27" t="s">
        <v>4717</v>
      </c>
      <c r="E20" s="27" t="s">
        <v>4725</v>
      </c>
      <c r="F20" s="1169"/>
      <c r="G20" s="1167"/>
    </row>
    <row r="21" spans="1:7" s="1154" customFormat="1" ht="36" customHeight="1">
      <c r="A21" s="1302"/>
      <c r="B21" s="1315"/>
      <c r="C21" s="1310" t="s">
        <v>1430</v>
      </c>
      <c r="D21" s="27" t="s">
        <v>1322</v>
      </c>
      <c r="E21" s="27" t="s">
        <v>1247</v>
      </c>
      <c r="F21" s="27" t="s">
        <v>1433</v>
      </c>
      <c r="G21" s="1167"/>
    </row>
    <row r="22" spans="1:7" s="1154" customFormat="1" ht="30" customHeight="1">
      <c r="A22" s="1302"/>
      <c r="B22" s="1315"/>
      <c r="C22" s="1309"/>
      <c r="D22" s="27" t="s">
        <v>2327</v>
      </c>
      <c r="E22" s="27" t="s">
        <v>1247</v>
      </c>
      <c r="F22" s="1169" t="s">
        <v>1433</v>
      </c>
      <c r="G22" s="41"/>
    </row>
    <row r="23" spans="1:7" s="1135" customFormat="1" ht="36" customHeight="1">
      <c r="A23" s="1302"/>
      <c r="B23" s="1315"/>
      <c r="C23" s="1310" t="s">
        <v>4792</v>
      </c>
      <c r="D23" s="40" t="s">
        <v>4793</v>
      </c>
      <c r="E23" s="39" t="s">
        <v>4794</v>
      </c>
      <c r="F23" s="27"/>
      <c r="G23" s="41"/>
    </row>
    <row r="24" spans="1:7" s="1164" customFormat="1" ht="36" customHeight="1">
      <c r="A24" s="1302"/>
      <c r="B24" s="1315"/>
      <c r="C24" s="1308"/>
      <c r="D24" s="40" t="s">
        <v>4795</v>
      </c>
      <c r="E24" s="39" t="s">
        <v>4796</v>
      </c>
      <c r="F24" s="1169"/>
      <c r="G24" s="41"/>
    </row>
    <row r="25" spans="1:7" s="1164" customFormat="1" ht="36" customHeight="1">
      <c r="A25" s="1302"/>
      <c r="B25" s="1315"/>
      <c r="C25" s="1309"/>
      <c r="D25" s="37" t="s">
        <v>4797</v>
      </c>
      <c r="E25" s="36" t="s">
        <v>4798</v>
      </c>
      <c r="F25" s="1169"/>
      <c r="G25" s="1168"/>
    </row>
    <row r="26" spans="1:7" s="1172" customFormat="1" ht="36" customHeight="1">
      <c r="A26" s="1302"/>
      <c r="B26" s="1315"/>
      <c r="C26" s="1170" t="s">
        <v>4799</v>
      </c>
      <c r="D26" s="40" t="s">
        <v>4800</v>
      </c>
      <c r="E26" s="39" t="s">
        <v>4802</v>
      </c>
      <c r="F26" s="27" t="s">
        <v>4803</v>
      </c>
      <c r="G26" s="41" t="s">
        <v>4801</v>
      </c>
    </row>
    <row r="27" spans="1:7" s="1172" customFormat="1" ht="36" customHeight="1">
      <c r="A27" s="1302"/>
      <c r="B27" s="1315"/>
      <c r="C27" s="1310" t="s">
        <v>4811</v>
      </c>
      <c r="D27" s="37" t="s">
        <v>4814</v>
      </c>
      <c r="E27" s="36" t="s">
        <v>4813</v>
      </c>
      <c r="F27" s="1169"/>
      <c r="G27" s="1311" t="s">
        <v>4818</v>
      </c>
    </row>
    <row r="28" spans="1:7" s="1172" customFormat="1" ht="36" customHeight="1">
      <c r="A28" s="1302"/>
      <c r="B28" s="1315"/>
      <c r="C28" s="1308"/>
      <c r="D28" s="37" t="s">
        <v>4812</v>
      </c>
      <c r="E28" s="36" t="s">
        <v>4815</v>
      </c>
      <c r="F28" s="1169"/>
      <c r="G28" s="1312"/>
    </row>
    <row r="29" spans="1:7" s="1172" customFormat="1" ht="36" customHeight="1" thickBot="1">
      <c r="A29" s="1302"/>
      <c r="B29" s="1315"/>
      <c r="C29" s="1309"/>
      <c r="D29" s="37" t="s">
        <v>4816</v>
      </c>
      <c r="E29" s="36" t="s">
        <v>4817</v>
      </c>
      <c r="F29" s="1169"/>
      <c r="G29" s="1313"/>
    </row>
    <row r="30" spans="1:7" s="1172" customFormat="1" ht="36" hidden="1" customHeight="1">
      <c r="A30" s="1302"/>
      <c r="B30" s="1315"/>
      <c r="C30" s="1171"/>
      <c r="D30" s="34"/>
      <c r="E30" s="33"/>
      <c r="F30" s="1010"/>
      <c r="G30" s="1173"/>
    </row>
    <row r="31" spans="1:7" s="1135" customFormat="1" ht="36" hidden="1" customHeight="1" thickBot="1">
      <c r="A31" s="1302"/>
      <c r="B31" s="1315"/>
      <c r="C31" s="1162"/>
      <c r="D31" s="30"/>
      <c r="E31" s="29"/>
      <c r="F31" s="482"/>
      <c r="G31" s="1165"/>
    </row>
    <row r="32" spans="1:7" s="1135" customFormat="1" ht="36" customHeight="1" thickBot="1">
      <c r="A32" s="1303"/>
      <c r="B32" s="1316"/>
      <c r="C32" s="12"/>
      <c r="D32" s="11"/>
      <c r="E32" s="10"/>
      <c r="F32" s="10"/>
      <c r="G32" s="9"/>
    </row>
    <row r="33" spans="1:8" s="1135" customFormat="1" ht="36" customHeight="1">
      <c r="A33" s="1301">
        <v>44901</v>
      </c>
      <c r="B33" s="1314" t="s">
        <v>3</v>
      </c>
      <c r="C33" s="1307" t="s">
        <v>4731</v>
      </c>
      <c r="D33" s="27" t="s">
        <v>4732</v>
      </c>
      <c r="E33" s="27" t="s">
        <v>4733</v>
      </c>
      <c r="F33" s="1177"/>
      <c r="G33" s="1175"/>
    </row>
    <row r="34" spans="1:8" s="1154" customFormat="1" ht="36" customHeight="1">
      <c r="A34" s="1302"/>
      <c r="B34" s="1315"/>
      <c r="C34" s="1308"/>
      <c r="D34" s="27" t="s">
        <v>4734</v>
      </c>
      <c r="E34" s="27" t="s">
        <v>4735</v>
      </c>
      <c r="F34" s="1177"/>
      <c r="G34" s="1175"/>
    </row>
    <row r="35" spans="1:8" s="1154" customFormat="1" ht="36" customHeight="1">
      <c r="A35" s="1302"/>
      <c r="B35" s="1315"/>
      <c r="C35" s="1308"/>
      <c r="D35" s="40" t="s">
        <v>4819</v>
      </c>
      <c r="E35" s="39" t="s">
        <v>4736</v>
      </c>
      <c r="F35" s="1177"/>
      <c r="G35" s="1175"/>
    </row>
    <row r="36" spans="1:8" s="1135" customFormat="1" ht="36" customHeight="1">
      <c r="A36" s="1302"/>
      <c r="B36" s="1315"/>
      <c r="C36" s="1309"/>
      <c r="D36" s="40" t="s">
        <v>109</v>
      </c>
      <c r="E36" s="39" t="s">
        <v>3440</v>
      </c>
      <c r="F36" s="1177" t="s">
        <v>4820</v>
      </c>
      <c r="G36" s="1175"/>
    </row>
    <row r="37" spans="1:8" s="1135" customFormat="1" ht="36" customHeight="1">
      <c r="A37" s="1302"/>
      <c r="B37" s="1315"/>
      <c r="C37" s="1178" t="s">
        <v>4737</v>
      </c>
      <c r="D37" s="40" t="s">
        <v>4738</v>
      </c>
      <c r="E37" s="39" t="s">
        <v>4739</v>
      </c>
      <c r="F37" s="1177" t="s">
        <v>4740</v>
      </c>
      <c r="G37" s="1175"/>
    </row>
    <row r="38" spans="1:8" s="1172" customFormat="1" ht="36" customHeight="1">
      <c r="A38" s="1302"/>
      <c r="B38" s="1315"/>
      <c r="C38" s="1178" t="s">
        <v>4810</v>
      </c>
      <c r="D38" s="40" t="s">
        <v>353</v>
      </c>
      <c r="E38" s="39" t="s">
        <v>4835</v>
      </c>
      <c r="F38" s="27" t="s">
        <v>351</v>
      </c>
      <c r="G38" s="41" t="s">
        <v>350</v>
      </c>
    </row>
    <row r="39" spans="1:8" s="1135" customFormat="1" ht="36" customHeight="1">
      <c r="A39" s="1302"/>
      <c r="B39" s="1315"/>
      <c r="C39" s="1186" t="s">
        <v>4824</v>
      </c>
      <c r="D39" s="40" t="s">
        <v>109</v>
      </c>
      <c r="E39" s="39" t="s">
        <v>4825</v>
      </c>
      <c r="F39" s="27" t="s">
        <v>1278</v>
      </c>
      <c r="G39" s="41" t="s">
        <v>106</v>
      </c>
    </row>
    <row r="40" spans="1:8" s="1180" customFormat="1" ht="36" customHeight="1">
      <c r="A40" s="1302"/>
      <c r="B40" s="1315"/>
      <c r="C40" s="1310" t="s">
        <v>4829</v>
      </c>
      <c r="D40" s="40" t="s">
        <v>4830</v>
      </c>
      <c r="E40" s="39" t="s">
        <v>4831</v>
      </c>
      <c r="F40" s="27"/>
      <c r="G40" s="1311" t="s">
        <v>4833</v>
      </c>
    </row>
    <row r="41" spans="1:8" s="1180" customFormat="1" ht="36" customHeight="1">
      <c r="A41" s="1302"/>
      <c r="B41" s="1315"/>
      <c r="C41" s="1309"/>
      <c r="D41" s="40" t="s">
        <v>109</v>
      </c>
      <c r="E41" s="36" t="s">
        <v>4832</v>
      </c>
      <c r="F41" s="1177" t="s">
        <v>4834</v>
      </c>
      <c r="G41" s="1313"/>
    </row>
    <row r="42" spans="1:8" s="1180" customFormat="1" ht="36" customHeight="1" thickBot="1">
      <c r="A42" s="1302"/>
      <c r="B42" s="1315"/>
      <c r="C42" s="1174" t="s">
        <v>4857</v>
      </c>
      <c r="D42" s="37" t="s">
        <v>4858</v>
      </c>
      <c r="E42" s="36" t="s">
        <v>4859</v>
      </c>
      <c r="F42" s="1177" t="s">
        <v>4860</v>
      </c>
      <c r="G42" s="1176" t="s">
        <v>4856</v>
      </c>
    </row>
    <row r="43" spans="1:8" s="1135" customFormat="1" ht="36" customHeight="1" thickBot="1">
      <c r="A43" s="1303"/>
      <c r="B43" s="1316"/>
      <c r="C43" s="12"/>
      <c r="D43" s="11"/>
      <c r="E43" s="10"/>
      <c r="F43" s="10"/>
      <c r="G43" s="9"/>
    </row>
    <row r="44" spans="1:8" s="1180" customFormat="1" ht="36" customHeight="1">
      <c r="A44" s="1301">
        <v>44902</v>
      </c>
      <c r="B44" s="1317" t="s">
        <v>2</v>
      </c>
      <c r="C44" s="1196" t="s">
        <v>1390</v>
      </c>
      <c r="D44" s="71" t="s">
        <v>109</v>
      </c>
      <c r="E44" s="94" t="s">
        <v>4823</v>
      </c>
      <c r="F44" s="94" t="s">
        <v>1380</v>
      </c>
      <c r="G44" s="1197" t="s">
        <v>4836</v>
      </c>
    </row>
    <row r="45" spans="1:8" s="1180" customFormat="1" ht="36" customHeight="1">
      <c r="A45" s="1302"/>
      <c r="B45" s="1318"/>
      <c r="C45" s="1182" t="s">
        <v>1390</v>
      </c>
      <c r="D45" s="37" t="s">
        <v>1232</v>
      </c>
      <c r="E45" s="36" t="s">
        <v>1245</v>
      </c>
      <c r="F45" s="1185" t="s">
        <v>4189</v>
      </c>
      <c r="G45" s="1184" t="s">
        <v>4853</v>
      </c>
      <c r="H45" s="1180" t="s">
        <v>4855</v>
      </c>
    </row>
    <row r="46" spans="1:8" s="1135" customFormat="1" ht="36" customHeight="1">
      <c r="A46" s="1302"/>
      <c r="B46" s="1318"/>
      <c r="C46" s="1308" t="s">
        <v>4753</v>
      </c>
      <c r="D46" s="1185" t="s">
        <v>4767</v>
      </c>
      <c r="E46" s="1185" t="s">
        <v>4768</v>
      </c>
      <c r="F46" s="1185"/>
      <c r="G46" s="1311" t="s">
        <v>4837</v>
      </c>
    </row>
    <row r="47" spans="1:8" s="1135" customFormat="1" ht="36" customHeight="1">
      <c r="A47" s="1302"/>
      <c r="B47" s="1318"/>
      <c r="C47" s="1308"/>
      <c r="D47" s="27" t="s">
        <v>4769</v>
      </c>
      <c r="E47" s="27" t="s">
        <v>4770</v>
      </c>
      <c r="F47" s="1185"/>
      <c r="G47" s="1312"/>
    </row>
    <row r="48" spans="1:8" s="1172" customFormat="1" ht="36" customHeight="1">
      <c r="A48" s="1302"/>
      <c r="B48" s="1318"/>
      <c r="C48" s="1309"/>
      <c r="D48" s="27" t="s">
        <v>4808</v>
      </c>
      <c r="E48" s="27" t="s">
        <v>4809</v>
      </c>
      <c r="F48" s="1185"/>
      <c r="G48" s="1313"/>
    </row>
    <row r="49" spans="1:8" s="1164" customFormat="1" ht="36" customHeight="1">
      <c r="A49" s="1302"/>
      <c r="B49" s="1318"/>
      <c r="C49" s="1310" t="s">
        <v>4327</v>
      </c>
      <c r="D49" s="27" t="s">
        <v>4761</v>
      </c>
      <c r="E49" s="27" t="s">
        <v>1273</v>
      </c>
      <c r="F49" s="1185"/>
      <c r="G49" s="1183"/>
    </row>
    <row r="50" spans="1:8" s="1164" customFormat="1" ht="36" customHeight="1">
      <c r="A50" s="1302"/>
      <c r="B50" s="1318"/>
      <c r="C50" s="1308"/>
      <c r="D50" s="27" t="s">
        <v>1482</v>
      </c>
      <c r="E50" s="27" t="s">
        <v>1408</v>
      </c>
      <c r="F50" s="1185"/>
      <c r="G50" s="1183"/>
    </row>
    <row r="51" spans="1:8" s="1164" customFormat="1" ht="36" customHeight="1">
      <c r="A51" s="1302"/>
      <c r="B51" s="1318"/>
      <c r="C51" s="1308"/>
      <c r="D51" s="27" t="s">
        <v>1762</v>
      </c>
      <c r="E51" s="27" t="s">
        <v>1426</v>
      </c>
      <c r="F51" s="1185"/>
      <c r="G51" s="1183"/>
    </row>
    <row r="52" spans="1:8" s="1164" customFormat="1" ht="36" customHeight="1">
      <c r="A52" s="1302"/>
      <c r="B52" s="1318"/>
      <c r="C52" s="1309"/>
      <c r="D52" s="27" t="s">
        <v>1340</v>
      </c>
      <c r="E52" s="27" t="s">
        <v>1549</v>
      </c>
      <c r="F52" s="1185"/>
      <c r="G52" s="1183"/>
    </row>
    <row r="53" spans="1:8" s="1135" customFormat="1" ht="36" customHeight="1">
      <c r="A53" s="1302"/>
      <c r="B53" s="1318"/>
      <c r="C53" s="1186" t="s">
        <v>4806</v>
      </c>
      <c r="D53" s="40" t="s">
        <v>4804</v>
      </c>
      <c r="E53" s="39" t="s">
        <v>4805</v>
      </c>
      <c r="F53" s="1185" t="s">
        <v>4807</v>
      </c>
      <c r="G53" s="1183"/>
    </row>
    <row r="54" spans="1:8" s="1135" customFormat="1" ht="36" customHeight="1">
      <c r="A54" s="1302"/>
      <c r="B54" s="1318"/>
      <c r="C54" s="1186" t="s">
        <v>4826</v>
      </c>
      <c r="D54" s="40" t="s">
        <v>109</v>
      </c>
      <c r="E54" s="39" t="s">
        <v>382</v>
      </c>
      <c r="F54" s="27" t="s">
        <v>4622</v>
      </c>
      <c r="G54" s="41" t="s">
        <v>4827</v>
      </c>
      <c r="H54" s="1135" t="s">
        <v>4828</v>
      </c>
    </row>
    <row r="55" spans="1:8" s="1180" customFormat="1" ht="36" customHeight="1">
      <c r="A55" s="1302"/>
      <c r="B55" s="1318"/>
      <c r="C55" s="1190" t="s">
        <v>4866</v>
      </c>
      <c r="D55" s="37" t="s">
        <v>4867</v>
      </c>
      <c r="E55" s="36" t="s">
        <v>4868</v>
      </c>
      <c r="F55" s="1193" t="s">
        <v>4871</v>
      </c>
      <c r="G55" s="1192" t="s">
        <v>4869</v>
      </c>
      <c r="H55" s="1180" t="s">
        <v>4870</v>
      </c>
    </row>
    <row r="56" spans="1:8" s="1180" customFormat="1" ht="36" customHeight="1" thickBot="1">
      <c r="A56" s="1302"/>
      <c r="B56" s="1318"/>
      <c r="C56" s="1179"/>
      <c r="D56" s="30"/>
      <c r="E56" s="29"/>
      <c r="F56" s="482"/>
      <c r="G56" s="1181"/>
    </row>
    <row r="57" spans="1:8" s="1135" customFormat="1" ht="36" customHeight="1" thickBot="1">
      <c r="A57" s="1303"/>
      <c r="B57" s="1319"/>
      <c r="C57" s="12"/>
      <c r="D57" s="11"/>
      <c r="E57" s="10"/>
      <c r="F57" s="10"/>
      <c r="G57" s="9"/>
    </row>
    <row r="58" spans="1:8" s="1135" customFormat="1" ht="36" customHeight="1">
      <c r="A58" s="1301">
        <v>44903</v>
      </c>
      <c r="B58" s="1314" t="s">
        <v>1</v>
      </c>
      <c r="C58" s="1194" t="s">
        <v>4760</v>
      </c>
      <c r="D58" s="27" t="s">
        <v>1304</v>
      </c>
      <c r="E58" s="27" t="s">
        <v>3433</v>
      </c>
      <c r="F58" s="1193"/>
      <c r="G58" s="1191" t="s">
        <v>4842</v>
      </c>
    </row>
    <row r="59" spans="1:8" s="1135" customFormat="1" ht="36" customHeight="1">
      <c r="A59" s="1302"/>
      <c r="B59" s="1315"/>
      <c r="C59" s="1194" t="s">
        <v>4822</v>
      </c>
      <c r="D59" s="40" t="s">
        <v>109</v>
      </c>
      <c r="E59" s="27" t="s">
        <v>4823</v>
      </c>
      <c r="F59" s="1193" t="s">
        <v>4850</v>
      </c>
      <c r="G59" s="1311" t="s">
        <v>4843</v>
      </c>
    </row>
    <row r="60" spans="1:8" s="1135" customFormat="1" ht="36" customHeight="1">
      <c r="A60" s="1302"/>
      <c r="B60" s="1315"/>
      <c r="C60" s="1194" t="s">
        <v>4838</v>
      </c>
      <c r="D60" s="40" t="s">
        <v>4839</v>
      </c>
      <c r="E60" s="39" t="s">
        <v>4840</v>
      </c>
      <c r="F60" s="1193" t="s">
        <v>4841</v>
      </c>
      <c r="G60" s="1313"/>
    </row>
    <row r="61" spans="1:8" s="1188" customFormat="1" ht="36" customHeight="1">
      <c r="A61" s="1302"/>
      <c r="B61" s="1315"/>
      <c r="C61" s="1190" t="s">
        <v>4862</v>
      </c>
      <c r="D61" s="37" t="s">
        <v>4863</v>
      </c>
      <c r="E61" s="36" t="s">
        <v>4864</v>
      </c>
      <c r="F61" s="1193"/>
      <c r="G61" s="1192" t="s">
        <v>4865</v>
      </c>
    </row>
    <row r="62" spans="1:8" s="1195" customFormat="1" ht="36" customHeight="1">
      <c r="A62" s="1302"/>
      <c r="B62" s="1315"/>
      <c r="C62" s="1310" t="s">
        <v>4872</v>
      </c>
      <c r="D62" s="27" t="s">
        <v>1443</v>
      </c>
      <c r="E62" s="39" t="s">
        <v>4873</v>
      </c>
      <c r="F62" s="27"/>
      <c r="G62" s="1311" t="s">
        <v>1442</v>
      </c>
    </row>
    <row r="63" spans="1:8" s="1195" customFormat="1" ht="36" customHeight="1">
      <c r="A63" s="1302"/>
      <c r="B63" s="1315"/>
      <c r="C63" s="1309"/>
      <c r="D63" s="27" t="s">
        <v>1384</v>
      </c>
      <c r="E63" s="36" t="s">
        <v>4874</v>
      </c>
      <c r="F63" s="1193"/>
      <c r="G63" s="1313"/>
    </row>
    <row r="64" spans="1:8" s="1195" customFormat="1" ht="36" customHeight="1">
      <c r="A64" s="1302"/>
      <c r="B64" s="1315"/>
      <c r="C64" s="1194" t="s">
        <v>4876</v>
      </c>
      <c r="D64" s="40" t="s">
        <v>109</v>
      </c>
      <c r="E64" s="36" t="s">
        <v>4878</v>
      </c>
      <c r="F64" s="1193" t="s">
        <v>1380</v>
      </c>
      <c r="G64" s="41" t="s">
        <v>4877</v>
      </c>
    </row>
    <row r="65" spans="1:8" s="1188" customFormat="1" ht="36" customHeight="1" thickBot="1">
      <c r="A65" s="1302"/>
      <c r="B65" s="1315"/>
      <c r="C65" s="1187"/>
      <c r="D65" s="30"/>
      <c r="E65" s="29"/>
      <c r="F65" s="482"/>
      <c r="G65" s="1189"/>
    </row>
    <row r="66" spans="1:8" s="1135" customFormat="1" ht="36" customHeight="1" thickBot="1">
      <c r="A66" s="1303"/>
      <c r="B66" s="1316"/>
      <c r="C66" s="12"/>
      <c r="D66" s="11"/>
      <c r="E66" s="10"/>
      <c r="F66" s="10"/>
      <c r="G66" s="9"/>
    </row>
    <row r="67" spans="1:8" s="1135" customFormat="1" ht="36" customHeight="1">
      <c r="A67" s="1301">
        <v>44904</v>
      </c>
      <c r="B67" s="1314" t="s">
        <v>0</v>
      </c>
      <c r="C67" s="1307" t="s">
        <v>4741</v>
      </c>
      <c r="D67" s="27" t="s">
        <v>4742</v>
      </c>
      <c r="E67" s="27" t="s">
        <v>4881</v>
      </c>
      <c r="F67" s="1202"/>
      <c r="G67" s="1200"/>
    </row>
    <row r="68" spans="1:8" s="1135" customFormat="1" ht="36" customHeight="1">
      <c r="A68" s="1302"/>
      <c r="B68" s="1315"/>
      <c r="C68" s="1309"/>
      <c r="D68" s="27" t="s">
        <v>4743</v>
      </c>
      <c r="E68" s="27" t="s">
        <v>4744</v>
      </c>
      <c r="F68" s="1202"/>
      <c r="G68" s="1200"/>
    </row>
    <row r="69" spans="1:8" s="1180" customFormat="1" ht="36" customHeight="1">
      <c r="A69" s="1302"/>
      <c r="B69" s="1315"/>
      <c r="C69" s="1310" t="s">
        <v>1373</v>
      </c>
      <c r="D69" s="27" t="s">
        <v>4844</v>
      </c>
      <c r="E69" s="27" t="s">
        <v>4845</v>
      </c>
      <c r="F69" s="1202"/>
      <c r="G69" s="949"/>
    </row>
    <row r="70" spans="1:8" s="1180" customFormat="1" ht="36" customHeight="1">
      <c r="A70" s="1302"/>
      <c r="B70" s="1315"/>
      <c r="C70" s="1308"/>
      <c r="D70" s="27" t="s">
        <v>4848</v>
      </c>
      <c r="E70" s="27" t="s">
        <v>4845</v>
      </c>
      <c r="F70" s="1202"/>
      <c r="G70" s="949"/>
    </row>
    <row r="71" spans="1:8" s="1180" customFormat="1" ht="36" customHeight="1">
      <c r="A71" s="1302"/>
      <c r="B71" s="1315"/>
      <c r="C71" s="1308"/>
      <c r="D71" s="40" t="s">
        <v>109</v>
      </c>
      <c r="E71" s="27" t="s">
        <v>4846</v>
      </c>
      <c r="F71" s="1202" t="s">
        <v>1278</v>
      </c>
      <c r="G71" s="949"/>
    </row>
    <row r="72" spans="1:8" s="1180" customFormat="1" ht="36" customHeight="1">
      <c r="A72" s="1302"/>
      <c r="B72" s="1315"/>
      <c r="C72" s="1309"/>
      <c r="D72" s="40" t="s">
        <v>4849</v>
      </c>
      <c r="E72" s="27" t="s">
        <v>4847</v>
      </c>
      <c r="F72" s="1202"/>
      <c r="G72" s="1018"/>
    </row>
    <row r="73" spans="1:8" s="1195" customFormat="1" ht="36" customHeight="1">
      <c r="A73" s="1302"/>
      <c r="B73" s="1315"/>
      <c r="C73" s="1203" t="s">
        <v>4321</v>
      </c>
      <c r="D73" s="40" t="s">
        <v>4851</v>
      </c>
      <c r="E73" s="39" t="s">
        <v>4852</v>
      </c>
      <c r="F73" s="27"/>
      <c r="G73" s="41" t="s">
        <v>4897</v>
      </c>
      <c r="H73" s="1195" t="s">
        <v>4875</v>
      </c>
    </row>
    <row r="74" spans="1:8" s="1135" customFormat="1" ht="36" customHeight="1">
      <c r="A74" s="1302"/>
      <c r="B74" s="1315"/>
      <c r="C74" s="1203" t="s">
        <v>4893</v>
      </c>
      <c r="D74" s="40" t="s">
        <v>4894</v>
      </c>
      <c r="E74" s="39" t="s">
        <v>4895</v>
      </c>
      <c r="F74" s="1202"/>
      <c r="G74" s="1200" t="s">
        <v>4896</v>
      </c>
    </row>
    <row r="75" spans="1:8" s="1135" customFormat="1" ht="36" customHeight="1" thickBot="1">
      <c r="A75" s="1302"/>
      <c r="B75" s="1315"/>
      <c r="C75" s="1199" t="s">
        <v>4900</v>
      </c>
      <c r="D75" s="1205" t="s">
        <v>4901</v>
      </c>
      <c r="E75" s="54" t="s">
        <v>4902</v>
      </c>
      <c r="F75" s="1201" t="s">
        <v>4903</v>
      </c>
      <c r="G75" s="1200" t="s">
        <v>4904</v>
      </c>
    </row>
    <row r="76" spans="1:8" s="1135" customFormat="1" ht="36" customHeight="1" thickBot="1">
      <c r="A76" s="1303"/>
      <c r="B76" s="1316"/>
      <c r="C76" s="12" t="s">
        <v>4720</v>
      </c>
      <c r="D76" s="11" t="s">
        <v>4721</v>
      </c>
      <c r="E76" s="10" t="s">
        <v>4722</v>
      </c>
      <c r="F76" s="10" t="s">
        <v>4889</v>
      </c>
      <c r="G76" s="9"/>
    </row>
    <row r="77" spans="1:8" s="1135" customFormat="1" ht="60" customHeight="1" thickBot="1">
      <c r="A77" s="1298" t="s">
        <v>5</v>
      </c>
      <c r="B77" s="1299"/>
      <c r="C77" s="1299"/>
      <c r="D77" s="1299"/>
      <c r="E77" s="1299"/>
      <c r="F77" s="1299"/>
      <c r="G77" s="1300"/>
    </row>
    <row r="78" spans="1:8" s="1135" customFormat="1" ht="36" customHeight="1">
      <c r="A78" s="1301">
        <v>44907</v>
      </c>
      <c r="B78" s="1314" t="s">
        <v>4</v>
      </c>
      <c r="C78" s="1203" t="s">
        <v>4883</v>
      </c>
      <c r="D78" s="27" t="s">
        <v>4884</v>
      </c>
      <c r="E78" s="27" t="s">
        <v>4888</v>
      </c>
      <c r="F78" s="1202" t="s">
        <v>3415</v>
      </c>
      <c r="G78" s="1200"/>
    </row>
    <row r="79" spans="1:8" s="1135" customFormat="1" ht="36" customHeight="1">
      <c r="A79" s="1302"/>
      <c r="B79" s="1315"/>
      <c r="C79" s="1203" t="s">
        <v>797</v>
      </c>
      <c r="D79" s="27" t="s">
        <v>4885</v>
      </c>
      <c r="E79" s="27" t="s">
        <v>4886</v>
      </c>
      <c r="F79" s="1202"/>
      <c r="G79" s="1200"/>
    </row>
    <row r="80" spans="1:8" s="1135" customFormat="1" ht="36" customHeight="1">
      <c r="A80" s="1302"/>
      <c r="B80" s="1315"/>
      <c r="C80" s="1203" t="s">
        <v>4910</v>
      </c>
      <c r="D80" s="40" t="s">
        <v>4911</v>
      </c>
      <c r="E80" s="39" t="s">
        <v>4912</v>
      </c>
      <c r="F80" s="1202" t="s">
        <v>4913</v>
      </c>
      <c r="G80" s="1200" t="s">
        <v>4915</v>
      </c>
      <c r="H80" s="1135" t="s">
        <v>4914</v>
      </c>
    </row>
    <row r="81" spans="1:8" s="1135" customFormat="1" ht="36" customHeight="1" thickBot="1">
      <c r="A81" s="1302"/>
      <c r="B81" s="1315"/>
      <c r="C81" s="1207" t="s">
        <v>4920</v>
      </c>
      <c r="D81" s="1217" t="s">
        <v>4916</v>
      </c>
      <c r="E81" s="54" t="s">
        <v>4917</v>
      </c>
      <c r="F81" s="1211"/>
      <c r="G81" s="1208" t="s">
        <v>4918</v>
      </c>
      <c r="H81" s="1204" t="s">
        <v>4919</v>
      </c>
    </row>
    <row r="82" spans="1:8" s="1135" customFormat="1" ht="36" customHeight="1" thickBot="1">
      <c r="A82" s="1303"/>
      <c r="B82" s="1316"/>
      <c r="C82" s="12"/>
      <c r="D82" s="11"/>
      <c r="E82" s="10"/>
      <c r="F82" s="10"/>
      <c r="G82" s="9"/>
      <c r="H82" s="1204" t="s">
        <v>4882</v>
      </c>
    </row>
    <row r="83" spans="1:8" s="1135" customFormat="1" ht="36" customHeight="1">
      <c r="A83" s="1301">
        <v>44908</v>
      </c>
      <c r="B83" s="1314" t="s">
        <v>3</v>
      </c>
      <c r="C83" s="1213" t="s">
        <v>4861</v>
      </c>
      <c r="D83" s="27" t="s">
        <v>1394</v>
      </c>
      <c r="E83" s="27" t="s">
        <v>4880</v>
      </c>
      <c r="F83" s="1212"/>
      <c r="G83" s="1208"/>
    </row>
    <row r="84" spans="1:8" s="1216" customFormat="1" ht="36" customHeight="1">
      <c r="A84" s="1302"/>
      <c r="B84" s="1315"/>
      <c r="C84" s="1310" t="s">
        <v>4925</v>
      </c>
      <c r="D84" s="27" t="s">
        <v>447</v>
      </c>
      <c r="E84" s="27" t="s">
        <v>4926</v>
      </c>
      <c r="F84" s="1212"/>
      <c r="G84" s="1311" t="s">
        <v>4928</v>
      </c>
    </row>
    <row r="85" spans="1:8" s="1216" customFormat="1" ht="36" customHeight="1">
      <c r="A85" s="1302"/>
      <c r="B85" s="1315"/>
      <c r="C85" s="1309"/>
      <c r="D85" s="27" t="s">
        <v>109</v>
      </c>
      <c r="E85" s="27" t="s">
        <v>4927</v>
      </c>
      <c r="F85" s="1212" t="s">
        <v>1595</v>
      </c>
      <c r="G85" s="1313"/>
    </row>
    <row r="86" spans="1:8" s="1216" customFormat="1" ht="30" customHeight="1">
      <c r="A86" s="1302"/>
      <c r="B86" s="1315"/>
      <c r="C86" s="1308" t="s">
        <v>2083</v>
      </c>
      <c r="D86" s="1212" t="s">
        <v>1330</v>
      </c>
      <c r="E86" s="1212" t="s">
        <v>1505</v>
      </c>
      <c r="F86" s="1212" t="s">
        <v>1380</v>
      </c>
      <c r="G86" s="1312" t="s">
        <v>1442</v>
      </c>
    </row>
    <row r="87" spans="1:8" s="1216" customFormat="1" ht="30" customHeight="1">
      <c r="A87" s="1302"/>
      <c r="B87" s="1315"/>
      <c r="C87" s="1309"/>
      <c r="D87" s="27" t="s">
        <v>109</v>
      </c>
      <c r="E87" s="27" t="s">
        <v>1550</v>
      </c>
      <c r="F87" s="1212" t="s">
        <v>2082</v>
      </c>
      <c r="G87" s="1313"/>
    </row>
    <row r="88" spans="1:8" s="1216" customFormat="1" ht="36" customHeight="1">
      <c r="A88" s="1302"/>
      <c r="B88" s="1315"/>
      <c r="C88" s="1206" t="s">
        <v>1306</v>
      </c>
      <c r="D88" s="1212" t="s">
        <v>109</v>
      </c>
      <c r="E88" s="1212" t="s">
        <v>571</v>
      </c>
      <c r="F88" s="1212" t="s">
        <v>1511</v>
      </c>
      <c r="G88" s="1209"/>
    </row>
    <row r="89" spans="1:8" s="1135" customFormat="1" ht="36" customHeight="1">
      <c r="A89" s="1302"/>
      <c r="B89" s="1315"/>
      <c r="C89" s="1225" t="s">
        <v>4932</v>
      </c>
      <c r="D89" s="27" t="s">
        <v>109</v>
      </c>
      <c r="E89" s="39" t="s">
        <v>4933</v>
      </c>
      <c r="F89" s="1224" t="s">
        <v>1004</v>
      </c>
      <c r="G89" s="1222" t="s">
        <v>4934</v>
      </c>
      <c r="H89" s="1135" t="s">
        <v>4935</v>
      </c>
    </row>
    <row r="90" spans="1:8" s="1216" customFormat="1" ht="36" customHeight="1">
      <c r="A90" s="1302"/>
      <c r="B90" s="1315"/>
      <c r="C90" s="1310" t="s">
        <v>1484</v>
      </c>
      <c r="D90" s="27" t="s">
        <v>4936</v>
      </c>
      <c r="E90" s="39" t="s">
        <v>4937</v>
      </c>
      <c r="F90" s="27" t="s">
        <v>4943</v>
      </c>
      <c r="G90" s="41" t="s">
        <v>4938</v>
      </c>
      <c r="H90" s="1216" t="s">
        <v>4941</v>
      </c>
    </row>
    <row r="91" spans="1:8" s="1216" customFormat="1" ht="36" customHeight="1">
      <c r="A91" s="1302"/>
      <c r="B91" s="1315"/>
      <c r="C91" s="1309"/>
      <c r="D91" s="1212" t="s">
        <v>4936</v>
      </c>
      <c r="E91" s="36" t="s">
        <v>4939</v>
      </c>
      <c r="F91" s="1218" t="s">
        <v>4942</v>
      </c>
      <c r="G91" s="1210" t="s">
        <v>4940</v>
      </c>
      <c r="H91" s="1216" t="s">
        <v>4958</v>
      </c>
    </row>
    <row r="92" spans="1:8" s="1135" customFormat="1" ht="36" customHeight="1" thickBot="1">
      <c r="A92" s="1302"/>
      <c r="B92" s="1315"/>
      <c r="C92" s="1214"/>
      <c r="D92" s="30"/>
      <c r="E92" s="29"/>
      <c r="F92" s="482"/>
      <c r="G92" s="1219"/>
      <c r="H92" s="1216"/>
    </row>
    <row r="93" spans="1:8" s="1135" customFormat="1" ht="36" customHeight="1" thickBot="1">
      <c r="A93" s="1303"/>
      <c r="B93" s="1316"/>
      <c r="C93" s="12" t="s">
        <v>4921</v>
      </c>
      <c r="D93" s="11" t="s">
        <v>4922</v>
      </c>
      <c r="E93" s="10" t="s">
        <v>4923</v>
      </c>
      <c r="F93" s="10" t="s">
        <v>4924</v>
      </c>
      <c r="G93" s="9"/>
    </row>
    <row r="94" spans="1:8" s="1204" customFormat="1" ht="36" customHeight="1">
      <c r="A94" s="1301">
        <v>44909</v>
      </c>
      <c r="B94" s="1317" t="s">
        <v>2</v>
      </c>
      <c r="C94" s="1196" t="s">
        <v>4907</v>
      </c>
      <c r="D94" s="71" t="s">
        <v>1304</v>
      </c>
      <c r="E94" s="94" t="s">
        <v>4908</v>
      </c>
      <c r="F94" s="94"/>
      <c r="G94" s="1197"/>
    </row>
    <row r="95" spans="1:8" s="1135" customFormat="1" ht="36" customHeight="1">
      <c r="A95" s="1302"/>
      <c r="B95" s="1318"/>
      <c r="C95" s="1310" t="s">
        <v>1476</v>
      </c>
      <c r="D95" s="27" t="s">
        <v>109</v>
      </c>
      <c r="E95" s="27" t="s">
        <v>4879</v>
      </c>
      <c r="F95" s="1224" t="s">
        <v>1899</v>
      </c>
      <c r="G95" s="1311"/>
    </row>
    <row r="96" spans="1:8" s="1198" customFormat="1" ht="36" customHeight="1">
      <c r="A96" s="1302"/>
      <c r="B96" s="1318"/>
      <c r="C96" s="1309"/>
      <c r="D96" s="27" t="s">
        <v>4899</v>
      </c>
      <c r="E96" s="27" t="s">
        <v>4898</v>
      </c>
      <c r="F96" s="1224"/>
      <c r="G96" s="1313"/>
    </row>
    <row r="97" spans="1:8" s="1198" customFormat="1" ht="36" customHeight="1">
      <c r="A97" s="1302"/>
      <c r="B97" s="1318"/>
      <c r="C97" s="1225" t="s">
        <v>4883</v>
      </c>
      <c r="D97" s="27" t="s">
        <v>4884</v>
      </c>
      <c r="E97" s="27" t="s">
        <v>4887</v>
      </c>
      <c r="F97" s="1224" t="s">
        <v>3415</v>
      </c>
      <c r="G97" s="41"/>
    </row>
    <row r="98" spans="1:8" s="1135" customFormat="1" ht="36" customHeight="1">
      <c r="A98" s="1302"/>
      <c r="B98" s="1318"/>
      <c r="C98" s="1225" t="s">
        <v>4929</v>
      </c>
      <c r="D98" s="40" t="s">
        <v>4930</v>
      </c>
      <c r="E98" s="39" t="s">
        <v>4931</v>
      </c>
      <c r="F98" s="1224"/>
      <c r="G98" s="1222" t="s">
        <v>1649</v>
      </c>
    </row>
    <row r="99" spans="1:8" s="1135" customFormat="1" ht="36" customHeight="1">
      <c r="A99" s="1302"/>
      <c r="B99" s="1318"/>
      <c r="C99" s="1225" t="s">
        <v>4959</v>
      </c>
      <c r="D99" s="40" t="s">
        <v>4962</v>
      </c>
      <c r="E99" s="39" t="s">
        <v>4960</v>
      </c>
      <c r="F99" s="27" t="s">
        <v>4963</v>
      </c>
      <c r="G99" s="41" t="s">
        <v>4961</v>
      </c>
    </row>
    <row r="100" spans="1:8" s="1216" customFormat="1" ht="36" customHeight="1">
      <c r="A100" s="1302"/>
      <c r="B100" s="1318"/>
      <c r="C100" s="1221" t="s">
        <v>321</v>
      </c>
      <c r="D100" s="37" t="s">
        <v>109</v>
      </c>
      <c r="E100" s="36" t="s">
        <v>4964</v>
      </c>
      <c r="F100" s="1224" t="s">
        <v>1004</v>
      </c>
      <c r="G100" s="1223" t="s">
        <v>2610</v>
      </c>
      <c r="H100" s="1228" t="s">
        <v>3632</v>
      </c>
    </row>
    <row r="101" spans="1:8" s="1216" customFormat="1" ht="36" customHeight="1" thickBot="1">
      <c r="A101" s="1302"/>
      <c r="B101" s="1318"/>
      <c r="C101" s="1214"/>
      <c r="D101" s="30"/>
      <c r="E101" s="29"/>
      <c r="F101" s="482"/>
      <c r="G101" s="1219"/>
    </row>
    <row r="102" spans="1:8" s="1135" customFormat="1" ht="36" customHeight="1" thickBot="1">
      <c r="A102" s="1303"/>
      <c r="B102" s="1319"/>
      <c r="C102" s="12" t="s">
        <v>4949</v>
      </c>
      <c r="D102" s="11" t="s">
        <v>4950</v>
      </c>
      <c r="E102" s="10" t="s">
        <v>4951</v>
      </c>
      <c r="F102" s="10" t="s">
        <v>4952</v>
      </c>
      <c r="G102" s="9"/>
    </row>
    <row r="103" spans="1:8" s="1135" customFormat="1" ht="36" customHeight="1">
      <c r="A103" s="1301">
        <v>44910</v>
      </c>
      <c r="B103" s="1314" t="s">
        <v>1</v>
      </c>
      <c r="C103" s="1307" t="s">
        <v>4745</v>
      </c>
      <c r="D103" s="27" t="s">
        <v>4746</v>
      </c>
      <c r="E103" s="27" t="s">
        <v>4821</v>
      </c>
      <c r="F103" s="1234"/>
      <c r="G103" s="1233"/>
    </row>
    <row r="104" spans="1:8" s="1135" customFormat="1" ht="36" customHeight="1">
      <c r="A104" s="1302"/>
      <c r="B104" s="1315"/>
      <c r="C104" s="1309"/>
      <c r="D104" s="27" t="s">
        <v>4747</v>
      </c>
      <c r="E104" s="27" t="s">
        <v>4744</v>
      </c>
      <c r="F104" s="1234"/>
      <c r="G104" s="1233"/>
    </row>
    <row r="105" spans="1:8" s="1135" customFormat="1" ht="36" customHeight="1">
      <c r="A105" s="1302"/>
      <c r="B105" s="1315"/>
      <c r="C105" s="1235" t="s">
        <v>4890</v>
      </c>
      <c r="D105" s="40" t="s">
        <v>4891</v>
      </c>
      <c r="E105" s="39" t="s">
        <v>4909</v>
      </c>
      <c r="F105" s="1234"/>
      <c r="G105" s="1233" t="s">
        <v>4892</v>
      </c>
    </row>
    <row r="106" spans="1:8" s="1228" customFormat="1" ht="36" customHeight="1">
      <c r="A106" s="1302"/>
      <c r="B106" s="1315"/>
      <c r="C106" s="1235" t="s">
        <v>4973</v>
      </c>
      <c r="D106" s="27" t="s">
        <v>109</v>
      </c>
      <c r="E106" s="39" t="s">
        <v>4974</v>
      </c>
      <c r="F106" s="27" t="s">
        <v>4975</v>
      </c>
      <c r="G106" s="41" t="s">
        <v>4976</v>
      </c>
      <c r="H106" s="1228" t="s">
        <v>4977</v>
      </c>
    </row>
    <row r="107" spans="1:8" s="1228" customFormat="1" ht="36" customHeight="1" thickBot="1">
      <c r="A107" s="1302"/>
      <c r="B107" s="1315"/>
      <c r="C107" s="1227"/>
      <c r="D107" s="34"/>
      <c r="E107" s="33"/>
      <c r="F107" s="1010"/>
      <c r="G107" s="1229"/>
    </row>
    <row r="108" spans="1:8" s="1228" customFormat="1" ht="36" hidden="1" customHeight="1">
      <c r="A108" s="1302"/>
      <c r="B108" s="1315"/>
      <c r="C108" s="21"/>
      <c r="D108" s="20"/>
      <c r="E108" s="19"/>
      <c r="F108" s="22"/>
      <c r="G108" s="96"/>
    </row>
    <row r="109" spans="1:8" s="1228" customFormat="1" ht="36" hidden="1" customHeight="1">
      <c r="A109" s="1302"/>
      <c r="B109" s="1315"/>
      <c r="C109" s="1227"/>
      <c r="D109" s="34"/>
      <c r="E109" s="33"/>
      <c r="F109" s="1010"/>
      <c r="G109" s="1229"/>
    </row>
    <row r="110" spans="1:8" s="1135" customFormat="1" ht="36" hidden="1" customHeight="1" thickBot="1">
      <c r="A110" s="1302"/>
      <c r="B110" s="1315"/>
      <c r="C110" s="1226"/>
      <c r="D110" s="30"/>
      <c r="E110" s="29"/>
      <c r="F110" s="482"/>
      <c r="G110" s="1219"/>
    </row>
    <row r="111" spans="1:8" s="1135" customFormat="1" ht="36" customHeight="1" thickBot="1">
      <c r="A111" s="1303"/>
      <c r="B111" s="1316"/>
      <c r="C111" s="12"/>
      <c r="D111" s="11"/>
      <c r="E111" s="10"/>
      <c r="F111" s="10"/>
      <c r="G111" s="9"/>
    </row>
    <row r="112" spans="1:8" s="1135" customFormat="1" ht="36" customHeight="1">
      <c r="A112" s="1301">
        <v>44911</v>
      </c>
      <c r="B112" s="1314" t="s">
        <v>0</v>
      </c>
      <c r="C112" s="1243" t="s">
        <v>4905</v>
      </c>
      <c r="D112" s="27" t="s">
        <v>4906</v>
      </c>
      <c r="E112" s="27" t="s">
        <v>4986</v>
      </c>
      <c r="F112" s="1242"/>
      <c r="G112" s="1240"/>
    </row>
    <row r="113" spans="1:7" s="1135" customFormat="1" ht="36" customHeight="1">
      <c r="A113" s="1302"/>
      <c r="B113" s="1315"/>
      <c r="C113" s="1310" t="s">
        <v>4982</v>
      </c>
      <c r="D113" s="27" t="s">
        <v>4983</v>
      </c>
      <c r="E113" s="27" t="s">
        <v>4995</v>
      </c>
      <c r="F113" s="1242"/>
      <c r="G113" s="1311" t="s">
        <v>4997</v>
      </c>
    </row>
    <row r="114" spans="1:7" s="1135" customFormat="1" ht="36" customHeight="1">
      <c r="A114" s="1302"/>
      <c r="B114" s="1315"/>
      <c r="C114" s="1309"/>
      <c r="D114" s="40" t="s">
        <v>1334</v>
      </c>
      <c r="E114" s="39" t="s">
        <v>4996</v>
      </c>
      <c r="F114" s="1242"/>
      <c r="G114" s="1313"/>
    </row>
    <row r="115" spans="1:7" s="1236" customFormat="1" ht="36" customHeight="1">
      <c r="A115" s="1302"/>
      <c r="B115" s="1315"/>
      <c r="C115" s="1239" t="s">
        <v>5012</v>
      </c>
      <c r="D115" s="40" t="s">
        <v>5013</v>
      </c>
      <c r="E115" s="39" t="s">
        <v>5014</v>
      </c>
      <c r="F115" s="1242" t="s">
        <v>5015</v>
      </c>
      <c r="G115" s="1241" t="s">
        <v>5016</v>
      </c>
    </row>
    <row r="116" spans="1:7" s="1135" customFormat="1" ht="36" customHeight="1">
      <c r="A116" s="1302"/>
      <c r="B116" s="1315"/>
      <c r="C116" s="1243" t="s">
        <v>1269</v>
      </c>
      <c r="D116" s="40" t="s">
        <v>2541</v>
      </c>
      <c r="E116" s="39" t="s">
        <v>4999</v>
      </c>
      <c r="F116" s="27" t="s">
        <v>4189</v>
      </c>
      <c r="G116" s="41" t="s">
        <v>4998</v>
      </c>
    </row>
    <row r="117" spans="1:7" s="1236" customFormat="1" ht="36" customHeight="1">
      <c r="A117" s="1302"/>
      <c r="B117" s="1315"/>
      <c r="C117" s="1310" t="s">
        <v>5000</v>
      </c>
      <c r="D117" s="37" t="s">
        <v>5001</v>
      </c>
      <c r="E117" s="36" t="s">
        <v>5002</v>
      </c>
      <c r="F117" s="1242"/>
      <c r="G117" s="1311" t="s">
        <v>5005</v>
      </c>
    </row>
    <row r="118" spans="1:7" s="1236" customFormat="1" ht="36" customHeight="1">
      <c r="A118" s="1302"/>
      <c r="B118" s="1315"/>
      <c r="C118" s="1309"/>
      <c r="D118" s="37" t="s">
        <v>5003</v>
      </c>
      <c r="E118" s="36" t="s">
        <v>5004</v>
      </c>
      <c r="F118" s="1242"/>
      <c r="G118" s="1313"/>
    </row>
    <row r="119" spans="1:7" s="1236" customFormat="1" ht="36" customHeight="1" thickBot="1">
      <c r="A119" s="1302"/>
      <c r="B119" s="1315"/>
      <c r="C119" s="90"/>
      <c r="D119" s="59"/>
      <c r="E119" s="29"/>
      <c r="F119" s="58"/>
      <c r="G119" s="1232"/>
    </row>
    <row r="120" spans="1:7" s="1135" customFormat="1" ht="36" customHeight="1" thickBot="1">
      <c r="A120" s="1303"/>
      <c r="B120" s="1316"/>
      <c r="C120" s="12"/>
      <c r="D120" s="11"/>
      <c r="E120" s="10"/>
      <c r="F120" s="10"/>
      <c r="G120" s="9"/>
    </row>
    <row r="121" spans="1:7" s="1135" customFormat="1" ht="60" customHeight="1" thickBot="1">
      <c r="A121" s="1298" t="s">
        <v>5</v>
      </c>
      <c r="B121" s="1299"/>
      <c r="C121" s="1299"/>
      <c r="D121" s="1299"/>
      <c r="E121" s="1299"/>
      <c r="F121" s="1299"/>
      <c r="G121" s="1300"/>
    </row>
    <row r="122" spans="1:7" s="1135" customFormat="1" ht="36" customHeight="1">
      <c r="A122" s="1301">
        <v>44914</v>
      </c>
      <c r="B122" s="1314" t="s">
        <v>4</v>
      </c>
      <c r="C122" s="1307" t="s">
        <v>4989</v>
      </c>
      <c r="D122" s="27" t="s">
        <v>521</v>
      </c>
      <c r="E122" s="27" t="s">
        <v>4988</v>
      </c>
      <c r="F122" s="1242"/>
      <c r="G122" s="1240"/>
    </row>
    <row r="123" spans="1:7" s="1231" customFormat="1" ht="36" customHeight="1">
      <c r="A123" s="1302"/>
      <c r="B123" s="1315"/>
      <c r="C123" s="1308"/>
      <c r="D123" s="27" t="s">
        <v>4990</v>
      </c>
      <c r="E123" s="27" t="s">
        <v>4991</v>
      </c>
      <c r="F123" s="1242"/>
      <c r="G123" s="1240"/>
    </row>
    <row r="124" spans="1:7" s="1216" customFormat="1" ht="36" customHeight="1">
      <c r="A124" s="1302"/>
      <c r="B124" s="1315"/>
      <c r="C124" s="1308"/>
      <c r="D124" s="27" t="s">
        <v>523</v>
      </c>
      <c r="E124" s="27" t="s">
        <v>1674</v>
      </c>
      <c r="F124" s="1242"/>
      <c r="G124" s="1240"/>
    </row>
    <row r="125" spans="1:7" s="1135" customFormat="1" ht="36" customHeight="1">
      <c r="A125" s="1302"/>
      <c r="B125" s="1315"/>
      <c r="C125" s="1309"/>
      <c r="D125" s="27" t="s">
        <v>1672</v>
      </c>
      <c r="E125" s="27" t="s">
        <v>408</v>
      </c>
      <c r="F125" s="1242"/>
      <c r="G125" s="1240"/>
    </row>
    <row r="126" spans="1:7" s="1135" customFormat="1" ht="36" customHeight="1" thickBot="1">
      <c r="A126" s="1302"/>
      <c r="B126" s="1315"/>
      <c r="C126" s="1243" t="s">
        <v>5017</v>
      </c>
      <c r="D126" s="27" t="s">
        <v>109</v>
      </c>
      <c r="E126" s="27" t="s">
        <v>4981</v>
      </c>
      <c r="F126" s="1242" t="s">
        <v>1004</v>
      </c>
      <c r="G126" s="1240" t="s">
        <v>5018</v>
      </c>
    </row>
    <row r="127" spans="1:7" s="1135" customFormat="1" ht="36" customHeight="1" thickBot="1">
      <c r="A127" s="1303"/>
      <c r="B127" s="1316"/>
      <c r="C127" s="12" t="s">
        <v>4953</v>
      </c>
      <c r="D127" s="11" t="s">
        <v>4954</v>
      </c>
      <c r="E127" s="10" t="s">
        <v>4955</v>
      </c>
      <c r="F127" s="10" t="s">
        <v>4956</v>
      </c>
      <c r="G127" s="9"/>
    </row>
    <row r="128" spans="1:7" s="1135" customFormat="1" ht="36" customHeight="1">
      <c r="A128" s="1301">
        <v>44915</v>
      </c>
      <c r="B128" s="1314" t="s">
        <v>3</v>
      </c>
      <c r="C128" s="1307" t="s">
        <v>4965</v>
      </c>
      <c r="D128" s="27" t="s">
        <v>4970</v>
      </c>
      <c r="E128" s="27" t="s">
        <v>4966</v>
      </c>
      <c r="F128" s="1246"/>
      <c r="G128" s="1245"/>
    </row>
    <row r="129" spans="1:8" s="1135" customFormat="1" ht="36" customHeight="1">
      <c r="A129" s="1302"/>
      <c r="B129" s="1315"/>
      <c r="C129" s="1308"/>
      <c r="D129" s="27" t="s">
        <v>4971</v>
      </c>
      <c r="E129" s="27" t="s">
        <v>4967</v>
      </c>
      <c r="F129" s="1246"/>
      <c r="G129" s="1245"/>
    </row>
    <row r="130" spans="1:8" s="1135" customFormat="1" ht="36" customHeight="1">
      <c r="A130" s="1302"/>
      <c r="B130" s="1315"/>
      <c r="C130" s="1309"/>
      <c r="D130" s="40" t="s">
        <v>4968</v>
      </c>
      <c r="E130" s="39" t="s">
        <v>4969</v>
      </c>
      <c r="F130" s="1246"/>
      <c r="G130" s="1245"/>
    </row>
    <row r="131" spans="1:8" s="1228" customFormat="1" ht="36" customHeight="1">
      <c r="A131" s="1302"/>
      <c r="B131" s="1315"/>
      <c r="C131" s="1310" t="s">
        <v>4978</v>
      </c>
      <c r="D131" s="1250" t="s">
        <v>4979</v>
      </c>
      <c r="E131" s="54" t="s">
        <v>4980</v>
      </c>
      <c r="F131" s="27"/>
      <c r="G131" s="1245"/>
    </row>
    <row r="132" spans="1:8" s="1228" customFormat="1" ht="36" customHeight="1">
      <c r="A132" s="1302"/>
      <c r="B132" s="1315"/>
      <c r="C132" s="1309"/>
      <c r="D132" s="27" t="s">
        <v>109</v>
      </c>
      <c r="E132" s="54" t="s">
        <v>5019</v>
      </c>
      <c r="F132" s="27" t="s">
        <v>5020</v>
      </c>
      <c r="G132" s="1245"/>
    </row>
    <row r="133" spans="1:8" s="1249" customFormat="1" ht="36" customHeight="1">
      <c r="A133" s="1302"/>
      <c r="B133" s="1315"/>
      <c r="C133" s="1247" t="s">
        <v>5021</v>
      </c>
      <c r="D133" s="27" t="s">
        <v>5022</v>
      </c>
      <c r="E133" s="39" t="s">
        <v>5023</v>
      </c>
      <c r="F133" s="27"/>
      <c r="G133" s="41" t="s">
        <v>5024</v>
      </c>
      <c r="H133" s="1249" t="s">
        <v>5025</v>
      </c>
    </row>
    <row r="134" spans="1:8" s="1249" customFormat="1" ht="36" customHeight="1">
      <c r="A134" s="1302"/>
      <c r="B134" s="1315"/>
      <c r="C134" s="1310" t="s">
        <v>5026</v>
      </c>
      <c r="D134" s="27" t="s">
        <v>109</v>
      </c>
      <c r="E134" s="36" t="s">
        <v>5028</v>
      </c>
      <c r="F134" s="1246" t="s">
        <v>1004</v>
      </c>
      <c r="G134" s="1311" t="s">
        <v>5029</v>
      </c>
    </row>
    <row r="135" spans="1:8" s="1249" customFormat="1" ht="36" customHeight="1">
      <c r="A135" s="1302"/>
      <c r="B135" s="1315"/>
      <c r="C135" s="1309"/>
      <c r="D135" s="27" t="s">
        <v>5030</v>
      </c>
      <c r="E135" s="39" t="s">
        <v>5031</v>
      </c>
      <c r="F135" s="27"/>
      <c r="G135" s="1313"/>
      <c r="H135" s="1249" t="s">
        <v>5032</v>
      </c>
    </row>
    <row r="136" spans="1:8" s="1249" customFormat="1" ht="36" customHeight="1">
      <c r="A136" s="1302"/>
      <c r="B136" s="1315"/>
      <c r="C136" s="1244" t="s">
        <v>5033</v>
      </c>
      <c r="D136" s="1246" t="s">
        <v>1384</v>
      </c>
      <c r="E136" s="36" t="s">
        <v>5041</v>
      </c>
      <c r="F136" s="1246"/>
      <c r="G136" s="1245" t="s">
        <v>1442</v>
      </c>
    </row>
    <row r="137" spans="1:8" s="1249" customFormat="1" ht="36" customHeight="1">
      <c r="A137" s="1302"/>
      <c r="B137" s="1315"/>
      <c r="C137" s="1310" t="s">
        <v>5038</v>
      </c>
      <c r="D137" s="27" t="s">
        <v>109</v>
      </c>
      <c r="E137" s="39" t="s">
        <v>5027</v>
      </c>
      <c r="F137" s="27" t="s">
        <v>5044</v>
      </c>
      <c r="G137" s="1311" t="s">
        <v>5043</v>
      </c>
    </row>
    <row r="138" spans="1:8" s="1249" customFormat="1" ht="36" customHeight="1">
      <c r="A138" s="1302"/>
      <c r="B138" s="1315"/>
      <c r="C138" s="1308"/>
      <c r="D138" s="1246" t="s">
        <v>5039</v>
      </c>
      <c r="E138" s="36" t="s">
        <v>5040</v>
      </c>
      <c r="F138" s="1246"/>
      <c r="G138" s="1312"/>
    </row>
    <row r="139" spans="1:8" s="1249" customFormat="1" ht="36" customHeight="1">
      <c r="A139" s="1302"/>
      <c r="B139" s="1315"/>
      <c r="C139" s="1308"/>
      <c r="D139" s="40" t="s">
        <v>1384</v>
      </c>
      <c r="E139" s="39" t="s">
        <v>5041</v>
      </c>
      <c r="F139" s="27"/>
      <c r="G139" s="1312"/>
    </row>
    <row r="140" spans="1:8" s="1249" customFormat="1" ht="36" customHeight="1">
      <c r="A140" s="1302"/>
      <c r="B140" s="1315"/>
      <c r="C140" s="1309"/>
      <c r="D140" s="1246" t="s">
        <v>5042</v>
      </c>
      <c r="E140" s="36" t="s">
        <v>5041</v>
      </c>
      <c r="F140" s="1246"/>
      <c r="G140" s="1313"/>
    </row>
    <row r="141" spans="1:8" s="1249" customFormat="1" ht="36" customHeight="1">
      <c r="A141" s="1302"/>
      <c r="B141" s="1315"/>
      <c r="C141" s="1310" t="s">
        <v>2007</v>
      </c>
      <c r="D141" s="1246" t="s">
        <v>5053</v>
      </c>
      <c r="E141" s="36" t="s">
        <v>5054</v>
      </c>
      <c r="F141" s="1246"/>
      <c r="G141" s="1311" t="s">
        <v>1442</v>
      </c>
    </row>
    <row r="142" spans="1:8" s="1249" customFormat="1" ht="36" customHeight="1">
      <c r="A142" s="1302"/>
      <c r="B142" s="1315"/>
      <c r="C142" s="1308"/>
      <c r="D142" s="1246" t="s">
        <v>5052</v>
      </c>
      <c r="E142" s="36" t="s">
        <v>5051</v>
      </c>
      <c r="F142" s="1246"/>
      <c r="G142" s="1312"/>
    </row>
    <row r="143" spans="1:8" s="1249" customFormat="1" ht="36" customHeight="1">
      <c r="A143" s="1302"/>
      <c r="B143" s="1315"/>
      <c r="C143" s="1309"/>
      <c r="D143" s="1246" t="s">
        <v>5049</v>
      </c>
      <c r="E143" s="36" t="s">
        <v>5050</v>
      </c>
      <c r="F143" s="1246"/>
      <c r="G143" s="1313"/>
    </row>
    <row r="144" spans="1:8" s="1135" customFormat="1" ht="36" customHeight="1" thickBot="1">
      <c r="A144" s="1302"/>
      <c r="B144" s="1315"/>
      <c r="C144" s="1248"/>
      <c r="D144" s="30"/>
      <c r="E144" s="29"/>
      <c r="F144" s="482"/>
      <c r="G144" s="1219"/>
    </row>
    <row r="145" spans="1:7" s="1135" customFormat="1" ht="36" customHeight="1" thickBot="1">
      <c r="A145" s="1303"/>
      <c r="B145" s="1316"/>
      <c r="C145" s="12"/>
      <c r="D145" s="11"/>
      <c r="E145" s="10"/>
      <c r="F145" s="10"/>
      <c r="G145" s="9"/>
    </row>
    <row r="146" spans="1:7" s="1135" customFormat="1" ht="36" customHeight="1">
      <c r="A146" s="1301">
        <v>44916</v>
      </c>
      <c r="B146" s="1317" t="s">
        <v>2</v>
      </c>
      <c r="C146" s="1252" t="s">
        <v>4959</v>
      </c>
      <c r="D146" s="40" t="s">
        <v>4962</v>
      </c>
      <c r="E146" s="39" t="s">
        <v>5046</v>
      </c>
      <c r="F146" s="27" t="s">
        <v>5060</v>
      </c>
      <c r="G146" s="41"/>
    </row>
    <row r="147" spans="1:7" s="1231" customFormat="1" ht="36" customHeight="1">
      <c r="A147" s="1302"/>
      <c r="B147" s="1318"/>
      <c r="C147" s="1252" t="s">
        <v>4992</v>
      </c>
      <c r="D147" s="37" t="s">
        <v>4972</v>
      </c>
      <c r="E147" s="36" t="s">
        <v>1759</v>
      </c>
      <c r="F147" s="1251" t="s">
        <v>1763</v>
      </c>
      <c r="G147" s="41"/>
    </row>
    <row r="148" spans="1:7" s="1228" customFormat="1" ht="36" customHeight="1">
      <c r="A148" s="1302"/>
      <c r="B148" s="1318"/>
      <c r="C148" s="1310" t="s">
        <v>5055</v>
      </c>
      <c r="D148" s="37" t="s">
        <v>5030</v>
      </c>
      <c r="E148" s="36" t="s">
        <v>5058</v>
      </c>
      <c r="F148" s="1251"/>
      <c r="G148" s="1312" t="s">
        <v>5024</v>
      </c>
    </row>
    <row r="149" spans="1:7" s="1249" customFormat="1" ht="36" customHeight="1">
      <c r="A149" s="1302"/>
      <c r="B149" s="1318"/>
      <c r="C149" s="1308"/>
      <c r="D149" s="37" t="s">
        <v>109</v>
      </c>
      <c r="E149" s="36" t="s">
        <v>5059</v>
      </c>
      <c r="F149" s="1251"/>
      <c r="G149" s="1312"/>
    </row>
    <row r="150" spans="1:7" s="1228" customFormat="1" ht="36" customHeight="1" thickBot="1">
      <c r="A150" s="1302"/>
      <c r="B150" s="1318"/>
      <c r="C150" s="1309"/>
      <c r="D150" s="37" t="s">
        <v>327</v>
      </c>
      <c r="E150" s="36" t="s">
        <v>5064</v>
      </c>
      <c r="F150" s="1251"/>
      <c r="G150" s="1313"/>
    </row>
    <row r="151" spans="1:7" s="1228" customFormat="1" ht="36" hidden="1" customHeight="1">
      <c r="A151" s="1302"/>
      <c r="B151" s="1318"/>
      <c r="C151" s="1238"/>
      <c r="D151" s="63"/>
      <c r="E151" s="33"/>
      <c r="F151" s="62"/>
      <c r="G151" s="61"/>
    </row>
    <row r="152" spans="1:7" s="1228" customFormat="1" ht="36" hidden="1" customHeight="1">
      <c r="A152" s="1302"/>
      <c r="B152" s="1318"/>
      <c r="C152" s="1237"/>
      <c r="D152" s="63"/>
      <c r="E152" s="33"/>
      <c r="F152" s="62"/>
      <c r="G152" s="61"/>
    </row>
    <row r="153" spans="1:7" s="1216" customFormat="1" ht="36" hidden="1" customHeight="1">
      <c r="A153" s="1302"/>
      <c r="B153" s="1318"/>
      <c r="C153" s="1215"/>
      <c r="D153" s="34"/>
      <c r="E153" s="33"/>
      <c r="F153" s="1010"/>
      <c r="G153" s="1220"/>
    </row>
    <row r="154" spans="1:7" s="1216" customFormat="1" ht="36" hidden="1" customHeight="1" thickBot="1">
      <c r="A154" s="1302"/>
      <c r="B154" s="1318"/>
      <c r="C154" s="1214"/>
      <c r="D154" s="30"/>
      <c r="E154" s="29"/>
      <c r="F154" s="482"/>
      <c r="G154" s="1219"/>
    </row>
    <row r="155" spans="1:7" s="1135" customFormat="1" ht="36" customHeight="1" thickBot="1">
      <c r="A155" s="1303"/>
      <c r="B155" s="1319"/>
      <c r="C155" s="12" t="s">
        <v>5061</v>
      </c>
      <c r="D155" s="11" t="s">
        <v>5062</v>
      </c>
      <c r="E155" s="10" t="s">
        <v>5063</v>
      </c>
      <c r="F155" s="10" t="s">
        <v>2470</v>
      </c>
      <c r="G155" s="9"/>
    </row>
    <row r="156" spans="1:7" s="1135" customFormat="1" ht="36" customHeight="1">
      <c r="A156" s="1301">
        <v>44917</v>
      </c>
      <c r="B156" s="1314" t="s">
        <v>1</v>
      </c>
      <c r="C156" s="1307" t="s">
        <v>4785</v>
      </c>
      <c r="D156" s="27" t="s">
        <v>4786</v>
      </c>
      <c r="E156" s="27" t="s">
        <v>4987</v>
      </c>
      <c r="F156" s="1254"/>
      <c r="G156" s="1253"/>
    </row>
    <row r="157" spans="1:7" s="1135" customFormat="1" ht="36" customHeight="1">
      <c r="A157" s="1302"/>
      <c r="B157" s="1315"/>
      <c r="C157" s="1309"/>
      <c r="D157" s="27" t="s">
        <v>4787</v>
      </c>
      <c r="E157" s="27" t="s">
        <v>4788</v>
      </c>
      <c r="F157" s="1254"/>
      <c r="G157" s="1253"/>
    </row>
    <row r="158" spans="1:7" s="1135" customFormat="1" ht="36" customHeight="1">
      <c r="A158" s="1302"/>
      <c r="B158" s="1315"/>
      <c r="C158" s="1310" t="s">
        <v>5006</v>
      </c>
      <c r="D158" s="40" t="s">
        <v>5007</v>
      </c>
      <c r="E158" s="39" t="s">
        <v>5008</v>
      </c>
      <c r="F158" s="27"/>
      <c r="G158" s="1311" t="s">
        <v>5011</v>
      </c>
    </row>
    <row r="159" spans="1:7" s="1135" customFormat="1" ht="36" customHeight="1" thickBot="1">
      <c r="A159" s="1302"/>
      <c r="B159" s="1315"/>
      <c r="C159" s="1309"/>
      <c r="D159" s="40" t="s">
        <v>5009</v>
      </c>
      <c r="E159" s="39" t="s">
        <v>5010</v>
      </c>
      <c r="F159" s="1254"/>
      <c r="G159" s="1313"/>
    </row>
    <row r="160" spans="1:7" s="1135" customFormat="1" ht="36" customHeight="1" thickBot="1">
      <c r="A160" s="1303"/>
      <c r="B160" s="1316"/>
      <c r="C160" s="12"/>
      <c r="D160" s="11"/>
      <c r="E160" s="10"/>
      <c r="F160" s="10"/>
      <c r="G160" s="9"/>
    </row>
    <row r="161" spans="1:8" s="1135" customFormat="1" ht="36" customHeight="1">
      <c r="A161" s="1301">
        <v>44918</v>
      </c>
      <c r="B161" s="1314" t="s">
        <v>0</v>
      </c>
      <c r="C161" s="1310" t="s">
        <v>5033</v>
      </c>
      <c r="D161" s="1257" t="s">
        <v>1384</v>
      </c>
      <c r="E161" s="36" t="s">
        <v>5037</v>
      </c>
      <c r="F161" s="1257"/>
      <c r="G161" s="1322" t="s">
        <v>5068</v>
      </c>
    </row>
    <row r="162" spans="1:8" s="1249" customFormat="1" ht="36" customHeight="1">
      <c r="A162" s="1302"/>
      <c r="B162" s="1315"/>
      <c r="C162" s="1308"/>
      <c r="D162" s="1257" t="s">
        <v>5047</v>
      </c>
      <c r="E162" s="36" t="s">
        <v>5048</v>
      </c>
      <c r="F162" s="1257"/>
      <c r="G162" s="1312"/>
    </row>
    <row r="163" spans="1:8" s="1135" customFormat="1" ht="36" customHeight="1">
      <c r="A163" s="1302"/>
      <c r="B163" s="1315"/>
      <c r="C163" s="1308"/>
      <c r="D163" s="27" t="s">
        <v>109</v>
      </c>
      <c r="E163" s="39" t="s">
        <v>5036</v>
      </c>
      <c r="F163" s="27" t="s">
        <v>5045</v>
      </c>
      <c r="G163" s="1312"/>
    </row>
    <row r="164" spans="1:8" s="1135" customFormat="1" ht="36" customHeight="1">
      <c r="A164" s="1302"/>
      <c r="B164" s="1315"/>
      <c r="C164" s="1309"/>
      <c r="D164" s="27" t="s">
        <v>5034</v>
      </c>
      <c r="E164" s="36" t="s">
        <v>5035</v>
      </c>
      <c r="F164" s="1257"/>
      <c r="G164" s="1313"/>
    </row>
    <row r="165" spans="1:8" s="88" customFormat="1" ht="36" customHeight="1">
      <c r="A165" s="1302"/>
      <c r="B165" s="1315"/>
      <c r="C165" s="1310" t="s">
        <v>5067</v>
      </c>
      <c r="D165" s="27" t="s">
        <v>5070</v>
      </c>
      <c r="E165" s="39" t="s">
        <v>5065</v>
      </c>
      <c r="F165" s="27"/>
      <c r="G165" s="1311" t="s">
        <v>5066</v>
      </c>
    </row>
    <row r="166" spans="1:8" s="88" customFormat="1" ht="36" customHeight="1">
      <c r="A166" s="1302"/>
      <c r="B166" s="1315"/>
      <c r="C166" s="1309"/>
      <c r="D166" s="27" t="s">
        <v>1334</v>
      </c>
      <c r="E166" s="54" t="s">
        <v>5078</v>
      </c>
      <c r="F166" s="27"/>
      <c r="G166" s="1313"/>
    </row>
    <row r="167" spans="1:8" s="88" customFormat="1" ht="36" customHeight="1" thickBot="1">
      <c r="A167" s="1302"/>
      <c r="B167" s="1315"/>
      <c r="C167" s="1256"/>
      <c r="D167" s="1258" t="s">
        <v>5069</v>
      </c>
      <c r="E167" s="54"/>
      <c r="F167" s="27"/>
      <c r="G167" s="41"/>
    </row>
    <row r="168" spans="1:8" s="88" customFormat="1" ht="36" hidden="1" customHeight="1">
      <c r="A168" s="1302"/>
      <c r="B168" s="1315"/>
      <c r="C168" s="640"/>
      <c r="D168" s="875"/>
      <c r="E168" s="15"/>
      <c r="F168" s="66"/>
      <c r="G168" s="1255"/>
    </row>
    <row r="169" spans="1:8" s="1135" customFormat="1" ht="36" hidden="1" customHeight="1" thickBot="1">
      <c r="A169" s="1302"/>
      <c r="B169" s="1315"/>
      <c r="C169" s="1076"/>
      <c r="D169" s="16"/>
      <c r="E169" s="15"/>
      <c r="F169" s="482"/>
      <c r="G169" s="1077"/>
    </row>
    <row r="170" spans="1:8" s="1135" customFormat="1" ht="36" customHeight="1" thickBot="1">
      <c r="A170" s="1303"/>
      <c r="B170" s="1316"/>
      <c r="C170" s="12"/>
      <c r="D170" s="11"/>
      <c r="E170" s="10"/>
      <c r="F170" s="10"/>
      <c r="G170" s="9"/>
    </row>
    <row r="171" spans="1:8" s="1135" customFormat="1" ht="60" customHeight="1" thickBot="1">
      <c r="A171" s="1298" t="s">
        <v>5</v>
      </c>
      <c r="B171" s="1299"/>
      <c r="C171" s="1299"/>
      <c r="D171" s="1299"/>
      <c r="E171" s="1299"/>
      <c r="F171" s="1299"/>
      <c r="G171" s="1300"/>
    </row>
    <row r="172" spans="1:8" s="1259" customFormat="1" ht="36" customHeight="1">
      <c r="A172" s="1301">
        <v>44921</v>
      </c>
      <c r="B172" s="1304" t="s">
        <v>4</v>
      </c>
      <c r="C172" s="53" t="s">
        <v>1303</v>
      </c>
      <c r="D172" s="71" t="s">
        <v>1304</v>
      </c>
      <c r="E172" s="71" t="s">
        <v>5071</v>
      </c>
      <c r="F172" s="71"/>
      <c r="G172" s="92"/>
    </row>
    <row r="173" spans="1:8" s="1236" customFormat="1" ht="36" customHeight="1">
      <c r="A173" s="1302"/>
      <c r="B173" s="1305"/>
      <c r="C173" s="1310" t="s">
        <v>1274</v>
      </c>
      <c r="D173" s="1265" t="s">
        <v>4957</v>
      </c>
      <c r="E173" s="1265" t="s">
        <v>1245</v>
      </c>
      <c r="F173" s="1265"/>
      <c r="G173" s="1365" t="s">
        <v>3540</v>
      </c>
      <c r="H173" s="1236" t="s">
        <v>5138</v>
      </c>
    </row>
    <row r="174" spans="1:8" s="1236" customFormat="1" ht="36" customHeight="1">
      <c r="A174" s="1302"/>
      <c r="B174" s="1305"/>
      <c r="C174" s="1308"/>
      <c r="D174" s="27" t="s">
        <v>1762</v>
      </c>
      <c r="E174" s="27" t="s">
        <v>1259</v>
      </c>
      <c r="F174" s="1265"/>
      <c r="G174" s="1312"/>
    </row>
    <row r="175" spans="1:8" s="1236" customFormat="1" ht="36" customHeight="1">
      <c r="A175" s="1302"/>
      <c r="B175" s="1305"/>
      <c r="C175" s="1309"/>
      <c r="D175" s="40" t="s">
        <v>1330</v>
      </c>
      <c r="E175" s="39" t="s">
        <v>3094</v>
      </c>
      <c r="F175" s="1265" t="s">
        <v>1380</v>
      </c>
      <c r="G175" s="1313"/>
    </row>
    <row r="176" spans="1:8" s="1135" customFormat="1" ht="36" customHeight="1">
      <c r="A176" s="1302"/>
      <c r="B176" s="1305"/>
      <c r="C176" s="1310" t="s">
        <v>1374</v>
      </c>
      <c r="D176" s="40" t="s">
        <v>5073</v>
      </c>
      <c r="E176" s="39" t="s">
        <v>5075</v>
      </c>
      <c r="F176" s="27"/>
      <c r="G176" s="1311" t="s">
        <v>5077</v>
      </c>
    </row>
    <row r="177" spans="1:8" s="1259" customFormat="1" ht="36" customHeight="1">
      <c r="A177" s="1302"/>
      <c r="B177" s="1305"/>
      <c r="C177" s="1309"/>
      <c r="D177" s="40" t="s">
        <v>5074</v>
      </c>
      <c r="E177" s="39" t="s">
        <v>5076</v>
      </c>
      <c r="F177" s="27"/>
      <c r="G177" s="1313"/>
    </row>
    <row r="178" spans="1:8" s="1259" customFormat="1" ht="36" customHeight="1">
      <c r="A178" s="1302"/>
      <c r="B178" s="1305"/>
      <c r="C178" s="1310" t="s">
        <v>1948</v>
      </c>
      <c r="D178" s="40" t="s">
        <v>447</v>
      </c>
      <c r="E178" s="39" t="s">
        <v>452</v>
      </c>
      <c r="F178" s="27" t="s">
        <v>5079</v>
      </c>
      <c r="G178" s="1311" t="s">
        <v>416</v>
      </c>
      <c r="H178" s="1259" t="s">
        <v>5080</v>
      </c>
    </row>
    <row r="179" spans="1:8" s="1266" customFormat="1" ht="36" customHeight="1">
      <c r="A179" s="1302"/>
      <c r="B179" s="1305"/>
      <c r="C179" s="1309"/>
      <c r="D179" s="37" t="s">
        <v>5085</v>
      </c>
      <c r="E179" s="36" t="s">
        <v>5087</v>
      </c>
      <c r="F179" s="1265" t="s">
        <v>5086</v>
      </c>
      <c r="G179" s="1313"/>
    </row>
    <row r="180" spans="1:8" s="1266" customFormat="1" ht="36" customHeight="1">
      <c r="A180" s="1302"/>
      <c r="B180" s="1305"/>
      <c r="C180" s="1261" t="s">
        <v>5081</v>
      </c>
      <c r="D180" s="37" t="s">
        <v>5082</v>
      </c>
      <c r="E180" s="36" t="s">
        <v>5083</v>
      </c>
      <c r="F180" s="1265"/>
      <c r="G180" s="1262" t="s">
        <v>5084</v>
      </c>
    </row>
    <row r="181" spans="1:8" s="1266" customFormat="1" ht="36" customHeight="1" thickBot="1">
      <c r="A181" s="1302"/>
      <c r="B181" s="1305"/>
      <c r="C181" s="1260" t="s">
        <v>5088</v>
      </c>
      <c r="D181" s="40" t="s">
        <v>1330</v>
      </c>
      <c r="E181" s="43" t="s">
        <v>5089</v>
      </c>
      <c r="F181" s="1264" t="s">
        <v>107</v>
      </c>
      <c r="G181" s="1263" t="s">
        <v>5090</v>
      </c>
      <c r="H181" s="1266" t="s">
        <v>5091</v>
      </c>
    </row>
    <row r="182" spans="1:8" s="1135" customFormat="1" ht="36" customHeight="1" thickBot="1">
      <c r="A182" s="1303"/>
      <c r="B182" s="1306"/>
      <c r="C182" s="12"/>
      <c r="D182" s="11"/>
      <c r="E182" s="10"/>
      <c r="F182" s="10"/>
      <c r="G182" s="9"/>
    </row>
    <row r="183" spans="1:8" s="1135" customFormat="1" ht="36" customHeight="1">
      <c r="A183" s="1301">
        <v>44922</v>
      </c>
      <c r="B183" s="1314" t="s">
        <v>3</v>
      </c>
      <c r="C183" s="1307" t="s">
        <v>2115</v>
      </c>
      <c r="D183" s="27" t="s">
        <v>5092</v>
      </c>
      <c r="E183" s="27" t="s">
        <v>5093</v>
      </c>
      <c r="F183" s="1273"/>
      <c r="G183" s="1272"/>
    </row>
    <row r="184" spans="1:8" s="1135" customFormat="1" ht="36" customHeight="1">
      <c r="A184" s="1302"/>
      <c r="B184" s="1315"/>
      <c r="C184" s="1309"/>
      <c r="D184" s="27" t="s">
        <v>5007</v>
      </c>
      <c r="E184" s="27" t="s">
        <v>5094</v>
      </c>
      <c r="F184" s="1273"/>
      <c r="G184" s="1272"/>
    </row>
    <row r="185" spans="1:8" s="1135" customFormat="1" ht="36" customHeight="1">
      <c r="A185" s="1302"/>
      <c r="B185" s="1315"/>
      <c r="C185" s="21"/>
      <c r="D185" s="20"/>
      <c r="E185" s="19"/>
      <c r="F185" s="1010"/>
      <c r="G185" s="1077"/>
    </row>
    <row r="186" spans="1:8" s="1135" customFormat="1" ht="36" customHeight="1" thickBot="1">
      <c r="A186" s="1302"/>
      <c r="B186" s="1315"/>
      <c r="C186" s="1076"/>
      <c r="D186" s="16"/>
      <c r="E186" s="15"/>
      <c r="F186" s="482"/>
      <c r="G186" s="1077"/>
    </row>
    <row r="187" spans="1:8" s="1135" customFormat="1" ht="36" customHeight="1" thickBot="1">
      <c r="A187" s="1303"/>
      <c r="B187" s="1316"/>
      <c r="C187" s="12"/>
      <c r="D187" s="11"/>
      <c r="E187" s="10"/>
      <c r="F187" s="10"/>
      <c r="G187" s="9"/>
    </row>
    <row r="188" spans="1:8" s="1135" customFormat="1" ht="36" customHeight="1">
      <c r="A188" s="1301">
        <v>44923</v>
      </c>
      <c r="B188" s="1314" t="s">
        <v>2</v>
      </c>
      <c r="C188" s="1274" t="s">
        <v>5098</v>
      </c>
      <c r="D188" s="27" t="s">
        <v>5099</v>
      </c>
      <c r="E188" s="27" t="s">
        <v>5100</v>
      </c>
      <c r="F188" s="1273"/>
      <c r="G188" s="1272" t="s">
        <v>5101</v>
      </c>
      <c r="H188" s="1135" t="s">
        <v>5102</v>
      </c>
    </row>
    <row r="189" spans="1:8" s="1269" customFormat="1" ht="36" customHeight="1">
      <c r="A189" s="1302"/>
      <c r="B189" s="1315"/>
      <c r="C189" s="1271" t="s">
        <v>1274</v>
      </c>
      <c r="D189" s="40" t="s">
        <v>1330</v>
      </c>
      <c r="E189" s="54" t="s">
        <v>1745</v>
      </c>
      <c r="F189" s="27" t="s">
        <v>1825</v>
      </c>
      <c r="G189" s="1311" t="s">
        <v>1649</v>
      </c>
    </row>
    <row r="190" spans="1:8" s="1269" customFormat="1" ht="36" customHeight="1">
      <c r="A190" s="1302"/>
      <c r="B190" s="1315"/>
      <c r="C190" s="1270" t="s">
        <v>1825</v>
      </c>
      <c r="D190" s="1276" t="s">
        <v>1275</v>
      </c>
      <c r="E190" s="54" t="s">
        <v>1276</v>
      </c>
      <c r="F190" s="27"/>
      <c r="G190" s="1313"/>
    </row>
    <row r="191" spans="1:8" s="1135" customFormat="1" ht="36" customHeight="1" thickBot="1">
      <c r="A191" s="1302"/>
      <c r="B191" s="1315"/>
      <c r="C191" s="1274" t="s">
        <v>5115</v>
      </c>
      <c r="D191" s="27" t="s">
        <v>109</v>
      </c>
      <c r="E191" s="27" t="s">
        <v>5116</v>
      </c>
      <c r="F191" s="1273" t="s">
        <v>5117</v>
      </c>
      <c r="G191" s="1272" t="s">
        <v>5118</v>
      </c>
    </row>
    <row r="192" spans="1:8" s="1135" customFormat="1" ht="36" hidden="1" customHeight="1">
      <c r="A192" s="1302"/>
      <c r="B192" s="1315"/>
      <c r="C192" s="21"/>
      <c r="D192" s="20"/>
      <c r="E192" s="19"/>
      <c r="F192" s="1010"/>
      <c r="G192" s="1077"/>
    </row>
    <row r="193" spans="1:8" s="1135" customFormat="1" ht="36" hidden="1" customHeight="1" thickBot="1">
      <c r="A193" s="1302"/>
      <c r="B193" s="1315"/>
      <c r="C193" s="1076"/>
      <c r="D193" s="16"/>
      <c r="E193" s="15"/>
      <c r="F193" s="482"/>
      <c r="G193" s="1077"/>
    </row>
    <row r="194" spans="1:8" s="1135" customFormat="1" ht="36" customHeight="1" thickBot="1">
      <c r="A194" s="1303"/>
      <c r="B194" s="1316"/>
      <c r="C194" s="12"/>
      <c r="D194" s="11"/>
      <c r="E194" s="10"/>
      <c r="F194" s="10"/>
      <c r="G194" s="9"/>
    </row>
    <row r="195" spans="1:8" s="1135" customFormat="1" ht="36" customHeight="1">
      <c r="A195" s="1301">
        <v>44924</v>
      </c>
      <c r="B195" s="1314" t="s">
        <v>1</v>
      </c>
      <c r="C195" s="1307" t="s">
        <v>4984</v>
      </c>
      <c r="D195" s="27" t="s">
        <v>4985</v>
      </c>
      <c r="E195" s="27" t="s">
        <v>5072</v>
      </c>
      <c r="F195" s="1281"/>
      <c r="G195" s="1322" t="s">
        <v>5114</v>
      </c>
    </row>
    <row r="196" spans="1:8" s="1266" customFormat="1" ht="36" customHeight="1">
      <c r="A196" s="1302"/>
      <c r="B196" s="1315"/>
      <c r="C196" s="1309"/>
      <c r="D196" s="27" t="s">
        <v>5095</v>
      </c>
      <c r="E196" s="1282" t="s">
        <v>5096</v>
      </c>
      <c r="F196" s="1281" t="s">
        <v>5097</v>
      </c>
      <c r="G196" s="1313"/>
      <c r="H196" s="1266" t="s">
        <v>5103</v>
      </c>
    </row>
    <row r="197" spans="1:8" s="1275" customFormat="1" ht="36" customHeight="1">
      <c r="A197" s="1302"/>
      <c r="B197" s="1315"/>
      <c r="C197" s="1310" t="s">
        <v>5111</v>
      </c>
      <c r="D197" s="27" t="s">
        <v>5104</v>
      </c>
      <c r="E197" s="1282" t="s">
        <v>5105</v>
      </c>
      <c r="F197" s="1281"/>
      <c r="G197" s="1311" t="s">
        <v>5113</v>
      </c>
      <c r="H197" s="1275" t="s">
        <v>5112</v>
      </c>
    </row>
    <row r="198" spans="1:8" s="1275" customFormat="1" ht="36" customHeight="1">
      <c r="A198" s="1302"/>
      <c r="B198" s="1315"/>
      <c r="C198" s="1308"/>
      <c r="D198" s="27" t="s">
        <v>109</v>
      </c>
      <c r="E198" s="1282" t="s">
        <v>5108</v>
      </c>
      <c r="F198" s="1281"/>
      <c r="G198" s="1312"/>
    </row>
    <row r="199" spans="1:8" s="1275" customFormat="1" ht="36" customHeight="1">
      <c r="A199" s="1302"/>
      <c r="B199" s="1315"/>
      <c r="C199" s="1308"/>
      <c r="D199" s="27" t="s">
        <v>5106</v>
      </c>
      <c r="E199" s="1282" t="s">
        <v>5109</v>
      </c>
      <c r="F199" s="1281"/>
      <c r="G199" s="1312"/>
    </row>
    <row r="200" spans="1:8" s="1135" customFormat="1" ht="36" customHeight="1">
      <c r="A200" s="1302"/>
      <c r="B200" s="1315"/>
      <c r="C200" s="1309"/>
      <c r="D200" s="27" t="s">
        <v>5107</v>
      </c>
      <c r="E200" s="27" t="s">
        <v>5110</v>
      </c>
      <c r="F200" s="1281"/>
      <c r="G200" s="1313"/>
    </row>
    <row r="201" spans="1:8" s="1135" customFormat="1" ht="36" customHeight="1">
      <c r="A201" s="1302"/>
      <c r="B201" s="1315"/>
      <c r="C201" s="1283" t="s">
        <v>5119</v>
      </c>
      <c r="D201" s="40" t="s">
        <v>5120</v>
      </c>
      <c r="E201" s="39" t="s">
        <v>5121</v>
      </c>
      <c r="F201" s="1281" t="s">
        <v>5122</v>
      </c>
      <c r="G201" s="1279"/>
      <c r="H201" s="1135" t="s">
        <v>5123</v>
      </c>
    </row>
    <row r="202" spans="1:8" s="1135" customFormat="1" ht="36" customHeight="1">
      <c r="A202" s="1302"/>
      <c r="B202" s="1315"/>
      <c r="C202" s="1283" t="s">
        <v>5124</v>
      </c>
      <c r="D202" s="40" t="s">
        <v>5125</v>
      </c>
      <c r="E202" s="39" t="s">
        <v>5126</v>
      </c>
      <c r="F202" s="27" t="s">
        <v>5127</v>
      </c>
      <c r="G202" s="41" t="s">
        <v>5128</v>
      </c>
      <c r="H202" s="1277" t="s">
        <v>5129</v>
      </c>
    </row>
    <row r="203" spans="1:8" s="1277" customFormat="1" ht="36" customHeight="1" thickBot="1">
      <c r="A203" s="1302"/>
      <c r="B203" s="1315"/>
      <c r="C203" s="1278" t="s">
        <v>5130</v>
      </c>
      <c r="D203" s="1281" t="s">
        <v>5131</v>
      </c>
      <c r="E203" s="1281" t="s">
        <v>5132</v>
      </c>
      <c r="F203" s="1281"/>
      <c r="G203" s="1280" t="s">
        <v>1442</v>
      </c>
    </row>
    <row r="204" spans="1:8" s="1135" customFormat="1" ht="36" customHeight="1" thickBot="1">
      <c r="A204" s="1303"/>
      <c r="B204" s="1316"/>
      <c r="C204" s="12"/>
      <c r="D204" s="11"/>
      <c r="E204" s="10"/>
      <c r="F204" s="10"/>
      <c r="G204" s="9"/>
    </row>
    <row r="205" spans="1:8" s="1135" customFormat="1" ht="36" customHeight="1">
      <c r="A205" s="1301">
        <v>44925</v>
      </c>
      <c r="B205" s="1314" t="s">
        <v>0</v>
      </c>
      <c r="C205" s="53" t="s">
        <v>5130</v>
      </c>
      <c r="D205" s="27" t="s">
        <v>1443</v>
      </c>
      <c r="E205" s="27" t="s">
        <v>5133</v>
      </c>
      <c r="F205" s="1286"/>
      <c r="G205" s="1285"/>
      <c r="H205" s="1287"/>
    </row>
    <row r="206" spans="1:8" s="1135" customFormat="1" ht="36" customHeight="1">
      <c r="A206" s="1302"/>
      <c r="B206" s="1315"/>
      <c r="C206" s="1284" t="s">
        <v>5134</v>
      </c>
      <c r="D206" s="27" t="s">
        <v>109</v>
      </c>
      <c r="E206" s="27" t="s">
        <v>5135</v>
      </c>
      <c r="F206" s="1286" t="s">
        <v>107</v>
      </c>
      <c r="G206" s="1285" t="s">
        <v>5136</v>
      </c>
      <c r="H206" s="1287" t="s">
        <v>5137</v>
      </c>
    </row>
    <row r="207" spans="1:8" s="1135" customFormat="1" ht="36" customHeight="1" thickBot="1">
      <c r="A207" s="1302"/>
      <c r="B207" s="1315"/>
      <c r="C207" s="21"/>
      <c r="D207" s="20"/>
      <c r="E207" s="19"/>
      <c r="F207" s="1010"/>
      <c r="G207" s="1077"/>
    </row>
    <row r="208" spans="1:8" s="1135" customFormat="1" ht="36" hidden="1" customHeight="1" thickBot="1">
      <c r="A208" s="1302"/>
      <c r="B208" s="1315"/>
      <c r="C208" s="1076"/>
      <c r="D208" s="16"/>
      <c r="E208" s="15"/>
      <c r="F208" s="482"/>
      <c r="G208" s="1077"/>
    </row>
    <row r="209" spans="1:7" s="1135" customFormat="1" ht="36" customHeight="1" thickBot="1">
      <c r="A209" s="1303"/>
      <c r="B209" s="1316"/>
      <c r="C209" s="12"/>
      <c r="D209" s="11"/>
      <c r="E209" s="10"/>
      <c r="F209" s="10"/>
      <c r="G209" s="9"/>
    </row>
  </sheetData>
  <mergeCells count="110">
    <mergeCell ref="G178:G179"/>
    <mergeCell ref="C178:C179"/>
    <mergeCell ref="C183:C184"/>
    <mergeCell ref="C195:C196"/>
    <mergeCell ref="G173:G175"/>
    <mergeCell ref="C161:C164"/>
    <mergeCell ref="C141:C143"/>
    <mergeCell ref="G141:G143"/>
    <mergeCell ref="C148:C150"/>
    <mergeCell ref="G148:G150"/>
    <mergeCell ref="G158:G159"/>
    <mergeCell ref="G161:G164"/>
    <mergeCell ref="C158:C159"/>
    <mergeCell ref="C156:C157"/>
    <mergeCell ref="G176:G177"/>
    <mergeCell ref="C165:C166"/>
    <mergeCell ref="G165:G166"/>
    <mergeCell ref="C176:C177"/>
    <mergeCell ref="C173:C175"/>
    <mergeCell ref="G189:G190"/>
    <mergeCell ref="B58:B66"/>
    <mergeCell ref="G134:G135"/>
    <mergeCell ref="C137:C140"/>
    <mergeCell ref="G137:G140"/>
    <mergeCell ref="A78:A82"/>
    <mergeCell ref="A112:A120"/>
    <mergeCell ref="B112:B120"/>
    <mergeCell ref="A121:G121"/>
    <mergeCell ref="G113:G114"/>
    <mergeCell ref="C113:C114"/>
    <mergeCell ref="C117:C118"/>
    <mergeCell ref="G117:G118"/>
    <mergeCell ref="A122:A127"/>
    <mergeCell ref="B122:B127"/>
    <mergeCell ref="A128:A145"/>
    <mergeCell ref="C128:C130"/>
    <mergeCell ref="C122:C125"/>
    <mergeCell ref="C134:C135"/>
    <mergeCell ref="B19:B32"/>
    <mergeCell ref="A67:A76"/>
    <mergeCell ref="B67:B76"/>
    <mergeCell ref="B146:B155"/>
    <mergeCell ref="A172:A182"/>
    <mergeCell ref="B172:B182"/>
    <mergeCell ref="C69:C72"/>
    <mergeCell ref="A146:A155"/>
    <mergeCell ref="A77:G77"/>
    <mergeCell ref="G59:G60"/>
    <mergeCell ref="C62:C63"/>
    <mergeCell ref="G62:G63"/>
    <mergeCell ref="C103:C104"/>
    <mergeCell ref="A83:A93"/>
    <mergeCell ref="B83:B93"/>
    <mergeCell ref="C95:C96"/>
    <mergeCell ref="A94:A102"/>
    <mergeCell ref="B94:B102"/>
    <mergeCell ref="C86:C87"/>
    <mergeCell ref="G86:G87"/>
    <mergeCell ref="B103:B111"/>
    <mergeCell ref="C90:C91"/>
    <mergeCell ref="G95:G96"/>
    <mergeCell ref="C84:C85"/>
    <mergeCell ref="C197:C200"/>
    <mergeCell ref="G197:G200"/>
    <mergeCell ref="G195:G196"/>
    <mergeCell ref="B78:B82"/>
    <mergeCell ref="A1:G1"/>
    <mergeCell ref="A2:A7"/>
    <mergeCell ref="B2:B7"/>
    <mergeCell ref="A8:A17"/>
    <mergeCell ref="B8:B17"/>
    <mergeCell ref="A18:G18"/>
    <mergeCell ref="C19:C20"/>
    <mergeCell ref="C21:C22"/>
    <mergeCell ref="C11:C12"/>
    <mergeCell ref="C49:C52"/>
    <mergeCell ref="C46:C48"/>
    <mergeCell ref="C27:C29"/>
    <mergeCell ref="C33:C36"/>
    <mergeCell ref="C67:C68"/>
    <mergeCell ref="B33:B43"/>
    <mergeCell ref="A58:A66"/>
    <mergeCell ref="A33:A43"/>
    <mergeCell ref="A44:A57"/>
    <mergeCell ref="B44:B57"/>
    <mergeCell ref="A19:A32"/>
    <mergeCell ref="A205:A209"/>
    <mergeCell ref="B205:B209"/>
    <mergeCell ref="C2:C3"/>
    <mergeCell ref="A183:A187"/>
    <mergeCell ref="B183:B187"/>
    <mergeCell ref="A188:A194"/>
    <mergeCell ref="B188:B194"/>
    <mergeCell ref="A195:A204"/>
    <mergeCell ref="B195:B204"/>
    <mergeCell ref="A156:A160"/>
    <mergeCell ref="B156:B160"/>
    <mergeCell ref="A161:A170"/>
    <mergeCell ref="B161:B170"/>
    <mergeCell ref="A171:G171"/>
    <mergeCell ref="C131:C132"/>
    <mergeCell ref="A103:A111"/>
    <mergeCell ref="G84:G85"/>
    <mergeCell ref="B128:B145"/>
    <mergeCell ref="G27:G29"/>
    <mergeCell ref="G11:G12"/>
    <mergeCell ref="C23:C25"/>
    <mergeCell ref="C40:C41"/>
    <mergeCell ref="G40:G41"/>
    <mergeCell ref="G46:G48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1"/>
  <sheetViews>
    <sheetView zoomScaleNormal="100" zoomScaleSheetLayoutView="75" workbookViewId="0">
      <selection activeCell="N59" sqref="N59"/>
    </sheetView>
  </sheetViews>
  <sheetFormatPr defaultColWidth="9" defaultRowHeight="16.5"/>
  <cols>
    <col min="1" max="1" width="12.5" style="109" bestFit="1" customWidth="1"/>
    <col min="2" max="2" width="14.125" style="108" customWidth="1"/>
    <col min="3" max="3" width="12.125" style="108" bestFit="1" customWidth="1"/>
    <col min="4" max="7" width="11.875" style="108" customWidth="1"/>
    <col min="8" max="8" width="11.875" style="107" customWidth="1"/>
    <col min="9" max="9" width="14.25" style="107" customWidth="1"/>
    <col min="10" max="10" width="13.625" style="107" customWidth="1"/>
    <col min="11" max="11" width="17.375" style="106" customWidth="1"/>
    <col min="12" max="12" width="18.75" style="106" bestFit="1" customWidth="1"/>
    <col min="14" max="14" width="11.625" bestFit="1" customWidth="1"/>
  </cols>
  <sheetData>
    <row r="1" spans="1:11" ht="45" customHeight="1" thickBot="1">
      <c r="A1" s="1366" t="s">
        <v>4112</v>
      </c>
      <c r="B1" s="1367"/>
      <c r="C1" s="1367"/>
      <c r="D1" s="1367"/>
      <c r="E1" s="1367"/>
      <c r="F1" s="1367"/>
      <c r="G1" s="1367"/>
      <c r="H1" s="1368"/>
      <c r="I1" s="1366" t="s">
        <v>726</v>
      </c>
      <c r="J1" s="1367"/>
      <c r="K1" s="1368"/>
    </row>
    <row r="2" spans="1:11" s="111" customFormat="1" ht="45.75" customHeight="1">
      <c r="A2" s="377" t="s">
        <v>725</v>
      </c>
      <c r="B2" s="378" t="s">
        <v>724</v>
      </c>
      <c r="C2" s="378" t="s">
        <v>723</v>
      </c>
      <c r="D2" s="378" t="s">
        <v>722</v>
      </c>
      <c r="E2" s="378" t="s">
        <v>721</v>
      </c>
      <c r="F2" s="379" t="s">
        <v>720</v>
      </c>
      <c r="G2" s="379" t="s">
        <v>681</v>
      </c>
      <c r="H2" s="146" t="s">
        <v>717</v>
      </c>
      <c r="I2" s="145" t="s">
        <v>719</v>
      </c>
      <c r="J2" s="144" t="s">
        <v>471</v>
      </c>
      <c r="K2" s="143" t="s">
        <v>718</v>
      </c>
    </row>
    <row r="3" spans="1:11" s="111" customFormat="1" ht="33" customHeight="1">
      <c r="A3" s="380">
        <v>45023</v>
      </c>
      <c r="B3" s="249"/>
      <c r="C3" s="249">
        <f>8+5+3</f>
        <v>16</v>
      </c>
      <c r="D3" s="255"/>
      <c r="E3" s="255"/>
      <c r="F3" s="255"/>
      <c r="G3" s="255"/>
      <c r="H3" s="131">
        <f t="shared" ref="H3" si="0">SUM(B3:F3)</f>
        <v>16</v>
      </c>
      <c r="I3" s="549">
        <f>8+5+3</f>
        <v>16</v>
      </c>
      <c r="J3" s="550">
        <v>2</v>
      </c>
      <c r="K3" s="551">
        <v>3</v>
      </c>
    </row>
    <row r="4" spans="1:11" s="111" customFormat="1" ht="33" customHeight="1" thickBot="1">
      <c r="A4" s="380">
        <v>45030</v>
      </c>
      <c r="B4" s="249"/>
      <c r="C4" s="1297">
        <f>3+23</f>
        <v>26</v>
      </c>
      <c r="D4" s="255"/>
      <c r="E4" s="255"/>
      <c r="F4" s="255"/>
      <c r="G4" s="255"/>
      <c r="H4" s="131">
        <f t="shared" ref="H4" si="1">SUM(B4:F4)</f>
        <v>26</v>
      </c>
      <c r="I4" s="549">
        <f>3+23</f>
        <v>26</v>
      </c>
      <c r="J4" s="550">
        <v>1</v>
      </c>
      <c r="K4" s="551">
        <v>3</v>
      </c>
    </row>
    <row r="5" spans="1:11" s="111" customFormat="1" ht="33" hidden="1" customHeight="1" thickBot="1">
      <c r="A5" s="380"/>
      <c r="B5" s="249"/>
      <c r="C5" s="249"/>
      <c r="D5" s="255"/>
      <c r="E5" s="255"/>
      <c r="F5" s="255"/>
      <c r="G5" s="255"/>
      <c r="H5" s="131">
        <f t="shared" ref="H5:H13" si="2">SUM(B5:F5)</f>
        <v>0</v>
      </c>
      <c r="I5" s="549"/>
      <c r="J5" s="550"/>
      <c r="K5" s="551"/>
    </row>
    <row r="6" spans="1:11" s="111" customFormat="1" ht="33" hidden="1" customHeight="1">
      <c r="A6" s="380"/>
      <c r="B6" s="249"/>
      <c r="C6" s="249"/>
      <c r="D6" s="255"/>
      <c r="E6" s="255"/>
      <c r="F6" s="255"/>
      <c r="G6" s="255"/>
      <c r="H6" s="131">
        <f t="shared" ref="H6" si="3">SUM(B6:F6)</f>
        <v>0</v>
      </c>
      <c r="I6" s="549"/>
      <c r="J6" s="550"/>
      <c r="K6" s="551"/>
    </row>
    <row r="7" spans="1:11" s="111" customFormat="1" ht="33" hidden="1" customHeight="1">
      <c r="A7" s="380"/>
      <c r="B7" s="249"/>
      <c r="C7" s="249"/>
      <c r="D7" s="255"/>
      <c r="E7" s="255"/>
      <c r="F7" s="255"/>
      <c r="G7" s="255"/>
      <c r="H7" s="131">
        <f t="shared" si="2"/>
        <v>0</v>
      </c>
      <c r="I7" s="549"/>
      <c r="J7" s="550"/>
      <c r="K7" s="551"/>
    </row>
    <row r="8" spans="1:11" s="111" customFormat="1" ht="33" hidden="1" customHeight="1">
      <c r="A8" s="380"/>
      <c r="B8" s="249"/>
      <c r="C8" s="249"/>
      <c r="D8" s="255"/>
      <c r="E8" s="255"/>
      <c r="F8" s="255"/>
      <c r="G8" s="255"/>
      <c r="H8" s="131">
        <f t="shared" si="2"/>
        <v>0</v>
      </c>
      <c r="I8" s="549"/>
      <c r="J8" s="550"/>
      <c r="K8" s="551"/>
    </row>
    <row r="9" spans="1:11" s="111" customFormat="1" ht="33" hidden="1" customHeight="1">
      <c r="A9" s="380"/>
      <c r="B9" s="249"/>
      <c r="C9" s="249"/>
      <c r="D9" s="255"/>
      <c r="E9" s="255"/>
      <c r="F9" s="255"/>
      <c r="G9" s="255"/>
      <c r="H9" s="131">
        <f t="shared" ref="H9" si="4">SUM(B9:F9)</f>
        <v>0</v>
      </c>
      <c r="I9" s="549"/>
      <c r="J9" s="550"/>
      <c r="K9" s="551"/>
    </row>
    <row r="10" spans="1:11" s="111" customFormat="1" ht="33" hidden="1" customHeight="1">
      <c r="A10" s="380"/>
      <c r="B10" s="249"/>
      <c r="C10" s="249"/>
      <c r="D10" s="255"/>
      <c r="E10" s="255"/>
      <c r="F10" s="255"/>
      <c r="G10" s="255"/>
      <c r="H10" s="131">
        <f t="shared" ref="H10" si="5">SUM(B10:F10)</f>
        <v>0</v>
      </c>
      <c r="I10" s="549"/>
      <c r="J10" s="550"/>
      <c r="K10" s="551"/>
    </row>
    <row r="11" spans="1:11" s="111" customFormat="1" ht="33" hidden="1" customHeight="1">
      <c r="A11" s="380"/>
      <c r="B11" s="249"/>
      <c r="C11" s="249"/>
      <c r="D11" s="255"/>
      <c r="E11" s="255"/>
      <c r="F11" s="255"/>
      <c r="G11" s="255"/>
      <c r="H11" s="131">
        <f t="shared" si="2"/>
        <v>0</v>
      </c>
      <c r="I11" s="549"/>
      <c r="J11" s="550"/>
      <c r="K11" s="551"/>
    </row>
    <row r="12" spans="1:11" s="111" customFormat="1" ht="33" hidden="1" customHeight="1">
      <c r="A12" s="380"/>
      <c r="B12" s="249"/>
      <c r="C12" s="249"/>
      <c r="D12" s="255"/>
      <c r="E12" s="255"/>
      <c r="F12" s="255"/>
      <c r="G12" s="255"/>
      <c r="H12" s="131">
        <f t="shared" ref="H12" si="6">SUM(B12:F12)</f>
        <v>0</v>
      </c>
      <c r="I12" s="549"/>
      <c r="J12" s="550"/>
      <c r="K12" s="551"/>
    </row>
    <row r="13" spans="1:11" s="111" customFormat="1" ht="33" hidden="1" customHeight="1" thickBot="1">
      <c r="A13" s="380"/>
      <c r="B13" s="249"/>
      <c r="C13" s="249"/>
      <c r="D13" s="255"/>
      <c r="E13" s="255"/>
      <c r="F13" s="255"/>
      <c r="G13" s="255"/>
      <c r="H13" s="131">
        <f t="shared" si="2"/>
        <v>0</v>
      </c>
      <c r="I13" s="549"/>
      <c r="J13" s="550"/>
      <c r="K13" s="551"/>
    </row>
    <row r="14" spans="1:11" s="111" customFormat="1" ht="33" customHeight="1" thickBot="1">
      <c r="A14" s="196" t="s">
        <v>717</v>
      </c>
      <c r="B14" s="197">
        <f>SUM(B3:B13)</f>
        <v>0</v>
      </c>
      <c r="C14" s="197">
        <f>SUM(C3:C13)</f>
        <v>42</v>
      </c>
      <c r="D14" s="197">
        <f>SUM(D3:D13)</f>
        <v>0</v>
      </c>
      <c r="E14" s="197">
        <v>0</v>
      </c>
      <c r="F14" s="197"/>
      <c r="G14" s="197"/>
      <c r="H14" s="197">
        <f>SUM(H3:H13)</f>
        <v>42</v>
      </c>
      <c r="I14" s="135">
        <f>SUM(I3:I13)</f>
        <v>42</v>
      </c>
      <c r="J14" s="137"/>
      <c r="K14" s="136"/>
    </row>
    <row r="15" spans="1:11" s="111" customFormat="1" ht="33" customHeight="1">
      <c r="A15" s="142"/>
      <c r="B15" s="141"/>
      <c r="C15" s="141"/>
      <c r="D15" s="140"/>
      <c r="E15" s="140"/>
      <c r="F15" s="140"/>
      <c r="G15" s="140"/>
      <c r="H15" s="139">
        <f t="shared" ref="H15:H25" si="7">SUM(B15:F15)</f>
        <v>0</v>
      </c>
      <c r="I15" s="135"/>
      <c r="J15" s="137"/>
      <c r="K15" s="136"/>
    </row>
    <row r="16" spans="1:11" s="111" customFormat="1" ht="33" customHeight="1">
      <c r="A16" s="138"/>
      <c r="B16" s="133"/>
      <c r="C16" s="133"/>
      <c r="D16" s="132"/>
      <c r="E16" s="132"/>
      <c r="F16" s="132"/>
      <c r="G16" s="132"/>
      <c r="H16" s="131">
        <f t="shared" si="7"/>
        <v>0</v>
      </c>
      <c r="I16" s="135"/>
      <c r="J16" s="137"/>
      <c r="K16" s="136"/>
    </row>
    <row r="17" spans="1:18" s="111" customFormat="1" ht="33" customHeight="1">
      <c r="A17" s="134"/>
      <c r="B17" s="133"/>
      <c r="C17" s="133"/>
      <c r="D17" s="132"/>
      <c r="E17" s="132"/>
      <c r="F17" s="132"/>
      <c r="G17" s="132"/>
      <c r="H17" s="131">
        <f t="shared" si="7"/>
        <v>0</v>
      </c>
      <c r="I17" s="135"/>
      <c r="J17" s="137"/>
      <c r="K17" s="136"/>
    </row>
    <row r="18" spans="1:18" s="111" customFormat="1" ht="33" customHeight="1">
      <c r="A18" s="134"/>
      <c r="B18" s="133"/>
      <c r="C18" s="133"/>
      <c r="D18" s="132"/>
      <c r="E18" s="132"/>
      <c r="F18" s="132"/>
      <c r="G18" s="132"/>
      <c r="H18" s="131">
        <f t="shared" si="7"/>
        <v>0</v>
      </c>
      <c r="I18" s="135"/>
      <c r="J18" s="137"/>
      <c r="K18" s="136"/>
    </row>
    <row r="19" spans="1:18" s="111" customFormat="1" ht="33" customHeight="1">
      <c r="A19" s="134"/>
      <c r="B19" s="133"/>
      <c r="C19" s="133"/>
      <c r="D19" s="132"/>
      <c r="E19" s="132"/>
      <c r="F19" s="132"/>
      <c r="G19" s="132"/>
      <c r="H19" s="131">
        <f t="shared" si="7"/>
        <v>0</v>
      </c>
      <c r="I19" s="135"/>
      <c r="J19" s="129"/>
      <c r="K19" s="128"/>
    </row>
    <row r="20" spans="1:18" s="111" customFormat="1" ht="33" customHeight="1">
      <c r="A20" s="134"/>
      <c r="B20" s="133"/>
      <c r="C20" s="133"/>
      <c r="D20" s="132"/>
      <c r="E20" s="132"/>
      <c r="F20" s="132"/>
      <c r="G20" s="132"/>
      <c r="H20" s="131">
        <f t="shared" si="7"/>
        <v>0</v>
      </c>
      <c r="I20" s="135"/>
      <c r="J20" s="129"/>
      <c r="K20" s="128"/>
    </row>
    <row r="21" spans="1:18" s="111" customFormat="1" ht="33" customHeight="1">
      <c r="A21" s="134"/>
      <c r="B21" s="133"/>
      <c r="C21" s="133"/>
      <c r="D21" s="132"/>
      <c r="E21" s="132"/>
      <c r="F21" s="132"/>
      <c r="G21" s="132"/>
      <c r="H21" s="131">
        <f t="shared" si="7"/>
        <v>0</v>
      </c>
      <c r="I21" s="135"/>
      <c r="J21" s="129"/>
      <c r="K21" s="128"/>
    </row>
    <row r="22" spans="1:18" s="111" customFormat="1" ht="33" customHeight="1">
      <c r="A22" s="134"/>
      <c r="B22" s="133"/>
      <c r="C22" s="133"/>
      <c r="D22" s="132"/>
      <c r="E22" s="132"/>
      <c r="F22" s="132"/>
      <c r="G22" s="132"/>
      <c r="H22" s="131">
        <f t="shared" si="7"/>
        <v>0</v>
      </c>
      <c r="I22" s="135"/>
      <c r="J22" s="129"/>
      <c r="K22" s="128"/>
    </row>
    <row r="23" spans="1:18" s="111" customFormat="1" ht="33" customHeight="1">
      <c r="A23" s="134"/>
      <c r="B23" s="133"/>
      <c r="C23" s="133"/>
      <c r="D23" s="132"/>
      <c r="E23" s="132"/>
      <c r="F23" s="132"/>
      <c r="G23" s="132"/>
      <c r="H23" s="131">
        <f t="shared" si="7"/>
        <v>0</v>
      </c>
      <c r="I23" s="135"/>
      <c r="J23" s="129"/>
      <c r="K23" s="128"/>
    </row>
    <row r="24" spans="1:18" s="111" customFormat="1" ht="33" customHeight="1">
      <c r="A24" s="134"/>
      <c r="B24" s="133"/>
      <c r="C24" s="133"/>
      <c r="D24" s="132"/>
      <c r="E24" s="132"/>
      <c r="F24" s="132"/>
      <c r="G24" s="132"/>
      <c r="H24" s="131">
        <f t="shared" si="7"/>
        <v>0</v>
      </c>
      <c r="I24" s="135"/>
      <c r="J24" s="129"/>
      <c r="K24" s="128"/>
    </row>
    <row r="25" spans="1:18" s="111" customFormat="1" ht="33" customHeight="1">
      <c r="A25" s="134"/>
      <c r="B25" s="133"/>
      <c r="C25" s="133"/>
      <c r="D25" s="132"/>
      <c r="E25" s="132"/>
      <c r="F25" s="132"/>
      <c r="G25" s="132"/>
      <c r="H25" s="131">
        <f t="shared" si="7"/>
        <v>0</v>
      </c>
      <c r="I25" s="130"/>
      <c r="J25" s="129"/>
      <c r="K25" s="128"/>
    </row>
    <row r="26" spans="1:18" s="111" customFormat="1" ht="33" customHeight="1" thickBot="1">
      <c r="A26" s="127" t="s">
        <v>717</v>
      </c>
      <c r="B26" s="126">
        <f t="shared" ref="B26:H26" si="8">SUM(B3:B25)</f>
        <v>0</v>
      </c>
      <c r="C26" s="126">
        <f t="shared" si="8"/>
        <v>84</v>
      </c>
      <c r="D26" s="126">
        <f t="shared" si="8"/>
        <v>0</v>
      </c>
      <c r="E26" s="126">
        <f t="shared" si="8"/>
        <v>0</v>
      </c>
      <c r="F26" s="126">
        <f t="shared" si="8"/>
        <v>0</v>
      </c>
      <c r="G26" s="126">
        <f t="shared" si="8"/>
        <v>0</v>
      </c>
      <c r="H26" s="125">
        <f t="shared" si="8"/>
        <v>84</v>
      </c>
      <c r="I26" s="124" t="s">
        <v>716</v>
      </c>
      <c r="J26" s="123">
        <f>SUM(J3:J25)</f>
        <v>3</v>
      </c>
      <c r="K26" s="122">
        <f>SUM(K3:K25)</f>
        <v>6</v>
      </c>
      <c r="O26" s="112"/>
      <c r="R26" s="110"/>
    </row>
    <row r="27" spans="1:18" ht="29.25" customHeight="1" thickBot="1">
      <c r="A27" s="121"/>
      <c r="B27" s="120"/>
      <c r="C27" s="119"/>
      <c r="D27" s="119"/>
      <c r="E27" s="119"/>
      <c r="F27" s="119"/>
      <c r="G27" s="119"/>
      <c r="H27" s="118"/>
      <c r="I27" s="117" t="s">
        <v>715</v>
      </c>
      <c r="J27" s="116"/>
      <c r="K27" s="115"/>
      <c r="R27" s="110"/>
    </row>
    <row r="28" spans="1:18" ht="29.25" customHeight="1">
      <c r="H28" s="114"/>
      <c r="R28" s="110"/>
    </row>
    <row r="29" spans="1:18" ht="29.25" customHeight="1">
      <c r="B29" s="108" t="s">
        <v>714</v>
      </c>
      <c r="D29" s="112" t="s">
        <v>713</v>
      </c>
      <c r="J29" s="113"/>
      <c r="K29" s="113"/>
      <c r="P29" s="111"/>
      <c r="R29" s="110"/>
    </row>
    <row r="30" spans="1:18" ht="23.25" customHeight="1">
      <c r="A30"/>
      <c r="B30" s="108" t="s">
        <v>712</v>
      </c>
      <c r="D30" s="112" t="s">
        <v>711</v>
      </c>
      <c r="I30" s="107" t="s">
        <v>710</v>
      </c>
      <c r="J30"/>
      <c r="K30"/>
      <c r="L30"/>
      <c r="P30" s="111"/>
      <c r="R30" s="110"/>
    </row>
    <row r="31" spans="1:18">
      <c r="A31"/>
      <c r="B31" s="108" t="s">
        <v>709</v>
      </c>
      <c r="I31" s="107" t="s">
        <v>708</v>
      </c>
      <c r="J31"/>
      <c r="K31"/>
      <c r="L31"/>
      <c r="R31" s="110"/>
    </row>
  </sheetData>
  <mergeCells count="2">
    <mergeCell ref="A1:H1"/>
    <mergeCell ref="I1:K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1"/>
  <sheetViews>
    <sheetView topLeftCell="A9" zoomScaleNormal="100" workbookViewId="0">
      <selection activeCell="N59" sqref="N59"/>
    </sheetView>
  </sheetViews>
  <sheetFormatPr defaultRowHeight="16.5"/>
  <cols>
    <col min="5" max="5" width="5.875" customWidth="1"/>
    <col min="6" max="6" width="21.25" bestFit="1" customWidth="1"/>
    <col min="7" max="7" width="19.75" customWidth="1"/>
    <col min="8" max="8" width="21.75" customWidth="1"/>
    <col min="9" max="9" width="11.625" bestFit="1" customWidth="1"/>
    <col min="10" max="10" width="7.625" customWidth="1"/>
    <col min="11" max="11" width="11.375" customWidth="1"/>
    <col min="12" max="12" width="14.625" customWidth="1"/>
    <col min="13" max="13" width="13" customWidth="1"/>
    <col min="14" max="14" width="15.125" customWidth="1"/>
  </cols>
  <sheetData>
    <row r="1" spans="1:19" ht="54">
      <c r="A1" s="175" t="s">
        <v>891</v>
      </c>
      <c r="B1" s="174"/>
      <c r="C1" s="174"/>
      <c r="D1" s="174"/>
      <c r="E1" s="174"/>
      <c r="F1" s="174"/>
      <c r="G1" s="174"/>
      <c r="H1" s="174"/>
      <c r="I1" s="193" t="s">
        <v>890</v>
      </c>
      <c r="J1" s="192"/>
      <c r="K1" s="192"/>
      <c r="L1" s="192"/>
      <c r="M1" s="192"/>
      <c r="N1" s="192"/>
      <c r="O1" s="192"/>
      <c r="P1" s="192"/>
      <c r="Q1" s="191"/>
      <c r="R1" s="191"/>
      <c r="S1" s="191"/>
    </row>
    <row r="2" spans="1:19" ht="54">
      <c r="A2" s="175" t="s">
        <v>889</v>
      </c>
      <c r="B2" s="174"/>
      <c r="C2" s="174"/>
      <c r="D2" s="174"/>
      <c r="E2" s="174"/>
      <c r="F2" s="174"/>
      <c r="G2" s="174"/>
      <c r="H2" s="174"/>
      <c r="I2" s="190" t="s">
        <v>888</v>
      </c>
      <c r="J2" s="164"/>
      <c r="K2" s="164"/>
      <c r="L2" s="164"/>
      <c r="M2" s="164"/>
      <c r="N2" s="164"/>
      <c r="O2" s="164"/>
      <c r="P2" s="164"/>
      <c r="Q2" s="177"/>
      <c r="R2" s="177"/>
      <c r="S2" s="177"/>
    </row>
    <row r="3" spans="1:19" ht="54">
      <c r="A3" s="175" t="s">
        <v>887</v>
      </c>
      <c r="B3" s="174"/>
      <c r="C3" s="174"/>
      <c r="D3" s="174"/>
      <c r="E3" s="174"/>
      <c r="F3" s="174"/>
      <c r="G3" s="174"/>
      <c r="H3" s="174"/>
      <c r="I3" s="164" t="s">
        <v>886</v>
      </c>
      <c r="J3" s="164"/>
      <c r="K3" s="164"/>
      <c r="L3" s="164"/>
      <c r="M3" s="164"/>
      <c r="N3" s="164"/>
      <c r="O3" s="164"/>
      <c r="P3" s="164"/>
      <c r="Q3" s="177"/>
      <c r="R3" s="177"/>
      <c r="S3" s="177"/>
    </row>
    <row r="4" spans="1:19" ht="54">
      <c r="A4" s="175" t="s">
        <v>5169</v>
      </c>
      <c r="B4" s="174"/>
      <c r="C4" s="174"/>
      <c r="D4" s="174"/>
      <c r="E4" s="174"/>
      <c r="F4" s="174"/>
      <c r="G4" s="174"/>
      <c r="H4" s="174"/>
      <c r="I4" s="164" t="s">
        <v>885</v>
      </c>
      <c r="J4" s="164"/>
      <c r="K4" s="164"/>
      <c r="L4" s="164"/>
      <c r="M4" s="164"/>
      <c r="N4" s="164"/>
      <c r="O4" s="164"/>
      <c r="P4" s="164"/>
      <c r="Q4" s="177"/>
      <c r="R4" s="177"/>
      <c r="S4" s="177"/>
    </row>
    <row r="5" spans="1:19" ht="54">
      <c r="A5" s="175"/>
      <c r="B5" s="174"/>
      <c r="C5" s="174"/>
      <c r="D5" s="174"/>
      <c r="E5" s="174"/>
      <c r="F5" s="174"/>
      <c r="G5" s="174"/>
      <c r="H5" s="174"/>
      <c r="I5" s="164"/>
      <c r="J5" s="164"/>
      <c r="K5" s="164"/>
      <c r="L5" s="164"/>
      <c r="M5" s="164"/>
      <c r="N5" s="164"/>
      <c r="O5" s="164"/>
      <c r="P5" s="164"/>
      <c r="Q5" s="177"/>
      <c r="R5" s="177"/>
      <c r="S5" s="177"/>
    </row>
    <row r="6" spans="1:19" ht="54">
      <c r="A6" s="186" t="s">
        <v>5170</v>
      </c>
      <c r="B6" s="174"/>
      <c r="C6" s="174"/>
      <c r="D6" s="174"/>
      <c r="E6" s="174"/>
      <c r="F6" s="174"/>
      <c r="G6" s="174"/>
      <c r="H6" s="174"/>
      <c r="I6" s="189" t="s">
        <v>884</v>
      </c>
      <c r="J6" s="164"/>
      <c r="K6" s="164"/>
      <c r="L6" s="164"/>
      <c r="M6" s="164"/>
      <c r="N6" s="164"/>
      <c r="O6" s="164"/>
      <c r="P6" s="164"/>
      <c r="Q6" s="177"/>
      <c r="R6" s="177"/>
      <c r="S6" s="177"/>
    </row>
    <row r="7" spans="1:19" ht="54">
      <c r="A7" s="186" t="s">
        <v>5171</v>
      </c>
      <c r="B7" s="174"/>
      <c r="C7" s="174"/>
      <c r="D7" s="174"/>
      <c r="E7" s="174"/>
      <c r="F7" s="186"/>
      <c r="G7" s="174"/>
      <c r="H7" s="174"/>
      <c r="I7" s="164"/>
      <c r="J7" s="164"/>
      <c r="K7" s="164"/>
      <c r="L7" s="164"/>
      <c r="M7" s="164"/>
      <c r="N7" s="164"/>
      <c r="O7" s="164"/>
      <c r="P7" s="164"/>
      <c r="Q7" s="177"/>
      <c r="R7" s="177"/>
      <c r="S7" s="177"/>
    </row>
    <row r="8" spans="1:19" ht="54">
      <c r="A8" s="186" t="s">
        <v>5172</v>
      </c>
      <c r="B8" s="174"/>
      <c r="C8" s="174"/>
      <c r="D8" s="174"/>
      <c r="E8" s="174"/>
      <c r="F8" s="174"/>
      <c r="G8" s="174"/>
      <c r="H8" s="174"/>
      <c r="I8" s="217" t="s">
        <v>3507</v>
      </c>
      <c r="J8" s="164"/>
      <c r="K8" s="164"/>
      <c r="L8" s="164"/>
      <c r="M8" s="164"/>
      <c r="N8" s="164"/>
      <c r="O8" s="164"/>
      <c r="P8" s="164"/>
      <c r="Q8" s="177"/>
      <c r="R8" s="177"/>
      <c r="S8" s="177"/>
    </row>
    <row r="9" spans="1:19" ht="54">
      <c r="A9" s="217" t="s">
        <v>5173</v>
      </c>
      <c r="B9" s="174"/>
      <c r="C9" s="174"/>
      <c r="D9" s="174"/>
      <c r="E9" s="174"/>
      <c r="F9" s="174"/>
      <c r="G9" s="174"/>
      <c r="H9" s="174"/>
      <c r="I9" s="164"/>
      <c r="J9" s="164"/>
      <c r="K9" s="164"/>
      <c r="L9" s="164"/>
      <c r="M9" s="164"/>
      <c r="N9" s="164"/>
      <c r="O9" s="164"/>
      <c r="P9" s="164"/>
      <c r="Q9" s="177"/>
      <c r="R9" s="177"/>
      <c r="S9" s="177"/>
    </row>
    <row r="10" spans="1:19" ht="49.5">
      <c r="B10" s="174"/>
      <c r="C10" s="174"/>
      <c r="D10" s="174"/>
      <c r="E10" s="174"/>
      <c r="F10" s="174"/>
      <c r="G10" s="174"/>
      <c r="H10" s="174"/>
      <c r="J10" s="188"/>
      <c r="K10" s="187"/>
    </row>
    <row r="11" spans="1:19" ht="36.75" customHeight="1"/>
    <row r="12" spans="1:19" s="178" customFormat="1" ht="54">
      <c r="A12" s="175" t="s">
        <v>883</v>
      </c>
      <c r="B12" s="175"/>
      <c r="C12" s="175"/>
      <c r="D12" s="175"/>
      <c r="E12" s="175"/>
      <c r="F12" s="175"/>
      <c r="G12" s="175"/>
      <c r="H12" s="175"/>
      <c r="I12" s="164" t="s">
        <v>882</v>
      </c>
      <c r="J12" s="164"/>
      <c r="K12" s="164"/>
      <c r="L12" s="164"/>
      <c r="M12" s="164"/>
      <c r="N12" s="186"/>
      <c r="O12" s="186"/>
      <c r="P12" s="186"/>
      <c r="Q12" s="186"/>
      <c r="R12" s="172"/>
    </row>
    <row r="13" spans="1:19" s="178" customFormat="1" ht="54">
      <c r="A13" s="175" t="s">
        <v>5164</v>
      </c>
      <c r="B13" s="175"/>
      <c r="C13" s="175"/>
      <c r="D13" s="175"/>
      <c r="E13" s="175"/>
      <c r="F13" s="175"/>
      <c r="G13" s="175"/>
      <c r="H13" s="175"/>
      <c r="I13" s="164" t="s">
        <v>881</v>
      </c>
      <c r="J13" s="164"/>
      <c r="K13" s="164"/>
      <c r="L13" s="164"/>
      <c r="M13" s="164"/>
      <c r="N13" s="186"/>
      <c r="O13" s="186"/>
      <c r="P13" s="186"/>
      <c r="Q13" s="186"/>
      <c r="R13" s="172"/>
    </row>
    <row r="14" spans="1:19" s="178" customFormat="1" ht="54">
      <c r="A14" s="175" t="s">
        <v>880</v>
      </c>
      <c r="B14" s="175"/>
      <c r="C14" s="175"/>
      <c r="D14" s="175"/>
      <c r="E14" s="175"/>
      <c r="F14" s="175"/>
      <c r="G14" s="175"/>
      <c r="H14" s="175"/>
      <c r="I14" s="164" t="s">
        <v>879</v>
      </c>
      <c r="J14" s="164"/>
      <c r="K14" s="164"/>
      <c r="L14" s="164"/>
      <c r="M14" s="164"/>
      <c r="N14" s="186"/>
      <c r="O14" s="186"/>
      <c r="P14" s="186"/>
      <c r="Q14" s="186"/>
      <c r="R14" s="172"/>
    </row>
    <row r="15" spans="1:19" s="178" customFormat="1" ht="54">
      <c r="A15" s="175" t="s">
        <v>878</v>
      </c>
      <c r="B15" s="175"/>
      <c r="C15" s="175"/>
      <c r="D15" s="175"/>
      <c r="E15" s="175"/>
      <c r="F15" s="175"/>
      <c r="G15" s="175"/>
      <c r="H15" s="175"/>
      <c r="I15" s="164" t="s">
        <v>877</v>
      </c>
      <c r="J15" s="164"/>
      <c r="K15" s="164"/>
      <c r="L15" s="164"/>
      <c r="M15" s="164"/>
      <c r="N15" s="186"/>
      <c r="O15" s="186"/>
      <c r="P15" s="186"/>
      <c r="Q15" s="186"/>
      <c r="R15" s="172"/>
    </row>
    <row r="16" spans="1:19" s="178" customFormat="1" ht="54">
      <c r="A16" s="175"/>
      <c r="B16" s="175"/>
      <c r="C16" s="175"/>
      <c r="D16" s="175"/>
      <c r="E16" s="175"/>
      <c r="F16" s="175"/>
      <c r="G16" s="175"/>
      <c r="H16" s="175"/>
      <c r="I16" s="164"/>
      <c r="J16" s="164"/>
      <c r="K16" s="164"/>
      <c r="L16" s="164"/>
      <c r="M16" s="164"/>
      <c r="N16" s="186"/>
      <c r="O16" s="186"/>
      <c r="P16" s="186"/>
      <c r="Q16" s="186"/>
      <c r="R16" s="172"/>
    </row>
    <row r="17" spans="1:18" s="178" customFormat="1" ht="54">
      <c r="A17" s="172" t="s">
        <v>3055</v>
      </c>
      <c r="B17" s="175"/>
      <c r="C17" s="175"/>
      <c r="D17" s="175"/>
      <c r="E17" s="175"/>
      <c r="F17" s="175"/>
      <c r="G17" s="175"/>
      <c r="H17" s="175"/>
      <c r="I17" s="164" t="s">
        <v>1713</v>
      </c>
      <c r="J17" s="164"/>
      <c r="K17" s="164"/>
      <c r="L17" s="164"/>
      <c r="M17" s="164"/>
      <c r="N17" s="429"/>
      <c r="O17" s="184"/>
      <c r="Q17" s="186"/>
      <c r="R17" s="172"/>
    </row>
    <row r="18" spans="1:18" s="178" customFormat="1" ht="54">
      <c r="A18" s="172" t="s">
        <v>3047</v>
      </c>
      <c r="B18" s="175"/>
      <c r="C18" s="175"/>
      <c r="D18" s="175"/>
      <c r="E18" s="175"/>
      <c r="F18" s="175"/>
      <c r="G18" s="175"/>
      <c r="H18" s="175"/>
      <c r="I18" s="164" t="s">
        <v>1288</v>
      </c>
      <c r="J18" s="164"/>
      <c r="K18" s="164"/>
      <c r="L18" s="164"/>
      <c r="M18" s="164"/>
      <c r="N18" s="429"/>
      <c r="O18" s="184"/>
      <c r="Q18" s="186"/>
      <c r="R18" s="172"/>
    </row>
    <row r="19" spans="1:18" s="178" customFormat="1" ht="54">
      <c r="A19" s="172"/>
      <c r="B19" s="175"/>
      <c r="C19" s="175"/>
      <c r="D19" s="175"/>
      <c r="E19" s="175"/>
      <c r="F19" s="175"/>
      <c r="G19" s="175"/>
      <c r="H19" s="175"/>
      <c r="I19" s="164"/>
      <c r="J19" s="164"/>
      <c r="K19" s="164"/>
      <c r="L19" s="164"/>
      <c r="M19" s="164"/>
      <c r="N19" s="184"/>
      <c r="O19" s="184"/>
      <c r="Q19" s="186"/>
      <c r="R19" s="172"/>
    </row>
    <row r="20" spans="1:18" s="178" customFormat="1" ht="50.25">
      <c r="A20" s="172" t="s">
        <v>1711</v>
      </c>
      <c r="B20" s="175"/>
      <c r="C20" s="175"/>
      <c r="D20" s="175"/>
      <c r="E20" s="175"/>
      <c r="F20" s="175"/>
      <c r="G20" s="175"/>
      <c r="H20" s="175"/>
      <c r="J20" s="186"/>
      <c r="K20" s="186"/>
      <c r="L20" s="186"/>
      <c r="M20" s="186"/>
      <c r="N20" s="186"/>
      <c r="O20" s="186"/>
      <c r="P20" s="186"/>
      <c r="Q20" s="186"/>
      <c r="R20" s="172"/>
    </row>
    <row r="21" spans="1:18" s="178" customFormat="1" ht="45">
      <c r="J21" s="172"/>
      <c r="K21" s="172"/>
      <c r="L21" s="172"/>
      <c r="M21" s="172"/>
      <c r="N21" s="172"/>
      <c r="O21" s="172"/>
      <c r="P21" s="172"/>
      <c r="Q21" s="172"/>
      <c r="R21" s="172"/>
    </row>
    <row r="22" spans="1:18" s="183" customFormat="1" ht="54" customHeight="1">
      <c r="A22" s="178"/>
      <c r="B22" s="178"/>
      <c r="C22" s="178"/>
      <c r="D22" s="178"/>
      <c r="E22" s="178"/>
      <c r="F22" s="178"/>
      <c r="G22" s="178"/>
      <c r="H22" s="178"/>
    </row>
    <row r="23" spans="1:18" ht="36.75" customHeight="1"/>
    <row r="24" spans="1:18" s="183" customFormat="1" ht="41.25">
      <c r="A24" s="184" t="s">
        <v>876</v>
      </c>
      <c r="I24" s="185" t="s">
        <v>875</v>
      </c>
    </row>
    <row r="25" spans="1:18" s="183" customFormat="1" ht="41.25">
      <c r="A25" s="184" t="s">
        <v>874</v>
      </c>
      <c r="I25" s="177" t="s">
        <v>873</v>
      </c>
    </row>
    <row r="26" spans="1:18" s="183" customFormat="1" ht="41.25">
      <c r="A26" s="184" t="s">
        <v>872</v>
      </c>
      <c r="I26" s="177" t="s">
        <v>871</v>
      </c>
    </row>
    <row r="27" spans="1:18" ht="41.25">
      <c r="A27" s="182" t="s">
        <v>870</v>
      </c>
    </row>
    <row r="28" spans="1:18" ht="48" customHeight="1"/>
    <row r="29" spans="1:18" ht="45">
      <c r="A29" s="180" t="s">
        <v>814</v>
      </c>
      <c r="I29" s="181" t="s">
        <v>869</v>
      </c>
      <c r="J29" s="179"/>
      <c r="K29" s="179"/>
      <c r="L29" s="179"/>
      <c r="M29" s="179"/>
      <c r="N29" s="179"/>
      <c r="O29" s="179"/>
      <c r="P29" s="179"/>
    </row>
    <row r="30" spans="1:18" ht="45">
      <c r="A30" s="180" t="s">
        <v>868</v>
      </c>
      <c r="I30" s="172" t="s">
        <v>867</v>
      </c>
      <c r="J30" s="179"/>
      <c r="K30" s="179"/>
      <c r="L30" s="179"/>
      <c r="M30" s="179"/>
      <c r="N30" s="179"/>
      <c r="O30" s="179"/>
      <c r="P30" s="179"/>
    </row>
    <row r="31" spans="1:18" ht="45">
      <c r="A31" s="180" t="s">
        <v>3705</v>
      </c>
      <c r="I31" s="172" t="s">
        <v>866</v>
      </c>
      <c r="J31" s="179"/>
      <c r="K31" s="179"/>
      <c r="L31" s="179"/>
      <c r="M31" s="179"/>
      <c r="N31" s="179"/>
      <c r="O31" s="179"/>
      <c r="P31" s="179"/>
    </row>
    <row r="32" spans="1:18" ht="45">
      <c r="A32" s="180" t="s">
        <v>3706</v>
      </c>
      <c r="I32" s="172"/>
      <c r="J32" s="179"/>
      <c r="K32" s="179"/>
      <c r="L32" s="179"/>
      <c r="M32" s="179"/>
      <c r="N32" s="179"/>
      <c r="O32" s="179"/>
      <c r="P32" s="179"/>
    </row>
    <row r="33" spans="1:16" ht="45">
      <c r="A33" s="180"/>
      <c r="I33" s="172" t="s">
        <v>1714</v>
      </c>
      <c r="J33" s="179"/>
      <c r="K33" s="179"/>
      <c r="L33" s="179"/>
      <c r="M33" s="179"/>
      <c r="N33" s="179"/>
      <c r="O33" s="179"/>
      <c r="P33" s="179"/>
    </row>
    <row r="34" spans="1:16" ht="45">
      <c r="A34" s="180" t="s">
        <v>2343</v>
      </c>
      <c r="I34" s="172"/>
      <c r="J34" s="179"/>
      <c r="K34" s="179"/>
      <c r="L34" s="179"/>
      <c r="M34" s="179"/>
      <c r="N34" s="179"/>
      <c r="O34" s="179"/>
      <c r="P34" s="179"/>
    </row>
    <row r="35" spans="1:16" ht="45">
      <c r="A35" s="180" t="s">
        <v>2344</v>
      </c>
      <c r="I35" s="172" t="s">
        <v>4459</v>
      </c>
      <c r="J35" s="179"/>
      <c r="K35" s="179"/>
      <c r="L35" s="179"/>
      <c r="M35" s="179"/>
      <c r="N35" s="179"/>
      <c r="O35" s="179"/>
      <c r="P35" s="179"/>
    </row>
    <row r="36" spans="1:16" ht="45">
      <c r="A36" s="180" t="s">
        <v>1279</v>
      </c>
      <c r="I36" s="172" t="s">
        <v>4460</v>
      </c>
      <c r="J36" s="179"/>
      <c r="K36" s="179"/>
      <c r="L36" s="179"/>
      <c r="M36" s="179"/>
      <c r="N36" s="179"/>
      <c r="O36" s="179"/>
      <c r="P36" s="179"/>
    </row>
    <row r="37" spans="1:16" ht="45">
      <c r="A37" s="180"/>
      <c r="I37" s="172" t="s">
        <v>4461</v>
      </c>
      <c r="J37" s="179"/>
      <c r="K37" s="179"/>
      <c r="L37" s="179"/>
      <c r="M37" s="179"/>
      <c r="N37" s="179"/>
      <c r="O37" s="179"/>
      <c r="P37" s="179"/>
    </row>
    <row r="38" spans="1:16" ht="45">
      <c r="A38" s="172" t="s">
        <v>2345</v>
      </c>
      <c r="I38" s="172" t="s">
        <v>4471</v>
      </c>
      <c r="J38" s="179"/>
      <c r="K38" s="179"/>
      <c r="L38" s="179"/>
      <c r="M38" s="179"/>
      <c r="N38" s="179"/>
      <c r="O38" s="179"/>
      <c r="P38" s="179"/>
    </row>
    <row r="39" spans="1:16" ht="45">
      <c r="A39" s="172"/>
      <c r="I39" s="172"/>
      <c r="J39" s="179"/>
      <c r="K39" s="179"/>
      <c r="L39" s="179"/>
      <c r="M39" s="179"/>
      <c r="N39" s="179"/>
      <c r="O39" s="179"/>
      <c r="P39" s="179"/>
    </row>
    <row r="40" spans="1:16" ht="45">
      <c r="A40" s="172"/>
      <c r="I40" s="172" t="s">
        <v>4463</v>
      </c>
      <c r="J40" s="179"/>
      <c r="K40" s="179"/>
      <c r="L40" s="179"/>
      <c r="M40" s="179"/>
      <c r="N40" s="179"/>
      <c r="O40" s="179"/>
      <c r="P40" s="179"/>
    </row>
    <row r="41" spans="1:16" ht="45">
      <c r="A41" s="172"/>
      <c r="I41" s="172" t="s">
        <v>4464</v>
      </c>
      <c r="J41" s="179"/>
      <c r="K41" s="179"/>
      <c r="L41" s="179"/>
      <c r="M41" s="179"/>
      <c r="N41" s="179"/>
      <c r="O41" s="179"/>
      <c r="P41" s="179"/>
    </row>
    <row r="42" spans="1:16" ht="45" customHeight="1"/>
    <row r="43" spans="1:16" ht="45" customHeight="1">
      <c r="A43" s="180" t="s">
        <v>4412</v>
      </c>
      <c r="I43" s="172" t="s">
        <v>4462</v>
      </c>
    </row>
    <row r="44" spans="1:16" ht="45">
      <c r="A44" s="180" t="s">
        <v>1931</v>
      </c>
    </row>
    <row r="45" spans="1:16" ht="45">
      <c r="A45" s="172" t="s">
        <v>864</v>
      </c>
    </row>
    <row r="46" spans="1:16" ht="50.25">
      <c r="I46" s="167" t="s">
        <v>865</v>
      </c>
    </row>
    <row r="47" spans="1:16" ht="50.25" customHeight="1">
      <c r="A47" s="177" t="s">
        <v>4614</v>
      </c>
      <c r="I47" s="167" t="s">
        <v>863</v>
      </c>
    </row>
    <row r="48" spans="1:16" ht="50.25" customHeight="1">
      <c r="A48" s="177" t="s">
        <v>1247</v>
      </c>
      <c r="I48" s="167" t="s">
        <v>862</v>
      </c>
    </row>
    <row r="49" spans="1:18" ht="50.25" customHeight="1">
      <c r="I49" s="167" t="s">
        <v>860</v>
      </c>
    </row>
    <row r="50" spans="1:18" ht="54">
      <c r="A50" s="164" t="s">
        <v>861</v>
      </c>
      <c r="I50" s="177"/>
    </row>
    <row r="51" spans="1:18" ht="54">
      <c r="A51" s="164" t="s">
        <v>859</v>
      </c>
      <c r="I51" s="177" t="s">
        <v>3171</v>
      </c>
    </row>
    <row r="52" spans="1:18" ht="54">
      <c r="A52" s="164" t="s">
        <v>858</v>
      </c>
    </row>
    <row r="53" spans="1:18" ht="51" customHeight="1">
      <c r="A53" s="164" t="s">
        <v>4854</v>
      </c>
      <c r="I53" s="172" t="s">
        <v>3172</v>
      </c>
      <c r="J53" s="163"/>
      <c r="K53" s="163"/>
      <c r="L53" s="163"/>
      <c r="M53" s="163"/>
      <c r="N53" s="163"/>
      <c r="O53" s="171"/>
      <c r="P53" s="171"/>
      <c r="Q53" s="174"/>
      <c r="R53" s="174"/>
    </row>
    <row r="54" spans="1:18" ht="23.25" customHeight="1">
      <c r="A54" s="164"/>
      <c r="I54" s="176"/>
      <c r="J54" s="163"/>
      <c r="K54" s="163"/>
      <c r="L54" s="163"/>
      <c r="M54" s="163"/>
      <c r="N54" s="163"/>
      <c r="O54" s="171"/>
      <c r="P54" s="171"/>
      <c r="Q54" s="174"/>
      <c r="R54" s="174"/>
    </row>
    <row r="55" spans="1:18" ht="51" customHeight="1">
      <c r="A55" s="167" t="s">
        <v>3824</v>
      </c>
      <c r="B55" s="167"/>
      <c r="C55" s="167"/>
      <c r="D55" s="167"/>
      <c r="E55" s="167"/>
      <c r="F55" s="167"/>
      <c r="G55" s="167" t="s">
        <v>1245</v>
      </c>
      <c r="H55" s="167"/>
      <c r="I55" s="176"/>
      <c r="J55" s="163"/>
      <c r="K55" s="163"/>
      <c r="L55" s="163"/>
      <c r="M55" s="163"/>
      <c r="N55" s="163"/>
      <c r="O55" s="171"/>
      <c r="P55" s="171"/>
      <c r="Q55" s="174"/>
      <c r="R55" s="174"/>
    </row>
    <row r="56" spans="1:18" ht="23.25" customHeight="1">
      <c r="A56" s="164"/>
      <c r="I56" s="176"/>
      <c r="J56" s="163"/>
      <c r="K56" s="163"/>
      <c r="L56" s="163"/>
      <c r="M56" s="163"/>
      <c r="N56" s="163"/>
      <c r="O56" s="171"/>
      <c r="P56" s="171"/>
      <c r="Q56" s="174"/>
      <c r="R56" s="174"/>
    </row>
    <row r="57" spans="1:18" ht="51" customHeight="1">
      <c r="A57" s="163" t="s">
        <v>1716</v>
      </c>
      <c r="I57" s="176" t="s">
        <v>857</v>
      </c>
      <c r="J57" s="163"/>
      <c r="K57" s="163"/>
      <c r="L57" s="163"/>
      <c r="M57" s="163"/>
      <c r="N57" s="163"/>
      <c r="O57" s="171"/>
      <c r="P57" s="171"/>
      <c r="Q57" s="174"/>
      <c r="R57" s="174"/>
    </row>
    <row r="58" spans="1:18" ht="51" customHeight="1">
      <c r="A58" s="163"/>
      <c r="I58" s="163" t="s">
        <v>856</v>
      </c>
      <c r="J58" s="163"/>
      <c r="K58" s="163"/>
      <c r="L58" s="163"/>
      <c r="M58" s="163"/>
      <c r="N58" s="163"/>
      <c r="O58" s="171"/>
      <c r="P58" s="171"/>
      <c r="Q58" s="174"/>
      <c r="R58" s="174"/>
    </row>
    <row r="59" spans="1:18" ht="51" customHeight="1">
      <c r="A59" s="172" t="s">
        <v>855</v>
      </c>
      <c r="I59" s="163" t="s">
        <v>854</v>
      </c>
      <c r="J59" s="163"/>
      <c r="K59" s="163"/>
      <c r="L59" s="163"/>
      <c r="M59" s="163"/>
      <c r="N59" s="163"/>
      <c r="O59" s="171"/>
      <c r="P59" s="171"/>
      <c r="Q59" s="174"/>
      <c r="R59" s="174"/>
    </row>
    <row r="60" spans="1:18" ht="50.25">
      <c r="A60" s="172" t="s">
        <v>853</v>
      </c>
      <c r="I60" s="171"/>
      <c r="J60" s="171"/>
      <c r="K60" s="171"/>
      <c r="L60" s="171"/>
      <c r="M60" s="171"/>
      <c r="N60" s="171"/>
      <c r="O60" s="171"/>
      <c r="P60" s="171"/>
    </row>
    <row r="61" spans="1:18" ht="50.1" customHeight="1">
      <c r="A61" s="172" t="s">
        <v>852</v>
      </c>
      <c r="I61" s="175" t="s">
        <v>851</v>
      </c>
      <c r="J61" s="174"/>
      <c r="K61" s="174"/>
      <c r="L61" s="174"/>
      <c r="M61" s="174"/>
      <c r="N61" s="174"/>
      <c r="O61" s="174"/>
      <c r="P61" s="174"/>
      <c r="Q61" s="174"/>
    </row>
    <row r="62" spans="1:18" ht="50.1" customHeight="1">
      <c r="I62" s="175" t="s">
        <v>850</v>
      </c>
      <c r="J62" s="174"/>
      <c r="K62" s="174"/>
      <c r="L62" s="174"/>
      <c r="M62" s="174"/>
      <c r="N62" s="174"/>
      <c r="O62" s="174"/>
      <c r="P62" s="174"/>
      <c r="Q62" s="174"/>
    </row>
    <row r="63" spans="1:18" ht="50.1" customHeight="1">
      <c r="A63" s="163" t="s">
        <v>849</v>
      </c>
      <c r="B63" s="171"/>
      <c r="C63" s="171"/>
      <c r="D63" s="171"/>
      <c r="E63" s="171"/>
      <c r="F63" s="171"/>
      <c r="G63" s="171"/>
      <c r="H63" s="171"/>
      <c r="I63" s="175" t="s">
        <v>848</v>
      </c>
      <c r="J63" s="174"/>
      <c r="K63" s="174"/>
      <c r="L63" s="174"/>
      <c r="M63" s="174"/>
      <c r="N63" s="174"/>
      <c r="O63" s="174"/>
      <c r="P63" s="174"/>
      <c r="Q63" s="174"/>
    </row>
    <row r="64" spans="1:18" ht="50.1" customHeight="1">
      <c r="A64" s="163" t="s">
        <v>847</v>
      </c>
      <c r="B64" s="171"/>
      <c r="C64" s="171"/>
      <c r="D64" s="171"/>
      <c r="E64" s="171"/>
      <c r="F64" s="171"/>
      <c r="G64" s="171"/>
      <c r="H64" s="171"/>
    </row>
    <row r="65" spans="1:17" ht="50.1" customHeight="1">
      <c r="A65" s="163" t="s">
        <v>846</v>
      </c>
      <c r="B65" s="171"/>
      <c r="C65" s="171"/>
      <c r="D65" s="171"/>
      <c r="E65" s="171"/>
      <c r="F65" s="171"/>
      <c r="G65" s="171"/>
      <c r="H65" s="171"/>
      <c r="I65" s="169" t="s">
        <v>845</v>
      </c>
      <c r="J65" s="167"/>
      <c r="K65" s="167"/>
      <c r="L65" s="167"/>
      <c r="M65" s="167"/>
      <c r="N65" s="167"/>
      <c r="O65" s="167"/>
      <c r="P65" s="167"/>
      <c r="Q65" s="163"/>
    </row>
    <row r="66" spans="1:17" ht="50.1" customHeight="1">
      <c r="A66" s="163" t="s">
        <v>844</v>
      </c>
      <c r="B66" s="171"/>
      <c r="C66" s="171"/>
      <c r="D66" s="171"/>
      <c r="E66" s="171"/>
      <c r="F66" s="171"/>
      <c r="G66" s="171"/>
      <c r="H66" s="171"/>
      <c r="I66" s="167" t="s">
        <v>843</v>
      </c>
      <c r="J66" s="167"/>
      <c r="K66" s="167"/>
      <c r="L66" s="167"/>
      <c r="M66" s="167"/>
      <c r="N66" s="167"/>
      <c r="O66" s="167"/>
      <c r="P66" s="167"/>
      <c r="Q66" s="163"/>
    </row>
    <row r="67" spans="1:17" ht="50.1" customHeight="1">
      <c r="A67" s="163" t="s">
        <v>2855</v>
      </c>
      <c r="B67" s="171"/>
      <c r="C67" s="171"/>
      <c r="D67" s="171"/>
      <c r="E67" s="171"/>
      <c r="F67" s="171"/>
      <c r="G67" s="171"/>
      <c r="H67" s="171"/>
      <c r="I67" s="167" t="s">
        <v>842</v>
      </c>
      <c r="J67" s="167"/>
      <c r="K67" s="167"/>
      <c r="L67" s="167"/>
      <c r="M67" s="167"/>
      <c r="N67" s="167"/>
      <c r="O67" s="167"/>
      <c r="P67" s="167"/>
      <c r="Q67" s="163"/>
    </row>
    <row r="68" spans="1:17" ht="50.1" customHeight="1">
      <c r="B68" s="171"/>
      <c r="C68" s="171"/>
      <c r="D68" s="171"/>
      <c r="E68" s="171"/>
      <c r="F68" s="171"/>
      <c r="G68" s="171"/>
      <c r="H68" s="171"/>
      <c r="I68" s="167" t="s">
        <v>841</v>
      </c>
      <c r="J68" s="167"/>
      <c r="K68" s="167"/>
      <c r="L68" s="167"/>
      <c r="M68" s="167"/>
      <c r="N68" s="167"/>
      <c r="O68" s="167"/>
      <c r="P68" s="167"/>
      <c r="Q68" s="163"/>
    </row>
    <row r="69" spans="1:17" ht="50.1" customHeight="1">
      <c r="A69" s="163" t="s">
        <v>2856</v>
      </c>
      <c r="B69" s="171"/>
      <c r="C69" s="171"/>
      <c r="D69" s="171"/>
      <c r="E69" s="171"/>
      <c r="F69" s="171"/>
      <c r="G69" s="171"/>
      <c r="H69" s="171"/>
      <c r="I69" s="167" t="s">
        <v>840</v>
      </c>
      <c r="J69" s="173"/>
      <c r="K69" s="173"/>
      <c r="L69" s="173"/>
      <c r="M69" s="173"/>
      <c r="N69" s="173"/>
      <c r="O69" s="173"/>
      <c r="P69" s="173"/>
    </row>
    <row r="70" spans="1:17" ht="50.1" customHeight="1">
      <c r="A70" s="163"/>
    </row>
    <row r="71" spans="1:17" ht="50.1" customHeight="1">
      <c r="A71" s="163" t="s">
        <v>1714</v>
      </c>
      <c r="I71" s="167" t="s">
        <v>2063</v>
      </c>
    </row>
    <row r="72" spans="1:17" ht="50.1" customHeight="1">
      <c r="I72" s="167" t="s">
        <v>2122</v>
      </c>
    </row>
    <row r="73" spans="1:17" ht="50.1" customHeight="1">
      <c r="A73" s="163"/>
      <c r="B73" s="171"/>
      <c r="C73" s="171"/>
      <c r="D73" s="171"/>
      <c r="E73" s="171"/>
      <c r="F73" s="171"/>
      <c r="G73" s="171"/>
      <c r="H73" s="171"/>
      <c r="I73" s="167" t="s">
        <v>2121</v>
      </c>
      <c r="J73" s="173"/>
      <c r="K73" s="173"/>
      <c r="L73" s="173"/>
      <c r="M73" s="173"/>
      <c r="N73" s="173"/>
      <c r="O73" s="173"/>
      <c r="P73" s="173"/>
    </row>
    <row r="74" spans="1:17" ht="50.1" customHeight="1">
      <c r="A74" s="163"/>
      <c r="B74" s="171"/>
      <c r="C74" s="171"/>
      <c r="D74" s="171"/>
      <c r="E74" s="171"/>
      <c r="F74" s="171"/>
      <c r="G74" s="171"/>
      <c r="H74" s="171"/>
      <c r="I74" s="172"/>
      <c r="J74" s="173"/>
      <c r="K74" s="173"/>
      <c r="L74" s="173"/>
      <c r="M74" s="173"/>
      <c r="N74" s="173"/>
      <c r="O74" s="173"/>
      <c r="P74" s="173"/>
    </row>
    <row r="75" spans="1:17" ht="50.1" customHeight="1">
      <c r="A75" s="163"/>
      <c r="B75" s="171"/>
      <c r="C75" s="171"/>
      <c r="D75" s="171"/>
      <c r="E75" s="171"/>
      <c r="F75" s="171"/>
      <c r="G75" s="171"/>
      <c r="H75" s="171"/>
      <c r="I75" s="167" t="s">
        <v>1717</v>
      </c>
      <c r="J75" s="173"/>
      <c r="K75" s="173"/>
      <c r="L75" s="173"/>
      <c r="M75" s="173"/>
      <c r="N75" s="173"/>
      <c r="O75" s="173"/>
      <c r="P75" s="173"/>
    </row>
    <row r="76" spans="1:17" ht="50.1" customHeight="1">
      <c r="A76" s="172"/>
      <c r="B76" s="171"/>
      <c r="C76" s="171"/>
      <c r="D76" s="171"/>
      <c r="E76" s="171"/>
      <c r="F76" s="171"/>
      <c r="G76" s="171"/>
      <c r="H76" s="171"/>
    </row>
    <row r="77" spans="1:17" ht="50.1" customHeight="1">
      <c r="A77" s="163" t="s">
        <v>839</v>
      </c>
      <c r="B77" s="171"/>
      <c r="C77" s="171"/>
      <c r="D77" s="171"/>
      <c r="E77" s="171"/>
      <c r="F77" s="171"/>
      <c r="G77" s="171"/>
      <c r="H77" s="171"/>
      <c r="I77" s="167" t="s">
        <v>838</v>
      </c>
    </row>
    <row r="78" spans="1:17" ht="50.1" customHeight="1">
      <c r="A78" s="163" t="s">
        <v>837</v>
      </c>
      <c r="B78" s="171"/>
      <c r="C78" s="171"/>
      <c r="D78" s="171"/>
      <c r="E78" s="171"/>
      <c r="F78" s="171"/>
      <c r="G78" s="171"/>
      <c r="H78" s="171"/>
      <c r="I78" s="167" t="s">
        <v>836</v>
      </c>
    </row>
    <row r="79" spans="1:17" ht="50.1" customHeight="1">
      <c r="A79" s="163" t="s">
        <v>835</v>
      </c>
      <c r="B79" s="171"/>
      <c r="C79" s="171"/>
      <c r="D79" s="171"/>
      <c r="E79" s="171"/>
      <c r="F79" s="171"/>
      <c r="G79" s="171"/>
      <c r="H79" s="171"/>
      <c r="I79" s="167" t="s">
        <v>834</v>
      </c>
    </row>
    <row r="80" spans="1:17" ht="50.1" customHeight="1">
      <c r="A80" s="163" t="s">
        <v>833</v>
      </c>
      <c r="I80" s="167" t="s">
        <v>832</v>
      </c>
    </row>
    <row r="81" spans="1:16" ht="24.75" customHeight="1">
      <c r="A81" s="163"/>
      <c r="B81" s="171"/>
      <c r="C81" s="171"/>
      <c r="D81" s="171"/>
      <c r="E81" s="171"/>
      <c r="F81" s="171"/>
      <c r="G81" s="171"/>
      <c r="H81" s="171"/>
    </row>
    <row r="82" spans="1:16" ht="50.1" customHeight="1">
      <c r="A82" s="163" t="s">
        <v>1714</v>
      </c>
      <c r="B82" s="171"/>
      <c r="C82" s="171"/>
      <c r="D82" s="171"/>
      <c r="E82" s="171"/>
      <c r="F82" s="171"/>
      <c r="G82" s="171"/>
      <c r="H82" s="171"/>
      <c r="I82" s="167" t="s">
        <v>831</v>
      </c>
      <c r="J82" s="167"/>
      <c r="K82" s="167"/>
      <c r="L82" s="167"/>
      <c r="M82" s="167"/>
      <c r="N82" s="167"/>
      <c r="O82" s="167"/>
      <c r="P82" s="167"/>
    </row>
    <row r="83" spans="1:16" ht="50.1" customHeight="1">
      <c r="I83" s="167" t="s">
        <v>830</v>
      </c>
      <c r="J83" s="167"/>
      <c r="K83" s="167"/>
      <c r="L83" s="167"/>
      <c r="M83" s="167"/>
      <c r="N83" s="167"/>
      <c r="O83" s="167"/>
      <c r="P83" s="167"/>
    </row>
    <row r="84" spans="1:16" ht="50.1" customHeight="1">
      <c r="A84" s="170" t="s">
        <v>829</v>
      </c>
      <c r="B84" s="167"/>
      <c r="C84" s="167"/>
      <c r="D84" s="167"/>
      <c r="E84" s="167"/>
      <c r="F84" s="167"/>
      <c r="G84" s="167"/>
      <c r="H84" s="167"/>
      <c r="I84" s="167" t="s">
        <v>828</v>
      </c>
      <c r="J84" s="167"/>
      <c r="K84" s="167"/>
      <c r="L84" s="167"/>
      <c r="M84" s="167"/>
      <c r="N84" s="167"/>
      <c r="O84" s="167"/>
      <c r="P84" s="167"/>
    </row>
    <row r="85" spans="1:16" ht="50.1" customHeight="1">
      <c r="A85" s="167" t="s">
        <v>827</v>
      </c>
      <c r="B85" s="167"/>
      <c r="C85" s="167"/>
      <c r="D85" s="167"/>
      <c r="E85" s="167"/>
      <c r="F85" s="167"/>
      <c r="G85" s="167"/>
      <c r="H85" s="167"/>
      <c r="I85" s="167" t="s">
        <v>826</v>
      </c>
      <c r="J85" s="167"/>
      <c r="K85" s="167"/>
      <c r="L85" s="167"/>
      <c r="M85" s="167"/>
      <c r="N85" s="167"/>
      <c r="O85" s="167"/>
      <c r="P85" s="167"/>
    </row>
    <row r="86" spans="1:16" ht="50.1" customHeight="1">
      <c r="A86" s="167" t="s">
        <v>825</v>
      </c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</row>
    <row r="87" spans="1:16" ht="50.25">
      <c r="A87" s="167" t="s">
        <v>824</v>
      </c>
      <c r="B87" s="167"/>
      <c r="C87" s="167"/>
      <c r="D87" s="167"/>
      <c r="E87" s="167"/>
      <c r="F87" s="167"/>
      <c r="G87" s="167"/>
      <c r="H87" s="167"/>
      <c r="I87" s="167" t="s">
        <v>823</v>
      </c>
      <c r="J87" s="167"/>
      <c r="K87" s="167"/>
      <c r="L87" s="167"/>
      <c r="M87" s="167"/>
      <c r="N87" s="167"/>
      <c r="O87" s="167"/>
      <c r="P87" s="167"/>
    </row>
    <row r="88" spans="1:16" ht="50.25">
      <c r="A88" s="167" t="s">
        <v>822</v>
      </c>
      <c r="B88" s="167"/>
      <c r="C88" s="167"/>
      <c r="D88" s="167"/>
      <c r="E88" s="167"/>
      <c r="F88" s="167"/>
      <c r="G88" s="167"/>
      <c r="H88" s="167"/>
      <c r="I88" s="167" t="s">
        <v>821</v>
      </c>
      <c r="J88" s="167"/>
      <c r="K88" s="167"/>
      <c r="L88" s="167"/>
      <c r="M88" s="167"/>
      <c r="N88" s="167"/>
      <c r="O88" s="167"/>
      <c r="P88" s="167"/>
    </row>
    <row r="89" spans="1:16" ht="50.25">
      <c r="A89" s="167"/>
      <c r="B89" s="167"/>
      <c r="C89" s="167"/>
      <c r="D89" s="167"/>
      <c r="E89" s="167"/>
      <c r="F89" s="167"/>
      <c r="G89" s="167"/>
      <c r="H89" s="167"/>
      <c r="I89" s="167" t="s">
        <v>820</v>
      </c>
      <c r="J89" s="167"/>
      <c r="K89" s="167"/>
      <c r="L89" s="167"/>
      <c r="M89" s="167"/>
      <c r="N89" s="167"/>
      <c r="O89" s="167"/>
      <c r="P89" s="167"/>
    </row>
    <row r="90" spans="1:16" ht="50.25">
      <c r="B90" s="167"/>
      <c r="C90" s="167"/>
      <c r="D90" s="167"/>
      <c r="E90" s="167"/>
      <c r="F90" s="167"/>
      <c r="G90" s="167"/>
      <c r="H90" s="167"/>
      <c r="I90" s="167" t="s">
        <v>818</v>
      </c>
      <c r="J90" s="167"/>
      <c r="K90" s="167"/>
      <c r="L90" s="167"/>
      <c r="M90" s="167"/>
      <c r="N90" s="167"/>
      <c r="O90" s="167"/>
      <c r="P90" s="167"/>
    </row>
    <row r="91" spans="1:16" ht="50.25">
      <c r="A91" s="167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</row>
    <row r="92" spans="1:16" ht="50.25">
      <c r="A92" s="167"/>
      <c r="B92" s="167"/>
      <c r="C92" s="167"/>
      <c r="D92" s="167"/>
      <c r="E92" s="167"/>
      <c r="F92" s="167"/>
      <c r="G92" s="167"/>
      <c r="H92" s="167"/>
      <c r="I92" s="167" t="s">
        <v>3824</v>
      </c>
      <c r="J92" s="167"/>
      <c r="K92" s="167"/>
      <c r="L92" s="167"/>
      <c r="M92" s="167"/>
      <c r="N92" s="167"/>
      <c r="O92" s="167" t="s">
        <v>3821</v>
      </c>
      <c r="P92" s="167"/>
    </row>
    <row r="93" spans="1:16" ht="50.25">
      <c r="A93" s="167" t="s">
        <v>819</v>
      </c>
      <c r="B93" s="167"/>
      <c r="C93" s="167"/>
      <c r="D93" s="167"/>
      <c r="E93" s="167"/>
      <c r="F93" s="167"/>
      <c r="G93" s="167"/>
      <c r="H93" s="167"/>
      <c r="I93" s="167" t="s">
        <v>3822</v>
      </c>
      <c r="J93" s="167"/>
      <c r="K93" s="167"/>
      <c r="L93" s="167"/>
      <c r="M93" s="167"/>
      <c r="N93" s="167"/>
      <c r="O93" s="167" t="s">
        <v>3823</v>
      </c>
      <c r="P93" s="167"/>
    </row>
    <row r="94" spans="1:16" ht="50.25">
      <c r="A94" s="167" t="s">
        <v>817</v>
      </c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</row>
    <row r="95" spans="1:16" ht="50.25">
      <c r="A95" s="167" t="s">
        <v>816</v>
      </c>
      <c r="B95" s="167"/>
      <c r="C95" s="167"/>
      <c r="D95" s="167"/>
      <c r="E95" s="167"/>
      <c r="F95" s="167"/>
      <c r="G95" s="167"/>
      <c r="H95" s="167"/>
      <c r="I95" s="163" t="s">
        <v>1718</v>
      </c>
      <c r="J95" s="167"/>
      <c r="K95" s="167"/>
      <c r="L95" s="167"/>
      <c r="M95" s="167"/>
      <c r="N95" s="167"/>
      <c r="O95" s="167"/>
      <c r="P95" s="167"/>
    </row>
    <row r="96" spans="1:16" ht="50.25">
      <c r="A96" s="167" t="s">
        <v>815</v>
      </c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</row>
    <row r="97" spans="1:19" ht="50.25">
      <c r="A97" s="163" t="s">
        <v>1719</v>
      </c>
      <c r="I97" s="169" t="s">
        <v>814</v>
      </c>
    </row>
    <row r="98" spans="1:19" ht="50.1" customHeight="1">
      <c r="A98" s="167" t="s">
        <v>813</v>
      </c>
      <c r="I98" s="167" t="s">
        <v>812</v>
      </c>
    </row>
    <row r="99" spans="1:19" ht="50.1" customHeight="1">
      <c r="I99" s="167" t="s">
        <v>811</v>
      </c>
    </row>
    <row r="100" spans="1:19" ht="50.1" customHeight="1">
      <c r="A100" s="169" t="s">
        <v>810</v>
      </c>
      <c r="I100" s="167" t="s">
        <v>809</v>
      </c>
    </row>
    <row r="101" spans="1:19" ht="50.1" customHeight="1">
      <c r="A101" s="167" t="s">
        <v>808</v>
      </c>
    </row>
    <row r="102" spans="1:19" ht="50.1" customHeight="1">
      <c r="A102" s="167" t="s">
        <v>807</v>
      </c>
      <c r="I102" s="163" t="s">
        <v>1715</v>
      </c>
    </row>
    <row r="103" spans="1:19" ht="50.1" customHeight="1">
      <c r="A103" s="167" t="s">
        <v>806</v>
      </c>
    </row>
    <row r="104" spans="1:19" ht="50.1" customHeight="1">
      <c r="I104" s="169" t="s">
        <v>805</v>
      </c>
      <c r="J104" s="167"/>
      <c r="K104" s="167"/>
      <c r="L104" s="167"/>
      <c r="M104" s="167"/>
      <c r="N104" s="167"/>
      <c r="O104" s="167"/>
    </row>
    <row r="105" spans="1:19" ht="50.1" customHeight="1">
      <c r="A105" s="163" t="s">
        <v>1720</v>
      </c>
      <c r="I105" s="167" t="s">
        <v>804</v>
      </c>
      <c r="J105" s="167"/>
      <c r="K105" s="167"/>
      <c r="L105" s="167"/>
      <c r="M105" s="167"/>
      <c r="N105" s="167"/>
      <c r="O105" s="167"/>
    </row>
    <row r="106" spans="1:19" ht="50.1" customHeight="1">
      <c r="I106" s="167" t="s">
        <v>3976</v>
      </c>
      <c r="J106" s="167"/>
      <c r="K106" s="167"/>
      <c r="L106" s="167"/>
      <c r="M106" s="167"/>
      <c r="N106" s="167"/>
      <c r="O106" s="167"/>
    </row>
    <row r="107" spans="1:19" ht="50.1" customHeight="1">
      <c r="A107" s="169" t="s">
        <v>803</v>
      </c>
      <c r="I107" s="167" t="s">
        <v>3977</v>
      </c>
      <c r="J107" s="167"/>
      <c r="K107" s="167"/>
      <c r="L107" s="167"/>
      <c r="M107" s="167"/>
      <c r="N107" s="167"/>
      <c r="O107" s="167"/>
    </row>
    <row r="108" spans="1:19" ht="45" customHeight="1">
      <c r="A108" s="167" t="s">
        <v>802</v>
      </c>
      <c r="I108" s="164"/>
      <c r="S108" s="172"/>
    </row>
    <row r="109" spans="1:19" ht="45" customHeight="1">
      <c r="A109" s="167" t="s">
        <v>801</v>
      </c>
      <c r="I109" s="172" t="s">
        <v>2063</v>
      </c>
      <c r="S109" s="172"/>
    </row>
    <row r="110" spans="1:19" ht="50.1" customHeight="1">
      <c r="A110" s="167" t="s">
        <v>800</v>
      </c>
      <c r="I110" s="172" t="s">
        <v>2064</v>
      </c>
      <c r="J110" s="167"/>
      <c r="K110" s="167"/>
      <c r="L110" s="167"/>
      <c r="M110" s="167"/>
      <c r="N110" s="172" t="s">
        <v>3974</v>
      </c>
      <c r="O110" s="167"/>
    </row>
    <row r="111" spans="1:19" ht="50.1" customHeight="1">
      <c r="A111" s="167"/>
      <c r="I111" s="172"/>
      <c r="J111" s="167"/>
      <c r="K111" s="167"/>
      <c r="L111" s="167"/>
      <c r="M111" s="167"/>
      <c r="N111" s="172"/>
      <c r="O111" s="167"/>
    </row>
    <row r="112" spans="1:19" ht="50.1" customHeight="1">
      <c r="A112" s="163" t="s">
        <v>1714</v>
      </c>
      <c r="I112" s="163" t="s">
        <v>1721</v>
      </c>
      <c r="J112" s="167"/>
      <c r="K112" s="167"/>
      <c r="L112" s="167"/>
      <c r="M112" s="167"/>
      <c r="N112" s="167"/>
      <c r="O112" s="167"/>
    </row>
    <row r="113" spans="1:16" ht="50.1" customHeight="1"/>
    <row r="114" spans="1:16" ht="50.1" customHeight="1">
      <c r="A114" s="169" t="s">
        <v>796</v>
      </c>
      <c r="I114" s="1369" t="s">
        <v>799</v>
      </c>
      <c r="J114" s="1369"/>
      <c r="K114" s="1369"/>
      <c r="L114" s="1369"/>
      <c r="M114" s="1369"/>
      <c r="N114" s="1369"/>
      <c r="O114" s="1369"/>
      <c r="P114" s="1369"/>
    </row>
    <row r="115" spans="1:16" ht="50.1" customHeight="1">
      <c r="A115" s="167" t="s">
        <v>795</v>
      </c>
      <c r="I115" s="1369" t="s">
        <v>798</v>
      </c>
      <c r="J115" s="1369"/>
      <c r="K115" s="1369"/>
      <c r="L115" s="1369"/>
      <c r="M115" s="1369"/>
      <c r="N115" s="1369"/>
      <c r="O115" s="1369"/>
      <c r="P115" s="1369"/>
    </row>
    <row r="116" spans="1:16" ht="50.1" customHeight="1">
      <c r="A116" s="167" t="s">
        <v>793</v>
      </c>
      <c r="I116" s="1369" t="s">
        <v>4523</v>
      </c>
      <c r="J116" s="1369"/>
      <c r="K116" s="1369"/>
      <c r="L116" s="1369"/>
      <c r="M116" s="1369"/>
      <c r="N116" s="1369"/>
      <c r="O116" s="1369"/>
      <c r="P116" s="1369"/>
    </row>
    <row r="117" spans="1:16" ht="50.1" customHeight="1">
      <c r="A117" s="167" t="s">
        <v>792</v>
      </c>
      <c r="B117" s="167"/>
      <c r="C117" s="167"/>
      <c r="D117" s="167"/>
      <c r="E117" s="167"/>
      <c r="F117" s="167"/>
      <c r="G117" s="167"/>
      <c r="H117" s="167"/>
      <c r="I117" s="172" t="s">
        <v>4522</v>
      </c>
    </row>
    <row r="118" spans="1:16" ht="50.1" customHeight="1">
      <c r="A118" s="167"/>
      <c r="B118" s="167"/>
      <c r="C118" s="167"/>
      <c r="D118" s="167"/>
      <c r="E118" s="167"/>
      <c r="F118" s="167"/>
      <c r="G118" s="167"/>
      <c r="H118" s="167"/>
      <c r="I118" s="1369" t="s">
        <v>794</v>
      </c>
      <c r="J118" s="1369"/>
      <c r="K118" s="1369"/>
      <c r="L118" s="1369"/>
      <c r="M118" s="1369"/>
      <c r="N118" s="1369"/>
      <c r="O118" s="1369"/>
      <c r="P118" s="1369"/>
    </row>
    <row r="119" spans="1:16" ht="50.25">
      <c r="A119" s="172" t="s">
        <v>4993</v>
      </c>
      <c r="B119" s="167"/>
      <c r="C119" s="167"/>
      <c r="D119" s="167"/>
      <c r="E119" s="167"/>
      <c r="F119" s="167"/>
      <c r="G119" s="167"/>
      <c r="H119" s="167"/>
    </row>
    <row r="120" spans="1:16" ht="45" customHeight="1">
      <c r="A120" s="172" t="s">
        <v>4994</v>
      </c>
      <c r="B120" s="167"/>
      <c r="C120" s="167"/>
      <c r="D120" s="167"/>
      <c r="E120" s="167"/>
      <c r="F120" s="172" t="s">
        <v>1378</v>
      </c>
      <c r="G120" s="167"/>
      <c r="H120" s="167"/>
    </row>
    <row r="121" spans="1:16" ht="45" customHeight="1">
      <c r="B121" s="167"/>
      <c r="C121" s="167"/>
      <c r="D121" s="167"/>
      <c r="E121" s="167"/>
      <c r="F121" s="167"/>
      <c r="G121" s="167"/>
      <c r="H121" s="167"/>
      <c r="I121" s="168" t="s">
        <v>791</v>
      </c>
    </row>
    <row r="122" spans="1:16" ht="45" customHeight="1">
      <c r="A122" s="163" t="s">
        <v>1722</v>
      </c>
      <c r="I122" s="167" t="s">
        <v>790</v>
      </c>
    </row>
    <row r="123" spans="1:16" ht="45" customHeight="1">
      <c r="I123" s="167" t="s">
        <v>789</v>
      </c>
    </row>
    <row r="124" spans="1:16" ht="45" customHeight="1">
      <c r="I124" s="166" t="s">
        <v>788</v>
      </c>
    </row>
    <row r="125" spans="1:16" ht="45" customHeight="1">
      <c r="I125" s="166" t="s">
        <v>787</v>
      </c>
    </row>
    <row r="126" spans="1:16" ht="45" customHeight="1">
      <c r="A126" s="165" t="s">
        <v>786</v>
      </c>
      <c r="B126" s="164"/>
      <c r="C126" s="164"/>
      <c r="D126" s="164"/>
      <c r="E126" s="164"/>
      <c r="F126" s="164"/>
      <c r="G126" s="164"/>
      <c r="H126" s="164"/>
    </row>
    <row r="127" spans="1:16" ht="45" customHeight="1">
      <c r="A127" s="164" t="s">
        <v>785</v>
      </c>
      <c r="B127" s="164"/>
      <c r="C127" s="164"/>
      <c r="D127" s="164"/>
      <c r="E127" s="164"/>
      <c r="F127" s="164"/>
      <c r="G127" s="164"/>
      <c r="H127" s="164"/>
      <c r="I127" s="165" t="s">
        <v>1239</v>
      </c>
      <c r="J127" s="164"/>
      <c r="K127" s="164"/>
      <c r="L127" s="164"/>
      <c r="M127" s="164"/>
      <c r="N127" s="164"/>
    </row>
    <row r="128" spans="1:16" ht="45" customHeight="1">
      <c r="A128" s="164" t="s">
        <v>2372</v>
      </c>
      <c r="B128" s="164"/>
      <c r="C128" s="164"/>
      <c r="D128" s="164"/>
      <c r="E128" s="164"/>
      <c r="F128" s="164"/>
      <c r="G128" s="164"/>
      <c r="H128" s="164"/>
      <c r="I128" s="164" t="s">
        <v>1240</v>
      </c>
      <c r="J128" s="164"/>
      <c r="K128" s="164"/>
      <c r="L128" s="164"/>
      <c r="M128" s="164"/>
      <c r="N128" s="164"/>
    </row>
    <row r="129" spans="1:14" ht="45" customHeight="1">
      <c r="A129" s="164" t="s">
        <v>784</v>
      </c>
      <c r="B129" s="164"/>
      <c r="C129" s="164"/>
      <c r="D129" s="164"/>
      <c r="E129" s="164"/>
      <c r="F129" s="164"/>
      <c r="G129" s="164"/>
      <c r="H129" s="164"/>
      <c r="I129" s="164" t="s">
        <v>1237</v>
      </c>
      <c r="J129" s="164"/>
      <c r="K129" s="164"/>
      <c r="L129" s="164"/>
      <c r="M129" s="164"/>
      <c r="N129" s="164"/>
    </row>
    <row r="130" spans="1:14" ht="45" customHeight="1">
      <c r="A130" s="164"/>
      <c r="B130" s="164"/>
      <c r="C130" s="164"/>
      <c r="D130" s="164"/>
      <c r="E130" s="164"/>
      <c r="F130" s="164"/>
      <c r="G130" s="164"/>
      <c r="H130" s="164"/>
      <c r="I130" s="164" t="s">
        <v>1238</v>
      </c>
      <c r="J130" s="164"/>
      <c r="K130" s="164"/>
      <c r="L130" s="164"/>
      <c r="M130" s="164"/>
      <c r="N130" s="164"/>
    </row>
    <row r="131" spans="1:14" ht="45" customHeight="1">
      <c r="A131" s="164" t="s">
        <v>2373</v>
      </c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</row>
    <row r="132" spans="1:14" ht="45" customHeight="1">
      <c r="A132" s="164"/>
      <c r="B132" s="164"/>
      <c r="C132" s="164"/>
      <c r="D132" s="164"/>
      <c r="E132" s="164"/>
      <c r="F132" s="164"/>
      <c r="G132" s="164"/>
      <c r="H132" s="164"/>
      <c r="I132" s="163" t="s">
        <v>1712</v>
      </c>
      <c r="J132" s="164"/>
      <c r="K132" s="164"/>
      <c r="L132" s="164"/>
      <c r="M132" s="164"/>
      <c r="N132" s="164"/>
    </row>
    <row r="133" spans="1:14" ht="45" customHeight="1">
      <c r="A133" s="163" t="s">
        <v>1712</v>
      </c>
    </row>
    <row r="134" spans="1:14" ht="45" customHeight="1"/>
    <row r="135" spans="1:14" ht="45" customHeight="1">
      <c r="A135" s="165" t="s">
        <v>1317</v>
      </c>
      <c r="B135" s="164"/>
      <c r="C135" s="164"/>
      <c r="D135" s="164"/>
      <c r="E135" s="164"/>
      <c r="F135" s="164"/>
      <c r="G135" s="164"/>
      <c r="H135" s="164"/>
    </row>
    <row r="136" spans="1:14" ht="45" customHeight="1">
      <c r="A136" s="164" t="s">
        <v>1318</v>
      </c>
      <c r="B136" s="164"/>
      <c r="C136" s="164"/>
      <c r="D136" s="164" t="s">
        <v>1319</v>
      </c>
      <c r="E136" s="164"/>
      <c r="F136" s="164"/>
      <c r="G136" s="164"/>
      <c r="H136" s="164"/>
      <c r="I136" s="165" t="s">
        <v>1356</v>
      </c>
      <c r="J136" s="164"/>
      <c r="K136" s="164"/>
      <c r="L136" s="164"/>
      <c r="M136" s="164"/>
      <c r="N136" s="164"/>
    </row>
    <row r="137" spans="1:14" ht="45" customHeight="1">
      <c r="A137" s="164" t="s">
        <v>1320</v>
      </c>
      <c r="B137" s="164"/>
      <c r="C137" s="164"/>
      <c r="D137" s="164"/>
      <c r="E137" s="164"/>
      <c r="F137" s="164"/>
      <c r="G137" s="164"/>
      <c r="H137" s="164"/>
      <c r="I137" s="164" t="s">
        <v>1357</v>
      </c>
      <c r="J137" s="164"/>
      <c r="K137" s="164"/>
      <c r="L137" s="164"/>
      <c r="M137" s="164"/>
      <c r="N137" s="164"/>
    </row>
    <row r="138" spans="1:14" ht="45" customHeight="1">
      <c r="A138" s="164" t="s">
        <v>1321</v>
      </c>
      <c r="B138" s="164"/>
      <c r="C138" s="164"/>
      <c r="D138" s="164"/>
      <c r="E138" s="164"/>
      <c r="F138" s="164"/>
      <c r="G138" s="164"/>
      <c r="H138" s="164"/>
      <c r="I138" s="164" t="s">
        <v>1355</v>
      </c>
      <c r="J138" s="164"/>
      <c r="K138" s="164"/>
      <c r="L138" s="164"/>
      <c r="M138" s="164"/>
      <c r="N138" s="164"/>
    </row>
    <row r="139" spans="1:14" ht="50.25" customHeight="1">
      <c r="A139" s="163"/>
      <c r="I139" s="164" t="s">
        <v>1354</v>
      </c>
    </row>
    <row r="140" spans="1:14" ht="45" customHeight="1">
      <c r="A140" s="163" t="s">
        <v>1723</v>
      </c>
    </row>
    <row r="141" spans="1:14" ht="45" customHeight="1">
      <c r="I141" s="169" t="s">
        <v>1411</v>
      </c>
    </row>
    <row r="142" spans="1:14" ht="45" customHeight="1">
      <c r="I142" s="167" t="s">
        <v>1412</v>
      </c>
    </row>
    <row r="143" spans="1:14" ht="45" customHeight="1">
      <c r="I143" s="167" t="s">
        <v>1413</v>
      </c>
    </row>
    <row r="144" spans="1:14" ht="44.25" customHeight="1">
      <c r="I144" s="167" t="s">
        <v>1414</v>
      </c>
    </row>
    <row r="145" spans="1:9" ht="24" customHeight="1"/>
    <row r="146" spans="1:9" ht="45" customHeight="1">
      <c r="A146" s="167" t="s">
        <v>1490</v>
      </c>
      <c r="B146" s="167"/>
      <c r="C146" s="167"/>
      <c r="D146" s="167"/>
      <c r="E146" s="167"/>
      <c r="F146" s="167"/>
      <c r="G146" s="167"/>
      <c r="H146" s="167"/>
      <c r="I146" s="163" t="s">
        <v>1715</v>
      </c>
    </row>
    <row r="147" spans="1:9" ht="45" customHeight="1">
      <c r="A147" s="167" t="s">
        <v>1491</v>
      </c>
      <c r="B147" s="167"/>
      <c r="C147" s="167"/>
      <c r="D147" s="167"/>
      <c r="E147" s="167"/>
      <c r="F147" s="167"/>
      <c r="G147" s="167"/>
      <c r="H147" s="167"/>
    </row>
    <row r="148" spans="1:9" ht="45" customHeight="1">
      <c r="A148" s="167" t="s">
        <v>1489</v>
      </c>
      <c r="B148" s="167"/>
      <c r="C148" s="167"/>
      <c r="D148" s="167"/>
      <c r="E148" s="167"/>
      <c r="F148" s="167"/>
      <c r="G148" s="167"/>
      <c r="H148" s="167"/>
      <c r="I148" s="1296" t="s">
        <v>5210</v>
      </c>
    </row>
    <row r="149" spans="1:9" ht="45" customHeight="1">
      <c r="A149" s="167" t="s">
        <v>5207</v>
      </c>
      <c r="B149" s="167"/>
      <c r="C149" s="167"/>
      <c r="D149" s="167"/>
      <c r="E149" s="167"/>
      <c r="F149" s="167"/>
      <c r="G149" s="167"/>
      <c r="H149" s="167"/>
      <c r="I149" s="172" t="s">
        <v>5208</v>
      </c>
    </row>
    <row r="150" spans="1:9" ht="45" customHeight="1">
      <c r="A150" s="167"/>
      <c r="B150" s="167"/>
      <c r="C150" s="167"/>
      <c r="D150" s="167"/>
      <c r="E150" s="167"/>
      <c r="F150" s="167"/>
      <c r="G150" s="167"/>
      <c r="H150" s="167"/>
      <c r="I150" s="1296" t="s">
        <v>5209</v>
      </c>
    </row>
    <row r="151" spans="1:9" ht="45" customHeight="1">
      <c r="A151" s="164" t="s">
        <v>3113</v>
      </c>
      <c r="B151" s="167"/>
      <c r="C151" s="167"/>
      <c r="D151" s="167"/>
      <c r="E151" s="167"/>
      <c r="F151" s="167"/>
      <c r="G151" s="167"/>
      <c r="H151" s="167"/>
      <c r="I151" s="172"/>
    </row>
    <row r="152" spans="1:9" ht="45" customHeight="1">
      <c r="A152" s="167"/>
      <c r="B152" s="167"/>
      <c r="C152" s="167"/>
      <c r="D152" s="167"/>
      <c r="E152" s="167"/>
      <c r="F152" s="167"/>
      <c r="G152" s="167"/>
      <c r="H152" s="167"/>
      <c r="I152" s="172" t="s">
        <v>5211</v>
      </c>
    </row>
    <row r="153" spans="1:9" ht="45" customHeight="1">
      <c r="A153" s="163" t="s">
        <v>1712</v>
      </c>
    </row>
    <row r="154" spans="1:9" ht="45" customHeight="1">
      <c r="I154" s="165" t="s">
        <v>1583</v>
      </c>
    </row>
    <row r="155" spans="1:9" ht="45" customHeight="1">
      <c r="A155" s="167" t="s">
        <v>1577</v>
      </c>
      <c r="I155" s="164" t="s">
        <v>1584</v>
      </c>
    </row>
    <row r="156" spans="1:9" ht="45" customHeight="1">
      <c r="A156" s="167" t="s">
        <v>1578</v>
      </c>
      <c r="I156" s="164" t="s">
        <v>1575</v>
      </c>
    </row>
    <row r="157" spans="1:9" ht="45" customHeight="1">
      <c r="A157" s="167" t="s">
        <v>1579</v>
      </c>
      <c r="I157" s="164" t="s">
        <v>1585</v>
      </c>
    </row>
    <row r="158" spans="1:9" ht="45" customHeight="1">
      <c r="A158" s="167" t="s">
        <v>1581</v>
      </c>
    </row>
    <row r="159" spans="1:9" ht="45" customHeight="1">
      <c r="A159" s="167" t="s">
        <v>1580</v>
      </c>
      <c r="I159" s="163" t="s">
        <v>1712</v>
      </c>
    </row>
    <row r="160" spans="1:9" ht="45" customHeight="1">
      <c r="A160" s="167"/>
    </row>
    <row r="161" spans="1:19" ht="45" customHeight="1">
      <c r="A161" s="163" t="s">
        <v>1724</v>
      </c>
      <c r="I161" s="165" t="s">
        <v>1656</v>
      </c>
    </row>
    <row r="162" spans="1:19" ht="45" customHeight="1">
      <c r="I162" s="164" t="s">
        <v>1657</v>
      </c>
    </row>
    <row r="163" spans="1:19" ht="45" customHeight="1">
      <c r="A163" s="169" t="s">
        <v>3975</v>
      </c>
      <c r="I163" s="164" t="s">
        <v>1658</v>
      </c>
    </row>
    <row r="164" spans="1:19" ht="45" customHeight="1">
      <c r="A164" s="167" t="s">
        <v>1776</v>
      </c>
      <c r="I164" s="164" t="s">
        <v>1659</v>
      </c>
    </row>
    <row r="165" spans="1:19" ht="45" customHeight="1">
      <c r="A165" s="167" t="s">
        <v>1777</v>
      </c>
      <c r="I165" s="164" t="s">
        <v>5194</v>
      </c>
    </row>
    <row r="166" spans="1:19" ht="45" customHeight="1">
      <c r="A166" s="172" t="s">
        <v>5195</v>
      </c>
    </row>
    <row r="167" spans="1:19" ht="45" customHeight="1">
      <c r="A167" s="172"/>
      <c r="I167" s="164" t="s">
        <v>1660</v>
      </c>
      <c r="S167" s="172"/>
    </row>
    <row r="168" spans="1:19" ht="45" customHeight="1">
      <c r="A168" s="172" t="s">
        <v>2063</v>
      </c>
      <c r="I168" s="164"/>
      <c r="S168" s="172"/>
    </row>
    <row r="169" spans="1:19" ht="45" customHeight="1">
      <c r="A169" s="172" t="s">
        <v>2064</v>
      </c>
      <c r="F169" s="172" t="s">
        <v>3974</v>
      </c>
      <c r="I169" s="164"/>
      <c r="S169" s="172"/>
    </row>
    <row r="170" spans="1:19" ht="45" customHeight="1">
      <c r="S170" s="172"/>
    </row>
    <row r="171" spans="1:19" ht="45" customHeight="1">
      <c r="A171" s="186" t="s">
        <v>1660</v>
      </c>
    </row>
    <row r="172" spans="1:19" ht="45" customHeight="1">
      <c r="I172" s="167" t="s">
        <v>1781</v>
      </c>
    </row>
    <row r="173" spans="1:19" ht="45" customHeight="1">
      <c r="A173" s="167" t="s">
        <v>1803</v>
      </c>
      <c r="I173" s="167" t="s">
        <v>1782</v>
      </c>
    </row>
    <row r="174" spans="1:19" ht="45" customHeight="1">
      <c r="A174" s="167" t="s">
        <v>1804</v>
      </c>
      <c r="I174" s="167" t="s">
        <v>1783</v>
      </c>
    </row>
    <row r="175" spans="1:19" ht="45" customHeight="1">
      <c r="A175" s="167" t="s">
        <v>1805</v>
      </c>
      <c r="I175" s="167" t="s">
        <v>1784</v>
      </c>
    </row>
    <row r="176" spans="1:19" ht="45" customHeight="1">
      <c r="A176" s="167" t="s">
        <v>1806</v>
      </c>
      <c r="I176" s="167"/>
    </row>
    <row r="177" spans="1:9" ht="45" customHeight="1">
      <c r="I177" s="167" t="s">
        <v>1785</v>
      </c>
    </row>
    <row r="178" spans="1:9" ht="45" customHeight="1">
      <c r="A178" s="186" t="s">
        <v>1660</v>
      </c>
    </row>
    <row r="179" spans="1:9" ht="35.25" customHeight="1"/>
    <row r="180" spans="1:9" ht="50.25">
      <c r="A180" s="181" t="s">
        <v>869</v>
      </c>
      <c r="B180" s="179"/>
      <c r="C180" s="179"/>
      <c r="D180" s="179"/>
      <c r="E180" s="179"/>
      <c r="F180" s="179"/>
      <c r="G180" s="179"/>
      <c r="I180" s="169" t="s">
        <v>1927</v>
      </c>
    </row>
    <row r="181" spans="1:9" ht="50.25">
      <c r="A181" s="172" t="s">
        <v>1873</v>
      </c>
      <c r="B181" s="179"/>
      <c r="C181" s="179"/>
      <c r="D181" s="179"/>
      <c r="E181" s="179"/>
      <c r="F181" s="179"/>
      <c r="G181" s="179"/>
      <c r="I181" s="167" t="s">
        <v>1926</v>
      </c>
    </row>
    <row r="182" spans="1:9" ht="50.25">
      <c r="A182" s="172" t="s">
        <v>1868</v>
      </c>
      <c r="B182" s="179"/>
      <c r="C182" s="179"/>
      <c r="D182" s="179"/>
      <c r="E182" s="179"/>
      <c r="F182" s="179"/>
      <c r="G182" s="179"/>
      <c r="I182" s="167" t="s">
        <v>1924</v>
      </c>
    </row>
    <row r="183" spans="1:9" ht="50.25">
      <c r="A183" s="172" t="s">
        <v>1869</v>
      </c>
      <c r="B183" s="179"/>
      <c r="C183" s="179"/>
      <c r="D183" s="179"/>
      <c r="E183" s="179"/>
      <c r="F183" s="179"/>
      <c r="G183" s="179"/>
      <c r="I183" s="167" t="s">
        <v>1925</v>
      </c>
    </row>
    <row r="184" spans="1:9" ht="45">
      <c r="A184" s="172" t="s">
        <v>1870</v>
      </c>
      <c r="B184" s="179"/>
      <c r="C184" s="179"/>
      <c r="D184" s="179"/>
      <c r="E184" s="179"/>
      <c r="F184" s="179"/>
      <c r="G184" s="179"/>
    </row>
    <row r="185" spans="1:9" ht="50.25">
      <c r="A185" s="172"/>
      <c r="B185" s="179"/>
      <c r="C185" s="179"/>
      <c r="D185" s="179"/>
      <c r="E185" s="179"/>
      <c r="F185" s="179"/>
      <c r="G185" s="179"/>
      <c r="I185" s="186" t="s">
        <v>1871</v>
      </c>
    </row>
    <row r="186" spans="1:9" ht="50.25">
      <c r="A186" s="172" t="s">
        <v>1871</v>
      </c>
      <c r="B186" s="179"/>
      <c r="C186" s="179"/>
      <c r="D186" s="179"/>
      <c r="E186" s="179"/>
      <c r="F186" s="179"/>
      <c r="G186" s="179"/>
      <c r="I186" s="186" t="s">
        <v>1872</v>
      </c>
    </row>
    <row r="187" spans="1:9" ht="50.25">
      <c r="A187" s="172" t="s">
        <v>1872</v>
      </c>
      <c r="B187" s="179"/>
      <c r="C187" s="179"/>
      <c r="D187" s="179"/>
      <c r="E187" s="179"/>
      <c r="F187" s="179"/>
      <c r="G187" s="179"/>
      <c r="I187" s="186" t="s">
        <v>1750</v>
      </c>
    </row>
    <row r="188" spans="1:9" ht="50.25">
      <c r="A188" s="172" t="s">
        <v>5056</v>
      </c>
      <c r="B188" s="179"/>
      <c r="C188" s="172" t="s">
        <v>5057</v>
      </c>
      <c r="D188" s="179"/>
      <c r="E188" s="179"/>
      <c r="F188" s="179"/>
      <c r="G188" s="179"/>
      <c r="I188" s="186"/>
    </row>
    <row r="189" spans="1:9" ht="50.25">
      <c r="A189" s="172"/>
      <c r="I189" s="186" t="s">
        <v>1928</v>
      </c>
    </row>
    <row r="190" spans="1:9" ht="45">
      <c r="A190" s="172" t="s">
        <v>1867</v>
      </c>
    </row>
    <row r="191" spans="1:9" ht="50.1" customHeight="1">
      <c r="I191" s="389" t="s">
        <v>2138</v>
      </c>
    </row>
    <row r="192" spans="1:9" ht="50.1" customHeight="1">
      <c r="A192" s="172" t="s">
        <v>5179</v>
      </c>
      <c r="I192" s="186" t="s">
        <v>2139</v>
      </c>
    </row>
    <row r="193" spans="1:11" ht="50.1" customHeight="1">
      <c r="A193" s="172" t="s">
        <v>3953</v>
      </c>
      <c r="I193" s="186" t="s">
        <v>2140</v>
      </c>
    </row>
    <row r="194" spans="1:11" ht="50.1" customHeight="1">
      <c r="A194" s="172" t="s">
        <v>2061</v>
      </c>
      <c r="H194" t="s">
        <v>3973</v>
      </c>
      <c r="I194" s="186" t="s">
        <v>2141</v>
      </c>
    </row>
    <row r="195" spans="1:11" ht="50.1" customHeight="1">
      <c r="A195" s="172" t="s">
        <v>2062</v>
      </c>
    </row>
    <row r="196" spans="1:11" ht="50.1" customHeight="1">
      <c r="A196" s="172"/>
      <c r="I196" s="172" t="s">
        <v>2063</v>
      </c>
    </row>
    <row r="197" spans="1:11" ht="50.1" customHeight="1">
      <c r="A197" s="172" t="s">
        <v>2063</v>
      </c>
      <c r="I197" s="172" t="s">
        <v>2142</v>
      </c>
    </row>
    <row r="198" spans="1:11" ht="50.1" customHeight="1">
      <c r="A198" s="172" t="s">
        <v>2064</v>
      </c>
      <c r="I198" s="172" t="s">
        <v>2154</v>
      </c>
    </row>
    <row r="199" spans="1:11" ht="50.1" customHeight="1">
      <c r="A199" s="172" t="s">
        <v>5178</v>
      </c>
    </row>
    <row r="200" spans="1:11" ht="50.1" customHeight="1">
      <c r="A200" s="172"/>
      <c r="I200" s="163" t="s">
        <v>2143</v>
      </c>
    </row>
    <row r="201" spans="1:11" ht="50.1" customHeight="1">
      <c r="A201" s="172" t="s">
        <v>1715</v>
      </c>
    </row>
    <row r="202" spans="1:11" ht="50.1" customHeight="1">
      <c r="I202" s="172" t="s">
        <v>2290</v>
      </c>
    </row>
    <row r="203" spans="1:11" ht="50.1" customHeight="1">
      <c r="A203" s="172" t="s">
        <v>2194</v>
      </c>
      <c r="I203" s="172" t="s">
        <v>2291</v>
      </c>
    </row>
    <row r="204" spans="1:11" ht="50.1" customHeight="1">
      <c r="A204" s="172" t="s">
        <v>2195</v>
      </c>
      <c r="I204" s="430" t="s">
        <v>2292</v>
      </c>
    </row>
    <row r="205" spans="1:11" ht="50.1" customHeight="1">
      <c r="A205" s="172" t="s">
        <v>2196</v>
      </c>
    </row>
    <row r="206" spans="1:11" ht="50.1" customHeight="1">
      <c r="I206" s="177" t="s">
        <v>2293</v>
      </c>
      <c r="J206" s="429"/>
      <c r="K206" s="429"/>
    </row>
    <row r="207" spans="1:11" ht="50.1" customHeight="1">
      <c r="A207" s="181" t="s">
        <v>2319</v>
      </c>
      <c r="B207" s="172"/>
      <c r="C207" s="172"/>
      <c r="D207" s="172"/>
      <c r="E207" s="172"/>
      <c r="F207" s="172"/>
      <c r="G207" s="172"/>
      <c r="I207" s="177" t="s">
        <v>2294</v>
      </c>
    </row>
    <row r="208" spans="1:11" ht="50.1" customHeight="1">
      <c r="A208" s="172" t="s">
        <v>2316</v>
      </c>
      <c r="B208" s="172"/>
      <c r="C208" s="172"/>
      <c r="D208" s="172"/>
      <c r="E208" s="172"/>
      <c r="F208" s="172"/>
      <c r="G208" s="172"/>
    </row>
    <row r="209" spans="1:9" ht="50.1" customHeight="1">
      <c r="A209" s="172" t="s">
        <v>2317</v>
      </c>
      <c r="B209" s="172"/>
      <c r="C209" s="172"/>
      <c r="D209" s="172"/>
      <c r="E209" s="172"/>
      <c r="F209" s="172"/>
      <c r="G209" s="172"/>
      <c r="I209" s="389" t="s">
        <v>2508</v>
      </c>
    </row>
    <row r="210" spans="1:9" ht="50.1" customHeight="1">
      <c r="I210" s="186" t="s">
        <v>2509</v>
      </c>
    </row>
    <row r="211" spans="1:9" ht="50.1" customHeight="1">
      <c r="A211" s="177" t="s">
        <v>2318</v>
      </c>
      <c r="I211" s="186" t="s">
        <v>2510</v>
      </c>
    </row>
    <row r="212" spans="1:9" ht="50.1" customHeight="1">
      <c r="A212" s="177" t="s">
        <v>1267</v>
      </c>
    </row>
    <row r="213" spans="1:9" ht="50.1" customHeight="1">
      <c r="I213" s="186" t="s">
        <v>1871</v>
      </c>
    </row>
    <row r="214" spans="1:9" ht="50.1" customHeight="1">
      <c r="A214" s="186" t="s">
        <v>2450</v>
      </c>
      <c r="I214" s="186" t="s">
        <v>2511</v>
      </c>
    </row>
    <row r="215" spans="1:9" ht="50.1" customHeight="1">
      <c r="A215" s="186" t="s">
        <v>2447</v>
      </c>
      <c r="I215" s="186" t="s">
        <v>2512</v>
      </c>
    </row>
    <row r="216" spans="1:9" ht="50.1" customHeight="1">
      <c r="A216" s="186" t="s">
        <v>2448</v>
      </c>
      <c r="I216" s="186"/>
    </row>
    <row r="217" spans="1:9" ht="50.1" customHeight="1">
      <c r="A217" s="186" t="s">
        <v>2449</v>
      </c>
      <c r="I217" s="186" t="s">
        <v>1713</v>
      </c>
    </row>
    <row r="218" spans="1:9" ht="50.1" customHeight="1"/>
    <row r="219" spans="1:9" ht="50.1" customHeight="1">
      <c r="A219" s="172" t="s">
        <v>2293</v>
      </c>
      <c r="I219" s="186" t="s">
        <v>2650</v>
      </c>
    </row>
    <row r="220" spans="1:9" ht="50.1" customHeight="1">
      <c r="A220" s="172" t="s">
        <v>2446</v>
      </c>
      <c r="I220" s="186" t="s">
        <v>2651</v>
      </c>
    </row>
    <row r="221" spans="1:9" ht="50.1" customHeight="1">
      <c r="I221" s="186" t="s">
        <v>2656</v>
      </c>
    </row>
    <row r="222" spans="1:9" ht="50.1" customHeight="1">
      <c r="A222" s="186" t="s">
        <v>1928</v>
      </c>
      <c r="I222" s="186" t="s">
        <v>2655</v>
      </c>
    </row>
    <row r="223" spans="1:9" ht="50.1" customHeight="1">
      <c r="I223" s="186" t="s">
        <v>2654</v>
      </c>
    </row>
    <row r="224" spans="1:9" ht="50.1" customHeight="1">
      <c r="A224" s="167" t="s">
        <v>2744</v>
      </c>
      <c r="I224" s="186" t="s">
        <v>2652</v>
      </c>
    </row>
    <row r="225" spans="1:16" ht="50.1" customHeight="1">
      <c r="A225" s="167" t="s">
        <v>2745</v>
      </c>
      <c r="I225" s="186" t="s">
        <v>2653</v>
      </c>
    </row>
    <row r="226" spans="1:16" ht="50.1" customHeight="1">
      <c r="A226" s="167" t="s">
        <v>2748</v>
      </c>
    </row>
    <row r="227" spans="1:16" ht="50.1" customHeight="1">
      <c r="A227" s="167" t="s">
        <v>2746</v>
      </c>
      <c r="I227" s="169" t="s">
        <v>803</v>
      </c>
    </row>
    <row r="228" spans="1:16" ht="50.1" customHeight="1">
      <c r="A228" s="167" t="s">
        <v>2747</v>
      </c>
      <c r="I228" s="167" t="s">
        <v>802</v>
      </c>
    </row>
    <row r="229" spans="1:16" ht="50.1" customHeight="1">
      <c r="A229" s="167"/>
      <c r="I229" s="167" t="s">
        <v>801</v>
      </c>
    </row>
    <row r="230" spans="1:16" ht="50.1" customHeight="1">
      <c r="A230" s="186" t="s">
        <v>2293</v>
      </c>
      <c r="I230" s="167" t="s">
        <v>800</v>
      </c>
    </row>
    <row r="231" spans="1:16" ht="50.1" customHeight="1">
      <c r="A231" s="186" t="s">
        <v>2743</v>
      </c>
    </row>
    <row r="232" spans="1:16" ht="50.1" customHeight="1">
      <c r="A232" s="553"/>
      <c r="I232" s="186" t="s">
        <v>2293</v>
      </c>
    </row>
    <row r="233" spans="1:16" ht="50.1" customHeight="1">
      <c r="A233" s="186" t="s">
        <v>1713</v>
      </c>
      <c r="I233" s="186" t="s">
        <v>1696</v>
      </c>
    </row>
    <row r="234" spans="1:16" ht="50.1" customHeight="1"/>
    <row r="235" spans="1:16" ht="50.1" customHeight="1">
      <c r="I235" s="163" t="s">
        <v>1713</v>
      </c>
    </row>
    <row r="236" spans="1:16" ht="50.1" customHeight="1">
      <c r="A236" s="566" t="s">
        <v>2778</v>
      </c>
    </row>
    <row r="237" spans="1:16" ht="50.1" customHeight="1">
      <c r="A237" s="167" t="s">
        <v>2779</v>
      </c>
      <c r="I237" s="683" t="s">
        <v>3129</v>
      </c>
      <c r="J237" s="681"/>
      <c r="K237" s="681"/>
      <c r="L237" s="681"/>
      <c r="M237" s="681"/>
      <c r="N237" s="681"/>
      <c r="O237" s="681"/>
    </row>
    <row r="238" spans="1:16" ht="50.1" customHeight="1">
      <c r="A238" s="167" t="s">
        <v>2782</v>
      </c>
      <c r="I238" s="683" t="s">
        <v>3130</v>
      </c>
      <c r="J238" s="681"/>
      <c r="K238" s="681"/>
      <c r="L238" s="681"/>
      <c r="M238" s="681"/>
      <c r="N238" s="681"/>
      <c r="O238" s="681"/>
    </row>
    <row r="239" spans="1:16" ht="50.1" customHeight="1">
      <c r="A239" s="167" t="s">
        <v>2783</v>
      </c>
      <c r="I239" s="684" t="s">
        <v>3131</v>
      </c>
      <c r="J239" s="681"/>
      <c r="K239" s="681"/>
      <c r="L239" s="681"/>
      <c r="M239" s="681"/>
      <c r="N239" s="681"/>
      <c r="O239" s="681"/>
    </row>
    <row r="240" spans="1:16" ht="50.1" customHeight="1">
      <c r="A240" s="167" t="s">
        <v>2780</v>
      </c>
      <c r="I240" s="682" t="s">
        <v>3132</v>
      </c>
      <c r="J240" s="682"/>
      <c r="K240" s="682"/>
      <c r="L240" s="682"/>
      <c r="M240" s="682"/>
      <c r="N240" s="682"/>
      <c r="O240" s="682"/>
      <c r="P240" s="685"/>
    </row>
    <row r="241" spans="1:16" ht="50.1" customHeight="1">
      <c r="I241" s="682" t="s">
        <v>3133</v>
      </c>
      <c r="J241" s="682"/>
      <c r="K241" s="682"/>
      <c r="L241" s="682"/>
      <c r="M241" s="682"/>
      <c r="N241" s="682"/>
      <c r="O241" s="682"/>
      <c r="P241" s="685"/>
    </row>
    <row r="242" spans="1:16" ht="50.1" customHeight="1">
      <c r="A242" s="186" t="s">
        <v>2293</v>
      </c>
      <c r="K242" s="682"/>
      <c r="M242" s="682"/>
      <c r="N242" s="682"/>
      <c r="O242" s="682"/>
      <c r="P242" s="685"/>
    </row>
    <row r="243" spans="1:16" ht="50.1" customHeight="1">
      <c r="A243" s="186" t="s">
        <v>1854</v>
      </c>
      <c r="I243" s="682" t="s">
        <v>3135</v>
      </c>
      <c r="J243" s="682"/>
      <c r="K243" s="682"/>
      <c r="L243" s="682"/>
      <c r="M243" s="682"/>
      <c r="N243" s="682"/>
      <c r="O243" s="682"/>
      <c r="P243" s="685"/>
    </row>
    <row r="244" spans="1:16" ht="50.1" customHeight="1">
      <c r="I244" s="682" t="s">
        <v>3134</v>
      </c>
      <c r="J244" s="685"/>
      <c r="K244" s="685"/>
      <c r="L244" s="685"/>
      <c r="M244" s="685"/>
      <c r="N244" s="685"/>
      <c r="O244" s="685"/>
      <c r="P244" s="685"/>
    </row>
    <row r="245" spans="1:16" ht="50.1" customHeight="1">
      <c r="A245" s="163" t="s">
        <v>2781</v>
      </c>
    </row>
    <row r="246" spans="1:16" ht="50.1" customHeight="1">
      <c r="I246" s="163" t="s">
        <v>3136</v>
      </c>
    </row>
    <row r="247" spans="1:16" ht="50.1" customHeight="1"/>
    <row r="248" spans="1:16" ht="50.1" customHeight="1">
      <c r="A248" s="687" t="s">
        <v>3148</v>
      </c>
      <c r="B248" s="175"/>
      <c r="C248" s="175"/>
      <c r="D248" s="175"/>
      <c r="E248" s="175"/>
      <c r="F248" s="175"/>
      <c r="G248" s="175"/>
      <c r="H248" s="175"/>
      <c r="I248" s="389" t="s">
        <v>3294</v>
      </c>
      <c r="J248" s="186"/>
      <c r="K248" s="186"/>
      <c r="L248" s="186"/>
      <c r="M248" s="186"/>
      <c r="N248" s="186"/>
      <c r="O248" s="186"/>
      <c r="P248" s="186"/>
    </row>
    <row r="249" spans="1:16" ht="50.1" customHeight="1">
      <c r="A249" s="175" t="s">
        <v>3149</v>
      </c>
      <c r="B249" s="175"/>
      <c r="C249" s="175"/>
      <c r="D249" s="175"/>
      <c r="E249" s="175"/>
      <c r="F249" s="175"/>
      <c r="G249" s="175"/>
      <c r="H249" s="175"/>
      <c r="I249" s="186" t="s">
        <v>3299</v>
      </c>
      <c r="J249" s="186"/>
      <c r="K249" s="186"/>
      <c r="L249" s="186"/>
      <c r="M249" s="186"/>
      <c r="N249" s="186"/>
      <c r="O249" s="186"/>
      <c r="P249" s="186"/>
    </row>
    <row r="250" spans="1:16" ht="50.1" customHeight="1">
      <c r="A250" s="175" t="s">
        <v>3150</v>
      </c>
      <c r="B250" s="175"/>
      <c r="C250" s="175"/>
      <c r="D250" s="175"/>
      <c r="E250" s="175"/>
      <c r="F250" s="175"/>
      <c r="G250" s="175"/>
      <c r="H250" s="175"/>
      <c r="I250" s="186" t="s">
        <v>3300</v>
      </c>
      <c r="K250" s="186"/>
      <c r="L250" s="186"/>
      <c r="M250" s="186"/>
      <c r="N250" s="186"/>
      <c r="O250" s="186"/>
      <c r="P250" s="186"/>
    </row>
    <row r="251" spans="1:16" ht="50.1" customHeight="1">
      <c r="A251" s="175" t="s">
        <v>3151</v>
      </c>
      <c r="B251" s="175"/>
      <c r="C251" s="175"/>
      <c r="D251" s="175"/>
      <c r="E251" s="175"/>
      <c r="F251" s="175"/>
      <c r="G251" s="175"/>
      <c r="H251" s="175"/>
      <c r="I251" s="186" t="s">
        <v>3295</v>
      </c>
      <c r="J251" s="186"/>
      <c r="K251" s="186"/>
      <c r="L251" s="186"/>
      <c r="M251" s="186"/>
      <c r="N251" s="186"/>
      <c r="O251" s="186"/>
      <c r="P251" s="186"/>
    </row>
    <row r="252" spans="1:16" ht="50.1" customHeight="1">
      <c r="A252" s="175"/>
      <c r="B252" s="175"/>
      <c r="C252" s="175"/>
      <c r="D252" s="175"/>
      <c r="E252" s="175"/>
      <c r="F252" s="175"/>
      <c r="G252" s="175"/>
      <c r="H252" s="175"/>
      <c r="I252" s="186" t="s">
        <v>3296</v>
      </c>
      <c r="J252" s="186"/>
      <c r="K252" s="186"/>
      <c r="L252" s="186"/>
      <c r="M252" s="186"/>
      <c r="N252" s="186"/>
      <c r="O252" s="186"/>
      <c r="P252" s="186"/>
    </row>
    <row r="253" spans="1:16" ht="50.1" customHeight="1">
      <c r="A253" s="175" t="s">
        <v>2293</v>
      </c>
      <c r="B253" s="174"/>
      <c r="C253" s="174"/>
      <c r="D253" s="174"/>
      <c r="E253" s="174"/>
      <c r="F253" s="175" t="s">
        <v>1574</v>
      </c>
      <c r="G253" s="174"/>
      <c r="H253" s="175"/>
      <c r="I253" s="186"/>
      <c r="J253" s="186"/>
      <c r="K253" s="186"/>
      <c r="L253" s="186"/>
      <c r="M253" s="186"/>
      <c r="N253" s="186"/>
      <c r="O253" s="186"/>
      <c r="P253" s="186"/>
    </row>
    <row r="254" spans="1:16" ht="50.1" customHeight="1">
      <c r="A254" s="174"/>
      <c r="B254" s="174"/>
      <c r="C254" s="174"/>
      <c r="D254" s="174"/>
      <c r="E254" s="174"/>
      <c r="F254" s="175"/>
      <c r="G254" s="175"/>
      <c r="H254" s="175"/>
      <c r="I254" s="186" t="s">
        <v>3297</v>
      </c>
      <c r="J254" s="186"/>
      <c r="K254" s="186"/>
      <c r="L254" s="186"/>
      <c r="M254" s="186"/>
      <c r="N254" s="186"/>
      <c r="O254" s="186"/>
      <c r="P254" s="186"/>
    </row>
    <row r="255" spans="1:16" ht="50.1" customHeight="1">
      <c r="A255" s="175" t="s">
        <v>1713</v>
      </c>
      <c r="B255" s="174"/>
      <c r="C255" s="174"/>
      <c r="D255" s="174"/>
      <c r="E255" s="174"/>
      <c r="F255" s="174"/>
      <c r="G255" s="174"/>
      <c r="H255" s="174"/>
      <c r="I255" s="186"/>
      <c r="J255" s="186"/>
    </row>
    <row r="256" spans="1:16" ht="50.1" customHeight="1">
      <c r="I256" s="186" t="s">
        <v>3298</v>
      </c>
    </row>
    <row r="257" spans="1:16" ht="50.1" customHeight="1">
      <c r="I257" s="186" t="s">
        <v>3512</v>
      </c>
    </row>
    <row r="258" spans="1:16" ht="50.1" customHeight="1">
      <c r="A258" s="389" t="s">
        <v>3460</v>
      </c>
      <c r="I258" s="186"/>
    </row>
    <row r="259" spans="1:16" ht="50.1" customHeight="1">
      <c r="A259" s="186" t="s">
        <v>3461</v>
      </c>
      <c r="I259" s="186" t="s">
        <v>3407</v>
      </c>
    </row>
    <row r="260" spans="1:16" ht="50.1" customHeight="1">
      <c r="A260" s="186" t="s">
        <v>3462</v>
      </c>
      <c r="I260" s="186" t="s">
        <v>3408</v>
      </c>
    </row>
    <row r="261" spans="1:16" ht="50.1" customHeight="1">
      <c r="A261" s="186" t="s">
        <v>3463</v>
      </c>
      <c r="I261" s="186" t="s">
        <v>3409</v>
      </c>
    </row>
    <row r="262" spans="1:16" ht="50.1" customHeight="1">
      <c r="A262" s="177"/>
      <c r="I262" s="186" t="s">
        <v>3410</v>
      </c>
    </row>
    <row r="263" spans="1:16" ht="50.1" customHeight="1">
      <c r="A263" s="172" t="s">
        <v>1008</v>
      </c>
      <c r="B263" s="172"/>
      <c r="C263" s="172"/>
      <c r="D263" s="172"/>
      <c r="E263" s="172" t="s">
        <v>1290</v>
      </c>
      <c r="F263" s="172"/>
      <c r="I263" s="186"/>
    </row>
    <row r="264" spans="1:16" ht="50.1" customHeight="1">
      <c r="A264" s="172" t="s">
        <v>109</v>
      </c>
      <c r="B264" s="172"/>
      <c r="C264" s="172"/>
      <c r="D264" s="172"/>
      <c r="E264" s="172" t="s">
        <v>299</v>
      </c>
      <c r="F264" s="172"/>
      <c r="G264" s="174"/>
      <c r="H264" s="175"/>
      <c r="I264" s="175" t="s">
        <v>2293</v>
      </c>
      <c r="J264" s="186"/>
      <c r="K264" s="186"/>
      <c r="L264" s="186"/>
      <c r="M264" s="186"/>
      <c r="N264" s="175" t="s">
        <v>1552</v>
      </c>
      <c r="O264" s="186"/>
      <c r="P264" s="186"/>
    </row>
    <row r="265" spans="1:16" ht="50.1" customHeight="1">
      <c r="B265" s="174"/>
      <c r="C265" s="174"/>
      <c r="D265" s="174"/>
      <c r="E265" s="174"/>
      <c r="F265" s="175"/>
      <c r="G265" s="174"/>
      <c r="H265" s="175"/>
      <c r="I265" s="175"/>
      <c r="J265" s="186"/>
      <c r="K265" s="186"/>
      <c r="L265" s="186"/>
      <c r="M265" s="186"/>
      <c r="N265" s="186"/>
      <c r="O265" s="186"/>
      <c r="P265" s="186"/>
    </row>
    <row r="266" spans="1:16" ht="50.1" customHeight="1">
      <c r="A266" s="175" t="s">
        <v>1713</v>
      </c>
      <c r="I266" s="175" t="s">
        <v>3411</v>
      </c>
    </row>
    <row r="267" spans="1:16" ht="50.1" customHeight="1">
      <c r="I267" s="186"/>
    </row>
    <row r="268" spans="1:16" ht="50.1" customHeight="1">
      <c r="A268" s="181" t="s">
        <v>3547</v>
      </c>
      <c r="I268" s="389" t="s">
        <v>3656</v>
      </c>
    </row>
    <row r="269" spans="1:16" ht="50.1" customHeight="1">
      <c r="A269" s="172" t="s">
        <v>3555</v>
      </c>
      <c r="I269" s="186" t="s">
        <v>3658</v>
      </c>
    </row>
    <row r="270" spans="1:16" ht="50.1" customHeight="1">
      <c r="A270" s="172" t="s">
        <v>3554</v>
      </c>
      <c r="I270" s="186" t="s">
        <v>3659</v>
      </c>
    </row>
    <row r="271" spans="1:16" ht="50.1" customHeight="1">
      <c r="A271" s="172"/>
      <c r="I271" s="186" t="s">
        <v>3657</v>
      </c>
    </row>
    <row r="272" spans="1:16" ht="50.1" customHeight="1">
      <c r="A272" s="177" t="s">
        <v>3556</v>
      </c>
      <c r="E272" s="177" t="s">
        <v>3558</v>
      </c>
      <c r="I272" s="186"/>
    </row>
    <row r="273" spans="1:14" ht="50.1" customHeight="1">
      <c r="I273" s="186" t="s">
        <v>3662</v>
      </c>
    </row>
    <row r="274" spans="1:14" ht="50.1" customHeight="1"/>
    <row r="275" spans="1:14" ht="50.1" customHeight="1">
      <c r="I275" s="175" t="s">
        <v>3660</v>
      </c>
    </row>
    <row r="276" spans="1:14" ht="50.1" customHeight="1">
      <c r="I276" s="186"/>
      <c r="K276" s="172" t="s">
        <v>3661</v>
      </c>
    </row>
    <row r="277" spans="1:14" ht="50.1" customHeight="1">
      <c r="A277" s="167" t="s">
        <v>831</v>
      </c>
      <c r="B277" s="167"/>
      <c r="C277" s="167"/>
      <c r="D277" s="167"/>
      <c r="E277" s="167"/>
      <c r="F277" s="167"/>
      <c r="G277" s="167"/>
      <c r="I277" s="186"/>
    </row>
    <row r="278" spans="1:14" ht="50.1" customHeight="1">
      <c r="A278" s="167" t="s">
        <v>830</v>
      </c>
      <c r="B278" s="167"/>
      <c r="C278" s="167"/>
      <c r="D278" s="167"/>
      <c r="E278" s="167"/>
      <c r="F278" s="167"/>
      <c r="G278" s="167"/>
      <c r="I278" s="1017" t="s">
        <v>4172</v>
      </c>
    </row>
    <row r="279" spans="1:14" ht="50.1" customHeight="1">
      <c r="A279" s="167" t="s">
        <v>828</v>
      </c>
      <c r="B279" s="167"/>
      <c r="C279" s="167"/>
      <c r="D279" s="167"/>
      <c r="E279" s="167"/>
      <c r="F279" s="167"/>
      <c r="G279" s="167"/>
      <c r="I279" s="164" t="s">
        <v>4171</v>
      </c>
    </row>
    <row r="280" spans="1:14" ht="50.1" customHeight="1">
      <c r="A280" s="167" t="s">
        <v>826</v>
      </c>
      <c r="B280" s="167"/>
      <c r="C280" s="167"/>
      <c r="D280" s="167"/>
      <c r="E280" s="167"/>
      <c r="F280" s="167"/>
      <c r="G280" s="167"/>
      <c r="I280" s="1016" t="s">
        <v>4173</v>
      </c>
    </row>
    <row r="281" spans="1:14" ht="50.1" customHeight="1">
      <c r="I281" s="1016" t="s">
        <v>4174</v>
      </c>
    </row>
    <row r="282" spans="1:14" s="179" customFormat="1" ht="50.1" customHeight="1">
      <c r="A282" s="172" t="s">
        <v>3746</v>
      </c>
      <c r="I282" s="172"/>
    </row>
    <row r="283" spans="1:14" ht="50.1" customHeight="1">
      <c r="A283" s="172" t="s">
        <v>3744</v>
      </c>
      <c r="I283" s="165" t="s">
        <v>4232</v>
      </c>
    </row>
    <row r="284" spans="1:14" ht="50.1" customHeight="1">
      <c r="I284" s="164" t="s">
        <v>4233</v>
      </c>
    </row>
    <row r="285" spans="1:14" ht="50.1" customHeight="1">
      <c r="A285" s="175" t="s">
        <v>3745</v>
      </c>
      <c r="I285" s="1033" t="s">
        <v>4234</v>
      </c>
    </row>
    <row r="286" spans="1:14" ht="50.1" customHeight="1">
      <c r="I286" s="186"/>
    </row>
    <row r="287" spans="1:14" ht="50.1" customHeight="1">
      <c r="I287" s="164" t="s">
        <v>4235</v>
      </c>
      <c r="N287" s="1034" t="s">
        <v>4236</v>
      </c>
    </row>
    <row r="288" spans="1:14" ht="50.1" customHeight="1">
      <c r="A288" s="687" t="s">
        <v>5201</v>
      </c>
    </row>
    <row r="289" spans="1:15" ht="50.1" customHeight="1">
      <c r="A289" s="175" t="s">
        <v>5202</v>
      </c>
      <c r="I289" s="687" t="s">
        <v>4259</v>
      </c>
      <c r="J289" s="174"/>
      <c r="K289" s="174"/>
      <c r="L289" s="174"/>
      <c r="M289" s="174"/>
      <c r="N289" s="174"/>
      <c r="O289" s="174"/>
    </row>
    <row r="290" spans="1:15" ht="50.1" customHeight="1">
      <c r="A290" s="175" t="s">
        <v>4021</v>
      </c>
      <c r="I290" s="175" t="s">
        <v>4262</v>
      </c>
      <c r="J290" s="174"/>
      <c r="K290" s="174"/>
      <c r="L290" s="174"/>
      <c r="M290" s="174"/>
      <c r="N290" s="174"/>
      <c r="O290" s="174"/>
    </row>
    <row r="291" spans="1:15" ht="50.1" customHeight="1">
      <c r="A291" s="175" t="s">
        <v>5203</v>
      </c>
      <c r="I291" s="175" t="s">
        <v>4263</v>
      </c>
      <c r="J291" s="174"/>
      <c r="K291" s="174"/>
      <c r="L291" s="174"/>
      <c r="M291" s="174"/>
      <c r="N291" s="174"/>
      <c r="O291" s="174"/>
    </row>
    <row r="292" spans="1:15" ht="50.1" customHeight="1">
      <c r="I292" s="174"/>
      <c r="J292" s="174"/>
      <c r="K292" s="174"/>
      <c r="L292" s="174"/>
      <c r="M292" s="174"/>
      <c r="N292" s="174"/>
      <c r="O292" s="174"/>
    </row>
    <row r="293" spans="1:15" ht="49.5">
      <c r="A293" s="175" t="s">
        <v>2293</v>
      </c>
      <c r="B293" s="174"/>
      <c r="C293" s="174"/>
      <c r="D293" s="174"/>
      <c r="E293" s="174"/>
      <c r="F293" s="175" t="s">
        <v>1233</v>
      </c>
      <c r="G293" s="174"/>
      <c r="I293" s="175" t="s">
        <v>4260</v>
      </c>
      <c r="J293" s="174"/>
      <c r="K293" s="174"/>
      <c r="L293" s="174"/>
      <c r="M293" s="175" t="s">
        <v>4256</v>
      </c>
      <c r="N293" s="174"/>
      <c r="O293" s="174"/>
    </row>
    <row r="294" spans="1:15" ht="49.5">
      <c r="A294" s="174"/>
      <c r="B294" s="174"/>
      <c r="C294" s="174"/>
      <c r="D294" s="174"/>
      <c r="E294" s="174"/>
      <c r="F294" s="175"/>
      <c r="G294" s="175"/>
      <c r="I294" s="174"/>
      <c r="J294" s="174"/>
      <c r="K294" s="174"/>
      <c r="L294" s="174"/>
      <c r="M294" s="174"/>
      <c r="N294" s="174"/>
      <c r="O294" s="174"/>
    </row>
    <row r="295" spans="1:15" ht="49.5">
      <c r="A295" s="175" t="s">
        <v>1713</v>
      </c>
      <c r="B295" s="174"/>
      <c r="C295" s="174"/>
      <c r="D295" s="174"/>
      <c r="E295" s="174"/>
      <c r="F295" s="174"/>
      <c r="G295" s="174"/>
      <c r="I295" s="175" t="s">
        <v>4261</v>
      </c>
      <c r="J295" s="174"/>
      <c r="K295" s="174"/>
      <c r="L295" s="174"/>
      <c r="M295" s="174"/>
      <c r="N295" s="174"/>
      <c r="O295" s="174"/>
    </row>
    <row r="296" spans="1:15" ht="50.1" customHeight="1">
      <c r="I296" s="164"/>
      <c r="N296" s="1034"/>
    </row>
    <row r="297" spans="1:15" ht="51.75" customHeight="1">
      <c r="A297" s="687" t="s">
        <v>4616</v>
      </c>
      <c r="I297" s="687" t="s">
        <v>4781</v>
      </c>
    </row>
    <row r="298" spans="1:15" ht="51.75" customHeight="1">
      <c r="A298" s="175" t="s">
        <v>4620</v>
      </c>
      <c r="I298" s="687" t="s">
        <v>4782</v>
      </c>
      <c r="J298" s="174"/>
      <c r="K298" s="174"/>
      <c r="L298" s="174"/>
      <c r="M298" s="174"/>
      <c r="N298" s="174"/>
      <c r="O298" s="174"/>
    </row>
    <row r="299" spans="1:15" ht="51.75" customHeight="1">
      <c r="A299" s="175" t="s">
        <v>4617</v>
      </c>
      <c r="I299" s="175" t="s">
        <v>4783</v>
      </c>
      <c r="J299" s="174"/>
      <c r="K299" s="174"/>
      <c r="L299" s="174"/>
      <c r="M299" s="174"/>
      <c r="N299" s="174"/>
      <c r="O299" s="174"/>
    </row>
    <row r="300" spans="1:15" ht="51.75" customHeight="1">
      <c r="A300" s="175" t="s">
        <v>4618</v>
      </c>
      <c r="I300" s="175" t="s">
        <v>4784</v>
      </c>
      <c r="J300" s="174"/>
      <c r="K300" s="174"/>
      <c r="L300" s="174"/>
      <c r="M300" s="174"/>
      <c r="N300" s="174"/>
      <c r="O300" s="174"/>
    </row>
    <row r="301" spans="1:15" ht="51.75" customHeight="1">
      <c r="A301" s="175" t="s">
        <v>4619</v>
      </c>
    </row>
    <row r="302" spans="1:15" ht="50.1" customHeight="1">
      <c r="I302" s="175" t="s">
        <v>2293</v>
      </c>
      <c r="M302" s="175" t="s">
        <v>1233</v>
      </c>
    </row>
    <row r="303" spans="1:15" ht="50.1" customHeight="1">
      <c r="I303" s="174"/>
    </row>
    <row r="304" spans="1:15" ht="50.1" customHeight="1">
      <c r="I304" s="175" t="s">
        <v>1713</v>
      </c>
    </row>
    <row r="305" spans="1:20" ht="50.1" customHeight="1">
      <c r="A305" s="389" t="s">
        <v>4944</v>
      </c>
    </row>
    <row r="306" spans="1:20" ht="50.1" customHeight="1">
      <c r="A306" s="186" t="s">
        <v>4945</v>
      </c>
      <c r="I306" s="186" t="s">
        <v>5139</v>
      </c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</row>
    <row r="307" spans="1:20" ht="50.1" customHeight="1">
      <c r="A307" s="186" t="s">
        <v>4946</v>
      </c>
      <c r="I307" s="186" t="s">
        <v>5140</v>
      </c>
      <c r="J307" s="553"/>
      <c r="K307" s="553"/>
      <c r="L307" s="553"/>
      <c r="M307" s="553"/>
      <c r="N307" s="553"/>
      <c r="O307" s="553"/>
      <c r="P307" s="553"/>
      <c r="Q307" s="553"/>
      <c r="R307" s="553"/>
      <c r="S307" s="553"/>
      <c r="T307" s="553"/>
    </row>
    <row r="308" spans="1:20" ht="50.1" customHeight="1">
      <c r="A308" s="186" t="s">
        <v>4947</v>
      </c>
      <c r="I308" s="186" t="s">
        <v>5141</v>
      </c>
      <c r="J308" s="553"/>
      <c r="K308" s="553"/>
      <c r="L308" s="553"/>
      <c r="M308" s="553"/>
      <c r="N308" s="553"/>
      <c r="O308" s="553"/>
      <c r="P308" s="553"/>
      <c r="Q308" s="553"/>
      <c r="R308" s="553"/>
      <c r="S308" s="553"/>
      <c r="T308" s="553"/>
    </row>
    <row r="309" spans="1:20" ht="50.1" customHeight="1">
      <c r="I309" s="186" t="s">
        <v>5142</v>
      </c>
      <c r="J309" s="553"/>
      <c r="K309" s="553"/>
      <c r="L309" s="553"/>
      <c r="M309" s="553"/>
      <c r="N309" s="553"/>
      <c r="O309" s="553"/>
      <c r="P309" s="553"/>
      <c r="Q309" s="553"/>
      <c r="R309" s="553"/>
      <c r="S309" s="553"/>
      <c r="T309" s="553"/>
    </row>
    <row r="310" spans="1:20" ht="50.1" customHeight="1">
      <c r="A310" s="175" t="s">
        <v>2293</v>
      </c>
      <c r="F310" s="1230" t="s">
        <v>4948</v>
      </c>
      <c r="I310" s="186" t="s">
        <v>5143</v>
      </c>
      <c r="J310" s="553"/>
      <c r="K310" s="553"/>
      <c r="L310" s="553"/>
      <c r="M310" s="553"/>
      <c r="N310" s="553"/>
      <c r="O310" s="553"/>
      <c r="P310" s="553"/>
      <c r="Q310" s="553"/>
      <c r="R310" s="553"/>
      <c r="S310" s="553"/>
      <c r="T310" s="553"/>
    </row>
    <row r="311" spans="1:20" ht="50.1" customHeight="1">
      <c r="A311" s="174"/>
      <c r="I311" s="186" t="s">
        <v>5144</v>
      </c>
      <c r="J311" s="553"/>
      <c r="K311" s="553"/>
      <c r="L311" s="553"/>
      <c r="M311" s="553"/>
      <c r="N311" s="553"/>
      <c r="O311" s="553"/>
      <c r="P311" s="553"/>
      <c r="Q311" s="553"/>
      <c r="R311" s="553"/>
      <c r="S311" s="553"/>
      <c r="T311" s="553"/>
    </row>
    <row r="312" spans="1:20" ht="50.1" customHeight="1">
      <c r="A312" s="175" t="s">
        <v>1713</v>
      </c>
    </row>
    <row r="313" spans="1:20" ht="50.1" customHeight="1">
      <c r="I313" s="172"/>
    </row>
    <row r="314" spans="1:20" s="175" customFormat="1" ht="50.1" customHeight="1">
      <c r="A314" s="687" t="s">
        <v>5168</v>
      </c>
      <c r="I314" s="175" t="s">
        <v>5177</v>
      </c>
    </row>
    <row r="315" spans="1:20" s="175" customFormat="1" ht="50.1" customHeight="1">
      <c r="A315" s="175" t="s">
        <v>5167</v>
      </c>
      <c r="I315" s="175" t="s">
        <v>5174</v>
      </c>
    </row>
    <row r="316" spans="1:20" s="175" customFormat="1" ht="50.1" customHeight="1">
      <c r="A316" s="175" t="s">
        <v>5165</v>
      </c>
      <c r="I316" s="175" t="s">
        <v>5175</v>
      </c>
    </row>
    <row r="317" spans="1:20" s="175" customFormat="1" ht="50.1" customHeight="1">
      <c r="I317" s="175" t="s">
        <v>5176</v>
      </c>
    </row>
    <row r="318" spans="1:20" s="175" customFormat="1" ht="50.1" customHeight="1">
      <c r="A318" s="175" t="s">
        <v>5166</v>
      </c>
    </row>
    <row r="319" spans="1:20" s="175" customFormat="1" ht="50.1" customHeight="1">
      <c r="I319" s="687" t="s">
        <v>5180</v>
      </c>
    </row>
    <row r="320" spans="1:20" s="175" customFormat="1" ht="50.1" customHeight="1">
      <c r="A320" s="175" t="s">
        <v>1713</v>
      </c>
      <c r="I320" s="175" t="s">
        <v>5181</v>
      </c>
    </row>
    <row r="321" spans="1:9" s="175" customFormat="1" ht="50.1" customHeight="1">
      <c r="I321" s="175" t="s">
        <v>5182</v>
      </c>
    </row>
    <row r="322" spans="1:9" s="175" customFormat="1" ht="50.1" customHeight="1">
      <c r="A322" s="683" t="s">
        <v>5185</v>
      </c>
      <c r="I322" s="175" t="s">
        <v>5183</v>
      </c>
    </row>
    <row r="323" spans="1:9" s="175" customFormat="1" ht="50.1" customHeight="1">
      <c r="A323" s="175" t="s">
        <v>5186</v>
      </c>
    </row>
    <row r="324" spans="1:9" s="175" customFormat="1" ht="50.1" customHeight="1">
      <c r="A324" s="684" t="s">
        <v>5187</v>
      </c>
      <c r="I324" s="175" t="s">
        <v>5184</v>
      </c>
    </row>
    <row r="325" spans="1:9" s="175" customFormat="1" ht="50.1" customHeight="1">
      <c r="A325" s="683" t="s">
        <v>5188</v>
      </c>
    </row>
    <row r="326" spans="1:9" s="175" customFormat="1" ht="50.1" customHeight="1">
      <c r="I326" s="175" t="s">
        <v>1713</v>
      </c>
    </row>
    <row r="327" spans="1:9" s="175" customFormat="1" ht="50.1" customHeight="1">
      <c r="A327" s="167" t="s">
        <v>5189</v>
      </c>
      <c r="B327" s="167"/>
      <c r="C327" s="167"/>
      <c r="D327" s="167"/>
      <c r="E327" s="167"/>
      <c r="F327" s="167"/>
    </row>
    <row r="328" spans="1:9" s="175" customFormat="1" ht="50.1" customHeight="1">
      <c r="A328" s="167" t="s">
        <v>5190</v>
      </c>
      <c r="B328" s="167"/>
      <c r="C328" s="167"/>
      <c r="D328" s="167"/>
      <c r="E328" s="167"/>
      <c r="F328" s="167"/>
      <c r="I328" s="175" t="s">
        <v>5196</v>
      </c>
    </row>
    <row r="329" spans="1:9" s="175" customFormat="1" ht="50.1" customHeight="1">
      <c r="A329" s="167" t="s">
        <v>5191</v>
      </c>
      <c r="B329" s="167"/>
      <c r="C329" s="167"/>
      <c r="D329" s="167"/>
      <c r="E329" s="167"/>
      <c r="F329" s="167"/>
      <c r="I329" s="175" t="s">
        <v>5197</v>
      </c>
    </row>
    <row r="330" spans="1:9" s="175" customFormat="1" ht="50.1" customHeight="1">
      <c r="A330" s="167" t="s">
        <v>5192</v>
      </c>
      <c r="B330" s="167"/>
      <c r="C330" s="167"/>
      <c r="D330" s="167"/>
      <c r="E330" s="167"/>
      <c r="F330" s="167"/>
      <c r="I330" s="175" t="s">
        <v>5198</v>
      </c>
    </row>
    <row r="331" spans="1:9" s="175" customFormat="1" ht="50.1" customHeight="1">
      <c r="A331" s="167" t="s">
        <v>5193</v>
      </c>
      <c r="B331" s="167"/>
      <c r="C331" s="167"/>
      <c r="D331" s="167"/>
      <c r="E331" s="167"/>
      <c r="F331" s="167"/>
      <c r="I331" s="175" t="s">
        <v>5199</v>
      </c>
    </row>
    <row r="332" spans="1:9" s="175" customFormat="1" ht="50.1" customHeight="1">
      <c r="A332" s="167"/>
      <c r="B332" s="167"/>
      <c r="C332" s="167"/>
      <c r="D332" s="167"/>
      <c r="E332" s="167"/>
      <c r="F332" s="167"/>
    </row>
    <row r="333" spans="1:9" s="175" customFormat="1" ht="50.1" customHeight="1">
      <c r="A333" s="167" t="s">
        <v>1785</v>
      </c>
      <c r="B333" s="167"/>
      <c r="C333" s="167"/>
      <c r="D333" s="167"/>
      <c r="E333" s="167"/>
      <c r="F333" s="167"/>
      <c r="I333" s="175" t="s">
        <v>5200</v>
      </c>
    </row>
    <row r="334" spans="1:9" s="175" customFormat="1" ht="50.1" customHeight="1"/>
    <row r="335" spans="1:9" s="175" customFormat="1" ht="50.1" customHeight="1">
      <c r="A335" s="687" t="s">
        <v>5204</v>
      </c>
      <c r="B335"/>
      <c r="C335"/>
      <c r="D335"/>
      <c r="E335"/>
      <c r="F335"/>
      <c r="I335" s="175" t="s">
        <v>1713</v>
      </c>
    </row>
    <row r="336" spans="1:9" s="175" customFormat="1" ht="50.1" customHeight="1">
      <c r="A336" s="175" t="s">
        <v>5205</v>
      </c>
      <c r="B336"/>
      <c r="C336"/>
      <c r="D336"/>
      <c r="E336"/>
      <c r="F336"/>
    </row>
    <row r="337" spans="1:6" s="175" customFormat="1" ht="50.1" customHeight="1">
      <c r="A337" s="175" t="s">
        <v>5206</v>
      </c>
      <c r="B337"/>
      <c r="C337"/>
      <c r="D337"/>
      <c r="E337"/>
      <c r="F337"/>
    </row>
    <row r="338" spans="1:6" s="175" customFormat="1" ht="50.1" customHeight="1">
      <c r="A338"/>
      <c r="B338"/>
      <c r="C338"/>
      <c r="D338"/>
      <c r="E338"/>
      <c r="F338"/>
    </row>
    <row r="339" spans="1:6" s="175" customFormat="1" ht="50.1" customHeight="1">
      <c r="A339" s="175" t="s">
        <v>2293</v>
      </c>
      <c r="B339" s="174"/>
      <c r="C339" s="174"/>
      <c r="D339" s="174"/>
      <c r="E339" s="174"/>
      <c r="F339" s="175" t="s">
        <v>1233</v>
      </c>
    </row>
    <row r="340" spans="1:6" s="175" customFormat="1" ht="50.1" customHeight="1">
      <c r="A340" s="174"/>
      <c r="B340" s="174"/>
      <c r="C340" s="174"/>
      <c r="D340" s="174"/>
      <c r="E340" s="174"/>
    </row>
    <row r="341" spans="1:6" ht="49.5">
      <c r="A341" s="175" t="s">
        <v>1713</v>
      </c>
      <c r="B341" s="174"/>
      <c r="C341" s="174"/>
      <c r="D341" s="174"/>
      <c r="E341" s="174"/>
      <c r="F341" s="174"/>
    </row>
  </sheetData>
  <mergeCells count="4">
    <mergeCell ref="I114:P114"/>
    <mergeCell ref="I115:P115"/>
    <mergeCell ref="I116:P116"/>
    <mergeCell ref="I118:P118"/>
  </mergeCells>
  <phoneticPr fontId="3" type="noConversion"/>
  <hyperlinks>
    <hyperlink ref="I239" r:id="rId1" display="javascript:;"/>
    <hyperlink ref="A324" r:id="rId2" display="javascript:;"/>
  </hyperlinks>
  <pageMargins left="0.43307086614173229" right="0" top="0.82677165354330717" bottom="0.74803149606299213" header="0.31496062992125984" footer="0.31496062992125984"/>
  <pageSetup paperSize="9" orientation="portrait" r:id="rId3"/>
  <rowBreaks count="3" manualBreakCount="3">
    <brk id="10" max="16" man="1"/>
    <brk id="22" max="16" man="1"/>
    <brk id="27" max="16" man="1"/>
  </rowBreaks>
  <colBreaks count="1" manualBreakCount="1">
    <brk id="8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A209" sqref="A209:XFD209"/>
    </sheetView>
  </sheetViews>
  <sheetFormatPr defaultRowHeight="16.5"/>
  <cols>
    <col min="1" max="1" width="11.125" bestFit="1" customWidth="1"/>
    <col min="2" max="2" width="11.5" customWidth="1"/>
    <col min="3" max="3" width="11.875" bestFit="1" customWidth="1"/>
    <col min="4" max="5" width="11.875" customWidth="1"/>
    <col min="6" max="6" width="11.625" bestFit="1" customWidth="1"/>
  </cols>
  <sheetData>
    <row r="1" spans="1:7" ht="20.25">
      <c r="A1" s="1370" t="s">
        <v>733</v>
      </c>
      <c r="B1" s="1370"/>
      <c r="C1" s="1370"/>
      <c r="D1" s="1370"/>
      <c r="E1" s="1370"/>
      <c r="F1" s="1370"/>
      <c r="G1" s="150" t="s">
        <v>732</v>
      </c>
    </row>
    <row r="2" spans="1:7">
      <c r="A2" s="149" t="s">
        <v>731</v>
      </c>
      <c r="B2" s="149" t="s">
        <v>730</v>
      </c>
      <c r="C2" s="149" t="s">
        <v>122</v>
      </c>
      <c r="D2" s="149" t="s">
        <v>731</v>
      </c>
      <c r="E2" s="149" t="s">
        <v>730</v>
      </c>
      <c r="F2" s="149" t="s">
        <v>729</v>
      </c>
    </row>
    <row r="3" spans="1:7">
      <c r="A3" s="148">
        <v>44615</v>
      </c>
      <c r="B3" s="147" t="s">
        <v>728</v>
      </c>
      <c r="C3" s="147"/>
      <c r="D3" s="148">
        <v>44615</v>
      </c>
      <c r="E3" s="147" t="s">
        <v>728</v>
      </c>
      <c r="F3" s="147"/>
    </row>
    <row r="4" spans="1:7">
      <c r="A4" s="148">
        <v>44616</v>
      </c>
      <c r="B4" s="147" t="s">
        <v>558</v>
      </c>
      <c r="C4" s="147">
        <v>30</v>
      </c>
      <c r="D4" s="148"/>
      <c r="E4" s="147"/>
      <c r="F4" s="147"/>
    </row>
    <row r="5" spans="1:7">
      <c r="A5" s="148"/>
      <c r="B5" s="147"/>
      <c r="C5" s="147"/>
      <c r="D5" s="147"/>
      <c r="E5" s="147"/>
      <c r="F5" s="147"/>
    </row>
    <row r="6" spans="1:7">
      <c r="A6" s="148"/>
      <c r="B6" s="147"/>
      <c r="C6" s="147"/>
      <c r="D6" s="147"/>
      <c r="E6" s="147"/>
      <c r="F6" s="147"/>
    </row>
    <row r="7" spans="1:7">
      <c r="A7" s="148"/>
      <c r="B7" s="147"/>
      <c r="C7" s="147"/>
      <c r="D7" s="147"/>
      <c r="E7" s="147"/>
      <c r="F7" s="147"/>
    </row>
    <row r="8" spans="1:7">
      <c r="A8" s="148"/>
      <c r="B8" s="147"/>
      <c r="C8" s="147"/>
      <c r="D8" s="147"/>
      <c r="E8" s="147"/>
      <c r="F8" s="147"/>
    </row>
    <row r="9" spans="1:7">
      <c r="A9" s="148"/>
      <c r="B9" s="147"/>
      <c r="C9" s="147"/>
      <c r="D9" s="147"/>
      <c r="E9" s="147"/>
      <c r="F9" s="147"/>
    </row>
    <row r="10" spans="1:7">
      <c r="A10" s="148"/>
      <c r="B10" s="147"/>
      <c r="C10" s="147"/>
      <c r="D10" s="147"/>
      <c r="E10" s="147"/>
      <c r="F10" s="147"/>
    </row>
    <row r="11" spans="1:7">
      <c r="A11" s="148"/>
      <c r="B11" s="147"/>
      <c r="C11" s="147"/>
      <c r="D11" s="147"/>
      <c r="E11" s="147"/>
      <c r="F11" s="147"/>
    </row>
    <row r="12" spans="1:7">
      <c r="A12" s="147"/>
      <c r="B12" s="147"/>
      <c r="C12" s="147"/>
      <c r="D12" s="147"/>
      <c r="E12" s="147"/>
      <c r="F12" s="147"/>
    </row>
    <row r="13" spans="1:7">
      <c r="A13" s="147"/>
      <c r="B13" s="147"/>
      <c r="C13" s="147"/>
      <c r="D13" s="147"/>
      <c r="E13" s="147"/>
      <c r="F13" s="147"/>
    </row>
    <row r="14" spans="1:7">
      <c r="A14" s="147"/>
      <c r="B14" s="147"/>
      <c r="C14" s="147"/>
      <c r="D14" s="147"/>
      <c r="E14" s="147"/>
      <c r="F14" s="147"/>
    </row>
    <row r="15" spans="1:7">
      <c r="A15" s="147"/>
      <c r="B15" s="147"/>
      <c r="C15" s="147"/>
      <c r="D15" s="147"/>
      <c r="E15" s="147"/>
      <c r="F15" s="147"/>
    </row>
    <row r="16" spans="1:7">
      <c r="A16" s="147"/>
      <c r="B16" s="147"/>
      <c r="C16" s="147"/>
      <c r="D16" s="147"/>
      <c r="E16" s="147"/>
      <c r="F16" s="147"/>
    </row>
    <row r="17" spans="1:6">
      <c r="A17" s="147"/>
      <c r="B17" s="147"/>
      <c r="C17" s="147"/>
      <c r="D17" s="147"/>
      <c r="E17" s="147"/>
      <c r="F17" s="147"/>
    </row>
    <row r="18" spans="1:6">
      <c r="A18" s="147"/>
      <c r="B18" s="147"/>
      <c r="C18" s="147"/>
      <c r="D18" s="147"/>
      <c r="E18" s="147"/>
      <c r="F18" s="147"/>
    </row>
    <row r="19" spans="1:6">
      <c r="A19" s="147"/>
      <c r="B19" s="147"/>
      <c r="C19" s="147"/>
      <c r="D19" s="147"/>
      <c r="E19" s="147"/>
      <c r="F19" s="147"/>
    </row>
    <row r="20" spans="1:6">
      <c r="A20" s="147"/>
      <c r="B20" s="147"/>
      <c r="C20" s="147"/>
      <c r="D20" s="147"/>
      <c r="E20" s="147"/>
      <c r="F20" s="147"/>
    </row>
    <row r="21" spans="1:6">
      <c r="A21" s="147"/>
      <c r="B21" s="147"/>
      <c r="C21" s="147"/>
      <c r="D21" s="147"/>
      <c r="E21" s="147"/>
      <c r="F21" s="147"/>
    </row>
    <row r="22" spans="1:6">
      <c r="A22" s="147"/>
      <c r="B22" s="147"/>
      <c r="C22" s="147"/>
      <c r="D22" s="147"/>
      <c r="E22" s="147"/>
      <c r="F22" s="147"/>
    </row>
    <row r="23" spans="1:6">
      <c r="A23" s="147"/>
      <c r="B23" s="147"/>
      <c r="C23" s="147"/>
      <c r="D23" s="147"/>
      <c r="E23" s="147"/>
      <c r="F23" s="147"/>
    </row>
    <row r="24" spans="1:6">
      <c r="A24" s="147"/>
      <c r="B24" s="147"/>
      <c r="C24" s="147"/>
      <c r="D24" s="147"/>
      <c r="E24" s="147"/>
      <c r="F24" s="147"/>
    </row>
    <row r="25" spans="1:6">
      <c r="A25" s="147"/>
      <c r="B25" s="147"/>
      <c r="C25" s="147"/>
      <c r="D25" s="147"/>
      <c r="E25" s="147"/>
      <c r="F25" s="147"/>
    </row>
    <row r="26" spans="1:6">
      <c r="A26" s="147"/>
      <c r="B26" s="147"/>
      <c r="C26" s="147"/>
      <c r="D26" s="147"/>
      <c r="E26" s="147"/>
      <c r="F26" s="147"/>
    </row>
    <row r="27" spans="1:6">
      <c r="A27" s="147"/>
      <c r="B27" s="147"/>
      <c r="C27" s="147"/>
      <c r="D27" s="147"/>
      <c r="E27" s="147"/>
      <c r="F27" s="147"/>
    </row>
    <row r="28" spans="1:6">
      <c r="A28" s="147"/>
      <c r="B28" s="147"/>
      <c r="C28" s="147"/>
      <c r="D28" s="147"/>
      <c r="E28" s="147"/>
      <c r="F28" s="147"/>
    </row>
    <row r="29" spans="1:6">
      <c r="A29" s="147"/>
      <c r="B29" s="147"/>
      <c r="C29" s="147"/>
      <c r="D29" s="147"/>
      <c r="E29" s="147"/>
      <c r="F29" s="147"/>
    </row>
    <row r="30" spans="1:6">
      <c r="A30" s="147"/>
      <c r="B30" s="147"/>
      <c r="C30" s="147"/>
      <c r="D30" s="147"/>
      <c r="E30" s="147"/>
      <c r="F30" s="147"/>
    </row>
    <row r="31" spans="1:6">
      <c r="A31" s="147"/>
      <c r="B31" s="147"/>
      <c r="C31" s="147"/>
      <c r="D31" s="147"/>
      <c r="E31" s="147"/>
      <c r="F31" s="147"/>
    </row>
    <row r="32" spans="1:6">
      <c r="A32" s="1371" t="s">
        <v>727</v>
      </c>
      <c r="B32" s="1372"/>
      <c r="C32" s="147">
        <f>SUM(C3:C31)</f>
        <v>30</v>
      </c>
      <c r="D32" s="147"/>
      <c r="E32" s="147"/>
      <c r="F32" s="147">
        <f>SUM(F3:F31)</f>
        <v>0</v>
      </c>
    </row>
  </sheetData>
  <mergeCells count="2">
    <mergeCell ref="A1:F1"/>
    <mergeCell ref="A32:B32"/>
  </mergeCells>
  <phoneticPr fontId="3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B7" sqref="B7"/>
    </sheetView>
  </sheetViews>
  <sheetFormatPr defaultRowHeight="16.5"/>
  <cols>
    <col min="1" max="1" width="11.125" bestFit="1" customWidth="1"/>
    <col min="2" max="2" width="11.5" customWidth="1"/>
    <col min="3" max="3" width="11.875" bestFit="1" customWidth="1"/>
    <col min="4" max="5" width="11.875" customWidth="1"/>
    <col min="6" max="6" width="11.625" bestFit="1" customWidth="1"/>
  </cols>
  <sheetData>
    <row r="1" spans="1:7" ht="20.25">
      <c r="A1" s="1370" t="s">
        <v>80</v>
      </c>
      <c r="B1" s="1370"/>
      <c r="C1" s="1370"/>
      <c r="D1" s="1370"/>
      <c r="E1" s="1370"/>
      <c r="F1" s="1370"/>
      <c r="G1" s="150" t="s">
        <v>732</v>
      </c>
    </row>
    <row r="2" spans="1:7">
      <c r="A2" s="149" t="s">
        <v>731</v>
      </c>
      <c r="B2" s="149" t="s">
        <v>730</v>
      </c>
      <c r="C2" s="149" t="s">
        <v>122</v>
      </c>
      <c r="D2" s="149" t="s">
        <v>731</v>
      </c>
      <c r="E2" s="149" t="s">
        <v>730</v>
      </c>
      <c r="F2" s="149" t="s">
        <v>729</v>
      </c>
    </row>
    <row r="3" spans="1:7">
      <c r="A3" s="148">
        <v>44357</v>
      </c>
      <c r="B3" s="147" t="s">
        <v>739</v>
      </c>
      <c r="C3" s="147">
        <f>576</f>
        <v>576</v>
      </c>
      <c r="D3" s="148">
        <v>44357</v>
      </c>
      <c r="E3" s="147" t="s">
        <v>739</v>
      </c>
      <c r="F3" s="147">
        <v>576</v>
      </c>
    </row>
    <row r="4" spans="1:7">
      <c r="A4" s="148">
        <v>44363</v>
      </c>
      <c r="B4" s="147" t="s">
        <v>738</v>
      </c>
      <c r="C4" s="147">
        <v>-20</v>
      </c>
      <c r="D4" s="148">
        <v>44376</v>
      </c>
      <c r="E4" s="147" t="s">
        <v>36</v>
      </c>
      <c r="F4" s="147">
        <v>-96</v>
      </c>
    </row>
    <row r="5" spans="1:7">
      <c r="A5" s="148">
        <v>44368</v>
      </c>
      <c r="B5" s="147" t="s">
        <v>558</v>
      </c>
      <c r="C5" s="147">
        <v>-30</v>
      </c>
      <c r="D5" s="147"/>
      <c r="E5" s="147"/>
      <c r="F5" s="147"/>
    </row>
    <row r="6" spans="1:7">
      <c r="A6" s="148">
        <v>44370</v>
      </c>
      <c r="B6" s="147" t="s">
        <v>184</v>
      </c>
      <c r="C6" s="147">
        <v>-20</v>
      </c>
      <c r="D6" s="147"/>
      <c r="E6" s="147"/>
      <c r="F6" s="147"/>
    </row>
    <row r="7" spans="1:7">
      <c r="A7" s="148">
        <v>44372</v>
      </c>
      <c r="B7" s="147" t="s">
        <v>735</v>
      </c>
      <c r="C7" s="147">
        <v>-20</v>
      </c>
      <c r="D7" s="147"/>
      <c r="E7" s="147"/>
      <c r="F7" s="147"/>
    </row>
    <row r="8" spans="1:7">
      <c r="A8" s="148">
        <v>44376</v>
      </c>
      <c r="B8" s="147" t="s">
        <v>737</v>
      </c>
      <c r="C8" s="147">
        <v>-5</v>
      </c>
      <c r="D8" s="147"/>
      <c r="E8" s="147"/>
      <c r="F8" s="147"/>
    </row>
    <row r="9" spans="1:7">
      <c r="A9" s="148">
        <v>44378</v>
      </c>
      <c r="B9" s="147" t="s">
        <v>736</v>
      </c>
      <c r="C9" s="147">
        <v>-24</v>
      </c>
      <c r="D9" s="147"/>
      <c r="E9" s="147"/>
      <c r="F9" s="147"/>
    </row>
    <row r="10" spans="1:7">
      <c r="A10" s="148">
        <v>44382</v>
      </c>
      <c r="B10" s="147" t="s">
        <v>735</v>
      </c>
      <c r="C10" s="147">
        <v>-20</v>
      </c>
      <c r="D10" s="147"/>
      <c r="E10" s="147"/>
      <c r="F10" s="147"/>
    </row>
    <row r="11" spans="1:7">
      <c r="A11" s="148">
        <v>44384</v>
      </c>
      <c r="B11" s="147" t="s">
        <v>734</v>
      </c>
      <c r="C11" s="147">
        <v>-2</v>
      </c>
      <c r="D11" s="147"/>
      <c r="E11" s="147"/>
      <c r="F11" s="147"/>
    </row>
    <row r="12" spans="1:7">
      <c r="A12" s="147"/>
      <c r="B12" s="147"/>
      <c r="C12" s="147"/>
      <c r="D12" s="147"/>
      <c r="E12" s="147"/>
      <c r="F12" s="147"/>
    </row>
    <row r="13" spans="1:7">
      <c r="A13" s="147"/>
      <c r="B13" s="147"/>
      <c r="C13" s="147"/>
      <c r="D13" s="147"/>
      <c r="E13" s="147"/>
      <c r="F13" s="147"/>
    </row>
    <row r="14" spans="1:7">
      <c r="A14" s="147"/>
      <c r="B14" s="147"/>
      <c r="C14" s="147"/>
      <c r="D14" s="147"/>
      <c r="E14" s="147"/>
      <c r="F14" s="147"/>
    </row>
    <row r="15" spans="1:7">
      <c r="A15" s="147"/>
      <c r="B15" s="147"/>
      <c r="C15" s="147"/>
      <c r="D15" s="147"/>
      <c r="E15" s="147"/>
      <c r="F15" s="147"/>
    </row>
    <row r="16" spans="1:7">
      <c r="A16" s="147"/>
      <c r="B16" s="147"/>
      <c r="C16" s="147"/>
      <c r="D16" s="147"/>
      <c r="E16" s="147"/>
      <c r="F16" s="147"/>
    </row>
    <row r="17" spans="1:6">
      <c r="A17" s="147"/>
      <c r="B17" s="147"/>
      <c r="C17" s="147"/>
      <c r="D17" s="147"/>
      <c r="E17" s="147"/>
      <c r="F17" s="147"/>
    </row>
    <row r="18" spans="1:6">
      <c r="A18" s="147"/>
      <c r="B18" s="147"/>
      <c r="C18" s="147"/>
      <c r="D18" s="147"/>
      <c r="E18" s="147"/>
      <c r="F18" s="147"/>
    </row>
    <row r="19" spans="1:6">
      <c r="A19" s="147"/>
      <c r="B19" s="147"/>
      <c r="C19" s="147"/>
      <c r="D19" s="147"/>
      <c r="E19" s="147"/>
      <c r="F19" s="147"/>
    </row>
    <row r="20" spans="1:6">
      <c r="A20" s="147"/>
      <c r="B20" s="147"/>
      <c r="C20" s="147"/>
      <c r="D20" s="147"/>
      <c r="E20" s="147"/>
      <c r="F20" s="147"/>
    </row>
    <row r="21" spans="1:6">
      <c r="A21" s="147"/>
      <c r="B21" s="147"/>
      <c r="C21" s="147"/>
      <c r="D21" s="147"/>
      <c r="E21" s="147"/>
      <c r="F21" s="147"/>
    </row>
    <row r="22" spans="1:6">
      <c r="A22" s="147"/>
      <c r="B22" s="147"/>
      <c r="C22" s="147"/>
      <c r="D22" s="147"/>
      <c r="E22" s="147"/>
      <c r="F22" s="147"/>
    </row>
    <row r="23" spans="1:6">
      <c r="A23" s="147"/>
      <c r="B23" s="147"/>
      <c r="C23" s="147"/>
      <c r="D23" s="147"/>
      <c r="E23" s="147"/>
      <c r="F23" s="147"/>
    </row>
    <row r="24" spans="1:6">
      <c r="A24" s="147"/>
      <c r="B24" s="147"/>
      <c r="C24" s="147"/>
      <c r="D24" s="147"/>
      <c r="E24" s="147"/>
      <c r="F24" s="147"/>
    </row>
    <row r="25" spans="1:6">
      <c r="A25" s="147"/>
      <c r="B25" s="147"/>
      <c r="C25" s="147"/>
      <c r="D25" s="147"/>
      <c r="E25" s="147"/>
      <c r="F25" s="147"/>
    </row>
    <row r="26" spans="1:6">
      <c r="A26" s="147"/>
      <c r="B26" s="147"/>
      <c r="C26" s="147"/>
      <c r="D26" s="147"/>
      <c r="E26" s="147"/>
      <c r="F26" s="147"/>
    </row>
    <row r="27" spans="1:6">
      <c r="A27" s="147"/>
      <c r="B27" s="147"/>
      <c r="C27" s="147"/>
      <c r="D27" s="147"/>
      <c r="E27" s="147"/>
      <c r="F27" s="147"/>
    </row>
    <row r="28" spans="1:6">
      <c r="A28" s="147"/>
      <c r="B28" s="147"/>
      <c r="C28" s="147"/>
      <c r="D28" s="147"/>
      <c r="E28" s="147"/>
      <c r="F28" s="147"/>
    </row>
    <row r="29" spans="1:6">
      <c r="A29" s="147"/>
      <c r="B29" s="147"/>
      <c r="C29" s="147"/>
      <c r="D29" s="147"/>
      <c r="E29" s="147"/>
      <c r="F29" s="147"/>
    </row>
    <row r="30" spans="1:6">
      <c r="A30" s="147"/>
      <c r="B30" s="147"/>
      <c r="C30" s="147"/>
      <c r="D30" s="147"/>
      <c r="E30" s="147"/>
      <c r="F30" s="147"/>
    </row>
    <row r="31" spans="1:6">
      <c r="A31" s="147"/>
      <c r="B31" s="147"/>
      <c r="C31" s="147"/>
      <c r="D31" s="147"/>
      <c r="E31" s="147"/>
      <c r="F31" s="147"/>
    </row>
    <row r="32" spans="1:6">
      <c r="A32" s="1371" t="s">
        <v>727</v>
      </c>
      <c r="B32" s="1372"/>
      <c r="C32" s="147">
        <f>SUM(C3:C31)</f>
        <v>435</v>
      </c>
      <c r="D32" s="147"/>
      <c r="E32" s="147"/>
      <c r="F32" s="147">
        <f>SUM(F3:F31)</f>
        <v>480</v>
      </c>
    </row>
  </sheetData>
  <mergeCells count="2">
    <mergeCell ref="A1:F1"/>
    <mergeCell ref="A32:B32"/>
  </mergeCells>
  <phoneticPr fontId="3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topLeftCell="A2" workbookViewId="0">
      <selection activeCell="A209" sqref="A209:XFD209"/>
    </sheetView>
  </sheetViews>
  <sheetFormatPr defaultRowHeight="16.5"/>
  <cols>
    <col min="2" max="2" width="15.625" bestFit="1" customWidth="1"/>
    <col min="3" max="3" width="14.375" bestFit="1" customWidth="1"/>
    <col min="4" max="4" width="19.375" style="151" bestFit="1" customWidth="1"/>
    <col min="5" max="5" width="15.25" style="151" customWidth="1"/>
    <col min="6" max="6" width="11.875" bestFit="1" customWidth="1"/>
    <col min="9" max="9" width="13.75" bestFit="1" customWidth="1"/>
    <col min="10" max="10" width="11.875" bestFit="1" customWidth="1"/>
    <col min="11" max="11" width="10.875" bestFit="1" customWidth="1"/>
    <col min="12" max="12" width="12" bestFit="1" customWidth="1"/>
  </cols>
  <sheetData>
    <row r="1" spans="1:9" ht="26.25">
      <c r="A1" s="1377" t="s">
        <v>774</v>
      </c>
      <c r="B1" s="1378"/>
      <c r="C1" s="1378"/>
      <c r="D1" s="1378"/>
      <c r="E1" s="1378"/>
      <c r="F1" s="1378"/>
    </row>
    <row r="2" spans="1:9">
      <c r="A2" s="147" t="s">
        <v>773</v>
      </c>
      <c r="B2" s="147" t="s">
        <v>772</v>
      </c>
      <c r="C2" s="147" t="s">
        <v>730</v>
      </c>
      <c r="D2" s="158" t="s">
        <v>771</v>
      </c>
      <c r="E2" s="157" t="s">
        <v>770</v>
      </c>
      <c r="F2" s="153" t="s">
        <v>769</v>
      </c>
      <c r="H2" s="155" t="s">
        <v>768</v>
      </c>
    </row>
    <row r="3" spans="1:9">
      <c r="A3" s="147">
        <v>1</v>
      </c>
      <c r="B3" s="154" t="s">
        <v>765</v>
      </c>
      <c r="C3" s="147" t="s">
        <v>557</v>
      </c>
      <c r="D3" s="162">
        <v>1159400</v>
      </c>
      <c r="E3" s="157">
        <v>1159400</v>
      </c>
      <c r="F3" s="156">
        <f t="shared" ref="F3:F24" si="0">D3-E3</f>
        <v>0</v>
      </c>
    </row>
    <row r="4" spans="1:9">
      <c r="A4" s="147">
        <v>33</v>
      </c>
      <c r="B4" s="154" t="s">
        <v>764</v>
      </c>
      <c r="C4" s="153" t="s">
        <v>565</v>
      </c>
      <c r="D4" s="161">
        <v>10300000</v>
      </c>
      <c r="E4" s="159"/>
      <c r="F4" s="156">
        <f t="shared" si="0"/>
        <v>10300000</v>
      </c>
    </row>
    <row r="5" spans="1:9">
      <c r="A5" s="147">
        <v>22</v>
      </c>
      <c r="B5" s="137" t="s">
        <v>762</v>
      </c>
      <c r="C5" s="153" t="s">
        <v>763</v>
      </c>
      <c r="D5" s="161">
        <v>2858240</v>
      </c>
      <c r="E5" s="159"/>
      <c r="F5" s="156">
        <f t="shared" si="0"/>
        <v>2858240</v>
      </c>
    </row>
    <row r="6" spans="1:9">
      <c r="A6" s="147">
        <v>29</v>
      </c>
      <c r="B6" s="137" t="s">
        <v>762</v>
      </c>
      <c r="C6" s="153" t="s">
        <v>184</v>
      </c>
      <c r="D6" s="160">
        <v>21831150</v>
      </c>
      <c r="E6" s="159">
        <v>21831150</v>
      </c>
      <c r="F6" s="156">
        <f t="shared" si="0"/>
        <v>0</v>
      </c>
    </row>
    <row r="7" spans="1:9">
      <c r="A7" s="147">
        <v>15</v>
      </c>
      <c r="B7" s="137" t="s">
        <v>761</v>
      </c>
      <c r="C7" s="153" t="s">
        <v>760</v>
      </c>
      <c r="D7" s="160">
        <v>5390000</v>
      </c>
      <c r="E7" s="159">
        <v>5390000</v>
      </c>
      <c r="F7" s="156">
        <f t="shared" si="0"/>
        <v>0</v>
      </c>
    </row>
    <row r="8" spans="1:9">
      <c r="A8" s="147">
        <v>2</v>
      </c>
      <c r="B8" s="154" t="s">
        <v>756</v>
      </c>
      <c r="C8" s="153" t="s">
        <v>36</v>
      </c>
      <c r="D8" s="160">
        <v>12858780</v>
      </c>
      <c r="E8" s="159">
        <v>12858780</v>
      </c>
      <c r="F8" s="156">
        <f t="shared" si="0"/>
        <v>0</v>
      </c>
    </row>
    <row r="9" spans="1:9">
      <c r="A9" s="147">
        <v>4</v>
      </c>
      <c r="B9" s="154" t="s">
        <v>767</v>
      </c>
      <c r="C9" s="153" t="s">
        <v>558</v>
      </c>
      <c r="D9" s="160">
        <v>10000000</v>
      </c>
      <c r="E9" s="159">
        <v>5000000</v>
      </c>
      <c r="F9" s="156">
        <f t="shared" si="0"/>
        <v>5000000</v>
      </c>
    </row>
    <row r="10" spans="1:9">
      <c r="A10" s="147">
        <v>5</v>
      </c>
      <c r="B10" s="154" t="s">
        <v>767</v>
      </c>
      <c r="C10" s="153" t="s">
        <v>66</v>
      </c>
      <c r="D10" s="160">
        <v>15000000</v>
      </c>
      <c r="E10" s="159">
        <v>15000000</v>
      </c>
      <c r="F10" s="156">
        <f t="shared" si="0"/>
        <v>0</v>
      </c>
    </row>
    <row r="11" spans="1:9">
      <c r="A11" s="147">
        <v>3</v>
      </c>
      <c r="B11" s="154" t="s">
        <v>742</v>
      </c>
      <c r="C11" s="153" t="s">
        <v>755</v>
      </c>
      <c r="D11" s="160">
        <v>10000000</v>
      </c>
      <c r="E11" s="159">
        <v>10000000</v>
      </c>
      <c r="F11" s="156">
        <f t="shared" si="0"/>
        <v>0</v>
      </c>
      <c r="G11" s="155" t="s">
        <v>766</v>
      </c>
    </row>
    <row r="12" spans="1:9">
      <c r="A12" s="147">
        <v>6</v>
      </c>
      <c r="B12" s="154" t="s">
        <v>742</v>
      </c>
      <c r="C12" s="153" t="s">
        <v>754</v>
      </c>
      <c r="D12" s="160">
        <f>6921200+7040000</f>
        <v>13961200</v>
      </c>
      <c r="E12" s="159">
        <v>13961200</v>
      </c>
      <c r="F12" s="156">
        <f t="shared" si="0"/>
        <v>0</v>
      </c>
    </row>
    <row r="13" spans="1:9">
      <c r="A13" s="147"/>
      <c r="B13" s="154" t="s">
        <v>742</v>
      </c>
      <c r="C13" s="153" t="s">
        <v>126</v>
      </c>
      <c r="D13" s="160">
        <v>1292500</v>
      </c>
      <c r="E13" s="159">
        <v>1292500</v>
      </c>
      <c r="F13" s="156">
        <f t="shared" si="0"/>
        <v>0</v>
      </c>
    </row>
    <row r="14" spans="1:9">
      <c r="A14" s="147">
        <v>14</v>
      </c>
      <c r="B14" s="154" t="s">
        <v>742</v>
      </c>
      <c r="C14" s="153" t="s">
        <v>355</v>
      </c>
      <c r="D14" s="160">
        <v>1342000</v>
      </c>
      <c r="E14" s="159">
        <v>1342000</v>
      </c>
      <c r="F14" s="156">
        <f t="shared" si="0"/>
        <v>0</v>
      </c>
    </row>
    <row r="15" spans="1:9">
      <c r="A15" s="147">
        <v>16</v>
      </c>
      <c r="B15" s="154" t="s">
        <v>742</v>
      </c>
      <c r="C15" s="153" t="s">
        <v>99</v>
      </c>
      <c r="D15" s="160">
        <v>10000000</v>
      </c>
      <c r="E15" s="159">
        <v>10000000</v>
      </c>
      <c r="F15" s="156">
        <f t="shared" si="0"/>
        <v>0</v>
      </c>
    </row>
    <row r="16" spans="1:9">
      <c r="A16" s="147">
        <v>18</v>
      </c>
      <c r="B16" s="154" t="s">
        <v>742</v>
      </c>
      <c r="C16" s="153" t="s">
        <v>52</v>
      </c>
      <c r="D16" s="160">
        <v>15000000</v>
      </c>
      <c r="E16" s="159">
        <v>15000000</v>
      </c>
      <c r="F16" s="156">
        <f t="shared" si="0"/>
        <v>0</v>
      </c>
      <c r="I16" s="151"/>
    </row>
    <row r="17" spans="1:10">
      <c r="A17" s="147">
        <v>19</v>
      </c>
      <c r="B17" s="154" t="s">
        <v>742</v>
      </c>
      <c r="C17" s="153" t="s">
        <v>434</v>
      </c>
      <c r="D17" s="160">
        <v>5665000</v>
      </c>
      <c r="E17" s="159">
        <v>5665000</v>
      </c>
      <c r="F17" s="156">
        <f t="shared" si="0"/>
        <v>0</v>
      </c>
      <c r="I17" s="151"/>
    </row>
    <row r="18" spans="1:10">
      <c r="A18" s="147">
        <v>20</v>
      </c>
      <c r="B18" s="154" t="s">
        <v>742</v>
      </c>
      <c r="C18" s="153" t="s">
        <v>752</v>
      </c>
      <c r="D18" s="160">
        <v>2310000</v>
      </c>
      <c r="E18" s="159">
        <v>2310000</v>
      </c>
      <c r="F18" s="156">
        <f t="shared" si="0"/>
        <v>0</v>
      </c>
      <c r="I18" s="151"/>
    </row>
    <row r="19" spans="1:10">
      <c r="A19" s="147">
        <v>21</v>
      </c>
      <c r="B19" s="154" t="s">
        <v>742</v>
      </c>
      <c r="C19" s="153" t="s">
        <v>751</v>
      </c>
      <c r="D19" s="160">
        <v>55535570</v>
      </c>
      <c r="E19" s="159">
        <v>55535570</v>
      </c>
      <c r="F19" s="156">
        <f t="shared" si="0"/>
        <v>0</v>
      </c>
      <c r="I19" s="151"/>
    </row>
    <row r="20" spans="1:10">
      <c r="A20" s="147">
        <v>28</v>
      </c>
      <c r="B20" s="154" t="s">
        <v>742</v>
      </c>
      <c r="C20" s="153" t="s">
        <v>747</v>
      </c>
      <c r="D20" s="160">
        <v>1496000</v>
      </c>
      <c r="E20" s="159">
        <v>1496000</v>
      </c>
      <c r="F20" s="156">
        <f t="shared" si="0"/>
        <v>0</v>
      </c>
      <c r="I20" s="151"/>
    </row>
    <row r="21" spans="1:10">
      <c r="A21" s="147">
        <v>32</v>
      </c>
      <c r="B21" s="154" t="s">
        <v>742</v>
      </c>
      <c r="C21" s="153" t="s">
        <v>745</v>
      </c>
      <c r="D21" s="160">
        <v>4636500</v>
      </c>
      <c r="E21" s="159">
        <v>4636500</v>
      </c>
      <c r="F21" s="156">
        <f t="shared" si="0"/>
        <v>0</v>
      </c>
      <c r="I21" s="151"/>
    </row>
    <row r="22" spans="1:10">
      <c r="A22" s="147">
        <v>11</v>
      </c>
      <c r="B22" s="154" t="s">
        <v>742</v>
      </c>
      <c r="C22" s="153" t="s">
        <v>134</v>
      </c>
      <c r="D22" s="161">
        <v>40553150</v>
      </c>
      <c r="E22" s="159"/>
      <c r="F22" s="156">
        <f t="shared" si="0"/>
        <v>40553150</v>
      </c>
      <c r="I22" s="151"/>
    </row>
    <row r="23" spans="1:10">
      <c r="A23" s="147">
        <v>8</v>
      </c>
      <c r="B23" s="154" t="s">
        <v>740</v>
      </c>
      <c r="C23" s="153" t="s">
        <v>21</v>
      </c>
      <c r="D23" s="160">
        <v>17000000</v>
      </c>
      <c r="E23" s="159">
        <v>17000000</v>
      </c>
      <c r="F23" s="156">
        <f t="shared" si="0"/>
        <v>0</v>
      </c>
      <c r="I23" s="151"/>
    </row>
    <row r="24" spans="1:10">
      <c r="A24" s="1373" t="s">
        <v>717</v>
      </c>
      <c r="B24" s="1374"/>
      <c r="C24" s="1374"/>
      <c r="D24" s="158">
        <f>SUM(D3:D23)</f>
        <v>258189490</v>
      </c>
      <c r="E24" s="157">
        <f>SUM(E3:E23)</f>
        <v>199478100</v>
      </c>
      <c r="F24" s="156">
        <f t="shared" si="0"/>
        <v>58711390</v>
      </c>
      <c r="I24" s="151"/>
    </row>
    <row r="25" spans="1:10">
      <c r="B25" s="152"/>
      <c r="I25" s="151"/>
    </row>
    <row r="26" spans="1:10">
      <c r="B26" s="154" t="s">
        <v>765</v>
      </c>
      <c r="C26" s="147" t="s">
        <v>557</v>
      </c>
      <c r="I26" s="151"/>
    </row>
    <row r="27" spans="1:10">
      <c r="B27" s="154" t="s">
        <v>764</v>
      </c>
      <c r="C27" s="153" t="s">
        <v>565</v>
      </c>
      <c r="I27" s="151"/>
      <c r="J27" s="155"/>
    </row>
    <row r="28" spans="1:10">
      <c r="B28" s="137" t="s">
        <v>762</v>
      </c>
      <c r="C28" s="153" t="s">
        <v>763</v>
      </c>
      <c r="I28" s="151"/>
    </row>
    <row r="29" spans="1:10">
      <c r="B29" s="137" t="s">
        <v>762</v>
      </c>
      <c r="C29" s="153" t="s">
        <v>184</v>
      </c>
      <c r="I29" s="151"/>
      <c r="J29" s="1375"/>
    </row>
    <row r="30" spans="1:10">
      <c r="B30" s="137" t="s">
        <v>761</v>
      </c>
      <c r="C30" s="153" t="s">
        <v>760</v>
      </c>
      <c r="I30" s="151"/>
      <c r="J30" s="1376"/>
    </row>
    <row r="31" spans="1:10">
      <c r="B31" s="154" t="s">
        <v>758</v>
      </c>
      <c r="C31" s="153" t="s">
        <v>759</v>
      </c>
      <c r="I31" s="151"/>
    </row>
    <row r="32" spans="1:10">
      <c r="B32" s="154" t="s">
        <v>758</v>
      </c>
      <c r="C32" s="153" t="s">
        <v>757</v>
      </c>
      <c r="I32" s="151"/>
    </row>
    <row r="33" spans="2:9">
      <c r="B33" s="154" t="s">
        <v>756</v>
      </c>
      <c r="C33" s="153" t="s">
        <v>36</v>
      </c>
      <c r="I33" s="151"/>
    </row>
    <row r="34" spans="2:9">
      <c r="B34" s="154" t="s">
        <v>742</v>
      </c>
      <c r="C34" s="153" t="s">
        <v>755</v>
      </c>
    </row>
    <row r="35" spans="2:9">
      <c r="B35" s="154" t="s">
        <v>742</v>
      </c>
      <c r="C35" s="153" t="s">
        <v>754</v>
      </c>
    </row>
    <row r="36" spans="2:9">
      <c r="B36" s="154" t="s">
        <v>742</v>
      </c>
      <c r="C36" s="153" t="s">
        <v>102</v>
      </c>
    </row>
    <row r="37" spans="2:9">
      <c r="B37" s="154" t="s">
        <v>742</v>
      </c>
      <c r="C37" s="153" t="s">
        <v>290</v>
      </c>
    </row>
    <row r="38" spans="2:9">
      <c r="B38" s="154" t="s">
        <v>742</v>
      </c>
      <c r="C38" s="153" t="s">
        <v>439</v>
      </c>
    </row>
    <row r="39" spans="2:9">
      <c r="B39" s="154" t="s">
        <v>742</v>
      </c>
      <c r="C39" s="153" t="s">
        <v>355</v>
      </c>
    </row>
    <row r="40" spans="2:9">
      <c r="B40" s="154" t="s">
        <v>742</v>
      </c>
      <c r="C40" s="153" t="s">
        <v>99</v>
      </c>
    </row>
    <row r="41" spans="2:9">
      <c r="B41" s="154" t="s">
        <v>742</v>
      </c>
      <c r="C41" s="153" t="s">
        <v>753</v>
      </c>
    </row>
    <row r="42" spans="2:9">
      <c r="B42" s="154" t="s">
        <v>742</v>
      </c>
      <c r="C42" s="153" t="s">
        <v>52</v>
      </c>
    </row>
    <row r="43" spans="2:9">
      <c r="B43" s="154" t="s">
        <v>742</v>
      </c>
      <c r="C43" s="153" t="s">
        <v>434</v>
      </c>
    </row>
    <row r="44" spans="2:9">
      <c r="B44" s="154" t="s">
        <v>742</v>
      </c>
      <c r="C44" s="153" t="s">
        <v>752</v>
      </c>
    </row>
    <row r="45" spans="2:9">
      <c r="B45" s="154" t="s">
        <v>742</v>
      </c>
      <c r="C45" s="153" t="s">
        <v>751</v>
      </c>
    </row>
    <row r="46" spans="2:9">
      <c r="B46" s="154" t="s">
        <v>742</v>
      </c>
      <c r="C46" s="153" t="s">
        <v>750</v>
      </c>
    </row>
    <row r="47" spans="2:9">
      <c r="B47" s="154" t="s">
        <v>742</v>
      </c>
      <c r="C47" s="153" t="s">
        <v>749</v>
      </c>
    </row>
    <row r="48" spans="2:9">
      <c r="B48" s="154" t="s">
        <v>742</v>
      </c>
      <c r="C48" s="153" t="s">
        <v>748</v>
      </c>
    </row>
    <row r="49" spans="2:3">
      <c r="B49" s="154" t="s">
        <v>742</v>
      </c>
      <c r="C49" s="153" t="s">
        <v>747</v>
      </c>
    </row>
    <row r="50" spans="2:3">
      <c r="B50" s="154" t="s">
        <v>742</v>
      </c>
      <c r="C50" s="153" t="s">
        <v>746</v>
      </c>
    </row>
    <row r="51" spans="2:3">
      <c r="B51" s="154" t="s">
        <v>742</v>
      </c>
      <c r="C51" s="153" t="s">
        <v>745</v>
      </c>
    </row>
    <row r="52" spans="2:3">
      <c r="B52" s="154" t="s">
        <v>742</v>
      </c>
      <c r="C52" s="153" t="s">
        <v>744</v>
      </c>
    </row>
    <row r="53" spans="2:3">
      <c r="B53" s="154" t="s">
        <v>742</v>
      </c>
      <c r="C53" s="153" t="s">
        <v>134</v>
      </c>
    </row>
    <row r="54" spans="2:3">
      <c r="B54" s="154" t="s">
        <v>742</v>
      </c>
      <c r="C54" s="153" t="s">
        <v>126</v>
      </c>
    </row>
    <row r="55" spans="2:3">
      <c r="B55" s="154" t="s">
        <v>742</v>
      </c>
      <c r="C55" s="153" t="s">
        <v>743</v>
      </c>
    </row>
    <row r="56" spans="2:3">
      <c r="B56" s="154" t="s">
        <v>742</v>
      </c>
      <c r="C56" s="153" t="s">
        <v>741</v>
      </c>
    </row>
    <row r="57" spans="2:3">
      <c r="B57" s="154" t="s">
        <v>740</v>
      </c>
      <c r="C57" s="153" t="s">
        <v>21</v>
      </c>
    </row>
    <row r="58" spans="2:3">
      <c r="B58" s="152"/>
    </row>
    <row r="59" spans="2:3">
      <c r="B59" s="152"/>
    </row>
    <row r="60" spans="2:3">
      <c r="B60" s="152"/>
    </row>
    <row r="61" spans="2:3">
      <c r="B61" s="152"/>
    </row>
    <row r="62" spans="2:3">
      <c r="B62" s="152"/>
    </row>
    <row r="63" spans="2:3">
      <c r="B63" s="152"/>
    </row>
    <row r="64" spans="2:3">
      <c r="B64" s="152"/>
    </row>
    <row r="65" spans="2:2">
      <c r="B65" s="152"/>
    </row>
    <row r="66" spans="2:2">
      <c r="B66" s="152"/>
    </row>
    <row r="67" spans="2:2">
      <c r="B67" s="152"/>
    </row>
    <row r="68" spans="2:2">
      <c r="B68" s="152"/>
    </row>
    <row r="69" spans="2:2">
      <c r="B69" s="152"/>
    </row>
    <row r="70" spans="2:2">
      <c r="B70" s="152"/>
    </row>
    <row r="71" spans="2:2">
      <c r="B71" s="152"/>
    </row>
    <row r="72" spans="2:2">
      <c r="B72" s="152"/>
    </row>
    <row r="73" spans="2:2">
      <c r="B73" s="152"/>
    </row>
    <row r="74" spans="2:2">
      <c r="B74" s="152"/>
    </row>
    <row r="75" spans="2:2">
      <c r="B75" s="152"/>
    </row>
    <row r="76" spans="2:2">
      <c r="B76" s="152"/>
    </row>
    <row r="77" spans="2:2">
      <c r="B77" s="152"/>
    </row>
    <row r="78" spans="2:2">
      <c r="B78" s="152"/>
    </row>
    <row r="79" spans="2:2">
      <c r="B79" s="152"/>
    </row>
    <row r="80" spans="2:2">
      <c r="B80" s="152"/>
    </row>
    <row r="81" spans="2:2">
      <c r="B81" s="152"/>
    </row>
    <row r="82" spans="2:2">
      <c r="B82" s="152"/>
    </row>
    <row r="83" spans="2:2">
      <c r="B83" s="152"/>
    </row>
    <row r="84" spans="2:2">
      <c r="B84" s="152"/>
    </row>
    <row r="85" spans="2:2">
      <c r="B85" s="152"/>
    </row>
    <row r="86" spans="2:2">
      <c r="B86" s="152"/>
    </row>
    <row r="87" spans="2:2">
      <c r="B87" s="152"/>
    </row>
    <row r="88" spans="2:2">
      <c r="B88" s="152"/>
    </row>
    <row r="89" spans="2:2">
      <c r="B89" s="152"/>
    </row>
    <row r="90" spans="2:2">
      <c r="B90" s="152"/>
    </row>
    <row r="91" spans="2:2">
      <c r="B91" s="152"/>
    </row>
    <row r="92" spans="2:2">
      <c r="B92" s="152"/>
    </row>
    <row r="93" spans="2:2">
      <c r="B93" s="152"/>
    </row>
    <row r="94" spans="2:2">
      <c r="B94" s="152"/>
    </row>
    <row r="95" spans="2:2">
      <c r="B95" s="152"/>
    </row>
    <row r="96" spans="2:2">
      <c r="B96" s="152"/>
    </row>
    <row r="97" spans="2:2">
      <c r="B97" s="152"/>
    </row>
    <row r="98" spans="2:2">
      <c r="B98" s="152"/>
    </row>
    <row r="99" spans="2:2">
      <c r="B99" s="152"/>
    </row>
    <row r="100" spans="2:2">
      <c r="B100" s="152"/>
    </row>
    <row r="101" spans="2:2">
      <c r="B101" s="152"/>
    </row>
    <row r="102" spans="2:2">
      <c r="B102" s="152"/>
    </row>
    <row r="103" spans="2:2">
      <c r="B103" s="152"/>
    </row>
    <row r="104" spans="2:2">
      <c r="B104" s="152"/>
    </row>
    <row r="105" spans="2:2">
      <c r="B105" s="152"/>
    </row>
    <row r="106" spans="2:2">
      <c r="B106" s="152"/>
    </row>
    <row r="107" spans="2:2">
      <c r="B107" s="152"/>
    </row>
    <row r="108" spans="2:2">
      <c r="B108" s="152"/>
    </row>
    <row r="109" spans="2:2">
      <c r="B109" s="152"/>
    </row>
    <row r="110" spans="2:2">
      <c r="B110" s="152"/>
    </row>
    <row r="111" spans="2:2">
      <c r="B111" s="152"/>
    </row>
    <row r="112" spans="2:2">
      <c r="B112" s="152"/>
    </row>
    <row r="113" spans="2:2">
      <c r="B113" s="152"/>
    </row>
    <row r="114" spans="2:2">
      <c r="B114" s="152"/>
    </row>
    <row r="115" spans="2:2">
      <c r="B115" s="152"/>
    </row>
    <row r="116" spans="2:2">
      <c r="B116" s="152"/>
    </row>
    <row r="117" spans="2:2">
      <c r="B117" s="152"/>
    </row>
  </sheetData>
  <mergeCells count="3">
    <mergeCell ref="A24:C24"/>
    <mergeCell ref="J29:J30"/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opLeftCell="A4" workbookViewId="0">
      <selection activeCell="K16" sqref="K16:U19"/>
    </sheetView>
  </sheetViews>
  <sheetFormatPr defaultRowHeight="16.5"/>
  <cols>
    <col min="13" max="13" width="10.25" bestFit="1" customWidth="1"/>
    <col min="14" max="15" width="9.125" bestFit="1" customWidth="1"/>
    <col min="17" max="17" width="10.25" bestFit="1" customWidth="1"/>
    <col min="18" max="18" width="9.125" bestFit="1" customWidth="1"/>
    <col min="20" max="20" width="15.75" customWidth="1"/>
    <col min="21" max="21" width="13.875" customWidth="1"/>
  </cols>
  <sheetData>
    <row r="1" spans="1:21">
      <c r="A1" s="155" t="s">
        <v>783</v>
      </c>
    </row>
    <row r="2" spans="1:21">
      <c r="A2" s="155" t="s">
        <v>782</v>
      </c>
      <c r="B2" s="155" t="s">
        <v>781</v>
      </c>
      <c r="C2" s="155" t="s">
        <v>780</v>
      </c>
      <c r="D2" s="155" t="s">
        <v>779</v>
      </c>
    </row>
    <row r="3" spans="1:21">
      <c r="A3">
        <v>12</v>
      </c>
      <c r="B3">
        <v>1100</v>
      </c>
      <c r="C3">
        <v>1100</v>
      </c>
      <c r="D3">
        <f>120+200+200+200</f>
        <v>720</v>
      </c>
      <c r="F3" s="155" t="s">
        <v>778</v>
      </c>
    </row>
    <row r="4" spans="1:21">
      <c r="A4">
        <v>13</v>
      </c>
      <c r="B4">
        <v>1100</v>
      </c>
      <c r="C4">
        <v>1100</v>
      </c>
      <c r="D4">
        <f>120+200+200+200+200</f>
        <v>920</v>
      </c>
      <c r="F4" s="155" t="s">
        <v>777</v>
      </c>
    </row>
    <row r="5" spans="1:21">
      <c r="A5">
        <v>14</v>
      </c>
      <c r="B5">
        <v>1100</v>
      </c>
      <c r="C5">
        <v>1100</v>
      </c>
      <c r="D5">
        <f>120+200+200+200+200</f>
        <v>920</v>
      </c>
      <c r="F5" s="155" t="s">
        <v>776</v>
      </c>
    </row>
    <row r="6" spans="1:21">
      <c r="A6">
        <v>15</v>
      </c>
      <c r="B6">
        <v>1100</v>
      </c>
      <c r="C6">
        <v>1100</v>
      </c>
      <c r="D6">
        <f>120+200+200+200+200</f>
        <v>920</v>
      </c>
      <c r="F6" s="155" t="s">
        <v>775</v>
      </c>
    </row>
    <row r="7" spans="1:21">
      <c r="A7">
        <v>16</v>
      </c>
      <c r="B7">
        <v>1100</v>
      </c>
      <c r="C7">
        <v>1100</v>
      </c>
      <c r="D7">
        <f>120+200+200+200+200</f>
        <v>920</v>
      </c>
    </row>
    <row r="8" spans="1:21">
      <c r="A8">
        <v>17</v>
      </c>
      <c r="B8">
        <v>1100</v>
      </c>
      <c r="C8">
        <v>1100</v>
      </c>
      <c r="D8">
        <f>120+200+200+200+200+200</f>
        <v>1120</v>
      </c>
    </row>
    <row r="9" spans="1:21">
      <c r="A9">
        <v>18</v>
      </c>
      <c r="B9">
        <v>1100</v>
      </c>
      <c r="C9">
        <v>1100</v>
      </c>
      <c r="D9">
        <f>120+200+200+200+200+200</f>
        <v>1120</v>
      </c>
    </row>
    <row r="10" spans="1:21">
      <c r="A10">
        <v>19</v>
      </c>
      <c r="B10">
        <v>1100</v>
      </c>
      <c r="C10">
        <v>1100</v>
      </c>
      <c r="D10">
        <f>120+200+200+200+200+200</f>
        <v>1120</v>
      </c>
    </row>
    <row r="11" spans="1:21">
      <c r="A11">
        <v>20</v>
      </c>
      <c r="B11">
        <v>1100</v>
      </c>
      <c r="C11">
        <v>1100</v>
      </c>
      <c r="D11">
        <f>120+200+200+200+200+200</f>
        <v>1120</v>
      </c>
    </row>
    <row r="12" spans="1:21">
      <c r="A12">
        <v>21</v>
      </c>
      <c r="B12">
        <v>1100</v>
      </c>
      <c r="C12">
        <v>1100</v>
      </c>
      <c r="D12">
        <f>120+200+200+200+200+200+200</f>
        <v>1320</v>
      </c>
    </row>
    <row r="13" spans="1:21">
      <c r="A13">
        <v>22</v>
      </c>
      <c r="B13">
        <v>1100</v>
      </c>
      <c r="C13">
        <v>1100</v>
      </c>
      <c r="D13">
        <f>120+200+200+200+200+200+200</f>
        <v>1320</v>
      </c>
    </row>
    <row r="14" spans="1:21">
      <c r="A14">
        <v>23</v>
      </c>
      <c r="B14">
        <v>1100</v>
      </c>
      <c r="C14">
        <v>1100</v>
      </c>
      <c r="D14">
        <f>120+200+200+200+200+200+200</f>
        <v>1320</v>
      </c>
    </row>
    <row r="15" spans="1:21" ht="17.25" thickBot="1">
      <c r="A15">
        <v>24</v>
      </c>
      <c r="B15">
        <v>1100</v>
      </c>
      <c r="C15">
        <v>1100</v>
      </c>
      <c r="D15">
        <f>120+200+200+200+200+200+200</f>
        <v>1320</v>
      </c>
    </row>
    <row r="16" spans="1:21" ht="24.75" thickBot="1">
      <c r="A16">
        <v>25</v>
      </c>
      <c r="B16">
        <v>1100</v>
      </c>
      <c r="C16">
        <v>1100</v>
      </c>
      <c r="D16">
        <f>120+200+200+200+200+200+200+200</f>
        <v>1520</v>
      </c>
      <c r="K16" s="1391" t="s">
        <v>5150</v>
      </c>
      <c r="L16" s="1385" t="s">
        <v>5151</v>
      </c>
      <c r="M16" s="1385" t="s">
        <v>5152</v>
      </c>
      <c r="N16" s="1385" t="s">
        <v>5153</v>
      </c>
      <c r="O16" s="1385" t="s">
        <v>5154</v>
      </c>
      <c r="P16" s="1385" t="s">
        <v>5155</v>
      </c>
      <c r="Q16" s="1385" t="s">
        <v>5156</v>
      </c>
      <c r="R16" s="1385" t="s">
        <v>5157</v>
      </c>
      <c r="S16" s="1387" t="s">
        <v>5158</v>
      </c>
      <c r="T16" s="1289" t="s">
        <v>5159</v>
      </c>
      <c r="U16" s="1389" t="s">
        <v>5160</v>
      </c>
    </row>
    <row r="17" spans="1:21" ht="17.25" thickBot="1">
      <c r="A17">
        <v>26</v>
      </c>
      <c r="B17">
        <v>1100</v>
      </c>
      <c r="C17">
        <v>1100</v>
      </c>
      <c r="D17">
        <f>120+200+200+200+200+200+200+200</f>
        <v>1520</v>
      </c>
      <c r="K17" s="1392"/>
      <c r="L17" s="1386"/>
      <c r="M17" s="1386"/>
      <c r="N17" s="1386"/>
      <c r="O17" s="1386"/>
      <c r="P17" s="1386"/>
      <c r="Q17" s="1386"/>
      <c r="R17" s="1386"/>
      <c r="S17" s="1388"/>
      <c r="T17" s="1290" t="s">
        <v>5161</v>
      </c>
      <c r="U17" s="1390"/>
    </row>
    <row r="18" spans="1:21">
      <c r="A18">
        <v>27</v>
      </c>
      <c r="B18">
        <v>1100</v>
      </c>
      <c r="C18">
        <v>1100</v>
      </c>
      <c r="D18">
        <f>120+200+200+200+200+200+200+200</f>
        <v>1520</v>
      </c>
      <c r="K18" s="1379" t="s">
        <v>5149</v>
      </c>
      <c r="L18" s="1381" t="s">
        <v>5145</v>
      </c>
      <c r="M18" s="1381">
        <v>3032135381</v>
      </c>
      <c r="N18" s="1288">
        <v>10</v>
      </c>
      <c r="O18" s="1288">
        <v>55200</v>
      </c>
      <c r="P18" s="1381" t="s">
        <v>5146</v>
      </c>
      <c r="Q18" s="1381">
        <v>3032161690</v>
      </c>
      <c r="R18" s="1288">
        <v>10</v>
      </c>
      <c r="S18" s="1383" t="s">
        <v>5147</v>
      </c>
      <c r="T18" s="1291" t="s">
        <v>5162</v>
      </c>
      <c r="U18" s="1292" t="s">
        <v>5148</v>
      </c>
    </row>
    <row r="19" spans="1:21" ht="17.25" thickBot="1">
      <c r="A19">
        <v>28</v>
      </c>
      <c r="B19">
        <v>1100</v>
      </c>
      <c r="C19">
        <v>1100</v>
      </c>
      <c r="D19">
        <f>120+200+200+200+200+200+200+200</f>
        <v>1520</v>
      </c>
      <c r="K19" s="1380"/>
      <c r="L19" s="1382"/>
      <c r="M19" s="1382"/>
      <c r="N19" s="1293">
        <v>20</v>
      </c>
      <c r="O19" s="1293">
        <v>163300</v>
      </c>
      <c r="P19" s="1382"/>
      <c r="Q19" s="1382"/>
      <c r="R19" s="1293">
        <v>20</v>
      </c>
      <c r="S19" s="1384"/>
      <c r="T19" s="1294" t="s">
        <v>5163</v>
      </c>
      <c r="U19" s="1295" t="s">
        <v>5148</v>
      </c>
    </row>
    <row r="20" spans="1:21">
      <c r="A20">
        <v>29</v>
      </c>
      <c r="B20">
        <v>1100</v>
      </c>
      <c r="C20">
        <v>1100</v>
      </c>
      <c r="D20">
        <f>120+200+200+200+200+200+200+200+200</f>
        <v>1720</v>
      </c>
    </row>
    <row r="21" spans="1:21">
      <c r="A21">
        <v>30</v>
      </c>
      <c r="B21">
        <v>1100</v>
      </c>
      <c r="C21">
        <v>1100</v>
      </c>
      <c r="D21">
        <f>120+200+200+200+200+200+200+200+200</f>
        <v>1720</v>
      </c>
    </row>
    <row r="22" spans="1:21">
      <c r="A22">
        <v>31</v>
      </c>
      <c r="B22">
        <v>1100</v>
      </c>
      <c r="C22">
        <v>1100</v>
      </c>
      <c r="D22">
        <f>120+200+200+200+200+200+200+200+200</f>
        <v>1720</v>
      </c>
    </row>
    <row r="23" spans="1:21">
      <c r="A23">
        <v>32</v>
      </c>
      <c r="B23">
        <v>1100</v>
      </c>
      <c r="C23">
        <v>1100</v>
      </c>
      <c r="D23">
        <v>1720</v>
      </c>
    </row>
    <row r="24" spans="1:21">
      <c r="A24">
        <v>33</v>
      </c>
      <c r="B24">
        <v>1100</v>
      </c>
      <c r="C24">
        <v>1100</v>
      </c>
      <c r="D24">
        <v>1920</v>
      </c>
    </row>
    <row r="25" spans="1:21">
      <c r="A25">
        <v>34</v>
      </c>
      <c r="B25">
        <v>1100</v>
      </c>
      <c r="C25">
        <v>1100</v>
      </c>
      <c r="D25">
        <v>1920</v>
      </c>
    </row>
    <row r="26" spans="1:21">
      <c r="A26">
        <v>35</v>
      </c>
      <c r="B26">
        <v>1100</v>
      </c>
      <c r="C26">
        <v>1100</v>
      </c>
      <c r="D26">
        <v>1920</v>
      </c>
    </row>
    <row r="27" spans="1:21">
      <c r="A27">
        <v>36</v>
      </c>
      <c r="B27">
        <v>1100</v>
      </c>
      <c r="C27">
        <v>1100</v>
      </c>
      <c r="D27">
        <v>1920</v>
      </c>
    </row>
  </sheetData>
  <mergeCells count="16">
    <mergeCell ref="P16:P17"/>
    <mergeCell ref="K16:K17"/>
    <mergeCell ref="L16:L17"/>
    <mergeCell ref="M16:M17"/>
    <mergeCell ref="N16:N17"/>
    <mergeCell ref="O16:O17"/>
    <mergeCell ref="S18:S19"/>
    <mergeCell ref="Q16:Q17"/>
    <mergeCell ref="R16:R17"/>
    <mergeCell ref="S16:S17"/>
    <mergeCell ref="U16:U17"/>
    <mergeCell ref="K18:K19"/>
    <mergeCell ref="L18:L19"/>
    <mergeCell ref="M18:M19"/>
    <mergeCell ref="P18:P19"/>
    <mergeCell ref="Q18:Q19"/>
  </mergeCell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zoomScale="70" zoomScaleNormal="70" zoomScaleSheetLayoutView="70" workbookViewId="0">
      <selection activeCell="A209" sqref="A209:XFD209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" customWidth="1"/>
    <col min="9" max="16384" width="9" style="1"/>
  </cols>
  <sheetData>
    <row r="1" spans="1:7" s="2" customFormat="1" ht="60" customHeight="1" thickBot="1">
      <c r="A1" s="1298" t="s">
        <v>5</v>
      </c>
      <c r="B1" s="1299"/>
      <c r="C1" s="1299"/>
      <c r="D1" s="1299"/>
      <c r="E1" s="1299"/>
      <c r="F1" s="1299"/>
      <c r="G1" s="1300"/>
    </row>
    <row r="2" spans="1:7" s="2" customFormat="1" ht="30" customHeight="1">
      <c r="A2" s="1301"/>
      <c r="B2" s="1314" t="s">
        <v>4</v>
      </c>
      <c r="C2" s="21"/>
      <c r="D2" s="22"/>
      <c r="E2" s="22"/>
      <c r="F2" s="18"/>
      <c r="G2" s="13"/>
    </row>
    <row r="3" spans="1:7" s="2" customFormat="1" ht="30" customHeight="1">
      <c r="A3" s="1302"/>
      <c r="B3" s="1315"/>
      <c r="C3" s="21"/>
      <c r="D3" s="22"/>
      <c r="E3" s="22"/>
      <c r="F3" s="18"/>
      <c r="G3" s="13"/>
    </row>
    <row r="4" spans="1:7" s="2" customFormat="1" ht="30" customHeight="1">
      <c r="A4" s="1302"/>
      <c r="B4" s="1315"/>
      <c r="C4" s="21"/>
      <c r="D4" s="20"/>
      <c r="E4" s="19"/>
      <c r="F4" s="18"/>
      <c r="G4" s="13"/>
    </row>
    <row r="5" spans="1:7" s="2" customFormat="1" ht="30" customHeight="1" thickBot="1">
      <c r="A5" s="1302"/>
      <c r="B5" s="1315"/>
      <c r="C5" s="17"/>
      <c r="D5" s="16"/>
      <c r="E5" s="15"/>
      <c r="F5" s="14"/>
      <c r="G5" s="13"/>
    </row>
    <row r="6" spans="1:7" s="2" customFormat="1" ht="30" customHeight="1" thickBot="1">
      <c r="A6" s="1303"/>
      <c r="B6" s="1316"/>
      <c r="C6" s="12"/>
      <c r="D6" s="11"/>
      <c r="E6" s="10"/>
      <c r="F6" s="10"/>
      <c r="G6" s="9"/>
    </row>
    <row r="7" spans="1:7" ht="30" customHeight="1">
      <c r="A7" s="1301"/>
      <c r="B7" s="1314" t="s">
        <v>3</v>
      </c>
      <c r="C7" s="21"/>
      <c r="D7" s="22"/>
      <c r="E7" s="22"/>
      <c r="F7" s="18"/>
      <c r="G7" s="13"/>
    </row>
    <row r="8" spans="1:7" ht="30" customHeight="1">
      <c r="A8" s="1302"/>
      <c r="B8" s="1315"/>
      <c r="C8" s="21"/>
      <c r="D8" s="22"/>
      <c r="E8" s="22"/>
      <c r="F8" s="18"/>
      <c r="G8" s="13"/>
    </row>
    <row r="9" spans="1:7" ht="30" customHeight="1">
      <c r="A9" s="1302"/>
      <c r="B9" s="1315"/>
      <c r="C9" s="21"/>
      <c r="D9" s="20"/>
      <c r="E9" s="19"/>
      <c r="F9" s="18"/>
      <c r="G9" s="13"/>
    </row>
    <row r="10" spans="1:7" ht="30" customHeight="1" thickBot="1">
      <c r="A10" s="1302"/>
      <c r="B10" s="1315"/>
      <c r="C10" s="17"/>
      <c r="D10" s="16"/>
      <c r="E10" s="15"/>
      <c r="F10" s="14"/>
      <c r="G10" s="13"/>
    </row>
    <row r="11" spans="1:7" ht="30" customHeight="1" thickBot="1">
      <c r="A11" s="1303"/>
      <c r="B11" s="1316"/>
      <c r="C11" s="12"/>
      <c r="D11" s="11"/>
      <c r="E11" s="10"/>
      <c r="F11" s="10"/>
      <c r="G11" s="9"/>
    </row>
    <row r="12" spans="1:7" ht="30" customHeight="1">
      <c r="A12" s="1301"/>
      <c r="B12" s="1314" t="s">
        <v>2</v>
      </c>
      <c r="C12" s="21"/>
      <c r="D12" s="22"/>
      <c r="E12" s="22"/>
      <c r="F12" s="18"/>
      <c r="G12" s="13"/>
    </row>
    <row r="13" spans="1:7" ht="30" customHeight="1">
      <c r="A13" s="1302"/>
      <c r="B13" s="1315"/>
      <c r="C13" s="21"/>
      <c r="D13" s="22"/>
      <c r="E13" s="22"/>
      <c r="F13" s="18"/>
      <c r="G13" s="13"/>
    </row>
    <row r="14" spans="1:7" ht="30" customHeight="1">
      <c r="A14" s="1302"/>
      <c r="B14" s="1315"/>
      <c r="C14" s="21"/>
      <c r="D14" s="20"/>
      <c r="E14" s="19"/>
      <c r="F14" s="18"/>
      <c r="G14" s="13"/>
    </row>
    <row r="15" spans="1:7" ht="30" customHeight="1" thickBot="1">
      <c r="A15" s="1302"/>
      <c r="B15" s="1315"/>
      <c r="C15" s="17"/>
      <c r="D15" s="16"/>
      <c r="E15" s="15"/>
      <c r="F15" s="14"/>
      <c r="G15" s="13"/>
    </row>
    <row r="16" spans="1:7" ht="30" customHeight="1" thickBot="1">
      <c r="A16" s="1303"/>
      <c r="B16" s="1316"/>
      <c r="C16" s="12"/>
      <c r="D16" s="11"/>
      <c r="E16" s="10"/>
      <c r="F16" s="10"/>
      <c r="G16" s="9"/>
    </row>
    <row r="17" spans="1:7" ht="30" customHeight="1">
      <c r="A17" s="1301"/>
      <c r="B17" s="1314" t="s">
        <v>1</v>
      </c>
      <c r="C17" s="21"/>
      <c r="D17" s="22"/>
      <c r="E17" s="22"/>
      <c r="F17" s="18"/>
      <c r="G17" s="13"/>
    </row>
    <row r="18" spans="1:7" ht="30" customHeight="1">
      <c r="A18" s="1302"/>
      <c r="B18" s="1315"/>
      <c r="C18" s="21"/>
      <c r="D18" s="22"/>
      <c r="E18" s="22"/>
      <c r="F18" s="18"/>
      <c r="G18" s="13"/>
    </row>
    <row r="19" spans="1:7" ht="30" customHeight="1">
      <c r="A19" s="1302"/>
      <c r="B19" s="1315"/>
      <c r="C19" s="21"/>
      <c r="D19" s="20"/>
      <c r="E19" s="19"/>
      <c r="F19" s="18"/>
      <c r="G19" s="13"/>
    </row>
    <row r="20" spans="1:7" ht="30" customHeight="1" thickBot="1">
      <c r="A20" s="1302"/>
      <c r="B20" s="1315"/>
      <c r="C20" s="17"/>
      <c r="D20" s="16"/>
      <c r="E20" s="15"/>
      <c r="F20" s="14"/>
      <c r="G20" s="13"/>
    </row>
    <row r="21" spans="1:7" ht="30" customHeight="1" thickBot="1">
      <c r="A21" s="1303"/>
      <c r="B21" s="1316"/>
      <c r="C21" s="12"/>
      <c r="D21" s="11"/>
      <c r="E21" s="10"/>
      <c r="F21" s="10"/>
      <c r="G21" s="9"/>
    </row>
    <row r="22" spans="1:7" ht="30" customHeight="1">
      <c r="A22" s="1301"/>
      <c r="B22" s="1314" t="s">
        <v>211</v>
      </c>
      <c r="C22" s="21"/>
      <c r="D22" s="22"/>
      <c r="E22" s="22"/>
      <c r="F22" s="18"/>
      <c r="G22" s="13"/>
    </row>
    <row r="23" spans="1:7" ht="30" customHeight="1">
      <c r="A23" s="1302"/>
      <c r="B23" s="1315"/>
      <c r="C23" s="21"/>
      <c r="D23" s="22"/>
      <c r="E23" s="22"/>
      <c r="F23" s="18"/>
      <c r="G23" s="13"/>
    </row>
    <row r="24" spans="1:7" ht="30" customHeight="1">
      <c r="A24" s="1302"/>
      <c r="B24" s="1315"/>
      <c r="C24" s="21"/>
      <c r="D24" s="20"/>
      <c r="E24" s="19"/>
      <c r="F24" s="18"/>
      <c r="G24" s="13"/>
    </row>
    <row r="25" spans="1:7" ht="30" customHeight="1" thickBot="1">
      <c r="A25" s="1302"/>
      <c r="B25" s="1315"/>
      <c r="C25" s="17"/>
      <c r="D25" s="16"/>
      <c r="E25" s="15"/>
      <c r="F25" s="14"/>
      <c r="G25" s="13"/>
    </row>
    <row r="26" spans="1:7" ht="30" customHeight="1" thickBot="1">
      <c r="A26" s="1303"/>
      <c r="B26" s="1316"/>
      <c r="C26" s="12"/>
      <c r="D26" s="11"/>
      <c r="E26" s="10"/>
      <c r="F26" s="10"/>
      <c r="G26" s="9"/>
    </row>
    <row r="27" spans="1:7" ht="60" customHeight="1" thickBot="1">
      <c r="A27" s="1298" t="s">
        <v>5</v>
      </c>
      <c r="B27" s="1299"/>
      <c r="C27" s="1299"/>
      <c r="D27" s="1299"/>
      <c r="E27" s="1299"/>
      <c r="F27" s="1299"/>
      <c r="G27" s="1300"/>
    </row>
    <row r="28" spans="1:7" ht="36" customHeight="1">
      <c r="A28" s="1301"/>
      <c r="B28" s="1314" t="s">
        <v>4</v>
      </c>
      <c r="C28" s="21"/>
      <c r="D28" s="22"/>
      <c r="E28" s="22"/>
      <c r="F28" s="18"/>
      <c r="G28" s="13"/>
    </row>
    <row r="29" spans="1:7" ht="36" customHeight="1">
      <c r="A29" s="1302"/>
      <c r="B29" s="1315"/>
      <c r="C29" s="21"/>
      <c r="D29" s="22"/>
      <c r="E29" s="22"/>
      <c r="F29" s="18"/>
      <c r="G29" s="13"/>
    </row>
    <row r="30" spans="1:7" ht="36" customHeight="1">
      <c r="A30" s="1302"/>
      <c r="B30" s="1315"/>
      <c r="C30" s="21"/>
      <c r="D30" s="20"/>
      <c r="E30" s="19"/>
      <c r="F30" s="18"/>
      <c r="G30" s="13"/>
    </row>
    <row r="31" spans="1:7" ht="36" customHeight="1" thickBot="1">
      <c r="A31" s="1302"/>
      <c r="B31" s="1315"/>
      <c r="C31" s="17"/>
      <c r="D31" s="16"/>
      <c r="E31" s="15"/>
      <c r="F31" s="14"/>
      <c r="G31" s="13"/>
    </row>
    <row r="32" spans="1:7" ht="36" customHeight="1" thickBot="1">
      <c r="A32" s="1303"/>
      <c r="B32" s="1316"/>
      <c r="C32" s="12"/>
      <c r="D32" s="11"/>
      <c r="E32" s="10"/>
      <c r="F32" s="10"/>
      <c r="G32" s="9"/>
    </row>
    <row r="33" spans="1:7" ht="36" customHeight="1">
      <c r="A33" s="1301"/>
      <c r="B33" s="1314" t="s">
        <v>3</v>
      </c>
      <c r="C33" s="21"/>
      <c r="D33" s="22"/>
      <c r="E33" s="22"/>
      <c r="F33" s="18"/>
      <c r="G33" s="13"/>
    </row>
    <row r="34" spans="1:7" ht="36" customHeight="1">
      <c r="A34" s="1302"/>
      <c r="B34" s="1315"/>
      <c r="C34" s="21"/>
      <c r="D34" s="22"/>
      <c r="E34" s="22"/>
      <c r="F34" s="18"/>
      <c r="G34" s="13"/>
    </row>
    <row r="35" spans="1:7" ht="36" customHeight="1">
      <c r="A35" s="1302"/>
      <c r="B35" s="1315"/>
      <c r="C35" s="21"/>
      <c r="D35" s="20"/>
      <c r="E35" s="19"/>
      <c r="F35" s="18"/>
      <c r="G35" s="13"/>
    </row>
    <row r="36" spans="1:7" ht="36" customHeight="1" thickBot="1">
      <c r="A36" s="1302"/>
      <c r="B36" s="1315"/>
      <c r="C36" s="17"/>
      <c r="D36" s="16"/>
      <c r="E36" s="15"/>
      <c r="F36" s="14"/>
      <c r="G36" s="13"/>
    </row>
    <row r="37" spans="1:7" ht="36" customHeight="1" thickBot="1">
      <c r="A37" s="1303"/>
      <c r="B37" s="1316"/>
      <c r="C37" s="12"/>
      <c r="D37" s="11"/>
      <c r="E37" s="10"/>
      <c r="F37" s="10"/>
      <c r="G37" s="9"/>
    </row>
    <row r="38" spans="1:7" ht="36" customHeight="1">
      <c r="A38" s="1301"/>
      <c r="B38" s="1314" t="s">
        <v>2</v>
      </c>
      <c r="C38" s="21"/>
      <c r="D38" s="22"/>
      <c r="E38" s="22"/>
      <c r="F38" s="18"/>
      <c r="G38" s="13"/>
    </row>
    <row r="39" spans="1:7" ht="36" customHeight="1">
      <c r="A39" s="1302"/>
      <c r="B39" s="1315"/>
      <c r="C39" s="21"/>
      <c r="D39" s="22"/>
      <c r="E39" s="22"/>
      <c r="F39" s="18"/>
      <c r="G39" s="13"/>
    </row>
    <row r="40" spans="1:7" ht="36" customHeight="1">
      <c r="A40" s="1302"/>
      <c r="B40" s="1315"/>
      <c r="C40" s="21"/>
      <c r="D40" s="20"/>
      <c r="E40" s="19"/>
      <c r="F40" s="18"/>
      <c r="G40" s="13"/>
    </row>
    <row r="41" spans="1:7" ht="36" customHeight="1" thickBot="1">
      <c r="A41" s="1302"/>
      <c r="B41" s="1315"/>
      <c r="C41" s="17"/>
      <c r="D41" s="16"/>
      <c r="E41" s="15"/>
      <c r="F41" s="14"/>
      <c r="G41" s="13"/>
    </row>
    <row r="42" spans="1:7" ht="36" customHeight="1" thickBot="1">
      <c r="A42" s="1303"/>
      <c r="B42" s="1316"/>
      <c r="C42" s="12"/>
      <c r="D42" s="11"/>
      <c r="E42" s="10"/>
      <c r="F42" s="10"/>
      <c r="G42" s="9"/>
    </row>
    <row r="43" spans="1:7" ht="36" customHeight="1">
      <c r="A43" s="1301"/>
      <c r="B43" s="1314" t="s">
        <v>1</v>
      </c>
      <c r="C43" s="21"/>
      <c r="D43" s="22"/>
      <c r="E43" s="22"/>
      <c r="F43" s="18"/>
      <c r="G43" s="13"/>
    </row>
    <row r="44" spans="1:7" ht="36" customHeight="1">
      <c r="A44" s="1302"/>
      <c r="B44" s="1315"/>
      <c r="C44" s="21"/>
      <c r="D44" s="22"/>
      <c r="E44" s="22"/>
      <c r="F44" s="18"/>
      <c r="G44" s="13"/>
    </row>
    <row r="45" spans="1:7" ht="36" customHeight="1">
      <c r="A45" s="1302"/>
      <c r="B45" s="1315"/>
      <c r="C45" s="21"/>
      <c r="D45" s="20"/>
      <c r="E45" s="19"/>
      <c r="F45" s="18"/>
      <c r="G45" s="13"/>
    </row>
    <row r="46" spans="1:7" ht="36" customHeight="1" thickBot="1">
      <c r="A46" s="1302"/>
      <c r="B46" s="1315"/>
      <c r="C46" s="17"/>
      <c r="D46" s="16"/>
      <c r="E46" s="15"/>
      <c r="F46" s="14"/>
      <c r="G46" s="13"/>
    </row>
    <row r="47" spans="1:7" ht="36" customHeight="1" thickBot="1">
      <c r="A47" s="1303"/>
      <c r="B47" s="1316"/>
      <c r="C47" s="12"/>
      <c r="D47" s="11"/>
      <c r="E47" s="10"/>
      <c r="F47" s="10"/>
      <c r="G47" s="9"/>
    </row>
    <row r="48" spans="1:7" ht="36" customHeight="1">
      <c r="A48" s="1301"/>
      <c r="B48" s="1314" t="s">
        <v>0</v>
      </c>
      <c r="C48" s="21"/>
      <c r="D48" s="22"/>
      <c r="E48" s="22"/>
      <c r="F48" s="18"/>
      <c r="G48" s="13"/>
    </row>
    <row r="49" spans="1:7" ht="36" customHeight="1">
      <c r="A49" s="1302"/>
      <c r="B49" s="1315"/>
      <c r="C49" s="21"/>
      <c r="D49" s="22"/>
      <c r="E49" s="22"/>
      <c r="F49" s="18"/>
      <c r="G49" s="13"/>
    </row>
    <row r="50" spans="1:7" ht="36" customHeight="1">
      <c r="A50" s="1302"/>
      <c r="B50" s="1315"/>
      <c r="C50" s="21"/>
      <c r="D50" s="20"/>
      <c r="E50" s="19"/>
      <c r="F50" s="18"/>
      <c r="G50" s="13"/>
    </row>
    <row r="51" spans="1:7" ht="36" customHeight="1" thickBot="1">
      <c r="A51" s="1302"/>
      <c r="B51" s="1315"/>
      <c r="C51" s="17"/>
      <c r="D51" s="16"/>
      <c r="E51" s="15"/>
      <c r="F51" s="14"/>
      <c r="G51" s="13"/>
    </row>
    <row r="52" spans="1:7" ht="36" customHeight="1" thickBot="1">
      <c r="A52" s="1303"/>
      <c r="B52" s="1316"/>
      <c r="C52" s="12"/>
      <c r="D52" s="11"/>
      <c r="E52" s="10"/>
      <c r="F52" s="10"/>
      <c r="G52" s="9"/>
    </row>
    <row r="53" spans="1:7" ht="60" customHeight="1" thickBot="1">
      <c r="A53" s="1298" t="s">
        <v>5</v>
      </c>
      <c r="B53" s="1299"/>
      <c r="C53" s="1299"/>
      <c r="D53" s="1299"/>
      <c r="E53" s="1299"/>
      <c r="F53" s="1299"/>
      <c r="G53" s="1300"/>
    </row>
    <row r="54" spans="1:7" ht="36" customHeight="1">
      <c r="A54" s="1301"/>
      <c r="B54" s="1314" t="s">
        <v>4</v>
      </c>
      <c r="C54" s="21"/>
      <c r="D54" s="22"/>
      <c r="E54" s="22"/>
      <c r="F54" s="18"/>
      <c r="G54" s="13"/>
    </row>
    <row r="55" spans="1:7" ht="36" customHeight="1">
      <c r="A55" s="1302"/>
      <c r="B55" s="1315"/>
      <c r="C55" s="21"/>
      <c r="D55" s="22"/>
      <c r="E55" s="22"/>
      <c r="F55" s="18"/>
      <c r="G55" s="13"/>
    </row>
    <row r="56" spans="1:7" ht="36" customHeight="1">
      <c r="A56" s="1302"/>
      <c r="B56" s="1315"/>
      <c r="C56" s="21"/>
      <c r="D56" s="20"/>
      <c r="E56" s="19"/>
      <c r="F56" s="18"/>
      <c r="G56" s="13"/>
    </row>
    <row r="57" spans="1:7" ht="36" customHeight="1" thickBot="1">
      <c r="A57" s="1302"/>
      <c r="B57" s="1315"/>
      <c r="C57" s="17"/>
      <c r="D57" s="16"/>
      <c r="E57" s="15"/>
      <c r="F57" s="14"/>
      <c r="G57" s="13"/>
    </row>
    <row r="58" spans="1:7" ht="36" customHeight="1" thickBot="1">
      <c r="A58" s="1303"/>
      <c r="B58" s="1316"/>
      <c r="C58" s="12"/>
      <c r="D58" s="11"/>
      <c r="E58" s="10"/>
      <c r="F58" s="10"/>
      <c r="G58" s="9"/>
    </row>
    <row r="59" spans="1:7" ht="36" customHeight="1">
      <c r="A59" s="1301"/>
      <c r="B59" s="1314" t="s">
        <v>88</v>
      </c>
      <c r="C59" s="21"/>
      <c r="D59" s="22"/>
      <c r="E59" s="22"/>
      <c r="F59" s="18"/>
      <c r="G59" s="13"/>
    </row>
    <row r="60" spans="1:7" ht="36" customHeight="1">
      <c r="A60" s="1302"/>
      <c r="B60" s="1315"/>
      <c r="C60" s="21"/>
      <c r="D60" s="22"/>
      <c r="E60" s="22"/>
      <c r="F60" s="18"/>
      <c r="G60" s="13"/>
    </row>
    <row r="61" spans="1:7" ht="36" customHeight="1">
      <c r="A61" s="1302"/>
      <c r="B61" s="1315"/>
      <c r="C61" s="21"/>
      <c r="D61" s="20"/>
      <c r="E61" s="19"/>
      <c r="F61" s="18"/>
      <c r="G61" s="13"/>
    </row>
    <row r="62" spans="1:7" ht="36" customHeight="1" thickBot="1">
      <c r="A62" s="1302"/>
      <c r="B62" s="1315"/>
      <c r="C62" s="17"/>
      <c r="D62" s="16"/>
      <c r="E62" s="15"/>
      <c r="F62" s="14"/>
      <c r="G62" s="13"/>
    </row>
    <row r="63" spans="1:7" ht="36" customHeight="1" thickBot="1">
      <c r="A63" s="1303"/>
      <c r="B63" s="1316"/>
      <c r="C63" s="12"/>
      <c r="D63" s="11"/>
      <c r="E63" s="10"/>
      <c r="F63" s="10"/>
      <c r="G63" s="9"/>
    </row>
    <row r="64" spans="1:7" ht="36" customHeight="1">
      <c r="A64" s="1301"/>
      <c r="B64" s="1314" t="s">
        <v>2</v>
      </c>
      <c r="C64" s="21"/>
      <c r="D64" s="22"/>
      <c r="E64" s="22"/>
      <c r="F64" s="18"/>
      <c r="G64" s="13"/>
    </row>
    <row r="65" spans="1:7" ht="36" customHeight="1">
      <c r="A65" s="1302"/>
      <c r="B65" s="1315"/>
      <c r="C65" s="21"/>
      <c r="D65" s="22"/>
      <c r="E65" s="22"/>
      <c r="F65" s="18"/>
      <c r="G65" s="13"/>
    </row>
    <row r="66" spans="1:7" ht="36" customHeight="1">
      <c r="A66" s="1302"/>
      <c r="B66" s="1315"/>
      <c r="C66" s="21"/>
      <c r="D66" s="20"/>
      <c r="E66" s="19"/>
      <c r="F66" s="18"/>
      <c r="G66" s="13"/>
    </row>
    <row r="67" spans="1:7" ht="36" customHeight="1" thickBot="1">
      <c r="A67" s="1302"/>
      <c r="B67" s="1315"/>
      <c r="C67" s="17"/>
      <c r="D67" s="16"/>
      <c r="E67" s="15"/>
      <c r="F67" s="14"/>
      <c r="G67" s="13"/>
    </row>
    <row r="68" spans="1:7" ht="36" customHeight="1" thickBot="1">
      <c r="A68" s="1303"/>
      <c r="B68" s="1316"/>
      <c r="C68" s="12"/>
      <c r="D68" s="11"/>
      <c r="E68" s="10"/>
      <c r="F68" s="10"/>
      <c r="G68" s="9"/>
    </row>
    <row r="69" spans="1:7" ht="36" customHeight="1">
      <c r="A69" s="1301"/>
      <c r="B69" s="1314" t="s">
        <v>1</v>
      </c>
      <c r="C69" s="21"/>
      <c r="D69" s="22"/>
      <c r="E69" s="22"/>
      <c r="F69" s="18"/>
      <c r="G69" s="13"/>
    </row>
    <row r="70" spans="1:7" ht="36" customHeight="1">
      <c r="A70" s="1302"/>
      <c r="B70" s="1315"/>
      <c r="C70" s="21"/>
      <c r="D70" s="22"/>
      <c r="E70" s="22"/>
      <c r="F70" s="18"/>
      <c r="G70" s="13"/>
    </row>
    <row r="71" spans="1:7" ht="36" customHeight="1">
      <c r="A71" s="1302"/>
      <c r="B71" s="1315"/>
      <c r="C71" s="21"/>
      <c r="D71" s="20"/>
      <c r="E71" s="19"/>
      <c r="F71" s="18"/>
      <c r="G71" s="13"/>
    </row>
    <row r="72" spans="1:7" ht="36" customHeight="1" thickBot="1">
      <c r="A72" s="1302"/>
      <c r="B72" s="1315"/>
      <c r="C72" s="17"/>
      <c r="D72" s="16"/>
      <c r="E72" s="15"/>
      <c r="F72" s="14"/>
      <c r="G72" s="13"/>
    </row>
    <row r="73" spans="1:7" ht="36" customHeight="1" thickBot="1">
      <c r="A73" s="1303"/>
      <c r="B73" s="1316"/>
      <c r="C73" s="12"/>
      <c r="D73" s="11"/>
      <c r="E73" s="10"/>
      <c r="F73" s="10"/>
      <c r="G73" s="9"/>
    </row>
    <row r="74" spans="1:7" ht="36" customHeight="1">
      <c r="A74" s="1301"/>
      <c r="B74" s="1314" t="s">
        <v>0</v>
      </c>
      <c r="C74" s="21"/>
      <c r="D74" s="22"/>
      <c r="E74" s="22"/>
      <c r="F74" s="18"/>
      <c r="G74" s="13"/>
    </row>
    <row r="75" spans="1:7" ht="36" customHeight="1">
      <c r="A75" s="1302"/>
      <c r="B75" s="1315"/>
      <c r="C75" s="21"/>
      <c r="D75" s="22"/>
      <c r="E75" s="22"/>
      <c r="F75" s="18"/>
      <c r="G75" s="13"/>
    </row>
    <row r="76" spans="1:7" ht="36" customHeight="1">
      <c r="A76" s="1302"/>
      <c r="B76" s="1315"/>
      <c r="C76" s="21"/>
      <c r="D76" s="20"/>
      <c r="E76" s="19"/>
      <c r="F76" s="18"/>
      <c r="G76" s="13"/>
    </row>
    <row r="77" spans="1:7" ht="36" customHeight="1" thickBot="1">
      <c r="A77" s="1302"/>
      <c r="B77" s="1315"/>
      <c r="C77" s="17"/>
      <c r="D77" s="16"/>
      <c r="E77" s="15"/>
      <c r="F77" s="14"/>
      <c r="G77" s="13"/>
    </row>
    <row r="78" spans="1:7" ht="36" customHeight="1" thickBot="1">
      <c r="A78" s="1303"/>
      <c r="B78" s="1316"/>
      <c r="C78" s="12"/>
      <c r="D78" s="11"/>
      <c r="E78" s="10"/>
      <c r="F78" s="10"/>
      <c r="G78" s="9"/>
    </row>
    <row r="79" spans="1:7" ht="60" customHeight="1" thickBot="1">
      <c r="A79" s="1298" t="s">
        <v>5</v>
      </c>
      <c r="B79" s="1299"/>
      <c r="C79" s="1299"/>
      <c r="D79" s="1299"/>
      <c r="E79" s="1299"/>
      <c r="F79" s="1299"/>
      <c r="G79" s="1300"/>
    </row>
    <row r="80" spans="1:7" ht="36" customHeight="1">
      <c r="A80" s="1301"/>
      <c r="B80" s="1314" t="s">
        <v>4</v>
      </c>
      <c r="C80" s="21"/>
      <c r="D80" s="22"/>
      <c r="E80" s="22"/>
      <c r="F80" s="18"/>
      <c r="G80" s="13"/>
    </row>
    <row r="81" spans="1:7" ht="36" customHeight="1">
      <c r="A81" s="1302"/>
      <c r="B81" s="1315"/>
      <c r="C81" s="21"/>
      <c r="D81" s="22"/>
      <c r="E81" s="22"/>
      <c r="F81" s="18"/>
      <c r="G81" s="13"/>
    </row>
    <row r="82" spans="1:7" ht="36" customHeight="1">
      <c r="A82" s="1302"/>
      <c r="B82" s="1315"/>
      <c r="C82" s="21"/>
      <c r="D82" s="20"/>
      <c r="E82" s="19"/>
      <c r="F82" s="18"/>
      <c r="G82" s="13"/>
    </row>
    <row r="83" spans="1:7" ht="36" customHeight="1" thickBot="1">
      <c r="A83" s="1302"/>
      <c r="B83" s="1315"/>
      <c r="C83" s="17"/>
      <c r="D83" s="16"/>
      <c r="E83" s="15"/>
      <c r="F83" s="14"/>
      <c r="G83" s="13"/>
    </row>
    <row r="84" spans="1:7" ht="36" customHeight="1" thickBot="1">
      <c r="A84" s="1303"/>
      <c r="B84" s="1316"/>
      <c r="C84" s="12"/>
      <c r="D84" s="11"/>
      <c r="E84" s="10"/>
      <c r="F84" s="10"/>
      <c r="G84" s="9"/>
    </row>
    <row r="85" spans="1:7" ht="36" customHeight="1">
      <c r="A85" s="1301"/>
      <c r="B85" s="1314" t="s">
        <v>3</v>
      </c>
      <c r="C85" s="21"/>
      <c r="D85" s="22"/>
      <c r="E85" s="22"/>
      <c r="F85" s="18"/>
      <c r="G85" s="13"/>
    </row>
    <row r="86" spans="1:7" ht="36" customHeight="1">
      <c r="A86" s="1302"/>
      <c r="B86" s="1315"/>
      <c r="C86" s="21"/>
      <c r="D86" s="22"/>
      <c r="E86" s="22"/>
      <c r="F86" s="18"/>
      <c r="G86" s="13"/>
    </row>
    <row r="87" spans="1:7" ht="36" customHeight="1">
      <c r="A87" s="1302"/>
      <c r="B87" s="1315"/>
      <c r="C87" s="21"/>
      <c r="D87" s="20"/>
      <c r="E87" s="19"/>
      <c r="F87" s="18"/>
      <c r="G87" s="13"/>
    </row>
    <row r="88" spans="1:7" ht="36" customHeight="1" thickBot="1">
      <c r="A88" s="1302"/>
      <c r="B88" s="1315"/>
      <c r="C88" s="17"/>
      <c r="D88" s="16"/>
      <c r="E88" s="15"/>
      <c r="F88" s="14"/>
      <c r="G88" s="13"/>
    </row>
    <row r="89" spans="1:7" ht="36" customHeight="1" thickBot="1">
      <c r="A89" s="1303"/>
      <c r="B89" s="1316"/>
      <c r="C89" s="12"/>
      <c r="D89" s="11"/>
      <c r="E89" s="10"/>
      <c r="F89" s="10"/>
      <c r="G89" s="9"/>
    </row>
    <row r="90" spans="1:7" ht="36" customHeight="1">
      <c r="A90" s="1301"/>
      <c r="B90" s="1314" t="s">
        <v>247</v>
      </c>
      <c r="C90" s="21"/>
      <c r="D90" s="22"/>
      <c r="E90" s="22"/>
      <c r="F90" s="18"/>
      <c r="G90" s="13"/>
    </row>
    <row r="91" spans="1:7" ht="36" customHeight="1">
      <c r="A91" s="1302"/>
      <c r="B91" s="1315"/>
      <c r="C91" s="21"/>
      <c r="D91" s="22"/>
      <c r="E91" s="22"/>
      <c r="F91" s="18"/>
      <c r="G91" s="13"/>
    </row>
    <row r="92" spans="1:7" ht="36" customHeight="1">
      <c r="A92" s="1302"/>
      <c r="B92" s="1315"/>
      <c r="C92" s="21"/>
      <c r="D92" s="20"/>
      <c r="E92" s="19"/>
      <c r="F92" s="18"/>
      <c r="G92" s="13"/>
    </row>
    <row r="93" spans="1:7" ht="36" customHeight="1" thickBot="1">
      <c r="A93" s="1302"/>
      <c r="B93" s="1315"/>
      <c r="C93" s="17"/>
      <c r="D93" s="16"/>
      <c r="E93" s="15"/>
      <c r="F93" s="14"/>
      <c r="G93" s="13"/>
    </row>
    <row r="94" spans="1:7" ht="36" customHeight="1" thickBot="1">
      <c r="A94" s="1303"/>
      <c r="B94" s="1316"/>
      <c r="C94" s="12"/>
      <c r="D94" s="11"/>
      <c r="E94" s="10"/>
      <c r="F94" s="10"/>
      <c r="G94" s="9"/>
    </row>
    <row r="95" spans="1:7" ht="36" customHeight="1">
      <c r="A95" s="1301"/>
      <c r="B95" s="1314" t="s">
        <v>1</v>
      </c>
      <c r="C95" s="21"/>
      <c r="D95" s="22"/>
      <c r="E95" s="22"/>
      <c r="F95" s="18"/>
      <c r="G95" s="13"/>
    </row>
    <row r="96" spans="1:7" ht="36" customHeight="1">
      <c r="A96" s="1302"/>
      <c r="B96" s="1315"/>
      <c r="C96" s="21"/>
      <c r="D96" s="22"/>
      <c r="E96" s="22"/>
      <c r="F96" s="18"/>
      <c r="G96" s="13"/>
    </row>
    <row r="97" spans="1:7" ht="36" customHeight="1">
      <c r="A97" s="1302"/>
      <c r="B97" s="1315"/>
      <c r="C97" s="21"/>
      <c r="D97" s="20"/>
      <c r="E97" s="19"/>
      <c r="F97" s="18"/>
      <c r="G97" s="13"/>
    </row>
    <row r="98" spans="1:7" ht="36" customHeight="1" thickBot="1">
      <c r="A98" s="1302"/>
      <c r="B98" s="1315"/>
      <c r="C98" s="17"/>
      <c r="D98" s="16"/>
      <c r="E98" s="15"/>
      <c r="F98" s="14"/>
      <c r="G98" s="13"/>
    </row>
    <row r="99" spans="1:7" ht="36" customHeight="1" thickBot="1">
      <c r="A99" s="1303"/>
      <c r="B99" s="1316"/>
      <c r="C99" s="12"/>
      <c r="D99" s="11"/>
      <c r="E99" s="10"/>
      <c r="F99" s="10"/>
      <c r="G99" s="9"/>
    </row>
    <row r="100" spans="1:7" ht="36" customHeight="1">
      <c r="A100" s="1301"/>
      <c r="B100" s="1314" t="s">
        <v>0</v>
      </c>
      <c r="C100" s="21"/>
      <c r="D100" s="22"/>
      <c r="E100" s="22"/>
      <c r="F100" s="18"/>
      <c r="G100" s="13"/>
    </row>
    <row r="101" spans="1:7" ht="36" customHeight="1">
      <c r="A101" s="1302"/>
      <c r="B101" s="1315"/>
      <c r="C101" s="21"/>
      <c r="D101" s="22"/>
      <c r="E101" s="22"/>
      <c r="F101" s="18"/>
      <c r="G101" s="13"/>
    </row>
    <row r="102" spans="1:7" ht="36" customHeight="1">
      <c r="A102" s="1302"/>
      <c r="B102" s="1315"/>
      <c r="C102" s="21"/>
      <c r="D102" s="20"/>
      <c r="E102" s="19"/>
      <c r="F102" s="18"/>
      <c r="G102" s="13"/>
    </row>
    <row r="103" spans="1:7" ht="36" customHeight="1" thickBot="1">
      <c r="A103" s="1302"/>
      <c r="B103" s="1315"/>
      <c r="C103" s="17"/>
      <c r="D103" s="16"/>
      <c r="E103" s="15"/>
      <c r="F103" s="14"/>
      <c r="G103" s="13"/>
    </row>
    <row r="104" spans="1:7" ht="36" customHeight="1" thickBot="1">
      <c r="A104" s="1303"/>
      <c r="B104" s="1316"/>
      <c r="C104" s="12"/>
      <c r="D104" s="11"/>
      <c r="E104" s="10"/>
      <c r="F104" s="10"/>
      <c r="G104" s="9"/>
    </row>
    <row r="105" spans="1:7" ht="60" customHeight="1" thickBot="1">
      <c r="A105" s="1298" t="s">
        <v>5</v>
      </c>
      <c r="B105" s="1299"/>
      <c r="C105" s="1299"/>
      <c r="D105" s="1299"/>
      <c r="E105" s="1299"/>
      <c r="F105" s="1299"/>
      <c r="G105" s="1300"/>
    </row>
    <row r="106" spans="1:7" ht="36" customHeight="1">
      <c r="A106" s="1301"/>
      <c r="B106" s="1314" t="s">
        <v>4</v>
      </c>
      <c r="C106" s="21"/>
      <c r="D106" s="22"/>
      <c r="E106" s="22"/>
      <c r="F106" s="18"/>
      <c r="G106" s="13"/>
    </row>
    <row r="107" spans="1:7" ht="36" customHeight="1">
      <c r="A107" s="1302"/>
      <c r="B107" s="1315"/>
      <c r="C107" s="21"/>
      <c r="D107" s="22"/>
      <c r="E107" s="22"/>
      <c r="F107" s="18"/>
      <c r="G107" s="13"/>
    </row>
    <row r="108" spans="1:7" ht="36" customHeight="1">
      <c r="A108" s="1302"/>
      <c r="B108" s="1315"/>
      <c r="C108" s="21"/>
      <c r="D108" s="20"/>
      <c r="E108" s="19"/>
      <c r="F108" s="18"/>
      <c r="G108" s="13"/>
    </row>
    <row r="109" spans="1:7" ht="36" customHeight="1" thickBot="1">
      <c r="A109" s="1302"/>
      <c r="B109" s="1315"/>
      <c r="C109" s="17"/>
      <c r="D109" s="16"/>
      <c r="E109" s="15"/>
      <c r="F109" s="14"/>
      <c r="G109" s="13"/>
    </row>
    <row r="110" spans="1:7" ht="36" customHeight="1" thickBot="1">
      <c r="A110" s="1303"/>
      <c r="B110" s="1316"/>
      <c r="C110" s="12"/>
      <c r="D110" s="11"/>
      <c r="E110" s="10"/>
      <c r="F110" s="10"/>
      <c r="G110" s="9"/>
    </row>
    <row r="111" spans="1:7" ht="36" customHeight="1">
      <c r="A111" s="1301"/>
      <c r="B111" s="1314" t="s">
        <v>3</v>
      </c>
      <c r="C111" s="21"/>
      <c r="D111" s="22"/>
      <c r="E111" s="22"/>
      <c r="F111" s="18"/>
      <c r="G111" s="13"/>
    </row>
    <row r="112" spans="1:7" ht="36" customHeight="1">
      <c r="A112" s="1302"/>
      <c r="B112" s="1315"/>
      <c r="C112" s="21"/>
      <c r="D112" s="22"/>
      <c r="E112" s="22"/>
      <c r="F112" s="18"/>
      <c r="G112" s="13"/>
    </row>
    <row r="113" spans="1:7" ht="36" customHeight="1">
      <c r="A113" s="1302"/>
      <c r="B113" s="1315"/>
      <c r="C113" s="21"/>
      <c r="D113" s="20"/>
      <c r="E113" s="19"/>
      <c r="F113" s="18"/>
      <c r="G113" s="13"/>
    </row>
    <row r="114" spans="1:7" ht="36" customHeight="1" thickBot="1">
      <c r="A114" s="1302"/>
      <c r="B114" s="1315"/>
      <c r="C114" s="17"/>
      <c r="D114" s="16"/>
      <c r="E114" s="15"/>
      <c r="F114" s="14"/>
      <c r="G114" s="13"/>
    </row>
    <row r="115" spans="1:7" ht="36" customHeight="1" thickBot="1">
      <c r="A115" s="1303"/>
      <c r="B115" s="1316"/>
      <c r="C115" s="12"/>
      <c r="D115" s="11"/>
      <c r="E115" s="10"/>
      <c r="F115" s="10"/>
      <c r="G115" s="9"/>
    </row>
    <row r="116" spans="1:7" ht="36" customHeight="1">
      <c r="A116" s="1301"/>
      <c r="B116" s="1314" t="s">
        <v>2</v>
      </c>
      <c r="C116" s="21"/>
      <c r="D116" s="22"/>
      <c r="E116" s="22"/>
      <c r="F116" s="18"/>
      <c r="G116" s="13"/>
    </row>
    <row r="117" spans="1:7" ht="36" customHeight="1">
      <c r="A117" s="1302"/>
      <c r="B117" s="1315"/>
      <c r="C117" s="21"/>
      <c r="D117" s="22"/>
      <c r="E117" s="22"/>
      <c r="F117" s="18"/>
      <c r="G117" s="13"/>
    </row>
    <row r="118" spans="1:7" ht="36" customHeight="1">
      <c r="A118" s="1302"/>
      <c r="B118" s="1315"/>
      <c r="C118" s="21"/>
      <c r="D118" s="20"/>
      <c r="E118" s="19"/>
      <c r="F118" s="18"/>
      <c r="G118" s="13"/>
    </row>
    <row r="119" spans="1:7" ht="36" customHeight="1" thickBot="1">
      <c r="A119" s="1302"/>
      <c r="B119" s="1315"/>
      <c r="C119" s="17"/>
      <c r="D119" s="16"/>
      <c r="E119" s="15"/>
      <c r="F119" s="14"/>
      <c r="G119" s="13"/>
    </row>
    <row r="120" spans="1:7" ht="36" customHeight="1" thickBot="1">
      <c r="A120" s="1303"/>
      <c r="B120" s="1316"/>
      <c r="C120" s="12"/>
      <c r="D120" s="11"/>
      <c r="E120" s="10"/>
      <c r="F120" s="10"/>
      <c r="G120" s="9"/>
    </row>
    <row r="121" spans="1:7" ht="36" customHeight="1">
      <c r="A121" s="1301"/>
      <c r="B121" s="1314" t="s">
        <v>1</v>
      </c>
      <c r="C121" s="21"/>
      <c r="D121" s="22"/>
      <c r="E121" s="22"/>
      <c r="F121" s="18"/>
      <c r="G121" s="13"/>
    </row>
    <row r="122" spans="1:7" ht="36" customHeight="1">
      <c r="A122" s="1302"/>
      <c r="B122" s="1315"/>
      <c r="C122" s="21"/>
      <c r="D122" s="22"/>
      <c r="E122" s="22"/>
      <c r="F122" s="18"/>
      <c r="G122" s="13"/>
    </row>
    <row r="123" spans="1:7" ht="36" customHeight="1">
      <c r="A123" s="1302"/>
      <c r="B123" s="1315"/>
      <c r="C123" s="21"/>
      <c r="D123" s="20"/>
      <c r="E123" s="19"/>
      <c r="F123" s="18"/>
      <c r="G123" s="13"/>
    </row>
    <row r="124" spans="1:7" ht="36" customHeight="1" thickBot="1">
      <c r="A124" s="1302"/>
      <c r="B124" s="1315"/>
      <c r="C124" s="17"/>
      <c r="D124" s="16"/>
      <c r="E124" s="15"/>
      <c r="F124" s="14"/>
      <c r="G124" s="13"/>
    </row>
    <row r="125" spans="1:7" ht="36" customHeight="1" thickBot="1">
      <c r="A125" s="1303"/>
      <c r="B125" s="1316"/>
      <c r="C125" s="12"/>
      <c r="D125" s="11"/>
      <c r="E125" s="10"/>
      <c r="F125" s="10"/>
      <c r="G125" s="9"/>
    </row>
    <row r="126" spans="1:7" ht="36" customHeight="1">
      <c r="A126" s="1301"/>
      <c r="B126" s="1314" t="s">
        <v>0</v>
      </c>
      <c r="C126" s="21"/>
      <c r="D126" s="22"/>
      <c r="E126" s="22"/>
      <c r="F126" s="18"/>
      <c r="G126" s="13"/>
    </row>
    <row r="127" spans="1:7" ht="36" customHeight="1">
      <c r="A127" s="1302"/>
      <c r="B127" s="1315"/>
      <c r="C127" s="21"/>
      <c r="D127" s="22"/>
      <c r="E127" s="22"/>
      <c r="F127" s="18"/>
      <c r="G127" s="13"/>
    </row>
    <row r="128" spans="1:7" ht="36" customHeight="1">
      <c r="A128" s="1302"/>
      <c r="B128" s="1315"/>
      <c r="C128" s="21"/>
      <c r="D128" s="20"/>
      <c r="E128" s="19"/>
      <c r="F128" s="18"/>
      <c r="G128" s="13"/>
    </row>
    <row r="129" spans="1:7" ht="36" customHeight="1" thickBot="1">
      <c r="A129" s="1302"/>
      <c r="B129" s="1315"/>
      <c r="C129" s="17"/>
      <c r="D129" s="16"/>
      <c r="E129" s="15"/>
      <c r="F129" s="14"/>
      <c r="G129" s="13"/>
    </row>
    <row r="130" spans="1:7" ht="36" customHeight="1" thickBot="1">
      <c r="A130" s="1303"/>
      <c r="B130" s="1316"/>
      <c r="C130" s="12"/>
      <c r="D130" s="11"/>
      <c r="E130" s="10"/>
      <c r="F130" s="10"/>
      <c r="G130" s="9"/>
    </row>
  </sheetData>
  <mergeCells count="55">
    <mergeCell ref="A22:A26"/>
    <mergeCell ref="B22:B26"/>
    <mergeCell ref="A12:A16"/>
    <mergeCell ref="B12:B16"/>
    <mergeCell ref="A17:A21"/>
    <mergeCell ref="B17:B21"/>
    <mergeCell ref="A7:A11"/>
    <mergeCell ref="B7:B11"/>
    <mergeCell ref="A1:G1"/>
    <mergeCell ref="A2:A6"/>
    <mergeCell ref="B2:B6"/>
    <mergeCell ref="B48:B52"/>
    <mergeCell ref="A27:G27"/>
    <mergeCell ref="A28:A32"/>
    <mergeCell ref="B28:B32"/>
    <mergeCell ref="A33:A37"/>
    <mergeCell ref="B33:B37"/>
    <mergeCell ref="A38:A42"/>
    <mergeCell ref="B38:B42"/>
    <mergeCell ref="A43:A47"/>
    <mergeCell ref="B43:B47"/>
    <mergeCell ref="A48:A52"/>
    <mergeCell ref="A53:G53"/>
    <mergeCell ref="A54:A58"/>
    <mergeCell ref="B54:B58"/>
    <mergeCell ref="A59:A63"/>
    <mergeCell ref="B59:B63"/>
    <mergeCell ref="A64:A68"/>
    <mergeCell ref="B64:B68"/>
    <mergeCell ref="A69:A73"/>
    <mergeCell ref="B69:B73"/>
    <mergeCell ref="A74:A78"/>
    <mergeCell ref="B74:B78"/>
    <mergeCell ref="B100:B104"/>
    <mergeCell ref="A79:G79"/>
    <mergeCell ref="A80:A84"/>
    <mergeCell ref="B80:B84"/>
    <mergeCell ref="A85:A89"/>
    <mergeCell ref="B85:B89"/>
    <mergeCell ref="A90:A94"/>
    <mergeCell ref="B90:B94"/>
    <mergeCell ref="A95:A99"/>
    <mergeCell ref="B95:B99"/>
    <mergeCell ref="A100:A104"/>
    <mergeCell ref="A105:G105"/>
    <mergeCell ref="A106:A110"/>
    <mergeCell ref="B106:B110"/>
    <mergeCell ref="A111:A115"/>
    <mergeCell ref="B111:B115"/>
    <mergeCell ref="A116:A120"/>
    <mergeCell ref="B116:B120"/>
    <mergeCell ref="A121:A125"/>
    <mergeCell ref="B121:B125"/>
    <mergeCell ref="A126:A130"/>
    <mergeCell ref="B126:B130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opLeftCell="A6" workbookViewId="0">
      <selection activeCell="A6" sqref="A6"/>
    </sheetView>
  </sheetViews>
  <sheetFormatPr defaultRowHeight="16.5"/>
  <cols>
    <col min="1" max="1" width="14.75" customWidth="1"/>
    <col min="2" max="4" width="13.875" customWidth="1"/>
    <col min="5" max="6" width="17" customWidth="1"/>
    <col min="7" max="7" width="10.375" customWidth="1"/>
    <col min="8" max="8" width="17" customWidth="1"/>
    <col min="9" max="12" width="11.625" customWidth="1"/>
    <col min="13" max="14" width="13.625" customWidth="1"/>
    <col min="20" max="20" width="31.125" customWidth="1"/>
  </cols>
  <sheetData>
    <row r="1" spans="1:6">
      <c r="B1" t="s">
        <v>2225</v>
      </c>
      <c r="C1" t="s">
        <v>2226</v>
      </c>
      <c r="D1" t="s">
        <v>2227</v>
      </c>
      <c r="E1" t="s">
        <v>2228</v>
      </c>
      <c r="F1" t="s">
        <v>2229</v>
      </c>
    </row>
    <row r="2" spans="1:6">
      <c r="A2" t="s">
        <v>2223</v>
      </c>
      <c r="B2" s="414">
        <v>1580</v>
      </c>
      <c r="C2">
        <v>25000</v>
      </c>
      <c r="D2" s="414">
        <f>B2*C2</f>
        <v>39500000</v>
      </c>
      <c r="E2" s="414">
        <f>D2*0.1</f>
        <v>3950000</v>
      </c>
      <c r="F2" s="414">
        <f>D2+E2</f>
        <v>43450000</v>
      </c>
    </row>
    <row r="3" spans="1:6">
      <c r="A3" t="s">
        <v>2224</v>
      </c>
      <c r="B3" s="414">
        <v>300000</v>
      </c>
      <c r="C3">
        <v>1</v>
      </c>
      <c r="D3" s="414">
        <f>B3*C3</f>
        <v>300000</v>
      </c>
      <c r="E3" s="414">
        <f>D3*0.1</f>
        <v>30000</v>
      </c>
      <c r="F3" s="414">
        <f>D3+E3</f>
        <v>330000</v>
      </c>
    </row>
    <row r="4" spans="1:6">
      <c r="F4" s="414">
        <f>SUM(F2:F3)</f>
        <v>43780000</v>
      </c>
    </row>
    <row r="5" spans="1:6" ht="26.25">
      <c r="B5" s="316"/>
    </row>
    <row r="6" spans="1:6" ht="26.25">
      <c r="B6" s="316"/>
    </row>
    <row r="7" spans="1:6" ht="26.25">
      <c r="B7" s="316"/>
    </row>
    <row r="8" spans="1:6" ht="26.25">
      <c r="B8" s="316"/>
    </row>
    <row r="9" spans="1:6" ht="26.25">
      <c r="A9" s="155"/>
      <c r="B9" s="316"/>
    </row>
    <row r="10" spans="1:6">
      <c r="A10" s="155"/>
    </row>
    <row r="11" spans="1:6">
      <c r="A11" s="155"/>
    </row>
    <row r="12" spans="1:6">
      <c r="A12" s="155"/>
    </row>
    <row r="17" spans="5:20" ht="69.75" customHeight="1">
      <c r="E17" s="229"/>
      <c r="T17" s="194"/>
    </row>
  </sheetData>
  <phoneticPr fontId="3" type="noConversion"/>
  <pageMargins left="0" right="0" top="0.31496062992125984" bottom="0.31496062992125984" header="0.31496062992125984" footer="0.31496062992125984"/>
  <pageSetup paperSize="9" scale="7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A7" zoomScaleNormal="100" workbookViewId="0">
      <selection activeCell="L5" sqref="L5"/>
    </sheetView>
  </sheetViews>
  <sheetFormatPr defaultRowHeight="16.5"/>
  <sheetData/>
  <phoneticPr fontId="3" type="noConversion"/>
  <printOptions horizontalCentered="1" verticalCentered="1"/>
  <pageMargins left="0.23622047244094491" right="0.23622047244094491" top="0" bottom="0" header="0" footer="0"/>
  <pageSetup paperSize="9" scale="81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zoomScaleNormal="100" workbookViewId="0"/>
  </sheetViews>
  <sheetFormatPr defaultRowHeight="16.5"/>
  <sheetData/>
  <phoneticPr fontId="3" type="noConversion"/>
  <printOptions horizontalCentered="1"/>
  <pageMargins left="0" right="0" top="0.59055118110236227" bottom="0" header="0.31496062992125984" footer="0.31496062992125984"/>
  <pageSetup paperSize="9" scale="95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8:I24"/>
  <sheetViews>
    <sheetView zoomScaleNormal="100" workbookViewId="0">
      <selection activeCell="I21" sqref="I21"/>
    </sheetView>
  </sheetViews>
  <sheetFormatPr defaultRowHeight="16.5"/>
  <cols>
    <col min="5" max="6" width="10.25" bestFit="1" customWidth="1"/>
    <col min="9" max="9" width="13" bestFit="1" customWidth="1"/>
    <col min="11" max="11" width="11" customWidth="1"/>
    <col min="12" max="12" width="10.875" customWidth="1"/>
    <col min="13" max="13" width="12.25" customWidth="1"/>
  </cols>
  <sheetData>
    <row r="18" spans="4:9">
      <c r="I18" s="1268"/>
    </row>
    <row r="21" spans="4:9">
      <c r="E21" s="1267"/>
    </row>
    <row r="24" spans="4:9">
      <c r="D24" s="1267"/>
    </row>
  </sheetData>
  <phoneticPr fontId="3" type="noConversion"/>
  <pageMargins left="0" right="0" top="0.39370078740157483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1</vt:i4>
      </vt:variant>
    </vt:vector>
  </HeadingPairs>
  <TitlesOfParts>
    <vt:vector size="25" baseType="lpstr">
      <vt:lpstr>2021.12</vt:lpstr>
      <vt:lpstr>2022.01</vt:lpstr>
      <vt:lpstr>2022.02</vt:lpstr>
      <vt:lpstr>2022.03</vt:lpstr>
      <vt:lpstr>2022.04</vt:lpstr>
      <vt:lpstr>2022.05</vt:lpstr>
      <vt:lpstr>2022.06</vt:lpstr>
      <vt:lpstr>2022.07</vt:lpstr>
      <vt:lpstr>2022.08</vt:lpstr>
      <vt:lpstr>2022.09</vt:lpstr>
      <vt:lpstr>2022.10</vt:lpstr>
      <vt:lpstr>2022.11</vt:lpstr>
      <vt:lpstr>2022.12</vt:lpstr>
      <vt:lpstr>삼성</vt:lpstr>
      <vt:lpstr>대납 주소</vt:lpstr>
      <vt:lpstr>유진pe</vt:lpstr>
      <vt:lpstr>수입품</vt:lpstr>
      <vt:lpstr>정기결제</vt:lpstr>
      <vt:lpstr>파레트 사이즈</vt:lpstr>
      <vt:lpstr>빈 서식</vt:lpstr>
      <vt:lpstr>Sheet2</vt:lpstr>
      <vt:lpstr>Sheet3</vt:lpstr>
      <vt:lpstr>Sheet4</vt:lpstr>
      <vt:lpstr>Sheet5</vt:lpstr>
      <vt:lpstr>'대납 주소'!Print_Area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userpc</dc:creator>
  <cp:lastModifiedBy>userpc</cp:lastModifiedBy>
  <cp:lastPrinted>2023-03-16T01:30:27Z</cp:lastPrinted>
  <dcterms:created xsi:type="dcterms:W3CDTF">2022-03-25T00:06:58Z</dcterms:created>
  <dcterms:modified xsi:type="dcterms:W3CDTF">2023-03-29T00:13:13Z</dcterms:modified>
</cp:coreProperties>
</file>