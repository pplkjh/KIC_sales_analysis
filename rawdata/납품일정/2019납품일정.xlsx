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5" yWindow="0" windowWidth="14220" windowHeight="12210" firstSheet="7" activeTab="12"/>
  </bookViews>
  <sheets>
    <sheet name="201812" sheetId="48" r:id="rId1"/>
    <sheet name="201901" sheetId="50" r:id="rId2"/>
    <sheet name="201902" sheetId="51" r:id="rId3"/>
    <sheet name="201903" sheetId="52" r:id="rId4"/>
    <sheet name="201904" sheetId="53" r:id="rId5"/>
    <sheet name="201905" sheetId="55" r:id="rId6"/>
    <sheet name="201906" sheetId="56" r:id="rId7"/>
    <sheet name="201907" sheetId="57" r:id="rId8"/>
    <sheet name="201908" sheetId="58" r:id="rId9"/>
    <sheet name="201909" sheetId="59" r:id="rId10"/>
    <sheet name="201910" sheetId="60" r:id="rId11"/>
    <sheet name="201911" sheetId="61" r:id="rId12"/>
    <sheet name="201912" sheetId="62" r:id="rId13"/>
    <sheet name="삼성" sheetId="33" r:id="rId14"/>
    <sheet name="발주" sheetId="45" r:id="rId15"/>
    <sheet name="외주재고" sheetId="46" r:id="rId16"/>
    <sheet name="화물출고참조" sheetId="36" r:id="rId17"/>
    <sheet name="Sheet1" sheetId="54" r:id="rId18"/>
  </sheets>
  <definedNames>
    <definedName name="_xlnm._FilterDatabase" localSheetId="14" hidden="1">발주!$A$2:$F$2</definedName>
    <definedName name="_xlnm.Print_Area" localSheetId="0">'201812'!$A$84:$G$104</definedName>
    <definedName name="_xlnm.Print_Area" localSheetId="1">'201901'!$A$129:$G$150</definedName>
    <definedName name="_xlnm.Print_Area" localSheetId="2">'201902'!$A$74:$G$97</definedName>
    <definedName name="_xlnm.Print_Area" localSheetId="3">'201903'!$A$78:$G$104</definedName>
    <definedName name="_xlnm.Print_Area" localSheetId="4">'201904'!$A$111:$G$132</definedName>
    <definedName name="_xlnm.Print_Area" localSheetId="5">'201905'!$A$89:$G$117</definedName>
    <definedName name="_xlnm.Print_Area" localSheetId="6">'201906'!$A$76:$G$100</definedName>
    <definedName name="_xlnm.Print_Area" localSheetId="7">'201907'!$A$107:$G$129</definedName>
    <definedName name="_xlnm.Print_Area" localSheetId="8">'201908'!$A$79:$G$101</definedName>
    <definedName name="_xlnm.Print_Area" localSheetId="9">'201909'!$A$73:$G$100</definedName>
    <definedName name="_xlnm.Print_Area" localSheetId="10">'201910'!$A$120:$G$151</definedName>
    <definedName name="_xlnm.Print_Area" localSheetId="11">'201911'!$A$95:$G$127</definedName>
    <definedName name="_xlnm.Print_Area" localSheetId="12">'201912'!$A$77:$G$109</definedName>
    <definedName name="_xlnm.Print_Area" localSheetId="14">발주!$A$1:$F$25</definedName>
  </definedNames>
  <calcPr calcId="144525"/>
</workbook>
</file>

<file path=xl/calcChain.xml><?xml version="1.0" encoding="utf-8"?>
<calcChain xmlns="http://schemas.openxmlformats.org/spreadsheetml/2006/main">
  <c r="E12" i="33" l="1"/>
  <c r="B6" i="33"/>
  <c r="B4" i="33"/>
  <c r="B3" i="33"/>
  <c r="D12" i="33" l="1"/>
  <c r="E64" i="59" l="1"/>
  <c r="C12" i="33" l="1"/>
  <c r="E64" i="56" l="1"/>
  <c r="F12" i="33"/>
  <c r="J17" i="46" l="1"/>
  <c r="I3" i="46"/>
  <c r="I11" i="46"/>
  <c r="H3" i="46"/>
  <c r="H11" i="46"/>
  <c r="J11" i="46"/>
  <c r="K11" i="46" s="1"/>
  <c r="P11" i="46"/>
  <c r="Q11" i="46" s="1"/>
  <c r="P3" i="46"/>
  <c r="Q3" i="46" s="1"/>
  <c r="K14" i="46"/>
  <c r="K13" i="46"/>
  <c r="K12" i="46"/>
  <c r="K4" i="46"/>
  <c r="K5" i="46"/>
  <c r="K6" i="46"/>
  <c r="J3" i="46" l="1"/>
  <c r="K3" i="46" s="1"/>
  <c r="P12" i="46"/>
  <c r="P13" i="46" s="1"/>
  <c r="Q13" i="46" s="1"/>
  <c r="P4" i="46"/>
  <c r="P14" i="46" l="1"/>
  <c r="Q14" i="46" s="1"/>
  <c r="Q12" i="46"/>
  <c r="Q4" i="46"/>
  <c r="P5" i="46"/>
  <c r="P6" i="46" l="1"/>
  <c r="Q6" i="46" s="1"/>
  <c r="Q5" i="46"/>
  <c r="F11" i="54"/>
  <c r="F12" i="54"/>
  <c r="F4" i="54"/>
  <c r="F5" i="54"/>
  <c r="F6" i="54"/>
  <c r="F7" i="54"/>
  <c r="F8" i="54"/>
  <c r="F9" i="54"/>
  <c r="F10" i="54"/>
  <c r="F3" i="54"/>
  <c r="E4" i="46" l="1"/>
  <c r="E5" i="46"/>
  <c r="E6" i="46"/>
  <c r="E3" i="46"/>
  <c r="B12" i="33" l="1"/>
  <c r="E71" i="50" l="1"/>
  <c r="I12" i="33" l="1"/>
  <c r="E36" i="48" l="1"/>
  <c r="H12" i="33"/>
  <c r="I13" i="33" l="1"/>
  <c r="H13" i="33"/>
  <c r="B7" i="46" l="1"/>
</calcChain>
</file>

<file path=xl/sharedStrings.xml><?xml version="1.0" encoding="utf-8"?>
<sst xmlns="http://schemas.openxmlformats.org/spreadsheetml/2006/main" count="3140" uniqueCount="2070">
  <si>
    <t>납   품   일   정</t>
    <phoneticPr fontId="1" type="noConversion"/>
  </si>
  <si>
    <t>수량</t>
    <phoneticPr fontId="1" type="noConversion"/>
  </si>
  <si>
    <t>월</t>
    <phoneticPr fontId="1" type="noConversion"/>
  </si>
  <si>
    <t>삼성</t>
    <phoneticPr fontId="1" type="noConversion"/>
  </si>
  <si>
    <t>금산포장</t>
    <phoneticPr fontId="1" type="noConversion"/>
  </si>
  <si>
    <t>18*21</t>
    <phoneticPr fontId="1" type="noConversion"/>
  </si>
  <si>
    <t>18*15</t>
    <phoneticPr fontId="1" type="noConversion"/>
  </si>
  <si>
    <t>광림파워팩</t>
    <phoneticPr fontId="1" type="noConversion"/>
  </si>
  <si>
    <t>20박스</t>
    <phoneticPr fontId="1" type="noConversion"/>
  </si>
  <si>
    <t>삼화인쇄</t>
    <phoneticPr fontId="1" type="noConversion"/>
  </si>
  <si>
    <t>랩25*500*1400</t>
    <phoneticPr fontId="1" type="noConversion"/>
  </si>
  <si>
    <t>제책4층</t>
    <phoneticPr fontId="1" type="noConversion"/>
  </si>
  <si>
    <t>제책3층</t>
    <phoneticPr fontId="1" type="noConversion"/>
  </si>
  <si>
    <t>랩20*500*350</t>
    <phoneticPr fontId="1" type="noConversion"/>
  </si>
  <si>
    <t>평판지하A판</t>
    <phoneticPr fontId="1" type="noConversion"/>
  </si>
  <si>
    <t>수</t>
  </si>
  <si>
    <t>화</t>
  </si>
  <si>
    <t>목</t>
  </si>
  <si>
    <t>금</t>
  </si>
  <si>
    <t>싸이클럽</t>
    <phoneticPr fontId="1" type="noConversion"/>
  </si>
  <si>
    <t>12*3000청외</t>
    <phoneticPr fontId="1" type="noConversion"/>
  </si>
  <si>
    <t>12*12.5황</t>
    <phoneticPr fontId="1" type="noConversion"/>
  </si>
  <si>
    <t>pe28*2백</t>
    <phoneticPr fontId="1" type="noConversion"/>
  </si>
  <si>
    <t>12*12.5투</t>
    <phoneticPr fontId="1" type="noConversion"/>
  </si>
  <si>
    <t xml:space="preserve"> 고메리</t>
    <phoneticPr fontId="1" type="noConversion"/>
  </si>
  <si>
    <t>15.5*2500(황)외</t>
    <phoneticPr fontId="1" type="noConversion"/>
  </si>
  <si>
    <t>15*13황</t>
    <phoneticPr fontId="1" type="noConversion"/>
  </si>
  <si>
    <t>12*10황</t>
    <phoneticPr fontId="1" type="noConversion"/>
  </si>
  <si>
    <t>15*10황</t>
    <phoneticPr fontId="1" type="noConversion"/>
  </si>
  <si>
    <t>10.5*10투</t>
    <phoneticPr fontId="1" type="noConversion"/>
  </si>
  <si>
    <t>납품예정</t>
    <phoneticPr fontId="1" type="noConversion"/>
  </si>
  <si>
    <t>12*10백</t>
    <phoneticPr fontId="1" type="noConversion"/>
  </si>
  <si>
    <t>신우교역</t>
    <phoneticPr fontId="1" type="noConversion"/>
  </si>
  <si>
    <t>탐스텍</t>
    <phoneticPr fontId="1" type="noConversion"/>
  </si>
  <si>
    <t>신대한판지</t>
    <phoneticPr fontId="1" type="noConversion"/>
  </si>
  <si>
    <t>7*10백</t>
    <phoneticPr fontId="1" type="noConversion"/>
  </si>
  <si>
    <t>국민</t>
    <phoneticPr fontId="1" type="noConversion"/>
  </si>
  <si>
    <t>18*15</t>
    <phoneticPr fontId="1" type="noConversion"/>
  </si>
  <si>
    <t>삼성발주현황</t>
    <phoneticPr fontId="1" type="noConversion"/>
  </si>
  <si>
    <t>계</t>
    <phoneticPr fontId="1" type="noConversion"/>
  </si>
  <si>
    <t>부족수량</t>
    <phoneticPr fontId="1" type="noConversion"/>
  </si>
  <si>
    <t>9*9.5황(0.65)</t>
    <phoneticPr fontId="1" type="noConversion"/>
  </si>
  <si>
    <t>6*10백</t>
    <phoneticPr fontId="1" type="noConversion"/>
  </si>
  <si>
    <t>21박스</t>
    <phoneticPr fontId="1" type="noConversion"/>
  </si>
  <si>
    <t>품명</t>
    <phoneticPr fontId="1" type="noConversion"/>
  </si>
  <si>
    <t>거래처명</t>
    <phoneticPr fontId="1" type="noConversion"/>
  </si>
  <si>
    <t>발주일</t>
    <phoneticPr fontId="1" type="noConversion"/>
  </si>
  <si>
    <t>파워엠팩</t>
    <phoneticPr fontId="1" type="noConversion"/>
  </si>
  <si>
    <t>하나</t>
    <phoneticPr fontId="1" type="noConversion"/>
  </si>
  <si>
    <t>무인쇄</t>
    <phoneticPr fontId="1" type="noConversion"/>
  </si>
  <si>
    <t>신한</t>
    <phoneticPr fontId="1" type="noConversion"/>
  </si>
  <si>
    <t xml:space="preserve">신대한 </t>
    <phoneticPr fontId="1" type="noConversion"/>
  </si>
  <si>
    <t>9*10황0.75</t>
    <phoneticPr fontId="1" type="noConversion"/>
  </si>
  <si>
    <t>납품예정일자</t>
    <phoneticPr fontId="1" type="noConversion"/>
  </si>
  <si>
    <t>삼성</t>
    <phoneticPr fontId="1" type="noConversion"/>
  </si>
  <si>
    <t>납   품   일   정</t>
    <phoneticPr fontId="1" type="noConversion"/>
  </si>
  <si>
    <t>15*12황</t>
    <phoneticPr fontId="1" type="noConversion"/>
  </si>
  <si>
    <t>월</t>
    <phoneticPr fontId="1" type="noConversion"/>
  </si>
  <si>
    <t>태양지대</t>
    <phoneticPr fontId="1" type="noConversion"/>
  </si>
  <si>
    <t>랩25*500*1400</t>
    <phoneticPr fontId="1" type="noConversion"/>
  </si>
  <si>
    <t>64박스</t>
    <phoneticPr fontId="1" type="noConversion"/>
  </si>
  <si>
    <t>32박스로 2파렛포장납품</t>
    <phoneticPr fontId="1" type="noConversion"/>
  </si>
  <si>
    <t>입고예정</t>
    <phoneticPr fontId="1" type="noConversion"/>
  </si>
  <si>
    <t>대진화학</t>
    <phoneticPr fontId="1" type="noConversion"/>
  </si>
  <si>
    <t>7*10백</t>
    <phoneticPr fontId="1" type="noConversion"/>
  </si>
  <si>
    <t>한서포장</t>
    <phoneticPr fontId="1" type="noConversion"/>
  </si>
  <si>
    <t>12*9.5황</t>
    <phoneticPr fontId="1" type="noConversion"/>
  </si>
  <si>
    <t>15*10황</t>
    <phoneticPr fontId="1" type="noConversion"/>
  </si>
  <si>
    <t>SK</t>
    <phoneticPr fontId="1" type="noConversion"/>
  </si>
  <si>
    <t>pe28*2</t>
    <phoneticPr fontId="1" type="noConversion"/>
  </si>
  <si>
    <t>10박스</t>
    <phoneticPr fontId="1" type="noConversion"/>
  </si>
  <si>
    <t>삼성</t>
    <phoneticPr fontId="1" type="noConversion"/>
  </si>
  <si>
    <t>납품외</t>
    <phoneticPr fontId="1" type="noConversion"/>
  </si>
  <si>
    <t>9*4000청외</t>
    <phoneticPr fontId="1" type="noConversion"/>
  </si>
  <si>
    <t>3톤(4파)</t>
    <phoneticPr fontId="1" type="noConversion"/>
  </si>
  <si>
    <t>직납(오후2시30분 도착)</t>
    <phoneticPr fontId="1" type="noConversion"/>
  </si>
  <si>
    <t>발 주 리 스 트</t>
    <phoneticPr fontId="1" type="noConversion"/>
  </si>
  <si>
    <t>18*21</t>
    <phoneticPr fontId="1" type="noConversion"/>
  </si>
  <si>
    <t>파워엠팩</t>
    <phoneticPr fontId="1" type="noConversion"/>
  </si>
  <si>
    <t>6*10백</t>
    <phoneticPr fontId="1" type="noConversion"/>
  </si>
  <si>
    <t>납품요망</t>
    <phoneticPr fontId="1" type="noConversion"/>
  </si>
  <si>
    <t>한제피앤에스</t>
    <phoneticPr fontId="1" type="noConversion"/>
  </si>
  <si>
    <t>12*3000청</t>
    <phoneticPr fontId="1" type="noConversion"/>
  </si>
  <si>
    <t>9.5톤</t>
    <phoneticPr fontId="1" type="noConversion"/>
  </si>
  <si>
    <t>20"(오후5시)</t>
    <phoneticPr fontId="1" type="noConversion"/>
  </si>
  <si>
    <t>15*13황</t>
    <phoneticPr fontId="1" type="noConversion"/>
  </si>
  <si>
    <t>결속끈(24kg)</t>
    <phoneticPr fontId="1" type="noConversion"/>
  </si>
  <si>
    <t>28박스</t>
    <phoneticPr fontId="1" type="noConversion"/>
  </si>
  <si>
    <t>합동포장기계</t>
    <phoneticPr fontId="1" type="noConversion"/>
  </si>
  <si>
    <t>12*12.5황</t>
    <phoneticPr fontId="1" type="noConversion"/>
  </si>
  <si>
    <t>결속끈</t>
    <phoneticPr fontId="1" type="noConversion"/>
  </si>
  <si>
    <t>30박스</t>
    <phoneticPr fontId="1" type="noConversion"/>
  </si>
  <si>
    <t>동신-대신화물</t>
    <phoneticPr fontId="1" type="noConversion"/>
  </si>
  <si>
    <t>출발전 광림통화</t>
    <phoneticPr fontId="1" type="noConversion"/>
  </si>
  <si>
    <t>"노란색표지 급함"</t>
    <phoneticPr fontId="1" type="noConversion"/>
  </si>
  <si>
    <t>모두 광림으로 납품</t>
    <phoneticPr fontId="1" type="noConversion"/>
  </si>
  <si>
    <t>12/3발주분</t>
    <phoneticPr fontId="1" type="noConversion"/>
  </si>
  <si>
    <t>12/3발주분</t>
    <phoneticPr fontId="1" type="noConversion"/>
  </si>
  <si>
    <t>삼성</t>
    <phoneticPr fontId="1" type="noConversion"/>
  </si>
  <si>
    <t>18*21</t>
    <phoneticPr fontId="1" type="noConversion"/>
  </si>
  <si>
    <t>18*15</t>
    <phoneticPr fontId="1" type="noConversion"/>
  </si>
  <si>
    <t>어음결재-입금표챙기기</t>
    <phoneticPr fontId="1" type="noConversion"/>
  </si>
  <si>
    <t>한솔</t>
    <phoneticPr fontId="1" type="noConversion"/>
  </si>
  <si>
    <t>25박스</t>
    <phoneticPr fontId="1" type="noConversion"/>
  </si>
  <si>
    <t>pe28*6</t>
    <phoneticPr fontId="1" type="noConversion"/>
  </si>
  <si>
    <t>9*9.5황(0.65)</t>
    <phoneticPr fontId="1" type="noConversion"/>
  </si>
  <si>
    <t>12/4발주분</t>
    <phoneticPr fontId="1" type="noConversion"/>
  </si>
  <si>
    <t>보우팩-용달로발송</t>
    <phoneticPr fontId="1" type="noConversion"/>
  </si>
  <si>
    <t>오전 삼화인쇄-용차</t>
    <phoneticPr fontId="1" type="noConversion"/>
  </si>
  <si>
    <t>오후-김해제일-100박스</t>
    <phoneticPr fontId="1" type="noConversion"/>
  </si>
  <si>
    <t>pe28*2</t>
    <phoneticPr fontId="1" type="noConversion"/>
  </si>
  <si>
    <t>50박스</t>
    <phoneticPr fontId="1" type="noConversion"/>
  </si>
  <si>
    <t>진송팩</t>
    <phoneticPr fontId="1" type="noConversion"/>
  </si>
  <si>
    <t>pe28*2</t>
    <phoneticPr fontId="1" type="noConversion"/>
  </si>
  <si>
    <t>11/26발주분</t>
    <phoneticPr fontId="1" type="noConversion"/>
  </si>
  <si>
    <t>48박스</t>
    <phoneticPr fontId="1" type="noConversion"/>
  </si>
  <si>
    <t>제이케이(순성)</t>
    <phoneticPr fontId="1" type="noConversion"/>
  </si>
  <si>
    <t>pp18*10황</t>
    <phoneticPr fontId="1" type="noConversion"/>
  </si>
  <si>
    <t>랩15*500*350</t>
    <phoneticPr fontId="1" type="noConversion"/>
  </si>
  <si>
    <t>10박스</t>
    <phoneticPr fontId="1" type="noConversion"/>
  </si>
  <si>
    <t>오전-전주삼신-대신화물</t>
    <phoneticPr fontId="1" type="noConversion"/>
  </si>
  <si>
    <t>16.5톤</t>
    <phoneticPr fontId="1" type="noConversion"/>
  </si>
  <si>
    <t>사우디</t>
    <phoneticPr fontId="1" type="noConversion"/>
  </si>
  <si>
    <t>8톤</t>
    <phoneticPr fontId="1" type="noConversion"/>
  </si>
  <si>
    <t>12*2500검정외</t>
    <phoneticPr fontId="1" type="noConversion"/>
  </si>
  <si>
    <t>20"(오후5시)</t>
    <phoneticPr fontId="1" type="noConversion"/>
  </si>
  <si>
    <t>40HQ(오후5시)</t>
    <phoneticPr fontId="1" type="noConversion"/>
  </si>
  <si>
    <t>오전-대영발안-용차</t>
    <phoneticPr fontId="1" type="noConversion"/>
  </si>
  <si>
    <t>18*21</t>
    <phoneticPr fontId="1" type="noConversion"/>
  </si>
  <si>
    <t>보우팩</t>
    <phoneticPr fontId="1" type="noConversion"/>
  </si>
  <si>
    <t>6*10백</t>
    <phoneticPr fontId="1" type="noConversion"/>
  </si>
  <si>
    <t>신대한판지</t>
    <phoneticPr fontId="1" type="noConversion"/>
  </si>
  <si>
    <t>9*9.5청</t>
    <phoneticPr fontId="1" type="noConversion"/>
  </si>
  <si>
    <t>금산포장</t>
    <phoneticPr fontId="1" type="noConversion"/>
  </si>
  <si>
    <t>동신-오후2시~3시-삼성560롤(14파) 입고예정</t>
    <phoneticPr fontId="1" type="noConversion"/>
  </si>
  <si>
    <t>월</t>
    <phoneticPr fontId="1" type="noConversion"/>
  </si>
  <si>
    <t>낙원포장</t>
    <phoneticPr fontId="1" type="noConversion"/>
  </si>
  <si>
    <t>10.5*10투</t>
    <phoneticPr fontId="1" type="noConversion"/>
  </si>
  <si>
    <t>kg/2000원</t>
    <phoneticPr fontId="1" type="noConversion"/>
  </si>
  <si>
    <t>삼성</t>
    <phoneticPr fontId="1" type="noConversion"/>
  </si>
  <si>
    <t>18*15</t>
    <phoneticPr fontId="1" type="noConversion"/>
  </si>
  <si>
    <t>18*21</t>
    <phoneticPr fontId="1" type="noConversion"/>
  </si>
  <si>
    <t>12*10황(0.65T)</t>
    <phoneticPr fontId="1" type="noConversion"/>
  </si>
  <si>
    <t>12*10황0.65</t>
    <phoneticPr fontId="1" type="noConversion"/>
  </si>
  <si>
    <t>삼성18*21</t>
    <phoneticPr fontId="1" type="noConversion"/>
  </si>
  <si>
    <t>오후 2시경</t>
    <phoneticPr fontId="1" type="noConversion"/>
  </si>
  <si>
    <t>우선화학입고확인</t>
    <phoneticPr fontId="1" type="noConversion"/>
  </si>
  <si>
    <t>호성수출포장</t>
    <phoneticPr fontId="1" type="noConversion"/>
  </si>
  <si>
    <t>동신밴드입고</t>
    <phoneticPr fontId="1" type="noConversion"/>
  </si>
  <si>
    <t>9*9.5백</t>
    <phoneticPr fontId="1" type="noConversion"/>
  </si>
  <si>
    <t>18*15</t>
    <phoneticPr fontId="1" type="noConversion"/>
  </si>
  <si>
    <t>한서포장</t>
    <phoneticPr fontId="1" type="noConversion"/>
  </si>
  <si>
    <t>12*9.5황</t>
    <phoneticPr fontId="1" type="noConversion"/>
  </si>
  <si>
    <t>15*10황</t>
    <phoneticPr fontId="1" type="noConversion"/>
  </si>
  <si>
    <t>신이사님 납</t>
    <phoneticPr fontId="1" type="noConversion"/>
  </si>
  <si>
    <t>한국스미더스 직납</t>
    <phoneticPr fontId="1" type="noConversion"/>
  </si>
  <si>
    <t>전자금융-택배확인</t>
    <phoneticPr fontId="1" type="noConversion"/>
  </si>
  <si>
    <t>11*10백</t>
    <phoneticPr fontId="1" type="noConversion"/>
  </si>
  <si>
    <t>15*10황0.65</t>
    <phoneticPr fontId="1" type="noConversion"/>
  </si>
  <si>
    <t>12월말(재고있음가져감)</t>
    <phoneticPr fontId="1" type="noConversion"/>
  </si>
  <si>
    <t>항상 출발전 통화요망</t>
    <phoneticPr fontId="1" type="noConversion"/>
  </si>
  <si>
    <t>전주삼신,대원포장 화물</t>
    <phoneticPr fontId="1" type="noConversion"/>
  </si>
  <si>
    <t>26박스</t>
    <phoneticPr fontId="1" type="noConversion"/>
  </si>
  <si>
    <t>월</t>
    <phoneticPr fontId="1" type="noConversion"/>
  </si>
  <si>
    <t>삼성</t>
    <phoneticPr fontId="1" type="noConversion"/>
  </si>
  <si>
    <t>15톤</t>
    <phoneticPr fontId="1" type="noConversion"/>
  </si>
  <si>
    <t>40HQ(오후5시)</t>
    <phoneticPr fontId="1" type="noConversion"/>
  </si>
  <si>
    <t>스마트쉴드</t>
    <phoneticPr fontId="1" type="noConversion"/>
  </si>
  <si>
    <t>9*4000(백)외</t>
    <phoneticPr fontId="1" type="noConversion"/>
  </si>
  <si>
    <t>14톤</t>
    <phoneticPr fontId="1" type="noConversion"/>
  </si>
  <si>
    <t>삼성</t>
    <phoneticPr fontId="1" type="noConversion"/>
  </si>
  <si>
    <t>10.5*10투</t>
    <phoneticPr fontId="1" type="noConversion"/>
  </si>
  <si>
    <t>평판지하B판</t>
    <phoneticPr fontId="1" type="noConversion"/>
  </si>
  <si>
    <t>18*15</t>
    <phoneticPr fontId="1" type="noConversion"/>
  </si>
  <si>
    <t>대영발안</t>
    <phoneticPr fontId="1" type="noConversion"/>
  </si>
  <si>
    <t>10.5*10투</t>
    <phoneticPr fontId="1" type="noConversion"/>
  </si>
  <si>
    <t>용달출고</t>
    <phoneticPr fontId="1" type="noConversion"/>
  </si>
  <si>
    <t>동방포장</t>
    <phoneticPr fontId="1" type="noConversion"/>
  </si>
  <si>
    <t>이월</t>
    <phoneticPr fontId="1" type="noConversion"/>
  </si>
  <si>
    <t>12*10황 0.68T농협</t>
    <phoneticPr fontId="1" type="noConversion"/>
  </si>
  <si>
    <t>15*10황0.8T농협</t>
    <phoneticPr fontId="1" type="noConversion"/>
  </si>
  <si>
    <t>jh글로벌</t>
    <phoneticPr fontId="1" type="noConversion"/>
  </si>
  <si>
    <t>얇은밴드12*12.5투</t>
    <phoneticPr fontId="1" type="noConversion"/>
  </si>
  <si>
    <t>pe28*2백</t>
    <phoneticPr fontId="1" type="noConversion"/>
  </si>
  <si>
    <t>30박스</t>
    <phoneticPr fontId="1" type="noConversion"/>
  </si>
  <si>
    <t>이월</t>
    <phoneticPr fontId="1" type="noConversion"/>
  </si>
  <si>
    <t>18*21</t>
    <phoneticPr fontId="1" type="noConversion"/>
  </si>
  <si>
    <t>김대리출근못함</t>
    <phoneticPr fontId="1" type="noConversion"/>
  </si>
  <si>
    <t>삼성밴드</t>
    <phoneticPr fontId="1" type="noConversion"/>
  </si>
  <si>
    <t xml:space="preserve">*  Merry Christmas * </t>
    <phoneticPr fontId="1" type="noConversion"/>
  </si>
  <si>
    <t>삼화인쇄</t>
    <phoneticPr fontId="1" type="noConversion"/>
  </si>
  <si>
    <t>한서포장</t>
    <phoneticPr fontId="1" type="noConversion"/>
  </si>
  <si>
    <t>12*9.5황</t>
    <phoneticPr fontId="1" type="noConversion"/>
  </si>
  <si>
    <t>pe28*2백</t>
    <phoneticPr fontId="1" type="noConversion"/>
  </si>
  <si>
    <t>10박스</t>
    <phoneticPr fontId="1" type="noConversion"/>
  </si>
  <si>
    <t>15*10황</t>
    <phoneticPr fontId="1" type="noConversion"/>
  </si>
  <si>
    <t>대신화물-동신밴드외주</t>
    <phoneticPr fontId="1" type="noConversion"/>
  </si>
  <si>
    <t>제책4층</t>
    <phoneticPr fontId="1" type="noConversion"/>
  </si>
  <si>
    <t>pe끈(24kg)</t>
    <phoneticPr fontId="1" type="noConversion"/>
  </si>
  <si>
    <t>빨간색끈</t>
    <phoneticPr fontId="1" type="noConversion"/>
  </si>
  <si>
    <t>합동포장</t>
    <phoneticPr fontId="1" type="noConversion"/>
  </si>
  <si>
    <t>납   품   일   정</t>
    <phoneticPr fontId="1" type="noConversion"/>
  </si>
  <si>
    <t>월</t>
    <phoneticPr fontId="1" type="noConversion"/>
  </si>
  <si>
    <t xml:space="preserve">*설날* Happy New Year! </t>
    <phoneticPr fontId="1" type="noConversion"/>
  </si>
  <si>
    <t>한솔포장</t>
    <phoneticPr fontId="1" type="noConversion"/>
  </si>
  <si>
    <t>pe28*6백</t>
    <phoneticPr fontId="1" type="noConversion"/>
  </si>
  <si>
    <t>25박스</t>
    <phoneticPr fontId="1" type="noConversion"/>
  </si>
  <si>
    <t>거명12/31일자로 발행함</t>
    <phoneticPr fontId="1" type="noConversion"/>
  </si>
  <si>
    <t>제일산업</t>
    <phoneticPr fontId="1" type="noConversion"/>
  </si>
  <si>
    <t>pe50*2</t>
    <phoneticPr fontId="1" type="noConversion"/>
  </si>
  <si>
    <t>50박스</t>
    <phoneticPr fontId="1" type="noConversion"/>
  </si>
  <si>
    <t>신대한판지</t>
    <phoneticPr fontId="1" type="noConversion"/>
  </si>
  <si>
    <t>7*10백</t>
    <phoneticPr fontId="1" type="noConversion"/>
  </si>
  <si>
    <t>pe끈(20kg)</t>
    <phoneticPr fontId="1" type="noConversion"/>
  </si>
  <si>
    <t>동신입고확인</t>
    <phoneticPr fontId="1" type="noConversion"/>
  </si>
  <si>
    <t>동신밴드입고</t>
    <phoneticPr fontId="1" type="noConversion"/>
  </si>
  <si>
    <t>삼원산업</t>
    <phoneticPr fontId="1" type="noConversion"/>
  </si>
  <si>
    <t>12*12황</t>
    <phoneticPr fontId="1" type="noConversion"/>
  </si>
  <si>
    <t>pp12</t>
    <phoneticPr fontId="1" type="noConversion"/>
  </si>
  <si>
    <t>3.5톤 차량 없음</t>
    <phoneticPr fontId="1" type="noConversion"/>
  </si>
  <si>
    <t>9*10투</t>
    <phoneticPr fontId="1" type="noConversion"/>
  </si>
  <si>
    <t>3.5톤 오후부터 없음</t>
    <phoneticPr fontId="1" type="noConversion"/>
  </si>
  <si>
    <t>18파-오전9시</t>
    <phoneticPr fontId="1" type="noConversion"/>
  </si>
  <si>
    <t>18파-오후2시경</t>
    <phoneticPr fontId="1" type="noConversion"/>
  </si>
  <si>
    <t>서울포장</t>
    <phoneticPr fontId="1" type="noConversion"/>
  </si>
  <si>
    <t>12*10백</t>
    <phoneticPr fontId="1" type="noConversion"/>
  </si>
  <si>
    <t>대영(발안)</t>
    <phoneticPr fontId="1" type="noConversion"/>
  </si>
  <si>
    <t>pe50</t>
    <phoneticPr fontId="1" type="noConversion"/>
  </si>
  <si>
    <t>25박스</t>
    <phoneticPr fontId="1" type="noConversion"/>
  </si>
  <si>
    <t>18*15</t>
    <phoneticPr fontId="1" type="noConversion"/>
  </si>
  <si>
    <t>pe28*2청</t>
    <phoneticPr fontId="1" type="noConversion"/>
  </si>
  <si>
    <t>17박스</t>
    <phoneticPr fontId="1" type="noConversion"/>
  </si>
  <si>
    <t>pe28*2적</t>
    <phoneticPr fontId="1" type="noConversion"/>
  </si>
  <si>
    <t>8박스</t>
    <phoneticPr fontId="1" type="noConversion"/>
  </si>
  <si>
    <t>신한포장</t>
    <phoneticPr fontId="1" type="noConversion"/>
  </si>
  <si>
    <t>pe28*2백</t>
    <phoneticPr fontId="1" type="noConversion"/>
  </si>
  <si>
    <t>50박스</t>
    <phoneticPr fontId="1" type="noConversion"/>
  </si>
  <si>
    <t>대영(발안)</t>
    <phoneticPr fontId="1" type="noConversion"/>
  </si>
  <si>
    <t>7*10백</t>
    <phoneticPr fontId="1" type="noConversion"/>
  </si>
  <si>
    <t>동신밴드입고</t>
    <phoneticPr fontId="1" type="noConversion"/>
  </si>
  <si>
    <t>삼성</t>
    <phoneticPr fontId="1" type="noConversion"/>
  </si>
  <si>
    <t>18*21</t>
    <phoneticPr fontId="1" type="noConversion"/>
  </si>
  <si>
    <t>18*15</t>
    <phoneticPr fontId="1" type="noConversion"/>
  </si>
  <si>
    <t>3.5톤신차 오후출고예정</t>
    <phoneticPr fontId="1" type="noConversion"/>
  </si>
  <si>
    <t>신우교역</t>
    <phoneticPr fontId="1" type="noConversion"/>
  </si>
  <si>
    <t>랩15*</t>
    <phoneticPr fontId="1" type="noConversion"/>
  </si>
  <si>
    <t>48박스</t>
    <phoneticPr fontId="1" type="noConversion"/>
  </si>
  <si>
    <t>대복식품직납</t>
    <phoneticPr fontId="1" type="noConversion"/>
  </si>
  <si>
    <t>9*9.5황(0.65)</t>
    <phoneticPr fontId="1" type="noConversion"/>
  </si>
  <si>
    <t>12*10황</t>
    <phoneticPr fontId="1" type="noConversion"/>
  </si>
  <si>
    <t>납   품   일   정</t>
    <phoneticPr fontId="1" type="noConversion"/>
  </si>
  <si>
    <t>삼신</t>
    <phoneticPr fontId="1" type="noConversion"/>
  </si>
  <si>
    <t>100박스</t>
    <phoneticPr fontId="1" type="noConversion"/>
  </si>
  <si>
    <t>월</t>
    <phoneticPr fontId="1" type="noConversion"/>
  </si>
  <si>
    <t>삼성</t>
    <phoneticPr fontId="1" type="noConversion"/>
  </si>
  <si>
    <t>하비스</t>
    <phoneticPr fontId="1" type="noConversion"/>
  </si>
  <si>
    <t>탐스텍</t>
  </si>
  <si>
    <t>9*4000황외</t>
  </si>
  <si>
    <t>12*3000청외</t>
    <phoneticPr fontId="1" type="noConversion"/>
  </si>
  <si>
    <t>7.6톤</t>
    <phoneticPr fontId="1" type="noConversion"/>
  </si>
  <si>
    <t>20"(오후5시)</t>
    <phoneticPr fontId="1" type="noConversion"/>
  </si>
  <si>
    <t>오후2시도착</t>
    <phoneticPr fontId="1" type="noConversion"/>
  </si>
  <si>
    <t>RLB</t>
    <phoneticPr fontId="1" type="noConversion"/>
  </si>
  <si>
    <t>8.9톤</t>
    <phoneticPr fontId="1" type="noConversion"/>
  </si>
  <si>
    <t>8.4톤</t>
    <phoneticPr fontId="1" type="noConversion"/>
  </si>
  <si>
    <t>3.5톤 차량 없음</t>
    <phoneticPr fontId="1" type="noConversion"/>
  </si>
  <si>
    <t>제이케이</t>
    <phoneticPr fontId="1" type="noConversion"/>
  </si>
  <si>
    <t>삼성</t>
    <phoneticPr fontId="1" type="noConversion"/>
  </si>
  <si>
    <t>18*21</t>
    <phoneticPr fontId="1" type="noConversion"/>
  </si>
  <si>
    <t>용차출고</t>
    <phoneticPr fontId="1" type="noConversion"/>
  </si>
  <si>
    <t xml:space="preserve"> </t>
    <phoneticPr fontId="1" type="noConversion"/>
  </si>
  <si>
    <t>2시-대구대영 합화차</t>
    <phoneticPr fontId="1" type="noConversion"/>
  </si>
  <si>
    <t>전주삼신-2파(pe,pp)</t>
    <phoneticPr fontId="1" type="noConversion"/>
  </si>
  <si>
    <t>파워엠팩</t>
    <phoneticPr fontId="1" type="noConversion"/>
  </si>
  <si>
    <t>6*10백</t>
    <phoneticPr fontId="1" type="noConversion"/>
  </si>
  <si>
    <t>12*12.5</t>
    <phoneticPr fontId="1" type="noConversion"/>
  </si>
  <si>
    <t>18*21</t>
    <phoneticPr fontId="1" type="noConversion"/>
  </si>
  <si>
    <t>18*15</t>
    <phoneticPr fontId="1" type="noConversion"/>
  </si>
  <si>
    <t>12*9.5</t>
    <phoneticPr fontId="1" type="noConversion"/>
  </si>
  <si>
    <t>pe28*2백</t>
    <phoneticPr fontId="1" type="noConversion"/>
  </si>
  <si>
    <t>10박스</t>
    <phoneticPr fontId="1" type="noConversion"/>
  </si>
  <si>
    <t>교환(65롤 반품)</t>
    <phoneticPr fontId="1" type="noConversion"/>
  </si>
  <si>
    <t>한솔포장</t>
    <phoneticPr fontId="1" type="noConversion"/>
  </si>
  <si>
    <t>1/15-10박스미리출고함/15박스만 납품</t>
    <phoneticPr fontId="1" type="noConversion"/>
  </si>
  <si>
    <t>전주삼신-1파(pe,pp)</t>
    <phoneticPr fontId="1" type="noConversion"/>
  </si>
  <si>
    <t>펀치볼</t>
    <phoneticPr fontId="1" type="noConversion"/>
  </si>
  <si>
    <t>19*1000검정외</t>
    <phoneticPr fontId="1" type="noConversion"/>
  </si>
  <si>
    <t>10톤</t>
    <phoneticPr fontId="1" type="noConversion"/>
  </si>
  <si>
    <t>20"(오후5시)</t>
    <phoneticPr fontId="1" type="noConversion"/>
  </si>
  <si>
    <t>싸이클랍</t>
    <phoneticPr fontId="1" type="noConversion"/>
  </si>
  <si>
    <t>12*3000청외</t>
    <phoneticPr fontId="1" type="noConversion"/>
  </si>
  <si>
    <t>17.5톤</t>
    <phoneticPr fontId="1" type="noConversion"/>
  </si>
  <si>
    <t>40HQ(오후5시)</t>
    <phoneticPr fontId="1" type="noConversion"/>
  </si>
  <si>
    <t>파워팩</t>
    <phoneticPr fontId="1" type="noConversion"/>
  </si>
  <si>
    <t>9.3톤</t>
    <phoneticPr fontId="1" type="noConversion"/>
  </si>
  <si>
    <t>월</t>
    <phoneticPr fontId="1" type="noConversion"/>
  </si>
  <si>
    <t>노스슈아</t>
    <phoneticPr fontId="1" type="noConversion"/>
  </si>
  <si>
    <t>12*3000백외</t>
    <phoneticPr fontId="1" type="noConversion"/>
  </si>
  <si>
    <t>14.5톤</t>
    <phoneticPr fontId="1" type="noConversion"/>
  </si>
  <si>
    <t>노스쇼아</t>
    <phoneticPr fontId="1" type="noConversion"/>
  </si>
  <si>
    <t>12*2000검정</t>
    <phoneticPr fontId="1" type="noConversion"/>
  </si>
  <si>
    <t>13톤</t>
    <phoneticPr fontId="1" type="noConversion"/>
  </si>
  <si>
    <t>삼성</t>
    <phoneticPr fontId="1" type="noConversion"/>
  </si>
  <si>
    <t>라바인터내셔널</t>
    <phoneticPr fontId="1" type="noConversion"/>
  </si>
  <si>
    <t>12*12.5</t>
    <phoneticPr fontId="1" type="noConversion"/>
  </si>
  <si>
    <t>삼성</t>
    <phoneticPr fontId="1" type="noConversion"/>
  </si>
  <si>
    <t>18*21</t>
    <phoneticPr fontId="1" type="noConversion"/>
  </si>
  <si>
    <t>대영(발안)</t>
    <phoneticPr fontId="1" type="noConversion"/>
  </si>
  <si>
    <t>25박스</t>
    <phoneticPr fontId="1" type="noConversion"/>
  </si>
  <si>
    <t>pe50m</t>
    <phoneticPr fontId="1" type="noConversion"/>
  </si>
  <si>
    <t>서울팩키지직납(광주오포)</t>
    <phoneticPr fontId="1" type="noConversion"/>
  </si>
  <si>
    <t>동신밴드입고</t>
    <phoneticPr fontId="1" type="noConversion"/>
  </si>
  <si>
    <t>삼성밴드-18파</t>
    <phoneticPr fontId="1" type="noConversion"/>
  </si>
  <si>
    <t>오후2시(21-14파/15-4파)</t>
    <phoneticPr fontId="1" type="noConversion"/>
  </si>
  <si>
    <t>pe28*2(24KG)</t>
    <phoneticPr fontId="1" type="noConversion"/>
  </si>
  <si>
    <t>전화후 방문</t>
    <phoneticPr fontId="1" type="noConversion"/>
  </si>
  <si>
    <t>15*13황</t>
    <phoneticPr fontId="1" type="noConversion"/>
  </si>
  <si>
    <t>9*9.5황(0.65)</t>
    <phoneticPr fontId="1" type="noConversion"/>
  </si>
  <si>
    <t>전주삼신-1파(pe-20)</t>
    <phoneticPr fontId="1" type="noConversion"/>
  </si>
  <si>
    <t>금산포장</t>
    <phoneticPr fontId="1" type="noConversion"/>
  </si>
  <si>
    <t>얇은밴드12*10투</t>
    <phoneticPr fontId="1" type="noConversion"/>
  </si>
  <si>
    <t>pe</t>
    <phoneticPr fontId="1" type="noConversion"/>
  </si>
  <si>
    <t>20박스</t>
    <phoneticPr fontId="1" type="noConversion"/>
  </si>
  <si>
    <t>수량확인(재고부족)</t>
    <phoneticPr fontId="1" type="noConversion"/>
  </si>
  <si>
    <t>대진화학</t>
    <phoneticPr fontId="1" type="noConversion"/>
  </si>
  <si>
    <t>pp7*10백</t>
    <phoneticPr fontId="1" type="noConversion"/>
  </si>
  <si>
    <t>이월</t>
    <phoneticPr fontId="1" type="noConversion"/>
  </si>
  <si>
    <t>pp9*10황</t>
    <phoneticPr fontId="1" type="noConversion"/>
  </si>
  <si>
    <t>pp12*10황</t>
    <phoneticPr fontId="1" type="noConversion"/>
  </si>
  <si>
    <t>pp12*12.5황</t>
    <phoneticPr fontId="1" type="noConversion"/>
  </si>
  <si>
    <t>pp15*10황</t>
    <phoneticPr fontId="1" type="noConversion"/>
  </si>
  <si>
    <t>pp8*10백</t>
    <phoneticPr fontId="1" type="noConversion"/>
  </si>
  <si>
    <t>12*2800M백</t>
    <phoneticPr fontId="1" type="noConversion"/>
  </si>
  <si>
    <t>12*2800M적</t>
    <phoneticPr fontId="1" type="noConversion"/>
  </si>
  <si>
    <t>전주삼신-pe,pp</t>
    <phoneticPr fontId="1" type="noConversion"/>
  </si>
  <si>
    <t>내수포함</t>
    <phoneticPr fontId="1" type="noConversion"/>
  </si>
  <si>
    <t>삼성</t>
    <phoneticPr fontId="1" type="noConversion"/>
  </si>
  <si>
    <t>18*15</t>
    <phoneticPr fontId="1" type="noConversion"/>
  </si>
  <si>
    <t>대신화물 발송 예쁜 파렛트</t>
    <phoneticPr fontId="1" type="noConversion"/>
  </si>
  <si>
    <t>전주삼신</t>
    <phoneticPr fontId="1" type="noConversion"/>
  </si>
  <si>
    <t>0.7T-방문수령함</t>
    <phoneticPr fontId="1" type="noConversion"/>
  </si>
  <si>
    <t>월</t>
    <phoneticPr fontId="1" type="noConversion"/>
  </si>
  <si>
    <t xml:space="preserve">*설날* Happy New Year! </t>
  </si>
  <si>
    <t>18*21</t>
    <phoneticPr fontId="1" type="noConversion"/>
  </si>
  <si>
    <t>18*15</t>
    <phoneticPr fontId="1" type="noConversion"/>
  </si>
  <si>
    <t>김해제일-100합화차</t>
    <phoneticPr fontId="1" type="noConversion"/>
  </si>
  <si>
    <t>자갑-랩(동신직발송)</t>
    <phoneticPr fontId="1" type="noConversion"/>
  </si>
  <si>
    <t>산유</t>
    <phoneticPr fontId="1" type="noConversion"/>
  </si>
  <si>
    <t>7.2톤</t>
    <phoneticPr fontId="1" type="noConversion"/>
  </si>
  <si>
    <t>15.5*2500M청외</t>
    <phoneticPr fontId="1" type="noConversion"/>
  </si>
  <si>
    <t>20"(오전8시)</t>
    <phoneticPr fontId="1" type="noConversion"/>
  </si>
  <si>
    <t>호프만</t>
    <phoneticPr fontId="1" type="noConversion"/>
  </si>
  <si>
    <t>타이거팩</t>
    <phoneticPr fontId="1" type="noConversion"/>
  </si>
  <si>
    <t>12*3000검외</t>
    <phoneticPr fontId="1" type="noConversion"/>
  </si>
  <si>
    <t>20톤</t>
    <phoneticPr fontId="1" type="noConversion"/>
  </si>
  <si>
    <t>결속기끈</t>
    <phoneticPr fontId="1" type="noConversion"/>
  </si>
  <si>
    <t>입금확인후 출고</t>
    <phoneticPr fontId="1" type="noConversion"/>
  </si>
  <si>
    <t>태양지대</t>
    <phoneticPr fontId="1" type="noConversion"/>
  </si>
  <si>
    <t>pe28*6백</t>
    <phoneticPr fontId="1" type="noConversion"/>
  </si>
  <si>
    <t>20박스</t>
    <phoneticPr fontId="1" type="noConversion"/>
  </si>
  <si>
    <t>9*9.5황0.65</t>
    <phoneticPr fontId="1" type="noConversion"/>
  </si>
  <si>
    <t>24kg(14박스)</t>
    <phoneticPr fontId="1" type="noConversion"/>
  </si>
  <si>
    <t>무인쇄</t>
    <phoneticPr fontId="1" type="noConversion"/>
  </si>
  <si>
    <t>국민</t>
    <phoneticPr fontId="1" type="noConversion"/>
  </si>
  <si>
    <t>18파(오후2~3시)</t>
    <phoneticPr fontId="1" type="noConversion"/>
  </si>
  <si>
    <t>대원포장pe20-대신화물</t>
    <phoneticPr fontId="1" type="noConversion"/>
  </si>
  <si>
    <t>한국전금융-택배</t>
    <phoneticPr fontId="1" type="noConversion"/>
  </si>
  <si>
    <t>7*10</t>
    <phoneticPr fontId="1" type="noConversion"/>
  </si>
  <si>
    <t>대영(발안)</t>
    <phoneticPr fontId="1" type="noConversion"/>
  </si>
  <si>
    <t>강서자금센타</t>
    <phoneticPr fontId="1" type="noConversion"/>
  </si>
  <si>
    <t>나이스씨엠에스이름바뀜(구 한국전자금융)</t>
    <phoneticPr fontId="1" type="noConversion"/>
  </si>
  <si>
    <t>pe50*5</t>
    <phoneticPr fontId="1" type="noConversion"/>
  </si>
  <si>
    <t>12*12.5황</t>
    <phoneticPr fontId="1" type="noConversion"/>
  </si>
  <si>
    <t>보우팩</t>
    <phoneticPr fontId="1" type="noConversion"/>
  </si>
  <si>
    <t>9*9.5황0.65</t>
    <phoneticPr fontId="1" type="noConversion"/>
  </si>
  <si>
    <t>무지패드(청색밴딩)</t>
    <phoneticPr fontId="1" type="noConversion"/>
  </si>
  <si>
    <t>삼화인쇄</t>
    <phoneticPr fontId="1" type="noConversion"/>
  </si>
  <si>
    <t>12*10백</t>
    <phoneticPr fontId="1" type="noConversion"/>
  </si>
  <si>
    <t>쇼핑백1층</t>
    <phoneticPr fontId="1" type="noConversion"/>
  </si>
  <si>
    <t>10박스</t>
    <phoneticPr fontId="1" type="noConversion"/>
  </si>
  <si>
    <t>쇼핑백1층(불량3롤교환)</t>
    <phoneticPr fontId="1" type="noConversion"/>
  </si>
  <si>
    <t>우선산업</t>
    <phoneticPr fontId="1" type="noConversion"/>
  </si>
  <si>
    <t>pe50*5</t>
    <phoneticPr fontId="1" type="noConversion"/>
  </si>
  <si>
    <t>오전 방문예정</t>
    <phoneticPr fontId="1" type="noConversion"/>
  </si>
  <si>
    <t>1/31발주분</t>
    <phoneticPr fontId="1" type="noConversion"/>
  </si>
  <si>
    <t>금산인쇄밴드방문수령</t>
    <phoneticPr fontId="1" type="noConversion"/>
  </si>
  <si>
    <t>파워엠팩</t>
    <phoneticPr fontId="1" type="noConversion"/>
  </si>
  <si>
    <t>pp6*10백</t>
    <phoneticPr fontId="1" type="noConversion"/>
  </si>
  <si>
    <t>6*10백</t>
    <phoneticPr fontId="1" type="noConversion"/>
  </si>
  <si>
    <t>전주삼신-대신화물</t>
    <phoneticPr fontId="1" type="noConversion"/>
  </si>
  <si>
    <t>삼성</t>
    <phoneticPr fontId="1" type="noConversion"/>
  </si>
  <si>
    <t>pe28*6백</t>
    <phoneticPr fontId="1" type="noConversion"/>
  </si>
  <si>
    <t>25박스</t>
    <phoneticPr fontId="1" type="noConversion"/>
  </si>
  <si>
    <t>5박스</t>
    <phoneticPr fontId="1" type="noConversion"/>
  </si>
  <si>
    <t>18*21</t>
    <phoneticPr fontId="1" type="noConversion"/>
  </si>
  <si>
    <t>한솔포장</t>
    <phoneticPr fontId="1" type="noConversion"/>
  </si>
  <si>
    <t>금</t>
    <phoneticPr fontId="1" type="noConversion"/>
  </si>
  <si>
    <t>pe28</t>
    <phoneticPr fontId="1" type="noConversion"/>
  </si>
  <si>
    <t>제이케이(순성)</t>
    <phoneticPr fontId="1" type="noConversion"/>
  </si>
  <si>
    <t>18*10황</t>
    <phoneticPr fontId="1" type="noConversion"/>
  </si>
  <si>
    <t>신광포장기계</t>
    <phoneticPr fontId="1" type="noConversion"/>
  </si>
  <si>
    <t>pp15*10황</t>
    <phoneticPr fontId="1" type="noConversion"/>
  </si>
  <si>
    <t>삼신</t>
    <phoneticPr fontId="1" type="noConversion"/>
  </si>
  <si>
    <t>pe28*2</t>
    <phoneticPr fontId="1" type="noConversion"/>
  </si>
  <si>
    <t>100박스</t>
    <phoneticPr fontId="1" type="noConversion"/>
  </si>
  <si>
    <t>12*9.5황</t>
    <phoneticPr fontId="1" type="noConversion"/>
  </si>
  <si>
    <t>엠피아이-10택배</t>
    <phoneticPr fontId="1" type="noConversion"/>
  </si>
  <si>
    <t>RLB</t>
    <phoneticPr fontId="1" type="noConversion"/>
  </si>
  <si>
    <t>12*3000청외</t>
    <phoneticPr fontId="1" type="noConversion"/>
  </si>
  <si>
    <t>18.7톤</t>
    <phoneticPr fontId="1" type="noConversion"/>
  </si>
  <si>
    <t>삼성</t>
    <phoneticPr fontId="1" type="noConversion"/>
  </si>
  <si>
    <t>18*21</t>
    <phoneticPr fontId="1" type="noConversion"/>
  </si>
  <si>
    <t>월</t>
    <phoneticPr fontId="1" type="noConversion"/>
  </si>
  <si>
    <t>3.1절</t>
    <phoneticPr fontId="1" type="noConversion"/>
  </si>
  <si>
    <t>삼성</t>
    <phoneticPr fontId="1" type="noConversion"/>
  </si>
  <si>
    <t>18*15</t>
    <phoneticPr fontId="1" type="noConversion"/>
  </si>
  <si>
    <t>18*21</t>
    <phoneticPr fontId="1" type="noConversion"/>
  </si>
  <si>
    <t>18*15</t>
    <phoneticPr fontId="1" type="noConversion"/>
  </si>
  <si>
    <t>합화차 발송</t>
    <phoneticPr fontId="1" type="noConversion"/>
  </si>
  <si>
    <t>24톤</t>
    <phoneticPr fontId="1" type="noConversion"/>
  </si>
  <si>
    <t>오전9시 입고예정</t>
    <phoneticPr fontId="1" type="noConversion"/>
  </si>
  <si>
    <t>대림원료입고</t>
    <phoneticPr fontId="1" type="noConversion"/>
  </si>
  <si>
    <t>신한포장</t>
    <phoneticPr fontId="1" type="noConversion"/>
  </si>
  <si>
    <t>pe28*2백</t>
    <phoneticPr fontId="1" type="noConversion"/>
  </si>
  <si>
    <t>50박스</t>
    <phoneticPr fontId="1" type="noConversion"/>
  </si>
  <si>
    <t>삼성</t>
    <phoneticPr fontId="1" type="noConversion"/>
  </si>
  <si>
    <t>공장장님 연차</t>
    <phoneticPr fontId="1" type="noConversion"/>
  </si>
  <si>
    <t>김시석부장님-연차</t>
    <phoneticPr fontId="1" type="noConversion"/>
  </si>
  <si>
    <t>김희선과장님-연차</t>
    <phoneticPr fontId="1" type="noConversion"/>
  </si>
  <si>
    <t>대흥인쇄밴드</t>
    <phoneticPr fontId="1" type="noConversion"/>
  </si>
  <si>
    <t>금산포장</t>
    <phoneticPr fontId="1" type="noConversion"/>
  </si>
  <si>
    <t>pp12*10투0.7T</t>
    <phoneticPr fontId="1" type="noConversion"/>
  </si>
  <si>
    <t>pp15*10투0.7T</t>
    <phoneticPr fontId="1" type="noConversion"/>
  </si>
  <si>
    <t>입금확인후 출고</t>
    <phoneticPr fontId="1" type="noConversion"/>
  </si>
  <si>
    <t>진송팩</t>
    <phoneticPr fontId="1" type="noConversion"/>
  </si>
  <si>
    <t>pe28*2백</t>
    <phoneticPr fontId="1" type="noConversion"/>
  </si>
  <si>
    <t>50박스</t>
    <phoneticPr fontId="1" type="noConversion"/>
  </si>
  <si>
    <t>12*12.5백</t>
    <phoneticPr fontId="1" type="noConversion"/>
  </si>
  <si>
    <t>삼성포장</t>
    <phoneticPr fontId="1" type="noConversion"/>
  </si>
  <si>
    <t>pe28*2백</t>
    <phoneticPr fontId="1" type="noConversion"/>
  </si>
  <si>
    <t>20박스</t>
    <phoneticPr fontId="1" type="noConversion"/>
  </si>
  <si>
    <t>무인쇄</t>
    <phoneticPr fontId="1" type="noConversion"/>
  </si>
  <si>
    <t>국민</t>
    <phoneticPr fontId="1" type="noConversion"/>
  </si>
  <si>
    <t>파코팩 입고확인</t>
    <phoneticPr fontId="1" type="noConversion"/>
  </si>
  <si>
    <t>납품처(강남자금센타) 주소-경기도 군포시 산본동1096-3 KT군포빌딩 4층</t>
    <phoneticPr fontId="1" type="noConversion"/>
  </si>
  <si>
    <t>나이스씨엠에스(강남자금센타)</t>
    <phoneticPr fontId="1" type="noConversion"/>
  </si>
  <si>
    <t>나이스씨엠에스(강서자금센타)</t>
    <phoneticPr fontId="1" type="noConversion"/>
  </si>
  <si>
    <t>전자금융택배</t>
    <phoneticPr fontId="1" type="noConversion"/>
  </si>
  <si>
    <t>앤더슨</t>
    <phoneticPr fontId="1" type="noConversion"/>
  </si>
  <si>
    <t>20톤</t>
    <phoneticPr fontId="1" type="noConversion"/>
  </si>
  <si>
    <t>해성수출</t>
    <phoneticPr fontId="1" type="noConversion"/>
  </si>
  <si>
    <t>10박스</t>
    <phoneticPr fontId="1" type="noConversion"/>
  </si>
  <si>
    <t>방문수령예정</t>
    <phoneticPr fontId="1" type="noConversion"/>
  </si>
  <si>
    <t>삼성</t>
    <phoneticPr fontId="1" type="noConversion"/>
  </si>
  <si>
    <t>18*21</t>
    <phoneticPr fontId="1" type="noConversion"/>
  </si>
  <si>
    <t>18*15</t>
    <phoneticPr fontId="1" type="noConversion"/>
  </si>
  <si>
    <t>삼원산업</t>
    <phoneticPr fontId="1" type="noConversion"/>
  </si>
  <si>
    <t>pp15*10황</t>
    <phoneticPr fontId="1" type="noConversion"/>
  </si>
  <si>
    <t>pp12*12황</t>
    <phoneticPr fontId="1" type="noConversion"/>
  </si>
  <si>
    <t>입금확인후 출고</t>
    <phoneticPr fontId="1" type="noConversion"/>
  </si>
  <si>
    <t>pp12(0.75)</t>
    <phoneticPr fontId="1" type="noConversion"/>
  </si>
  <si>
    <t>재고</t>
    <phoneticPr fontId="1" type="noConversion"/>
  </si>
  <si>
    <t>3.7톤</t>
    <phoneticPr fontId="1" type="noConversion"/>
  </si>
  <si>
    <t>9*4000청</t>
    <phoneticPr fontId="1" type="noConversion"/>
  </si>
  <si>
    <t>화물출고예정</t>
    <phoneticPr fontId="1" type="noConversion"/>
  </si>
  <si>
    <t>17.6톤</t>
    <phoneticPr fontId="1" type="noConversion"/>
  </si>
  <si>
    <t>12*12.5황</t>
    <phoneticPr fontId="1" type="noConversion"/>
  </si>
  <si>
    <t>pe28*2백</t>
    <phoneticPr fontId="1" type="noConversion"/>
  </si>
  <si>
    <t>20박스</t>
    <phoneticPr fontId="1" type="noConversion"/>
  </si>
  <si>
    <t>월</t>
    <phoneticPr fontId="1" type="noConversion"/>
  </si>
  <si>
    <t>삼성</t>
    <phoneticPr fontId="1" type="noConversion"/>
  </si>
  <si>
    <t>임대리-연차</t>
    <phoneticPr fontId="1" type="noConversion"/>
  </si>
  <si>
    <t>신대한판지</t>
    <phoneticPr fontId="1" type="noConversion"/>
  </si>
  <si>
    <t>지관회수요청</t>
    <phoneticPr fontId="1" type="noConversion"/>
  </si>
  <si>
    <t>7*10백</t>
    <phoneticPr fontId="1" type="noConversion"/>
  </si>
  <si>
    <t>한서포장</t>
    <phoneticPr fontId="1" type="noConversion"/>
  </si>
  <si>
    <t>12*9.5황</t>
    <phoneticPr fontId="1" type="noConversion"/>
  </si>
  <si>
    <t>pe28*2백</t>
    <phoneticPr fontId="1" type="noConversion"/>
  </si>
  <si>
    <t>10박스</t>
    <phoneticPr fontId="1" type="noConversion"/>
  </si>
  <si>
    <t>제품확인</t>
    <phoneticPr fontId="1" type="noConversion"/>
  </si>
  <si>
    <t>pe-20㈜대원포장(대신)</t>
    <phoneticPr fontId="1" type="noConversion"/>
  </si>
  <si>
    <t>대영포장(발안)</t>
    <phoneticPr fontId="1" type="noConversion"/>
  </si>
  <si>
    <t>pp7*10백</t>
    <phoneticPr fontId="1" type="noConversion"/>
  </si>
  <si>
    <t>pe50*5백</t>
    <phoneticPr fontId="1" type="noConversion"/>
  </si>
  <si>
    <t>25박스</t>
    <phoneticPr fontId="1" type="noConversion"/>
  </si>
  <si>
    <t>동방포장</t>
    <phoneticPr fontId="1" type="noConversion"/>
  </si>
  <si>
    <t>12*10황(0.68)</t>
    <phoneticPr fontId="1" type="noConversion"/>
  </si>
  <si>
    <t>농협(2파렛으로포장)</t>
    <phoneticPr fontId="1" type="noConversion"/>
  </si>
  <si>
    <t>이효남연차</t>
    <phoneticPr fontId="1" type="noConversion"/>
  </si>
  <si>
    <t>25박스</t>
    <phoneticPr fontId="1" type="noConversion"/>
  </si>
  <si>
    <t>pe28*6</t>
    <phoneticPr fontId="1" type="noConversion"/>
  </si>
  <si>
    <t>보우팩</t>
    <phoneticPr fontId="1" type="noConversion"/>
  </si>
  <si>
    <t>12*12.5황</t>
    <phoneticPr fontId="1" type="noConversion"/>
  </si>
  <si>
    <t>18*21</t>
    <phoneticPr fontId="1" type="noConversion"/>
  </si>
  <si>
    <t>18*15</t>
    <phoneticPr fontId="1" type="noConversion"/>
  </si>
  <si>
    <t>18*21</t>
    <phoneticPr fontId="1" type="noConversion"/>
  </si>
  <si>
    <t>18*15</t>
    <phoneticPr fontId="1" type="noConversion"/>
  </si>
  <si>
    <t>김종필 연차</t>
    <phoneticPr fontId="1" type="noConversion"/>
  </si>
  <si>
    <t>2/25발주</t>
    <phoneticPr fontId="1" type="noConversion"/>
  </si>
  <si>
    <t>3/6발주</t>
    <phoneticPr fontId="1" type="noConversion"/>
  </si>
  <si>
    <t>3/6발주</t>
    <phoneticPr fontId="1" type="noConversion"/>
  </si>
  <si>
    <t>pe28*2백</t>
    <phoneticPr fontId="1" type="noConversion"/>
  </si>
  <si>
    <t>24kg(14박스)</t>
    <phoneticPr fontId="1" type="noConversion"/>
  </si>
  <si>
    <t>12*10황</t>
    <phoneticPr fontId="1" type="noConversion"/>
  </si>
  <si>
    <t>12*12.5투</t>
    <phoneticPr fontId="1" type="noConversion"/>
  </si>
  <si>
    <t>방문수령</t>
    <phoneticPr fontId="1" type="noConversion"/>
  </si>
  <si>
    <t>17톤</t>
    <phoneticPr fontId="1" type="noConversion"/>
  </si>
  <si>
    <t>고메리</t>
    <phoneticPr fontId="1" type="noConversion"/>
  </si>
  <si>
    <t>15톤</t>
    <phoneticPr fontId="1" type="noConversion"/>
  </si>
  <si>
    <t>pe50-20박스동원용차</t>
    <phoneticPr fontId="1" type="noConversion"/>
  </si>
  <si>
    <t>스토퍼3박스-동원방문</t>
    <phoneticPr fontId="1" type="noConversion"/>
  </si>
  <si>
    <t>월</t>
    <phoneticPr fontId="1" type="noConversion"/>
  </si>
  <si>
    <t>스카사</t>
    <phoneticPr fontId="1" type="noConversion"/>
  </si>
  <si>
    <t>572박스</t>
    <phoneticPr fontId="1" type="noConversion"/>
  </si>
  <si>
    <t>수입입고예정 20"(오전8시또는오후5시)</t>
    <phoneticPr fontId="1" type="noConversion"/>
  </si>
  <si>
    <t>PE28 , PE50</t>
    <phoneticPr fontId="1" type="noConversion"/>
  </si>
  <si>
    <t>전주삼신-대신(pe/pp)</t>
    <phoneticPr fontId="1" type="noConversion"/>
  </si>
  <si>
    <t>pe28*2백</t>
    <phoneticPr fontId="1" type="noConversion"/>
  </si>
  <si>
    <t>49박스</t>
    <phoneticPr fontId="1" type="noConversion"/>
  </si>
  <si>
    <t>1박스선출고/거래명세서50박스표시</t>
    <phoneticPr fontId="1" type="noConversion"/>
  </si>
  <si>
    <t>18*21</t>
    <phoneticPr fontId="1" type="noConversion"/>
  </si>
  <si>
    <t>18*15</t>
    <phoneticPr fontId="1" type="noConversion"/>
  </si>
  <si>
    <t>라바인터내셔널</t>
    <phoneticPr fontId="1" type="noConversion"/>
  </si>
  <si>
    <t>서울패키지 직납</t>
    <phoneticPr fontId="1" type="noConversion"/>
  </si>
  <si>
    <t>12*12.5황</t>
    <phoneticPr fontId="1" type="noConversion"/>
  </si>
  <si>
    <t>12*10백</t>
    <phoneticPr fontId="1" type="noConversion"/>
  </si>
  <si>
    <t>꼭 오전에 납품요망</t>
    <phoneticPr fontId="1" type="noConversion"/>
  </si>
  <si>
    <t>대한록크방문-pe10</t>
    <phoneticPr fontId="1" type="noConversion"/>
  </si>
  <si>
    <t>삼화인쇄</t>
    <phoneticPr fontId="1" type="noConversion"/>
  </si>
  <si>
    <t>10.5*10투</t>
    <phoneticPr fontId="1" type="noConversion"/>
  </si>
  <si>
    <t>동원-pe50-20방문</t>
    <phoneticPr fontId="1" type="noConversion"/>
  </si>
  <si>
    <t>제책4층(pe3롤 불량교환)</t>
    <phoneticPr fontId="1" type="noConversion"/>
  </si>
  <si>
    <t>진로-택배pe50*2-5</t>
    <phoneticPr fontId="1" type="noConversion"/>
  </si>
  <si>
    <t>서울포장기계</t>
    <phoneticPr fontId="1" type="noConversion"/>
  </si>
  <si>
    <t>12*10백</t>
    <phoneticPr fontId="1" type="noConversion"/>
  </si>
  <si>
    <t>삼성</t>
    <phoneticPr fontId="1" type="noConversion"/>
  </si>
  <si>
    <t>18*15</t>
    <phoneticPr fontId="1" type="noConversion"/>
  </si>
  <si>
    <t>긴급납품</t>
    <phoneticPr fontId="1" type="noConversion"/>
  </si>
  <si>
    <t>라바인터내셔널</t>
    <phoneticPr fontId="1" type="noConversion"/>
  </si>
  <si>
    <t>서울팩키지</t>
    <phoneticPr fontId="1" type="noConversion"/>
  </si>
  <si>
    <t>반차-김희선</t>
    <phoneticPr fontId="1" type="noConversion"/>
  </si>
  <si>
    <t>연차-김시석</t>
    <phoneticPr fontId="1" type="noConversion"/>
  </si>
  <si>
    <t>12*10황0.8T</t>
    <phoneticPr fontId="1" type="noConversion"/>
  </si>
  <si>
    <t>오후 2시 입고예정</t>
    <phoneticPr fontId="1" type="noConversion"/>
  </si>
  <si>
    <t>솔표인쇄밴드</t>
    <phoneticPr fontId="1" type="noConversion"/>
  </si>
  <si>
    <t>15*10투0.8T</t>
    <phoneticPr fontId="1" type="noConversion"/>
  </si>
  <si>
    <t>인쇄1롤 반품있음(불량)</t>
    <phoneticPr fontId="1" type="noConversion"/>
  </si>
  <si>
    <t>동서포장-pe10택배</t>
    <phoneticPr fontId="1" type="noConversion"/>
  </si>
  <si>
    <t>동신패키지</t>
    <phoneticPr fontId="1" type="noConversion"/>
  </si>
  <si>
    <t>18*21</t>
    <phoneticPr fontId="1" type="noConversion"/>
  </si>
  <si>
    <t>12*10황</t>
    <phoneticPr fontId="1" type="noConversion"/>
  </si>
  <si>
    <t>720롤</t>
    <phoneticPr fontId="1" type="noConversion"/>
  </si>
  <si>
    <t>동신밴드입고-18파</t>
    <phoneticPr fontId="1" type="noConversion"/>
  </si>
  <si>
    <t>한서포장</t>
    <phoneticPr fontId="1" type="noConversion"/>
  </si>
  <si>
    <t>오후납품가능함</t>
    <phoneticPr fontId="1" type="noConversion"/>
  </si>
  <si>
    <t>12*9.5황</t>
    <phoneticPr fontId="1" type="noConversion"/>
  </si>
  <si>
    <t>15*10황</t>
    <phoneticPr fontId="1" type="noConversion"/>
  </si>
  <si>
    <t>pe28*2백</t>
    <phoneticPr fontId="1" type="noConversion"/>
  </si>
  <si>
    <t>10박스</t>
    <phoneticPr fontId="1" type="noConversion"/>
  </si>
  <si>
    <t>연차-김희선</t>
    <phoneticPr fontId="1" type="noConversion"/>
  </si>
  <si>
    <t>ABL</t>
    <phoneticPr fontId="1" type="noConversion"/>
  </si>
  <si>
    <t>12*3000청외</t>
    <phoneticPr fontId="1" type="noConversion"/>
  </si>
  <si>
    <t>5.8톤</t>
    <phoneticPr fontId="1" type="noConversion"/>
  </si>
  <si>
    <t>20"(오후5시)</t>
    <phoneticPr fontId="1" type="noConversion"/>
  </si>
  <si>
    <t>삼환</t>
    <phoneticPr fontId="1" type="noConversion"/>
  </si>
  <si>
    <t>철밴드입고</t>
    <phoneticPr fontId="1" type="noConversion"/>
  </si>
  <si>
    <t>6톤</t>
    <phoneticPr fontId="1" type="noConversion"/>
  </si>
  <si>
    <t>오전 9시</t>
    <phoneticPr fontId="1" type="noConversion"/>
  </si>
  <si>
    <t>RLB</t>
    <phoneticPr fontId="1" type="noConversion"/>
  </si>
  <si>
    <t>12*3000투외</t>
    <phoneticPr fontId="1" type="noConversion"/>
  </si>
  <si>
    <t>8톤</t>
    <phoneticPr fontId="1" type="noConversion"/>
  </si>
  <si>
    <t>9.2톤</t>
    <phoneticPr fontId="1" type="noConversion"/>
  </si>
  <si>
    <t>15*10황</t>
    <phoneticPr fontId="1" type="noConversion"/>
  </si>
  <si>
    <t>12*10황</t>
    <phoneticPr fontId="1" type="noConversion"/>
  </si>
  <si>
    <t>보우팩</t>
    <phoneticPr fontId="1" type="noConversion"/>
  </si>
  <si>
    <t>삼성</t>
    <phoneticPr fontId="1" type="noConversion"/>
  </si>
  <si>
    <t>3/18발주</t>
    <phoneticPr fontId="1" type="noConversion"/>
  </si>
  <si>
    <t>3/18발주</t>
    <phoneticPr fontId="1" type="noConversion"/>
  </si>
  <si>
    <t>18*21</t>
    <phoneticPr fontId="1" type="noConversion"/>
  </si>
  <si>
    <t>18*15</t>
    <phoneticPr fontId="1" type="noConversion"/>
  </si>
  <si>
    <t>12*12.5황</t>
    <phoneticPr fontId="1" type="noConversion"/>
  </si>
  <si>
    <t>12*12청</t>
    <phoneticPr fontId="1" type="noConversion"/>
  </si>
  <si>
    <t>오전 입고예정</t>
    <phoneticPr fontId="1" type="noConversion"/>
  </si>
  <si>
    <t>신광포장</t>
    <phoneticPr fontId="1" type="noConversion"/>
  </si>
  <si>
    <t>pp12*10황</t>
    <phoneticPr fontId="1" type="noConversion"/>
  </si>
  <si>
    <t>pp12*10백</t>
    <phoneticPr fontId="1" type="noConversion"/>
  </si>
  <si>
    <t>pe28*2백</t>
    <phoneticPr fontId="1" type="noConversion"/>
  </si>
  <si>
    <t>10박스</t>
    <phoneticPr fontId="1" type="noConversion"/>
  </si>
  <si>
    <t>원료가져오기</t>
    <phoneticPr fontId="1" type="noConversion"/>
  </si>
  <si>
    <t>3/19발주</t>
    <phoneticPr fontId="1" type="noConversion"/>
  </si>
  <si>
    <t>24kg(21박스)</t>
    <phoneticPr fontId="1" type="noConversion"/>
  </si>
  <si>
    <t>김해제일-PE100</t>
    <phoneticPr fontId="1" type="noConversion"/>
  </si>
  <si>
    <t>용차</t>
    <phoneticPr fontId="1" type="noConversion"/>
  </si>
  <si>
    <t>0.63T</t>
    <phoneticPr fontId="1" type="noConversion"/>
  </si>
  <si>
    <t>7*10백</t>
    <phoneticPr fontId="1" type="noConversion"/>
  </si>
  <si>
    <t>12*10투0.7T</t>
    <phoneticPr fontId="1" type="noConversion"/>
  </si>
  <si>
    <t>전주삼신-대신(pe/pp)</t>
    <phoneticPr fontId="1" type="noConversion"/>
  </si>
  <si>
    <t>3/20발주</t>
    <phoneticPr fontId="1" type="noConversion"/>
  </si>
  <si>
    <t>6*10백-급함</t>
    <phoneticPr fontId="1" type="noConversion"/>
  </si>
  <si>
    <t>삼원산업</t>
    <phoneticPr fontId="1" type="noConversion"/>
  </si>
  <si>
    <t>15*10황</t>
    <phoneticPr fontId="1" type="noConversion"/>
  </si>
  <si>
    <t>고부장님납</t>
    <phoneticPr fontId="1" type="noConversion"/>
  </si>
  <si>
    <t>이월(거.명은8M표기)</t>
    <phoneticPr fontId="1" type="noConversion"/>
  </si>
  <si>
    <t>12*10황0.68</t>
    <phoneticPr fontId="1" type="noConversion"/>
  </si>
  <si>
    <t>농협</t>
    <phoneticPr fontId="1" type="noConversion"/>
  </si>
  <si>
    <t>삼성</t>
    <phoneticPr fontId="1" type="noConversion"/>
  </si>
  <si>
    <t>18*21</t>
    <phoneticPr fontId="1" type="noConversion"/>
  </si>
  <si>
    <t>18*15</t>
    <phoneticPr fontId="1" type="noConversion"/>
  </si>
  <si>
    <t>15*10</t>
    <phoneticPr fontId="1" type="noConversion"/>
  </si>
  <si>
    <t>7*10백</t>
    <phoneticPr fontId="1" type="noConversion"/>
  </si>
  <si>
    <t>pe50*5백</t>
    <phoneticPr fontId="1" type="noConversion"/>
  </si>
  <si>
    <t>25박스</t>
    <phoneticPr fontId="1" type="noConversion"/>
  </si>
  <si>
    <t>이월</t>
    <phoneticPr fontId="1" type="noConversion"/>
  </si>
  <si>
    <t>한솔포장</t>
    <phoneticPr fontId="1" type="noConversion"/>
  </si>
  <si>
    <t>pe28*6백</t>
    <phoneticPr fontId="1" type="noConversion"/>
  </si>
  <si>
    <t>고부장님</t>
    <phoneticPr fontId="1" type="noConversion"/>
  </si>
  <si>
    <t>대복식품직납(신우교역통보)</t>
    <phoneticPr fontId="1" type="noConversion"/>
  </si>
  <si>
    <t>사이클랍</t>
    <phoneticPr fontId="1" type="noConversion"/>
  </si>
  <si>
    <t>15*2300투외</t>
    <phoneticPr fontId="1" type="noConversion"/>
  </si>
  <si>
    <t>4.7톤</t>
    <phoneticPr fontId="1" type="noConversion"/>
  </si>
  <si>
    <t>12*12.5황</t>
    <phoneticPr fontId="1" type="noConversion"/>
  </si>
  <si>
    <t>3/22발주</t>
    <phoneticPr fontId="1" type="noConversion"/>
  </si>
  <si>
    <t>동오정밀</t>
    <phoneticPr fontId="1" type="noConversion"/>
  </si>
  <si>
    <t>15*10백</t>
    <phoneticPr fontId="1" type="noConversion"/>
  </si>
  <si>
    <t>동원피앤아이</t>
    <phoneticPr fontId="1" type="noConversion"/>
  </si>
  <si>
    <t>pe28*2백</t>
    <phoneticPr fontId="1" type="noConversion"/>
  </si>
  <si>
    <t>120박스</t>
    <phoneticPr fontId="1" type="noConversion"/>
  </si>
  <si>
    <t>pe50*5백</t>
    <phoneticPr fontId="1" type="noConversion"/>
  </si>
  <si>
    <t>9*9.5황</t>
    <phoneticPr fontId="1" type="noConversion"/>
  </si>
  <si>
    <t>9*10황</t>
    <phoneticPr fontId="1" type="noConversion"/>
  </si>
  <si>
    <t>12*10황</t>
    <phoneticPr fontId="1" type="noConversion"/>
  </si>
  <si>
    <t>12*12.5황</t>
    <phoneticPr fontId="1" type="noConversion"/>
  </si>
  <si>
    <t>15*13황</t>
    <phoneticPr fontId="1" type="noConversion"/>
  </si>
  <si>
    <t>0.65(배딩색상구분)-3/26발주</t>
    <phoneticPr fontId="1" type="noConversion"/>
  </si>
  <si>
    <t>급함(3/27-50롤추가)</t>
    <phoneticPr fontId="1" type="noConversion"/>
  </si>
  <si>
    <t>삼성</t>
    <phoneticPr fontId="1" type="noConversion"/>
  </si>
  <si>
    <t>18*21</t>
    <phoneticPr fontId="1" type="noConversion"/>
  </si>
  <si>
    <t>하비스</t>
    <phoneticPr fontId="1" type="noConversion"/>
  </si>
  <si>
    <t>8톤</t>
    <phoneticPr fontId="1" type="noConversion"/>
  </si>
  <si>
    <t>19*1000청외</t>
    <phoneticPr fontId="1" type="noConversion"/>
  </si>
  <si>
    <t>일정변경가능(주중)</t>
    <phoneticPr fontId="1" type="noConversion"/>
  </si>
  <si>
    <t>월</t>
    <phoneticPr fontId="1" type="noConversion"/>
  </si>
  <si>
    <t>15*13</t>
    <phoneticPr fontId="1" type="noConversion"/>
  </si>
  <si>
    <t>28*6백</t>
    <phoneticPr fontId="1" type="noConversion"/>
  </si>
  <si>
    <t>25박스</t>
    <phoneticPr fontId="1" type="noConversion"/>
  </si>
  <si>
    <t>28*2청</t>
    <phoneticPr fontId="1" type="noConversion"/>
  </si>
  <si>
    <t>15박스</t>
    <phoneticPr fontId="1" type="noConversion"/>
  </si>
  <si>
    <t>김종필 연차</t>
    <phoneticPr fontId="1" type="noConversion"/>
  </si>
  <si>
    <t>잔고</t>
    <phoneticPr fontId="1" type="noConversion"/>
  </si>
  <si>
    <t>나이스씨엠에스    강남자금센타</t>
    <phoneticPr fontId="1" type="noConversion"/>
  </si>
  <si>
    <t>80박스</t>
    <phoneticPr fontId="1" type="noConversion"/>
  </si>
  <si>
    <t>동원피앤아이</t>
    <phoneticPr fontId="1" type="noConversion"/>
  </si>
  <si>
    <t>pe50*5백</t>
    <phoneticPr fontId="1" type="noConversion"/>
  </si>
  <si>
    <t>30박스</t>
    <phoneticPr fontId="1" type="noConversion"/>
  </si>
  <si>
    <t>4/1미납분출고</t>
    <phoneticPr fontId="1" type="noConversion"/>
  </si>
  <si>
    <t>방문수령</t>
    <phoneticPr fontId="1" type="noConversion"/>
  </si>
  <si>
    <t>삼성</t>
    <phoneticPr fontId="1" type="noConversion"/>
  </si>
  <si>
    <t>오전</t>
    <phoneticPr fontId="1" type="noConversion"/>
  </si>
  <si>
    <t>5일까지 입금한다고</t>
    <phoneticPr fontId="1" type="noConversion"/>
  </si>
  <si>
    <t>오후가능함</t>
    <phoneticPr fontId="1" type="noConversion"/>
  </si>
  <si>
    <t>이효남연차</t>
    <phoneticPr fontId="1" type="noConversion"/>
  </si>
  <si>
    <t>반차(오전)-김희선,이효남</t>
    <phoneticPr fontId="1" type="noConversion"/>
  </si>
  <si>
    <t>반차(오후)-김시석</t>
    <phoneticPr fontId="1" type="noConversion"/>
  </si>
  <si>
    <t>제일산업</t>
    <phoneticPr fontId="1" type="noConversion"/>
  </si>
  <si>
    <t>25박스</t>
    <phoneticPr fontId="1" type="noConversion"/>
  </si>
  <si>
    <t>pe50*5</t>
    <phoneticPr fontId="1" type="noConversion"/>
  </si>
  <si>
    <t>18*15</t>
    <phoneticPr fontId="1" type="noConversion"/>
  </si>
  <si>
    <t>한서포장</t>
    <phoneticPr fontId="1" type="noConversion"/>
  </si>
  <si>
    <t>12*9.5황</t>
    <phoneticPr fontId="1" type="noConversion"/>
  </si>
  <si>
    <t>pe28*2백</t>
    <phoneticPr fontId="1" type="noConversion"/>
  </si>
  <si>
    <t>10박스</t>
    <phoneticPr fontId="1" type="noConversion"/>
  </si>
  <si>
    <t>전주삼신pe3박스택배</t>
    <phoneticPr fontId="1" type="noConversion"/>
  </si>
  <si>
    <t>한솔포장</t>
    <phoneticPr fontId="1" type="noConversion"/>
  </si>
  <si>
    <t>28*2적</t>
    <phoneticPr fontId="1" type="noConversion"/>
  </si>
  <si>
    <t>10박스</t>
    <phoneticPr fontId="1" type="noConversion"/>
  </si>
  <si>
    <t>28*2청</t>
    <phoneticPr fontId="1" type="noConversion"/>
  </si>
  <si>
    <t>28*2황</t>
    <phoneticPr fontId="1" type="noConversion"/>
  </si>
  <si>
    <t>15박스</t>
    <phoneticPr fontId="1" type="noConversion"/>
  </si>
  <si>
    <t>RLB</t>
    <phoneticPr fontId="1" type="noConversion"/>
  </si>
  <si>
    <t>12*3000청외</t>
    <phoneticPr fontId="1" type="noConversion"/>
  </si>
  <si>
    <t>8톤</t>
    <phoneticPr fontId="1" type="noConversion"/>
  </si>
  <si>
    <t>탐스텍</t>
    <phoneticPr fontId="1" type="noConversion"/>
  </si>
  <si>
    <t>10톤</t>
    <phoneticPr fontId="1" type="noConversion"/>
  </si>
  <si>
    <t>40HQ(오후3시)</t>
    <phoneticPr fontId="1" type="noConversion"/>
  </si>
  <si>
    <t>CWC</t>
    <phoneticPr fontId="1" type="noConversion"/>
  </si>
  <si>
    <t>PE</t>
    <phoneticPr fontId="1" type="noConversion"/>
  </si>
  <si>
    <t>19.1톤</t>
    <phoneticPr fontId="1" type="noConversion"/>
  </si>
  <si>
    <t>40"(오후5시)</t>
    <phoneticPr fontId="1" type="noConversion"/>
  </si>
  <si>
    <t>유진산업작업</t>
    <phoneticPr fontId="1" type="noConversion"/>
  </si>
  <si>
    <t>TGP</t>
    <phoneticPr fontId="1" type="noConversion"/>
  </si>
  <si>
    <t>랩수입</t>
    <phoneticPr fontId="1" type="noConversion"/>
  </si>
  <si>
    <t>입고시간 미정</t>
    <phoneticPr fontId="1" type="noConversion"/>
  </si>
  <si>
    <t>2파렛</t>
    <phoneticPr fontId="1" type="noConversion"/>
  </si>
  <si>
    <t>전주삼신-대신화물</t>
    <phoneticPr fontId="1" type="noConversion"/>
  </si>
  <si>
    <t>pe백-28/청-2</t>
    <phoneticPr fontId="1" type="noConversion"/>
  </si>
  <si>
    <t>동원팩</t>
    <phoneticPr fontId="1" type="noConversion"/>
  </si>
  <si>
    <t>28*6백</t>
    <phoneticPr fontId="1" type="noConversion"/>
  </si>
  <si>
    <t>10박스</t>
    <phoneticPr fontId="1" type="noConversion"/>
  </si>
  <si>
    <t>28*2백</t>
    <phoneticPr fontId="1" type="noConversion"/>
  </si>
  <si>
    <t>15박스</t>
    <phoneticPr fontId="1" type="noConversion"/>
  </si>
  <si>
    <t>월</t>
    <phoneticPr fontId="1" type="noConversion"/>
  </si>
  <si>
    <t>임좌형연차</t>
    <phoneticPr fontId="1" type="noConversion"/>
  </si>
  <si>
    <t>삼성</t>
    <phoneticPr fontId="1" type="noConversion"/>
  </si>
  <si>
    <t>28*6백</t>
    <phoneticPr fontId="1" type="noConversion"/>
  </si>
  <si>
    <t>25박스</t>
    <phoneticPr fontId="1" type="noConversion"/>
  </si>
  <si>
    <t>이효남연차</t>
    <phoneticPr fontId="1" type="noConversion"/>
  </si>
  <si>
    <t>한국유니콤</t>
    <phoneticPr fontId="1" type="noConversion"/>
  </si>
  <si>
    <t>삼보팩</t>
    <phoneticPr fontId="1" type="noConversion"/>
  </si>
  <si>
    <t>12*10황</t>
    <phoneticPr fontId="1" type="noConversion"/>
  </si>
  <si>
    <t>12*10백</t>
    <phoneticPr fontId="1" type="noConversion"/>
  </si>
  <si>
    <t>20롤</t>
    <phoneticPr fontId="1" type="noConversion"/>
  </si>
  <si>
    <t>삼화인쇄용</t>
    <phoneticPr fontId="1" type="noConversion"/>
  </si>
  <si>
    <t>JH글로벌</t>
    <phoneticPr fontId="1" type="noConversion"/>
  </si>
  <si>
    <t>12*12.5황</t>
    <phoneticPr fontId="1" type="noConversion"/>
  </si>
  <si>
    <t>12*12.5투</t>
    <phoneticPr fontId="1" type="noConversion"/>
  </si>
  <si>
    <t>9*9.5황0.65</t>
    <phoneticPr fontId="1" type="noConversion"/>
  </si>
  <si>
    <t>삼성</t>
    <phoneticPr fontId="1" type="noConversion"/>
  </si>
  <si>
    <t>18*21</t>
    <phoneticPr fontId="1" type="noConversion"/>
  </si>
  <si>
    <t>18*15</t>
    <phoneticPr fontId="1" type="noConversion"/>
  </si>
  <si>
    <t>전주삼신pe황-20 대신</t>
    <phoneticPr fontId="1" type="noConversion"/>
  </si>
  <si>
    <t>김희선반차(오전)</t>
    <phoneticPr fontId="1" type="noConversion"/>
  </si>
  <si>
    <t>보우팩</t>
    <phoneticPr fontId="1" type="noConversion"/>
  </si>
  <si>
    <t>12*12.5투</t>
    <phoneticPr fontId="1" type="noConversion"/>
  </si>
  <si>
    <t>무지패드</t>
    <phoneticPr fontId="1" type="noConversion"/>
  </si>
  <si>
    <t>신광포장</t>
    <phoneticPr fontId="1" type="noConversion"/>
  </si>
  <si>
    <t>12*3000투외</t>
    <phoneticPr fontId="1" type="noConversion"/>
  </si>
  <si>
    <t>40HQ(오후5시)</t>
    <phoneticPr fontId="1" type="noConversion"/>
  </si>
  <si>
    <t>오전 9시 입고예정</t>
    <phoneticPr fontId="1" type="noConversion"/>
  </si>
  <si>
    <t>오후 3시 입고예정</t>
    <phoneticPr fontId="1" type="noConversion"/>
  </si>
  <si>
    <t>대전인재사-합화차</t>
    <phoneticPr fontId="1" type="noConversion"/>
  </si>
  <si>
    <t>18*21</t>
    <phoneticPr fontId="1" type="noConversion"/>
  </si>
  <si>
    <t>18*15</t>
    <phoneticPr fontId="1" type="noConversion"/>
  </si>
  <si>
    <t>강원연합포장</t>
    <phoneticPr fontId="1" type="noConversion"/>
  </si>
  <si>
    <t>12*12.5황</t>
    <phoneticPr fontId="1" type="noConversion"/>
  </si>
  <si>
    <t>34롤추가 밴딩색상구분</t>
    <phoneticPr fontId="1" type="noConversion"/>
  </si>
  <si>
    <t>50롤추가</t>
    <phoneticPr fontId="1" type="noConversion"/>
  </si>
  <si>
    <t>임좌형연차</t>
    <phoneticPr fontId="1" type="noConversion"/>
  </si>
  <si>
    <t>7*10백(8M표기)</t>
    <phoneticPr fontId="1" type="noConversion"/>
  </si>
  <si>
    <t>4월물량(5월부터 350롤)</t>
    <phoneticPr fontId="1" type="noConversion"/>
  </si>
  <si>
    <t>김시석연차</t>
    <phoneticPr fontId="1" type="noConversion"/>
  </si>
  <si>
    <t>김희선연차</t>
    <phoneticPr fontId="1" type="noConversion"/>
  </si>
  <si>
    <t>15*10 황</t>
    <phoneticPr fontId="1" type="noConversion"/>
  </si>
  <si>
    <t>12*9.5 황</t>
    <phoneticPr fontId="1" type="noConversion"/>
  </si>
  <si>
    <t>PE 28*2/20Kg 백</t>
    <phoneticPr fontId="1" type="noConversion"/>
  </si>
  <si>
    <t>신광포장</t>
    <phoneticPr fontId="1" type="noConversion"/>
  </si>
  <si>
    <t>15*10투명</t>
    <phoneticPr fontId="1" type="noConversion"/>
  </si>
  <si>
    <t>12*10 황</t>
    <phoneticPr fontId="1" type="noConversion"/>
  </si>
  <si>
    <t>50롤</t>
    <phoneticPr fontId="1" type="noConversion"/>
  </si>
  <si>
    <t>50롤</t>
    <phoneticPr fontId="1" type="noConversion"/>
  </si>
  <si>
    <t>100롤</t>
    <phoneticPr fontId="1" type="noConversion"/>
  </si>
  <si>
    <t>8*9.5 청</t>
    <phoneticPr fontId="1" type="noConversion"/>
  </si>
  <si>
    <t>우선산업 입고물품</t>
    <phoneticPr fontId="1" type="noConversion"/>
  </si>
  <si>
    <t>월</t>
    <phoneticPr fontId="1" type="noConversion"/>
  </si>
  <si>
    <t>서울포장</t>
    <phoneticPr fontId="1" type="noConversion"/>
  </si>
  <si>
    <t>15*10황</t>
    <phoneticPr fontId="1" type="noConversion"/>
  </si>
  <si>
    <t>12*10백</t>
    <phoneticPr fontId="1" type="noConversion"/>
  </si>
  <si>
    <t>신우교역</t>
    <phoneticPr fontId="1" type="noConversion"/>
  </si>
  <si>
    <t>한국스미다스</t>
    <phoneticPr fontId="1" type="noConversion"/>
  </si>
  <si>
    <t>12*10황</t>
    <phoneticPr fontId="1" type="noConversion"/>
  </si>
  <si>
    <t>신우교역통보하기</t>
    <phoneticPr fontId="1" type="noConversion"/>
  </si>
  <si>
    <t>월</t>
    <phoneticPr fontId="1" type="noConversion"/>
  </si>
  <si>
    <t>삼성</t>
    <phoneticPr fontId="1" type="noConversion"/>
  </si>
  <si>
    <t>시몬사</t>
    <phoneticPr fontId="1" type="noConversion"/>
  </si>
  <si>
    <t>이효남-반차</t>
    <phoneticPr fontId="1" type="noConversion"/>
  </si>
  <si>
    <t>한솔포장</t>
    <phoneticPr fontId="1" type="noConversion"/>
  </si>
  <si>
    <t>25박스</t>
    <phoneticPr fontId="1" type="noConversion"/>
  </si>
  <si>
    <t>pe28*6</t>
    <phoneticPr fontId="1" type="noConversion"/>
  </si>
  <si>
    <t>대영(발안)</t>
    <phoneticPr fontId="1" type="noConversion"/>
  </si>
  <si>
    <t>7*10백</t>
    <phoneticPr fontId="1" type="noConversion"/>
  </si>
  <si>
    <t>pe28*2백</t>
    <phoneticPr fontId="1" type="noConversion"/>
  </si>
  <si>
    <t>14박스(24KG)</t>
    <phoneticPr fontId="1" type="noConversion"/>
  </si>
  <si>
    <t>6박스(24KG)</t>
    <phoneticPr fontId="1" type="noConversion"/>
  </si>
  <si>
    <t>pe28*2청</t>
    <phoneticPr fontId="1" type="noConversion"/>
  </si>
  <si>
    <t>12*12.5황</t>
    <phoneticPr fontId="1" type="noConversion"/>
  </si>
  <si>
    <t>15*10황</t>
    <phoneticPr fontId="1" type="noConversion"/>
  </si>
  <si>
    <t>9*9.5(0.65)황</t>
    <phoneticPr fontId="1" type="noConversion"/>
  </si>
  <si>
    <t>목</t>
    <phoneticPr fontId="1" type="noConversion"/>
  </si>
  <si>
    <t>제이케이</t>
    <phoneticPr fontId="1" type="noConversion"/>
  </si>
  <si>
    <t>pp18*10황</t>
    <phoneticPr fontId="1" type="noConversion"/>
  </si>
  <si>
    <t>우선산업</t>
    <phoneticPr fontId="1" type="noConversion"/>
  </si>
  <si>
    <t>pe50*5백</t>
    <phoneticPr fontId="1" type="noConversion"/>
  </si>
  <si>
    <t>50박스</t>
    <phoneticPr fontId="1" type="noConversion"/>
  </si>
  <si>
    <t>용차(신대한꺼 오면서 가져가심)</t>
    <phoneticPr fontId="1" type="noConversion"/>
  </si>
  <si>
    <t>나이스씨엠에스    강서자금센타</t>
    <phoneticPr fontId="1" type="noConversion"/>
  </si>
  <si>
    <t>5/2 이월</t>
    <phoneticPr fontId="1" type="noConversion"/>
  </si>
  <si>
    <t>무인쇄</t>
    <phoneticPr fontId="1" type="noConversion"/>
  </si>
  <si>
    <t>국민</t>
    <phoneticPr fontId="1" type="noConversion"/>
  </si>
  <si>
    <t>하나</t>
    <phoneticPr fontId="1" type="noConversion"/>
  </si>
  <si>
    <t>전주삼신-pe20대신화물</t>
    <phoneticPr fontId="1" type="noConversion"/>
  </si>
  <si>
    <t>이효남,김희선,임좌형,김종필연차</t>
    <phoneticPr fontId="1" type="noConversion"/>
  </si>
  <si>
    <t>정종근오전반차</t>
    <phoneticPr fontId="1" type="noConversion"/>
  </si>
  <si>
    <t>18*21</t>
    <phoneticPr fontId="1" type="noConversion"/>
  </si>
  <si>
    <t>월</t>
    <phoneticPr fontId="1" type="noConversion"/>
  </si>
  <si>
    <t>4/26발주</t>
    <phoneticPr fontId="1" type="noConversion"/>
  </si>
  <si>
    <t>어린이날 대체 공휴일</t>
    <phoneticPr fontId="1" type="noConversion"/>
  </si>
  <si>
    <t>정종근연차</t>
    <phoneticPr fontId="1" type="noConversion"/>
  </si>
  <si>
    <t>현장휴무</t>
    <phoneticPr fontId="1" type="noConversion"/>
  </si>
  <si>
    <t>근로자의 날</t>
    <phoneticPr fontId="1" type="noConversion"/>
  </si>
  <si>
    <t>김희선,임좌형,김종필 연차</t>
    <phoneticPr fontId="1" type="noConversion"/>
  </si>
  <si>
    <t>이효남김희선,임좌형,김종필연차</t>
    <phoneticPr fontId="1" type="noConversion"/>
  </si>
  <si>
    <t>5/2 이월(화욜납품가능)</t>
    <phoneticPr fontId="1" type="noConversion"/>
  </si>
  <si>
    <t>12*10황</t>
    <phoneticPr fontId="1" type="noConversion"/>
  </si>
  <si>
    <t>15*13황</t>
    <phoneticPr fontId="1" type="noConversion"/>
  </si>
  <si>
    <t>신광포장</t>
    <phoneticPr fontId="1" type="noConversion"/>
  </si>
  <si>
    <t>15*10항</t>
    <phoneticPr fontId="1" type="noConversion"/>
  </si>
  <si>
    <t>5/2이월</t>
    <phoneticPr fontId="1" type="noConversion"/>
  </si>
  <si>
    <t>재고보유현황</t>
    <phoneticPr fontId="1" type="noConversion"/>
  </si>
  <si>
    <t>기준일</t>
    <phoneticPr fontId="1" type="noConversion"/>
  </si>
  <si>
    <t>삼성</t>
    <phoneticPr fontId="1" type="noConversion"/>
  </si>
  <si>
    <t>18*21</t>
    <phoneticPr fontId="1" type="noConversion"/>
  </si>
  <si>
    <t>18*15</t>
    <phoneticPr fontId="1" type="noConversion"/>
  </si>
  <si>
    <t>하비스</t>
    <phoneticPr fontId="1" type="noConversion"/>
  </si>
  <si>
    <t>12*3000투외</t>
    <phoneticPr fontId="1" type="noConversion"/>
  </si>
  <si>
    <t>7.2톤</t>
    <phoneticPr fontId="1" type="noConversion"/>
  </si>
  <si>
    <t>20"(오후5시)</t>
    <phoneticPr fontId="1" type="noConversion"/>
  </si>
  <si>
    <t>15.5*100M청외</t>
    <phoneticPr fontId="1" type="noConversion"/>
  </si>
  <si>
    <t>5.4톤</t>
    <phoneticPr fontId="1" type="noConversion"/>
  </si>
  <si>
    <t>18*10황0.95~1T</t>
    <phoneticPr fontId="1" type="noConversion"/>
  </si>
  <si>
    <t>4/29발주</t>
    <phoneticPr fontId="1" type="noConversion"/>
  </si>
  <si>
    <t>제일산업-pe25박스-용차</t>
    <phoneticPr fontId="1" type="noConversion"/>
  </si>
  <si>
    <t xml:space="preserve">PE28 </t>
    <phoneticPr fontId="1" type="noConversion"/>
  </si>
  <si>
    <t>21톤</t>
    <phoneticPr fontId="1" type="noConversion"/>
  </si>
  <si>
    <t>pe28*2백</t>
    <phoneticPr fontId="1" type="noConversion"/>
  </si>
  <si>
    <t>삼신</t>
    <phoneticPr fontId="1" type="noConversion"/>
  </si>
  <si>
    <t>pe28*2백</t>
    <phoneticPr fontId="1" type="noConversion"/>
  </si>
  <si>
    <t>100박스</t>
    <phoneticPr fontId="1" type="noConversion"/>
  </si>
  <si>
    <t>합동포장</t>
    <phoneticPr fontId="1" type="noConversion"/>
  </si>
  <si>
    <t>12*12.5황</t>
    <phoneticPr fontId="1" type="noConversion"/>
  </si>
  <si>
    <t>12*12.5투</t>
    <phoneticPr fontId="1" type="noConversion"/>
  </si>
  <si>
    <t>15*13황</t>
    <phoneticPr fontId="1" type="noConversion"/>
  </si>
  <si>
    <t>15박스</t>
    <phoneticPr fontId="1" type="noConversion"/>
  </si>
  <si>
    <t>삼신 직납 : 디에스아이-고양시 일산동구 사리현동354-3 / 031-962-3500</t>
    <phoneticPr fontId="1" type="noConversion"/>
  </si>
  <si>
    <t>수입 입고예정 40HQ (오전8시)</t>
    <phoneticPr fontId="1" type="noConversion"/>
  </si>
  <si>
    <t>박스찾아오기(동진)</t>
    <phoneticPr fontId="1" type="noConversion"/>
  </si>
  <si>
    <t>pp7*10백</t>
    <phoneticPr fontId="1" type="noConversion"/>
  </si>
  <si>
    <t>표기 8M</t>
    <phoneticPr fontId="1" type="noConversion"/>
  </si>
  <si>
    <t>15*10황</t>
    <phoneticPr fontId="1" type="noConversion"/>
  </si>
  <si>
    <t>김해제일-pe녹7박스택배</t>
    <phoneticPr fontId="1" type="noConversion"/>
  </si>
  <si>
    <t>삼화인쇄</t>
    <phoneticPr fontId="1" type="noConversion"/>
  </si>
  <si>
    <t>12*10백</t>
    <phoneticPr fontId="1" type="noConversion"/>
  </si>
  <si>
    <t>pe28*2백</t>
    <phoneticPr fontId="1" type="noConversion"/>
  </si>
  <si>
    <t>10박스</t>
    <phoneticPr fontId="1" type="noConversion"/>
  </si>
  <si>
    <t>쇼핑백1층</t>
    <phoneticPr fontId="1" type="noConversion"/>
  </si>
  <si>
    <t>삼성</t>
    <phoneticPr fontId="1" type="noConversion"/>
  </si>
  <si>
    <t>18*21</t>
    <phoneticPr fontId="1" type="noConversion"/>
  </si>
  <si>
    <t>18*15</t>
    <phoneticPr fontId="1" type="noConversion"/>
  </si>
  <si>
    <t>15*13황</t>
    <phoneticPr fontId="1" type="noConversion"/>
  </si>
  <si>
    <t>12*10황</t>
    <phoneticPr fontId="1" type="noConversion"/>
  </si>
  <si>
    <t>전주삼신-대신</t>
    <phoneticPr fontId="1" type="noConversion"/>
  </si>
  <si>
    <t>대원포장-대신</t>
    <phoneticPr fontId="1" type="noConversion"/>
  </si>
  <si>
    <t>5/3발주</t>
    <phoneticPr fontId="1" type="noConversion"/>
  </si>
  <si>
    <t>5/3발주</t>
    <phoneticPr fontId="1" type="noConversion"/>
  </si>
  <si>
    <t>5/7발주</t>
    <phoneticPr fontId="1" type="noConversion"/>
  </si>
  <si>
    <t>18*10황</t>
    <phoneticPr fontId="1" type="noConversion"/>
  </si>
  <si>
    <t>5/8발주 샘플용</t>
    <phoneticPr fontId="1" type="noConversion"/>
  </si>
  <si>
    <t>pe</t>
    <phoneticPr fontId="1" type="noConversion"/>
  </si>
  <si>
    <t>10박스</t>
    <phoneticPr fontId="1" type="noConversion"/>
  </si>
  <si>
    <t>고부장납</t>
    <phoneticPr fontId="1" type="noConversion"/>
  </si>
  <si>
    <t>수량(19.5.8</t>
    <phoneticPr fontId="1" type="noConversion"/>
  </si>
  <si>
    <t>6월분출고</t>
    <phoneticPr fontId="1" type="noConversion"/>
  </si>
  <si>
    <t xml:space="preserve"> pe</t>
    <phoneticPr fontId="1" type="noConversion"/>
  </si>
  <si>
    <t>40박스</t>
    <phoneticPr fontId="1" type="noConversion"/>
  </si>
  <si>
    <t>월</t>
    <phoneticPr fontId="1" type="noConversion"/>
  </si>
  <si>
    <t>김해제일포장-녹50/백50(합화차)</t>
    <phoneticPr fontId="1" type="noConversion"/>
  </si>
  <si>
    <t>이름</t>
    <phoneticPr fontId="1" type="noConversion"/>
  </si>
  <si>
    <t>금액</t>
    <phoneticPr fontId="1" type="noConversion"/>
  </si>
  <si>
    <t>일수</t>
    <phoneticPr fontId="1" type="noConversion"/>
  </si>
  <si>
    <t>합계</t>
    <phoneticPr fontId="1" type="noConversion"/>
  </si>
  <si>
    <t>김차장</t>
    <phoneticPr fontId="1" type="noConversion"/>
  </si>
  <si>
    <t>조팀장</t>
    <phoneticPr fontId="1" type="noConversion"/>
  </si>
  <si>
    <t>권과장</t>
    <phoneticPr fontId="1" type="noConversion"/>
  </si>
  <si>
    <t>에릭</t>
    <phoneticPr fontId="1" type="noConversion"/>
  </si>
  <si>
    <t>민팀장</t>
    <phoneticPr fontId="1" type="noConversion"/>
  </si>
  <si>
    <t>근무</t>
    <phoneticPr fontId="1" type="noConversion"/>
  </si>
  <si>
    <t>야간</t>
    <phoneticPr fontId="1" type="noConversion"/>
  </si>
  <si>
    <t>주간</t>
    <phoneticPr fontId="1" type="noConversion"/>
  </si>
  <si>
    <t>P</t>
    <phoneticPr fontId="1" type="noConversion"/>
  </si>
  <si>
    <t>노엘</t>
    <phoneticPr fontId="1" type="noConversion"/>
  </si>
  <si>
    <t>마크</t>
    <phoneticPr fontId="1" type="noConversion"/>
  </si>
  <si>
    <t>바히디</t>
    <phoneticPr fontId="1" type="noConversion"/>
  </si>
  <si>
    <t>ㅌ</t>
    <phoneticPr fontId="1" type="noConversion"/>
  </si>
  <si>
    <t>12*3000청외</t>
    <phoneticPr fontId="1" type="noConversion"/>
  </si>
  <si>
    <t>8.3톤</t>
    <phoneticPr fontId="1" type="noConversion"/>
  </si>
  <si>
    <t>오전고부장님 동행</t>
    <phoneticPr fontId="1" type="noConversion"/>
  </si>
  <si>
    <t>파렛트수</t>
    <phoneticPr fontId="1" type="noConversion"/>
  </si>
  <si>
    <t>날짜1주일전</t>
    <phoneticPr fontId="1" type="noConversion"/>
  </si>
  <si>
    <t>8롤이상만 파렛트로</t>
    <phoneticPr fontId="1" type="noConversion"/>
  </si>
  <si>
    <t>호성수출</t>
    <phoneticPr fontId="1" type="noConversion"/>
  </si>
  <si>
    <t>40롤씩2파 포장-고부장님납-오후4시까지</t>
    <phoneticPr fontId="1" type="noConversion"/>
  </si>
  <si>
    <t>입금확인후 출고</t>
    <phoneticPr fontId="1" type="noConversion"/>
  </si>
  <si>
    <t>한솔포장</t>
    <phoneticPr fontId="1" type="noConversion"/>
  </si>
  <si>
    <t>pe28*6</t>
    <phoneticPr fontId="1" type="noConversion"/>
  </si>
  <si>
    <t>25박스</t>
    <phoneticPr fontId="1" type="noConversion"/>
  </si>
  <si>
    <t>오전 고부장님 출근전</t>
    <phoneticPr fontId="1" type="noConversion"/>
  </si>
  <si>
    <t>15*10황</t>
    <phoneticPr fontId="1" type="noConversion"/>
  </si>
  <si>
    <t>삼원산업</t>
    <phoneticPr fontId="1" type="noConversion"/>
  </si>
  <si>
    <t>12*12황</t>
    <phoneticPr fontId="1" type="noConversion"/>
  </si>
  <si>
    <t>15*10적</t>
    <phoneticPr fontId="1" type="noConversion"/>
  </si>
  <si>
    <t xml:space="preserve"> 정종근 연차</t>
    <phoneticPr fontId="1" type="noConversion"/>
  </si>
  <si>
    <t>보우팩</t>
    <phoneticPr fontId="1" type="noConversion"/>
  </si>
  <si>
    <t>6*10백</t>
    <phoneticPr fontId="1" type="noConversion"/>
  </si>
  <si>
    <t>6*10녹</t>
    <phoneticPr fontId="1" type="noConversion"/>
  </si>
  <si>
    <t>6*10청</t>
    <phoneticPr fontId="1" type="noConversion"/>
  </si>
  <si>
    <t>12*10황(0.68T)</t>
    <phoneticPr fontId="1" type="noConversion"/>
  </si>
  <si>
    <t>재고확인해서</t>
    <phoneticPr fontId="1" type="noConversion"/>
  </si>
  <si>
    <t>12*12.5황</t>
    <phoneticPr fontId="1" type="noConversion"/>
  </si>
  <si>
    <t>신광포장</t>
    <phoneticPr fontId="1" type="noConversion"/>
  </si>
  <si>
    <t>15*10황</t>
    <phoneticPr fontId="1" type="noConversion"/>
  </si>
  <si>
    <t>삼성</t>
    <phoneticPr fontId="1" type="noConversion"/>
  </si>
  <si>
    <t>18*21</t>
    <phoneticPr fontId="1" type="noConversion"/>
  </si>
  <si>
    <t>18*15</t>
    <phoneticPr fontId="1" type="noConversion"/>
  </si>
  <si>
    <t>무엠보1롤포함</t>
    <phoneticPr fontId="1" type="noConversion"/>
  </si>
  <si>
    <t>하이게이트</t>
    <phoneticPr fontId="1" type="noConversion"/>
  </si>
  <si>
    <t>12*3000청외</t>
    <phoneticPr fontId="1" type="noConversion"/>
  </si>
  <si>
    <t>10.9톤</t>
    <phoneticPr fontId="1" type="noConversion"/>
  </si>
  <si>
    <t>원양어선</t>
    <phoneticPr fontId="1" type="noConversion"/>
  </si>
  <si>
    <t>15*2500 청색</t>
    <phoneticPr fontId="1" type="noConversion"/>
  </si>
  <si>
    <t>7.5톤</t>
    <phoneticPr fontId="1" type="noConversion"/>
  </si>
  <si>
    <t>싸이클럽</t>
    <phoneticPr fontId="1" type="noConversion"/>
  </si>
  <si>
    <t>12*3000 청외</t>
    <phoneticPr fontId="1" type="noConversion"/>
  </si>
  <si>
    <t>21.6톤</t>
    <phoneticPr fontId="1" type="noConversion"/>
  </si>
  <si>
    <t>40HQ(오후5시)</t>
    <phoneticPr fontId="1" type="noConversion"/>
  </si>
  <si>
    <t>김시석연차</t>
    <phoneticPr fontId="1" type="noConversion"/>
  </si>
  <si>
    <t>삼성</t>
    <phoneticPr fontId="1" type="noConversion"/>
  </si>
  <si>
    <t>18*21</t>
    <phoneticPr fontId="1" type="noConversion"/>
  </si>
  <si>
    <t>18*15</t>
    <phoneticPr fontId="1" type="noConversion"/>
  </si>
  <si>
    <t>1롤</t>
    <phoneticPr fontId="1" type="noConversion"/>
  </si>
  <si>
    <t>15*13 황</t>
    <phoneticPr fontId="1" type="noConversion"/>
  </si>
  <si>
    <t>5/16일 발주</t>
    <phoneticPr fontId="1" type="noConversion"/>
  </si>
  <si>
    <t>9*10 황(0.75)</t>
    <phoneticPr fontId="1" type="noConversion"/>
  </si>
  <si>
    <t>64롤</t>
    <phoneticPr fontId="1" type="noConversion"/>
  </si>
  <si>
    <t>12*12.5 검정</t>
    <phoneticPr fontId="1" type="noConversion"/>
  </si>
  <si>
    <t>5/16 발주</t>
    <phoneticPr fontId="1" type="noConversion"/>
  </si>
  <si>
    <t>추가될수 있슴</t>
    <phoneticPr fontId="1" type="noConversion"/>
  </si>
  <si>
    <t>12*12투</t>
    <phoneticPr fontId="1" type="noConversion"/>
  </si>
  <si>
    <t>50롤</t>
    <phoneticPr fontId="1" type="noConversion"/>
  </si>
  <si>
    <t>긴급</t>
    <phoneticPr fontId="1" type="noConversion"/>
  </si>
  <si>
    <t>동신밴드</t>
    <phoneticPr fontId="1" type="noConversion"/>
  </si>
  <si>
    <t>삼성21Kg</t>
    <phoneticPr fontId="1" type="noConversion"/>
  </si>
  <si>
    <t>입고예정 오후 2~3시</t>
    <phoneticPr fontId="1" type="noConversion"/>
  </si>
  <si>
    <t>전주삼신-대신</t>
    <phoneticPr fontId="1" type="noConversion"/>
  </si>
  <si>
    <t>동방포장</t>
    <phoneticPr fontId="1" type="noConversion"/>
  </si>
  <si>
    <t>18*21</t>
    <phoneticPr fontId="1" type="noConversion"/>
  </si>
  <si>
    <t>월</t>
    <phoneticPr fontId="1" type="noConversion"/>
  </si>
  <si>
    <t>100롤</t>
    <phoneticPr fontId="1" type="noConversion"/>
  </si>
  <si>
    <t>PE 28*2</t>
    <phoneticPr fontId="1" type="noConversion"/>
  </si>
  <si>
    <t>10박스</t>
    <phoneticPr fontId="1" type="noConversion"/>
  </si>
  <si>
    <t>15*10황(0.8T)</t>
    <phoneticPr fontId="1" type="noConversion"/>
  </si>
  <si>
    <t>18파</t>
    <phoneticPr fontId="1" type="noConversion"/>
  </si>
  <si>
    <t>김희선 -병가 연차</t>
    <phoneticPr fontId="1" type="noConversion"/>
  </si>
  <si>
    <t>파코팩발주</t>
    <phoneticPr fontId="1" type="noConversion"/>
  </si>
  <si>
    <t>금융밴드발주처-</t>
    <phoneticPr fontId="1" type="noConversion"/>
  </si>
  <si>
    <t>나이스씨엠에스
강남자금센터</t>
    <phoneticPr fontId="1" type="noConversion"/>
  </si>
  <si>
    <t>국민</t>
    <phoneticPr fontId="1" type="noConversion"/>
  </si>
  <si>
    <t>42롤</t>
    <phoneticPr fontId="1" type="noConversion"/>
  </si>
  <si>
    <t>6월 이월</t>
    <phoneticPr fontId="1" type="noConversion"/>
  </si>
  <si>
    <t>12*10 백</t>
    <phoneticPr fontId="1" type="noConversion"/>
  </si>
  <si>
    <t>12*9.5황</t>
    <phoneticPr fontId="1" type="noConversion"/>
  </si>
  <si>
    <t>15*10황</t>
    <phoneticPr fontId="1" type="noConversion"/>
  </si>
  <si>
    <t>12*10황</t>
    <phoneticPr fontId="1" type="noConversion"/>
  </si>
  <si>
    <t>김종필 연차</t>
    <phoneticPr fontId="1" type="noConversion"/>
  </si>
  <si>
    <t>JK(자강)</t>
    <phoneticPr fontId="1" type="noConversion"/>
  </si>
  <si>
    <t>5/15급발주함(용차발송)</t>
    <phoneticPr fontId="1" type="noConversion"/>
  </si>
  <si>
    <t>100롤</t>
    <phoneticPr fontId="1" type="noConversion"/>
  </si>
  <si>
    <t>12*10(0.65)황</t>
    <phoneticPr fontId="1" type="noConversion"/>
  </si>
  <si>
    <t>30롤</t>
    <phoneticPr fontId="1" type="noConversion"/>
  </si>
  <si>
    <t>5/21 발주</t>
    <phoneticPr fontId="1" type="noConversion"/>
  </si>
  <si>
    <t>5/16일 발주,추가 5/21 50롤</t>
    <phoneticPr fontId="1" type="noConversion"/>
  </si>
  <si>
    <t>신대한판지</t>
    <phoneticPr fontId="1" type="noConversion"/>
  </si>
  <si>
    <t>12*12.5 적</t>
    <phoneticPr fontId="1" type="noConversion"/>
  </si>
  <si>
    <t>12*12.5 녹</t>
    <phoneticPr fontId="1" type="noConversion"/>
  </si>
  <si>
    <t>용차 납품</t>
    <phoneticPr fontId="1" type="noConversion"/>
  </si>
  <si>
    <t>1빠 32~36롤</t>
    <phoneticPr fontId="1" type="noConversion"/>
  </si>
  <si>
    <t>한차에 8파레트 적재가능</t>
    <phoneticPr fontId="1" type="noConversion"/>
  </si>
  <si>
    <t>12*12.5 투명</t>
    <phoneticPr fontId="1" type="noConversion"/>
  </si>
  <si>
    <t>50롤</t>
    <phoneticPr fontId="1" type="noConversion"/>
  </si>
  <si>
    <t>5/23 발주</t>
    <phoneticPr fontId="1" type="noConversion"/>
  </si>
  <si>
    <t>481롤</t>
    <phoneticPr fontId="1" type="noConversion"/>
  </si>
  <si>
    <t>전주삼신-대신</t>
    <phoneticPr fontId="1" type="noConversion"/>
  </si>
  <si>
    <t>삼성</t>
    <phoneticPr fontId="1" type="noConversion"/>
  </si>
  <si>
    <t>7톤</t>
    <phoneticPr fontId="1" type="noConversion"/>
  </si>
  <si>
    <t>오후 기사 다른일정</t>
    <phoneticPr fontId="1" type="noConversion"/>
  </si>
  <si>
    <t>그린엔텍 발송</t>
    <phoneticPr fontId="1" type="noConversion"/>
  </si>
  <si>
    <t>금융재고(파코팩발주)</t>
    <phoneticPr fontId="1" type="noConversion"/>
  </si>
  <si>
    <t>삼성외주(동신밴드)</t>
    <phoneticPr fontId="1" type="noConversion"/>
  </si>
  <si>
    <t>입고</t>
    <phoneticPr fontId="1" type="noConversion"/>
  </si>
  <si>
    <t>출고</t>
    <phoneticPr fontId="1" type="noConversion"/>
  </si>
  <si>
    <t>날짜</t>
    <phoneticPr fontId="1" type="noConversion"/>
  </si>
  <si>
    <t>재고</t>
    <phoneticPr fontId="1" type="noConversion"/>
  </si>
  <si>
    <t>단위 : Kg</t>
    <phoneticPr fontId="1" type="noConversion"/>
  </si>
  <si>
    <t>단위 : 롤</t>
    <phoneticPr fontId="1" type="noConversion"/>
  </si>
  <si>
    <t>21kg</t>
    <phoneticPr fontId="1" type="noConversion"/>
  </si>
  <si>
    <t>15kg</t>
    <phoneticPr fontId="1" type="noConversion"/>
  </si>
  <si>
    <t>롤수</t>
    <phoneticPr fontId="1" type="noConversion"/>
  </si>
  <si>
    <t>PE 28*2kg</t>
    <phoneticPr fontId="1" type="noConversion"/>
  </si>
  <si>
    <t>스카사 입고</t>
    <phoneticPr fontId="1" type="noConversion"/>
  </si>
  <si>
    <t>박스</t>
    <phoneticPr fontId="1" type="noConversion"/>
  </si>
  <si>
    <t>광림파워팩</t>
    <phoneticPr fontId="1" type="noConversion"/>
  </si>
  <si>
    <t>pe 28*2 백</t>
    <phoneticPr fontId="1" type="noConversion"/>
  </si>
  <si>
    <t>21박스(24kg)</t>
    <phoneticPr fontId="1" type="noConversion"/>
  </si>
  <si>
    <t>pe 28*2 청</t>
    <phoneticPr fontId="1" type="noConversion"/>
  </si>
  <si>
    <t>5박스(24kg)</t>
    <phoneticPr fontId="1" type="noConversion"/>
  </si>
  <si>
    <t>pe 28*3 적</t>
    <phoneticPr fontId="1" type="noConversion"/>
  </si>
  <si>
    <t>pe 28*4 황</t>
    <phoneticPr fontId="1" type="noConversion"/>
  </si>
  <si>
    <t>PP 추가될수 있슴</t>
    <phoneticPr fontId="1" type="noConversion"/>
  </si>
  <si>
    <t>5/26 납품까지</t>
    <phoneticPr fontId="1" type="noConversion"/>
  </si>
  <si>
    <t>영창 입고</t>
    <phoneticPr fontId="1" type="noConversion"/>
  </si>
  <si>
    <t>단위 : 1박스(5,000 ea)</t>
    <phoneticPr fontId="1" type="noConversion"/>
  </si>
  <si>
    <t>한번 발주시(내수) 100,000pcs 발주</t>
    <phoneticPr fontId="1" type="noConversion"/>
  </si>
  <si>
    <t>한번 발주량 18p 720롤</t>
    <phoneticPr fontId="1" type="noConversion"/>
  </si>
  <si>
    <t>동원피앤아이</t>
    <phoneticPr fontId="1" type="noConversion"/>
  </si>
  <si>
    <t>PE 50*5백</t>
    <phoneticPr fontId="1" type="noConversion"/>
  </si>
  <si>
    <t>40박스</t>
    <phoneticPr fontId="1" type="noConversion"/>
  </si>
  <si>
    <t>플라스틱버클
스토퍼stopper 500pcs</t>
    <phoneticPr fontId="1" type="noConversion"/>
  </si>
  <si>
    <t>제일산업(안성)</t>
    <phoneticPr fontId="1" type="noConversion"/>
  </si>
  <si>
    <t>50박스</t>
    <phoneticPr fontId="1" type="noConversion"/>
  </si>
  <si>
    <t>김포 입고예정 오후 2~3시</t>
    <phoneticPr fontId="1" type="noConversion"/>
  </si>
  <si>
    <t>심은주과장 이카운트 교육</t>
    <phoneticPr fontId="1" type="noConversion"/>
  </si>
  <si>
    <t>금산포장</t>
    <phoneticPr fontId="1" type="noConversion"/>
  </si>
  <si>
    <t>인쇄밴드</t>
    <phoneticPr fontId="1" type="noConversion"/>
  </si>
  <si>
    <t>입금 확인 후 출고</t>
    <phoneticPr fontId="1" type="noConversion"/>
  </si>
  <si>
    <t>수량확인</t>
    <phoneticPr fontId="1" type="noConversion"/>
  </si>
  <si>
    <t>수량확인</t>
    <phoneticPr fontId="1" type="noConversion"/>
  </si>
  <si>
    <t>12.5*12황</t>
    <phoneticPr fontId="1" type="noConversion"/>
  </si>
  <si>
    <t>pe 28*2백</t>
    <phoneticPr fontId="1" type="noConversion"/>
  </si>
  <si>
    <t>10박스</t>
    <phoneticPr fontId="1" type="noConversion"/>
  </si>
  <si>
    <t>용차 납품</t>
    <phoneticPr fontId="1" type="noConversion"/>
  </si>
  <si>
    <t>라바인터네셔널</t>
    <phoneticPr fontId="1" type="noConversion"/>
  </si>
  <si>
    <t>12*10황(광림스펙)</t>
    <phoneticPr fontId="1" type="noConversion"/>
  </si>
  <si>
    <t>서울패키지 직납</t>
    <phoneticPr fontId="1" type="noConversion"/>
  </si>
  <si>
    <t>12*12.5황</t>
    <phoneticPr fontId="1" type="noConversion"/>
  </si>
  <si>
    <t>15*13황</t>
    <phoneticPr fontId="1" type="noConversion"/>
  </si>
  <si>
    <t>PE 28*2백</t>
    <phoneticPr fontId="1" type="noConversion"/>
  </si>
  <si>
    <t>15박스</t>
    <phoneticPr fontId="1" type="noConversion"/>
  </si>
  <si>
    <t>㈜대진화학</t>
    <phoneticPr fontId="1" type="noConversion"/>
  </si>
  <si>
    <t>40롤씩 2파레트로 포장</t>
    <phoneticPr fontId="1" type="noConversion"/>
  </si>
  <si>
    <t>합동포장 입금확인</t>
    <phoneticPr fontId="1" type="noConversion"/>
  </si>
  <si>
    <t>현충일 휴무</t>
    <phoneticPr fontId="1" type="noConversion"/>
  </si>
  <si>
    <t>한솔포장</t>
    <phoneticPr fontId="1" type="noConversion"/>
  </si>
  <si>
    <t>PE 28*6백</t>
    <phoneticPr fontId="1" type="noConversion"/>
  </si>
  <si>
    <t>25박스</t>
    <phoneticPr fontId="1" type="noConversion"/>
  </si>
  <si>
    <t>재고확인</t>
    <phoneticPr fontId="1" type="noConversion"/>
  </si>
  <si>
    <t>동방포장기자재</t>
    <phoneticPr fontId="1" type="noConversion"/>
  </si>
  <si>
    <t>9*10황 0.63T수출용</t>
    <phoneticPr fontId="1" type="noConversion"/>
  </si>
  <si>
    <t>월</t>
  </si>
  <si>
    <t>12톤</t>
    <phoneticPr fontId="1" type="noConversion"/>
  </si>
  <si>
    <t>16톤</t>
    <phoneticPr fontId="1" type="noConversion"/>
  </si>
  <si>
    <t>40HQ(오전8시)</t>
    <phoneticPr fontId="1" type="noConversion"/>
  </si>
  <si>
    <t>40HQ(오후3시)</t>
    <phoneticPr fontId="1" type="noConversion"/>
  </si>
  <si>
    <t>신대한판지</t>
    <phoneticPr fontId="1" type="noConversion"/>
  </si>
  <si>
    <t>동원팩</t>
    <phoneticPr fontId="1" type="noConversion"/>
  </si>
  <si>
    <t>15*10황</t>
    <phoneticPr fontId="1" type="noConversion"/>
  </si>
  <si>
    <t>pe28*2</t>
    <phoneticPr fontId="1" type="noConversion"/>
  </si>
  <si>
    <t>"급"</t>
    <phoneticPr fontId="1" type="noConversion"/>
  </si>
  <si>
    <t xml:space="preserve">        신대한판지 납품시 자강원료 실어오기</t>
    <phoneticPr fontId="1" type="noConversion"/>
  </si>
  <si>
    <t>7*10백(표기8M)</t>
    <phoneticPr fontId="1" type="noConversion"/>
  </si>
  <si>
    <t>삼성</t>
    <phoneticPr fontId="1" type="noConversion"/>
  </si>
  <si>
    <t>18*21</t>
    <phoneticPr fontId="1" type="noConversion"/>
  </si>
  <si>
    <t>18*15</t>
    <phoneticPr fontId="1" type="noConversion"/>
  </si>
  <si>
    <t>pe28*2</t>
    <phoneticPr fontId="1" type="noConversion"/>
  </si>
  <si>
    <t>15박스</t>
    <phoneticPr fontId="1" type="noConversion"/>
  </si>
  <si>
    <t>pe28*6</t>
    <phoneticPr fontId="1" type="noConversion"/>
  </si>
  <si>
    <t>pp12*10황</t>
    <phoneticPr fontId="1" type="noConversion"/>
  </si>
  <si>
    <t>6/4-50롤추가</t>
    <phoneticPr fontId="1" type="noConversion"/>
  </si>
  <si>
    <t>6/4-64롤 추가</t>
    <phoneticPr fontId="1" type="noConversion"/>
  </si>
  <si>
    <t>9*9.5황 0.65T</t>
    <phoneticPr fontId="1" type="noConversion"/>
  </si>
  <si>
    <t>한서포장</t>
    <phoneticPr fontId="1" type="noConversion"/>
  </si>
  <si>
    <t>12*9.5황</t>
    <phoneticPr fontId="1" type="noConversion"/>
  </si>
  <si>
    <t>21박스(24kg)</t>
    <phoneticPr fontId="1" type="noConversion"/>
  </si>
  <si>
    <t>제책3층으로 납품</t>
    <phoneticPr fontId="1" type="noConversion"/>
  </si>
  <si>
    <t>월</t>
    <phoneticPr fontId="1" type="noConversion"/>
  </si>
  <si>
    <t>삼성</t>
    <phoneticPr fontId="1" type="noConversion"/>
  </si>
  <si>
    <t>18*21</t>
    <phoneticPr fontId="1" type="noConversion"/>
  </si>
  <si>
    <t>산유</t>
    <phoneticPr fontId="1" type="noConversion"/>
  </si>
  <si>
    <t>15.5*2500 청외</t>
    <phoneticPr fontId="1" type="noConversion"/>
  </si>
  <si>
    <t>7.2톤</t>
    <phoneticPr fontId="1" type="noConversion"/>
  </si>
  <si>
    <t>20" 오전8시</t>
    <phoneticPr fontId="1" type="noConversion"/>
  </si>
  <si>
    <t>삼성</t>
    <phoneticPr fontId="1" type="noConversion"/>
  </si>
  <si>
    <t>PE28*2적</t>
    <phoneticPr fontId="1" type="noConversion"/>
  </si>
  <si>
    <t>1박스(24K)</t>
    <phoneticPr fontId="1" type="noConversion"/>
  </si>
  <si>
    <t>강원농협</t>
    <phoneticPr fontId="1" type="noConversion"/>
  </si>
  <si>
    <t>12*12.5황</t>
    <phoneticPr fontId="1" type="noConversion"/>
  </si>
  <si>
    <t>PE 28*2청</t>
    <phoneticPr fontId="1" type="noConversion"/>
  </si>
  <si>
    <t>5박스</t>
    <phoneticPr fontId="1" type="noConversion"/>
  </si>
  <si>
    <t>삼성</t>
    <phoneticPr fontId="1" type="noConversion"/>
  </si>
  <si>
    <t>18*21</t>
    <phoneticPr fontId="1" type="noConversion"/>
  </si>
  <si>
    <t>동원팩</t>
    <phoneticPr fontId="1" type="noConversion"/>
  </si>
  <si>
    <t>PE 28*2백</t>
    <phoneticPr fontId="1" type="noConversion"/>
  </si>
  <si>
    <t>25박스</t>
    <phoneticPr fontId="1" type="noConversion"/>
  </si>
  <si>
    <t>PE 28*6백</t>
    <phoneticPr fontId="1" type="noConversion"/>
  </si>
  <si>
    <t>15박스</t>
    <phoneticPr fontId="1" type="noConversion"/>
  </si>
  <si>
    <t>20박스</t>
    <phoneticPr fontId="1" type="noConversion"/>
  </si>
  <si>
    <t>한솔포장</t>
    <phoneticPr fontId="1" type="noConversion"/>
  </si>
  <si>
    <t>삼화인쇄</t>
    <phoneticPr fontId="1" type="noConversion"/>
  </si>
  <si>
    <t>10.5*10투</t>
    <phoneticPr fontId="1" type="noConversion"/>
  </si>
  <si>
    <t>삼성종합포장</t>
    <phoneticPr fontId="1" type="noConversion"/>
  </si>
  <si>
    <t>PE28*2백</t>
    <phoneticPr fontId="1" type="noConversion"/>
  </si>
  <si>
    <t>20박스</t>
    <phoneticPr fontId="1" type="noConversion"/>
  </si>
  <si>
    <t>11박스</t>
    <phoneticPr fontId="1" type="noConversion"/>
  </si>
  <si>
    <t>18*15</t>
    <phoneticPr fontId="1" type="noConversion"/>
  </si>
  <si>
    <t>12*10투(얇은밴드)0.7T</t>
    <phoneticPr fontId="1" type="noConversion"/>
  </si>
  <si>
    <t>동방포장기자재</t>
    <phoneticPr fontId="1" type="noConversion"/>
  </si>
  <si>
    <t>12*10황(SK규격패드갈이)</t>
    <phoneticPr fontId="1" type="noConversion"/>
  </si>
  <si>
    <t>삼성</t>
    <phoneticPr fontId="1" type="noConversion"/>
  </si>
  <si>
    <t>18*21</t>
    <phoneticPr fontId="1" type="noConversion"/>
  </si>
  <si>
    <t>삼성</t>
    <phoneticPr fontId="1" type="noConversion"/>
  </si>
  <si>
    <t>월</t>
    <phoneticPr fontId="1" type="noConversion"/>
  </si>
  <si>
    <t>20박스</t>
    <phoneticPr fontId="1" type="noConversion"/>
  </si>
  <si>
    <t>PE 28*2백(24Kg)</t>
    <phoneticPr fontId="1" type="noConversion"/>
  </si>
  <si>
    <t>낙원포장</t>
    <phoneticPr fontId="1" type="noConversion"/>
  </si>
  <si>
    <t>PE28*2적</t>
    <phoneticPr fontId="1" type="noConversion"/>
  </si>
  <si>
    <t>10박스</t>
    <phoneticPr fontId="1" type="noConversion"/>
  </si>
  <si>
    <t>PE28*2황</t>
    <phoneticPr fontId="1" type="noConversion"/>
  </si>
  <si>
    <t>10박스</t>
    <phoneticPr fontId="1" type="noConversion"/>
  </si>
  <si>
    <t>PE28*2청</t>
    <phoneticPr fontId="1" type="noConversion"/>
  </si>
  <si>
    <t>PE28*2백</t>
    <phoneticPr fontId="1" type="noConversion"/>
  </si>
  <si>
    <t>10.5*10</t>
    <phoneticPr fontId="1" type="noConversion"/>
  </si>
  <si>
    <t>12*12*0.63T청</t>
    <phoneticPr fontId="1" type="noConversion"/>
  </si>
  <si>
    <t>12*10황(SK규격패드갈이)</t>
    <phoneticPr fontId="1" type="noConversion"/>
  </si>
  <si>
    <t>목</t>
    <phoneticPr fontId="1" type="noConversion"/>
  </si>
  <si>
    <t>PP클립</t>
    <phoneticPr fontId="1" type="noConversion"/>
  </si>
  <si>
    <t>1000 ea</t>
    <phoneticPr fontId="1" type="noConversion"/>
  </si>
  <si>
    <t>18*15</t>
    <phoneticPr fontId="1" type="noConversion"/>
  </si>
  <si>
    <t>15*10황(SK제품)</t>
    <phoneticPr fontId="1" type="noConversion"/>
  </si>
  <si>
    <t>대영포장(발안)</t>
    <phoneticPr fontId="1" type="noConversion"/>
  </si>
  <si>
    <t>7*10백</t>
    <phoneticPr fontId="1" type="noConversion"/>
  </si>
  <si>
    <t>PE 50*5Kg백</t>
    <phoneticPr fontId="1" type="noConversion"/>
  </si>
  <si>
    <t>JK(자강)</t>
    <phoneticPr fontId="1" type="noConversion"/>
  </si>
  <si>
    <t>18*10황</t>
    <phoneticPr fontId="1" type="noConversion"/>
  </si>
  <si>
    <t>신대한판지</t>
    <phoneticPr fontId="1" type="noConversion"/>
  </si>
  <si>
    <t>목</t>
    <phoneticPr fontId="1" type="noConversion"/>
  </si>
  <si>
    <t>삼성</t>
    <phoneticPr fontId="1" type="noConversion"/>
  </si>
  <si>
    <t>18*21</t>
    <phoneticPr fontId="1" type="noConversion"/>
  </si>
  <si>
    <t>18*15</t>
    <phoneticPr fontId="1" type="noConversion"/>
  </si>
  <si>
    <t>한솔포장</t>
    <phoneticPr fontId="1" type="noConversion"/>
  </si>
  <si>
    <t>PE28*6백</t>
    <phoneticPr fontId="1" type="noConversion"/>
  </si>
  <si>
    <t>화</t>
    <phoneticPr fontId="1" type="noConversion"/>
  </si>
  <si>
    <t>동방포장기계</t>
    <phoneticPr fontId="1" type="noConversion"/>
  </si>
  <si>
    <t>1톤 화물 납품</t>
    <phoneticPr fontId="1" type="noConversion"/>
  </si>
  <si>
    <t>8m*6.4T*3800m백</t>
    <phoneticPr fontId="1" type="noConversion"/>
  </si>
  <si>
    <t>동원팩</t>
    <phoneticPr fontId="1" type="noConversion"/>
  </si>
  <si>
    <t>PE28*2백</t>
    <phoneticPr fontId="1" type="noConversion"/>
  </si>
  <si>
    <t>PE28*6백</t>
    <phoneticPr fontId="1" type="noConversion"/>
  </si>
  <si>
    <t>20박스</t>
    <phoneticPr fontId="1" type="noConversion"/>
  </si>
  <si>
    <t>30박스</t>
    <phoneticPr fontId="1" type="noConversion"/>
  </si>
  <si>
    <t>밴드클립</t>
    <phoneticPr fontId="1" type="noConversion"/>
  </si>
  <si>
    <t>1000 ea</t>
    <phoneticPr fontId="1" type="noConversion"/>
  </si>
  <si>
    <t>12*10황</t>
    <phoneticPr fontId="1" type="noConversion"/>
  </si>
  <si>
    <t>12*12.5투</t>
    <phoneticPr fontId="1" type="noConversion"/>
  </si>
  <si>
    <t>8*10청</t>
    <phoneticPr fontId="1" type="noConversion"/>
  </si>
  <si>
    <t>신한포장기계</t>
    <phoneticPr fontId="1" type="noConversion"/>
  </si>
  <si>
    <t>PE 28*2백</t>
    <phoneticPr fontId="1" type="noConversion"/>
  </si>
  <si>
    <t>50박스</t>
    <phoneticPr fontId="1" type="noConversion"/>
  </si>
  <si>
    <t>대영포장(대구) 7m백 150롤 합화</t>
    <phoneticPr fontId="1" type="noConversion"/>
  </si>
  <si>
    <t>18*15</t>
    <phoneticPr fontId="1" type="noConversion"/>
  </si>
  <si>
    <t>삼성</t>
    <phoneticPr fontId="1" type="noConversion"/>
  </si>
  <si>
    <t>18*15</t>
    <phoneticPr fontId="1" type="noConversion"/>
  </si>
  <si>
    <t>18*21</t>
    <phoneticPr fontId="1" type="noConversion"/>
  </si>
  <si>
    <t>합동포장</t>
    <phoneticPr fontId="1" type="noConversion"/>
  </si>
  <si>
    <t>12*12.5황</t>
    <phoneticPr fontId="1" type="noConversion"/>
  </si>
  <si>
    <t>12*12.5투</t>
    <phoneticPr fontId="1" type="noConversion"/>
  </si>
  <si>
    <t>15*13황</t>
    <phoneticPr fontId="1" type="noConversion"/>
  </si>
  <si>
    <t>신광포장</t>
    <phoneticPr fontId="1" type="noConversion"/>
  </si>
  <si>
    <t>15*10황</t>
    <phoneticPr fontId="1" type="noConversion"/>
  </si>
  <si>
    <t>12*10황</t>
    <phoneticPr fontId="1" type="noConversion"/>
  </si>
  <si>
    <t>서울포장</t>
    <phoneticPr fontId="1" type="noConversion"/>
  </si>
  <si>
    <t>12*10백</t>
    <phoneticPr fontId="1" type="noConversion"/>
  </si>
  <si>
    <t>12*10청</t>
    <phoneticPr fontId="1" type="noConversion"/>
  </si>
  <si>
    <t>18*10황 0.95-1T</t>
    <phoneticPr fontId="1" type="noConversion"/>
  </si>
  <si>
    <t>9*10투 0.75T</t>
    <phoneticPr fontId="1" type="noConversion"/>
  </si>
  <si>
    <t>PE28*2백(24Kg)</t>
    <phoneticPr fontId="1" type="noConversion"/>
  </si>
  <si>
    <t>21박스</t>
    <phoneticPr fontId="1" type="noConversion"/>
  </si>
  <si>
    <t>한솔포장</t>
    <phoneticPr fontId="1" type="noConversion"/>
  </si>
  <si>
    <t>PE28*6백</t>
    <phoneticPr fontId="1" type="noConversion"/>
  </si>
  <si>
    <t>PE28*2청</t>
    <phoneticPr fontId="1" type="noConversion"/>
  </si>
  <si>
    <t>PE28*2녹</t>
    <phoneticPr fontId="1" type="noConversion"/>
  </si>
  <si>
    <t>4박스</t>
    <phoneticPr fontId="1" type="noConversion"/>
  </si>
  <si>
    <t>삼성</t>
    <phoneticPr fontId="1" type="noConversion"/>
  </si>
  <si>
    <t>28*2백</t>
    <phoneticPr fontId="1" type="noConversion"/>
  </si>
  <si>
    <t>144박스</t>
    <phoneticPr fontId="1" type="noConversion"/>
  </si>
  <si>
    <t>경인팩</t>
    <phoneticPr fontId="1" type="noConversion"/>
  </si>
  <si>
    <t>25박스</t>
    <phoneticPr fontId="1" type="noConversion"/>
  </si>
  <si>
    <t>보우팩</t>
    <phoneticPr fontId="1" type="noConversion"/>
  </si>
  <si>
    <t>12*12.5황</t>
    <phoneticPr fontId="1" type="noConversion"/>
  </si>
  <si>
    <t>6*10백</t>
    <phoneticPr fontId="1" type="noConversion"/>
  </si>
  <si>
    <t>수</t>
    <phoneticPr fontId="1" type="noConversion"/>
  </si>
  <si>
    <t>동방포장기자재</t>
    <phoneticPr fontId="1" type="noConversion"/>
  </si>
  <si>
    <t>12*10황0.68T(농협)</t>
    <phoneticPr fontId="1" type="noConversion"/>
  </si>
  <si>
    <t>쇼핑백1층</t>
    <phoneticPr fontId="1" type="noConversion"/>
  </si>
  <si>
    <t>동원팩</t>
    <phoneticPr fontId="1" type="noConversion"/>
  </si>
  <si>
    <t>PE28*6백(24Kg)</t>
    <phoneticPr fontId="1" type="noConversion"/>
  </si>
  <si>
    <t>삼성</t>
    <phoneticPr fontId="1" type="noConversion"/>
  </si>
  <si>
    <t>18*21</t>
    <phoneticPr fontId="1" type="noConversion"/>
  </si>
  <si>
    <t>18*21</t>
    <phoneticPr fontId="1" type="noConversion"/>
  </si>
  <si>
    <t>18*15</t>
    <phoneticPr fontId="1" type="noConversion"/>
  </si>
  <si>
    <t>JH글로벌</t>
    <phoneticPr fontId="1" type="noConversion"/>
  </si>
  <si>
    <t>에이원코리아</t>
    <phoneticPr fontId="1" type="noConversion"/>
  </si>
  <si>
    <t>50롤</t>
    <phoneticPr fontId="1" type="noConversion"/>
  </si>
  <si>
    <t>12*12 황</t>
    <phoneticPr fontId="1" type="noConversion"/>
  </si>
  <si>
    <t>2박스</t>
    <phoneticPr fontId="1" type="noConversion"/>
  </si>
  <si>
    <t>한서포장</t>
    <phoneticPr fontId="1" type="noConversion"/>
  </si>
  <si>
    <t>12*9.5 황</t>
    <phoneticPr fontId="1" type="noConversion"/>
  </si>
  <si>
    <t>100롤</t>
    <phoneticPr fontId="1" type="noConversion"/>
  </si>
  <si>
    <t>10박스</t>
    <phoneticPr fontId="1" type="noConversion"/>
  </si>
  <si>
    <t>56롤</t>
    <phoneticPr fontId="1" type="noConversion"/>
  </si>
  <si>
    <t>PE28*2백(20Kg)</t>
    <phoneticPr fontId="1" type="noConversion"/>
  </si>
  <si>
    <t>102 롤</t>
    <phoneticPr fontId="1" type="noConversion"/>
  </si>
  <si>
    <t>12*10 황</t>
    <phoneticPr fontId="1" type="noConversion"/>
  </si>
  <si>
    <t>50롤</t>
    <phoneticPr fontId="1" type="noConversion"/>
  </si>
  <si>
    <t>삼보팩</t>
    <phoneticPr fontId="1" type="noConversion"/>
  </si>
  <si>
    <t>50롤 다음주 배송</t>
    <phoneticPr fontId="1" type="noConversion"/>
  </si>
  <si>
    <t>12*10황</t>
    <phoneticPr fontId="1" type="noConversion"/>
  </si>
  <si>
    <t>6*10백</t>
    <phoneticPr fontId="1" type="noConversion"/>
  </si>
  <si>
    <t>월</t>
    <phoneticPr fontId="1" type="noConversion"/>
  </si>
  <si>
    <t>화</t>
    <phoneticPr fontId="1" type="noConversion"/>
  </si>
  <si>
    <t>수</t>
    <phoneticPr fontId="1" type="noConversion"/>
  </si>
  <si>
    <t>광 복 절   휴 무</t>
    <phoneticPr fontId="1" type="noConversion"/>
  </si>
  <si>
    <t>9*9.5황 0.65T</t>
    <phoneticPr fontId="1" type="noConversion"/>
  </si>
  <si>
    <t>PE28*6백</t>
    <phoneticPr fontId="1" type="noConversion"/>
  </si>
  <si>
    <t>25박스</t>
    <phoneticPr fontId="1" type="noConversion"/>
  </si>
  <si>
    <t>15*10황0.8T(농협)</t>
    <phoneticPr fontId="1" type="noConversion"/>
  </si>
  <si>
    <t>19톤</t>
    <phoneticPr fontId="1" type="noConversion"/>
  </si>
  <si>
    <t>40"(오후5시)</t>
    <phoneticPr fontId="1" type="noConversion"/>
  </si>
  <si>
    <t>8.6톤</t>
    <phoneticPr fontId="1" type="noConversion"/>
  </si>
  <si>
    <t>대진화학</t>
    <phoneticPr fontId="1" type="noConversion"/>
  </si>
  <si>
    <t>7*10백</t>
    <phoneticPr fontId="1" type="noConversion"/>
  </si>
  <si>
    <t>화</t>
    <phoneticPr fontId="1" type="noConversion"/>
  </si>
  <si>
    <t>15박스</t>
    <phoneticPr fontId="1" type="noConversion"/>
  </si>
  <si>
    <t>스트레치필름</t>
    <phoneticPr fontId="1" type="noConversion"/>
  </si>
  <si>
    <t>대영포장(발안)</t>
    <phoneticPr fontId="1" type="noConversion"/>
  </si>
  <si>
    <t>7*10백</t>
    <phoneticPr fontId="1" type="noConversion"/>
  </si>
  <si>
    <t>50롤 7월, 150롤 8월로 이월</t>
    <phoneticPr fontId="1" type="noConversion"/>
  </si>
  <si>
    <t>15*10황(솔표인쇄)</t>
    <phoneticPr fontId="1" type="noConversion"/>
  </si>
  <si>
    <t>동방포장기자재</t>
    <phoneticPr fontId="1" type="noConversion"/>
  </si>
  <si>
    <t>12*10황</t>
    <phoneticPr fontId="1" type="noConversion"/>
  </si>
  <si>
    <t>PE28*2백(24Kg)</t>
    <phoneticPr fontId="1" type="noConversion"/>
  </si>
  <si>
    <t>삼성</t>
    <phoneticPr fontId="1" type="noConversion"/>
  </si>
  <si>
    <t>18*21</t>
    <phoneticPr fontId="1" type="noConversion"/>
  </si>
  <si>
    <t>보우팩</t>
    <phoneticPr fontId="1" type="noConversion"/>
  </si>
  <si>
    <t>12*12.5황</t>
    <phoneticPr fontId="1" type="noConversion"/>
  </si>
  <si>
    <t>12*12.5투</t>
    <phoneticPr fontId="1" type="noConversion"/>
  </si>
  <si>
    <t>6*10백</t>
    <phoneticPr fontId="1" type="noConversion"/>
  </si>
  <si>
    <t>15*13 50롤 반품</t>
    <phoneticPr fontId="1" type="noConversion"/>
  </si>
  <si>
    <t>PE28*2백</t>
    <phoneticPr fontId="1" type="noConversion"/>
  </si>
  <si>
    <t>15*9.5적</t>
    <phoneticPr fontId="1" type="noConversion"/>
  </si>
  <si>
    <t>하이테크</t>
    <phoneticPr fontId="1" type="noConversion"/>
  </si>
  <si>
    <t>19mm*300m블루</t>
    <phoneticPr fontId="1" type="noConversion"/>
  </si>
  <si>
    <t>1.7톤</t>
    <phoneticPr fontId="1" type="noConversion"/>
  </si>
  <si>
    <t>사이클럽</t>
    <phoneticPr fontId="1" type="noConversion"/>
  </si>
  <si>
    <t>20"(오후5시)</t>
    <phoneticPr fontId="1" type="noConversion"/>
  </si>
  <si>
    <t>40HQ(오후5시)</t>
    <phoneticPr fontId="1" type="noConversion"/>
  </si>
  <si>
    <t>WCP</t>
    <phoneticPr fontId="1" type="noConversion"/>
  </si>
  <si>
    <t>12*3017m백외</t>
    <phoneticPr fontId="1" type="noConversion"/>
  </si>
  <si>
    <t>17톤</t>
    <phoneticPr fontId="1" type="noConversion"/>
  </si>
  <si>
    <t>3톤</t>
    <phoneticPr fontId="1" type="noConversion"/>
  </si>
  <si>
    <t>용차(오후2시)</t>
    <phoneticPr fontId="1" type="noConversion"/>
  </si>
  <si>
    <t>48박스</t>
    <phoneticPr fontId="1" type="noConversion"/>
  </si>
  <si>
    <t>PE28*2백 60박스,
PE28*6백 40박스미출고</t>
    <phoneticPr fontId="1" type="noConversion"/>
  </si>
  <si>
    <t>1000 ea</t>
    <phoneticPr fontId="1" type="noConversion"/>
  </si>
  <si>
    <t>PP 클립</t>
    <phoneticPr fontId="1" type="noConversion"/>
  </si>
  <si>
    <t>화</t>
    <phoneticPr fontId="1" type="noConversion"/>
  </si>
  <si>
    <t>PE50*5백</t>
    <phoneticPr fontId="1" type="noConversion"/>
  </si>
  <si>
    <t>9*10황(0.75)</t>
    <phoneticPr fontId="1" type="noConversion"/>
  </si>
  <si>
    <t>15*10투</t>
    <phoneticPr fontId="1" type="noConversion"/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</si>
  <si>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" type="noConversion"/>
  </si>
  <si>
    <t>제이케이머트리얼즈</t>
    <phoneticPr fontId="1" type="noConversion"/>
  </si>
  <si>
    <t>18*10황</t>
    <phoneticPr fontId="1" type="noConversion"/>
  </si>
  <si>
    <t>직접 방문</t>
    <phoneticPr fontId="1" type="noConversion"/>
  </si>
  <si>
    <t>18*15</t>
    <phoneticPr fontId="1" type="noConversion"/>
  </si>
  <si>
    <t>직접 방문</t>
    <phoneticPr fontId="1" type="noConversion"/>
  </si>
  <si>
    <t>9*4000청외</t>
    <phoneticPr fontId="1" type="noConversion"/>
  </si>
  <si>
    <t>12*10백</t>
    <phoneticPr fontId="1" type="noConversion"/>
  </si>
  <si>
    <t>9*10(0.75T)투</t>
    <phoneticPr fontId="1" type="noConversion"/>
  </si>
  <si>
    <t>15*13황</t>
    <phoneticPr fontId="1" type="noConversion"/>
  </si>
  <si>
    <t>9*9.5(0.65T)황</t>
    <phoneticPr fontId="1" type="noConversion"/>
  </si>
  <si>
    <t>6*10백</t>
    <phoneticPr fontId="1" type="noConversion"/>
  </si>
  <si>
    <t>용차</t>
    <phoneticPr fontId="1" type="noConversion"/>
  </si>
  <si>
    <t>PE28*6백</t>
    <phoneticPr fontId="1" type="noConversion"/>
  </si>
  <si>
    <t>16박스</t>
    <phoneticPr fontId="1" type="noConversion"/>
  </si>
  <si>
    <t>PE28*2적</t>
    <phoneticPr fontId="1" type="noConversion"/>
  </si>
  <si>
    <t>1박스</t>
    <phoneticPr fontId="1" type="noConversion"/>
  </si>
  <si>
    <t>PE28*2백(특)</t>
    <phoneticPr fontId="1" type="noConversion"/>
  </si>
  <si>
    <t>삼성</t>
    <phoneticPr fontId="1" type="noConversion"/>
  </si>
  <si>
    <t>18*21</t>
    <phoneticPr fontId="1" type="noConversion"/>
  </si>
  <si>
    <t>낙원포장</t>
    <phoneticPr fontId="1" type="noConversion"/>
  </si>
  <si>
    <t>28*2적</t>
    <phoneticPr fontId="1" type="noConversion"/>
  </si>
  <si>
    <t>13박스</t>
    <phoneticPr fontId="1" type="noConversion"/>
  </si>
  <si>
    <t>28*2청</t>
    <phoneticPr fontId="1" type="noConversion"/>
  </si>
  <si>
    <t>10박스</t>
    <phoneticPr fontId="1" type="noConversion"/>
  </si>
  <si>
    <t>28*2황</t>
    <phoneticPr fontId="1" type="noConversion"/>
  </si>
  <si>
    <t>5박스</t>
    <phoneticPr fontId="1" type="noConversion"/>
  </si>
  <si>
    <t>28*2백</t>
    <phoneticPr fontId="1" type="noConversion"/>
  </si>
  <si>
    <t>10박스</t>
    <phoneticPr fontId="1" type="noConversion"/>
  </si>
  <si>
    <t>20"(오후4시)</t>
    <phoneticPr fontId="1" type="noConversion"/>
  </si>
  <si>
    <t>20"(오후5시)</t>
    <phoneticPr fontId="1" type="noConversion"/>
  </si>
  <si>
    <t>금산포장</t>
    <phoneticPr fontId="1" type="noConversion"/>
  </si>
  <si>
    <t>PE28*2백</t>
    <phoneticPr fontId="1" type="noConversion"/>
  </si>
  <si>
    <t>30박스</t>
    <phoneticPr fontId="1" type="noConversion"/>
  </si>
  <si>
    <t>합동포장기계</t>
    <phoneticPr fontId="1" type="noConversion"/>
  </si>
  <si>
    <t>12*12.5황</t>
    <phoneticPr fontId="1" type="noConversion"/>
  </si>
  <si>
    <t>12*12.5투</t>
    <phoneticPr fontId="1" type="noConversion"/>
  </si>
  <si>
    <t>15*13황</t>
    <phoneticPr fontId="1" type="noConversion"/>
  </si>
  <si>
    <t>PE28*2백</t>
    <phoneticPr fontId="1" type="noConversion"/>
  </si>
  <si>
    <t>30박스</t>
    <phoneticPr fontId="1" type="noConversion"/>
  </si>
  <si>
    <t>동원팩</t>
    <phoneticPr fontId="1" type="noConversion"/>
  </si>
  <si>
    <t>6*10백</t>
    <phoneticPr fontId="1" type="noConversion"/>
  </si>
  <si>
    <t>오전 납품</t>
    <phoneticPr fontId="1" type="noConversion"/>
  </si>
  <si>
    <t>삼성</t>
    <phoneticPr fontId="1" type="noConversion"/>
  </si>
  <si>
    <t>18*21</t>
    <phoneticPr fontId="1" type="noConversion"/>
  </si>
  <si>
    <t>PE28*2백</t>
    <phoneticPr fontId="1" type="noConversion"/>
  </si>
  <si>
    <t>20박스</t>
    <phoneticPr fontId="1" type="noConversion"/>
  </si>
  <si>
    <t>PE28*6백</t>
    <phoneticPr fontId="1" type="noConversion"/>
  </si>
  <si>
    <t>15박스</t>
    <phoneticPr fontId="1" type="noConversion"/>
  </si>
  <si>
    <t>10까지 납품 요망</t>
    <phoneticPr fontId="1" type="noConversion"/>
  </si>
  <si>
    <t>광림파워팩</t>
    <phoneticPr fontId="1" type="noConversion"/>
  </si>
  <si>
    <t>6*10백</t>
    <phoneticPr fontId="1" type="noConversion"/>
  </si>
  <si>
    <t>12*12.5황</t>
    <phoneticPr fontId="1" type="noConversion"/>
  </si>
  <si>
    <t>12*10황</t>
    <phoneticPr fontId="1" type="noConversion"/>
  </si>
  <si>
    <t>15*10황</t>
    <phoneticPr fontId="1" type="noConversion"/>
  </si>
  <si>
    <t>PE28*2백(24Kg)</t>
    <phoneticPr fontId="1" type="noConversion"/>
  </si>
  <si>
    <t>28박스</t>
    <phoneticPr fontId="1" type="noConversion"/>
  </si>
  <si>
    <t>삼성</t>
    <phoneticPr fontId="1" type="noConversion"/>
  </si>
  <si>
    <t>18*21</t>
    <phoneticPr fontId="1" type="noConversion"/>
  </si>
  <si>
    <t>18*15</t>
    <phoneticPr fontId="1" type="noConversion"/>
  </si>
  <si>
    <t>경인팩</t>
    <phoneticPr fontId="1" type="noConversion"/>
  </si>
  <si>
    <t>PE28*2백</t>
    <phoneticPr fontId="1" type="noConversion"/>
  </si>
  <si>
    <t>108박스</t>
    <phoneticPr fontId="1" type="noConversion"/>
  </si>
  <si>
    <t>PE28*6백</t>
    <phoneticPr fontId="1" type="noConversion"/>
  </si>
  <si>
    <t>60박스</t>
    <phoneticPr fontId="1" type="noConversion"/>
  </si>
  <si>
    <t>6*10백</t>
    <phoneticPr fontId="1" type="noConversion"/>
  </si>
  <si>
    <t>12*10백(0.65T)</t>
    <phoneticPr fontId="1" type="noConversion"/>
  </si>
  <si>
    <t>7*10백</t>
    <phoneticPr fontId="1" type="noConversion"/>
  </si>
  <si>
    <t>신대한판지</t>
    <phoneticPr fontId="1" type="noConversion"/>
  </si>
  <si>
    <t>15*1000*0.5회색 외</t>
    <phoneticPr fontId="1" type="noConversion"/>
  </si>
  <si>
    <t>18톤</t>
    <phoneticPr fontId="1" type="noConversion"/>
  </si>
  <si>
    <t>한서포장</t>
    <phoneticPr fontId="1" type="noConversion"/>
  </si>
  <si>
    <t>PE28*2백</t>
    <phoneticPr fontId="1" type="noConversion"/>
  </si>
  <si>
    <t>12*9.5황</t>
    <phoneticPr fontId="1" type="noConversion"/>
  </si>
  <si>
    <t>10박스</t>
    <phoneticPr fontId="1" type="noConversion"/>
  </si>
  <si>
    <t>삼성</t>
    <phoneticPr fontId="1" type="noConversion"/>
  </si>
  <si>
    <t>18*21</t>
    <phoneticPr fontId="1" type="noConversion"/>
  </si>
  <si>
    <t>18*15</t>
    <phoneticPr fontId="1" type="noConversion"/>
  </si>
  <si>
    <t>삼성</t>
    <phoneticPr fontId="1" type="noConversion"/>
  </si>
  <si>
    <t>화</t>
    <phoneticPr fontId="1" type="noConversion"/>
  </si>
  <si>
    <t>18*21</t>
    <phoneticPr fontId="1" type="noConversion"/>
  </si>
  <si>
    <t>추 석 연 휴</t>
    <phoneticPr fontId="1" type="noConversion"/>
  </si>
  <si>
    <t>대영포장(발안)</t>
    <phoneticPr fontId="1" type="noConversion"/>
  </si>
  <si>
    <t>7*10백</t>
    <phoneticPr fontId="1" type="noConversion"/>
  </si>
  <si>
    <t>제일포장(김해)</t>
    <phoneticPr fontId="1" type="noConversion"/>
  </si>
  <si>
    <t>PE28*2백</t>
    <phoneticPr fontId="1" type="noConversion"/>
  </si>
  <si>
    <t>100박스</t>
    <phoneticPr fontId="1" type="noConversion"/>
  </si>
  <si>
    <t>합화차 배송</t>
    <phoneticPr fontId="1" type="noConversion"/>
  </si>
  <si>
    <t>대전인재사</t>
    <phoneticPr fontId="1" type="noConversion"/>
  </si>
  <si>
    <t>12*9황</t>
    <phoneticPr fontId="1" type="noConversion"/>
  </si>
  <si>
    <t>용차</t>
    <phoneticPr fontId="1" type="noConversion"/>
  </si>
  <si>
    <t>에이원코리아</t>
    <phoneticPr fontId="1" type="noConversion"/>
  </si>
  <si>
    <t>12*12황</t>
    <phoneticPr fontId="1" type="noConversion"/>
  </si>
  <si>
    <t>라바인터네셔널</t>
    <phoneticPr fontId="1" type="noConversion"/>
  </si>
  <si>
    <t>12*10황</t>
    <phoneticPr fontId="1" type="noConversion"/>
  </si>
  <si>
    <t>대진화학</t>
    <phoneticPr fontId="1" type="noConversion"/>
  </si>
  <si>
    <t>7*100백</t>
    <phoneticPr fontId="1" type="noConversion"/>
  </si>
  <si>
    <t>강원농협</t>
    <phoneticPr fontId="1" type="noConversion"/>
  </si>
  <si>
    <t>12*12.5황</t>
    <phoneticPr fontId="1" type="noConversion"/>
  </si>
  <si>
    <t>동방포장기자재</t>
    <phoneticPr fontId="1" type="noConversion"/>
  </si>
  <si>
    <t>12*10황(농협)</t>
    <phoneticPr fontId="1" type="noConversion"/>
  </si>
  <si>
    <t>한솔포장</t>
    <phoneticPr fontId="1" type="noConversion"/>
  </si>
  <si>
    <t>PE28*6백</t>
    <phoneticPr fontId="1" type="noConversion"/>
  </si>
  <si>
    <t>25박스</t>
    <phoneticPr fontId="1" type="noConversion"/>
  </si>
  <si>
    <t>PE28*2청</t>
    <phoneticPr fontId="1" type="noConversion"/>
  </si>
  <si>
    <t>13박스</t>
    <phoneticPr fontId="1" type="noConversion"/>
  </si>
  <si>
    <t>PE28*2황</t>
    <phoneticPr fontId="1" type="noConversion"/>
  </si>
  <si>
    <t>12박스</t>
    <phoneticPr fontId="1" type="noConversion"/>
  </si>
  <si>
    <t>한제 P&amp;S</t>
    <phoneticPr fontId="1" type="noConversion"/>
  </si>
  <si>
    <t>12*3000*0.63청</t>
    <phoneticPr fontId="1" type="noConversion"/>
  </si>
  <si>
    <t>6.5톤</t>
    <phoneticPr fontId="1" type="noConversion"/>
  </si>
  <si>
    <t>내륙운송 오후</t>
    <phoneticPr fontId="1" type="noConversion"/>
  </si>
  <si>
    <t>엔더슨</t>
    <phoneticPr fontId="1" type="noConversion"/>
  </si>
  <si>
    <t>19*1000*0.7검</t>
    <phoneticPr fontId="1" type="noConversion"/>
  </si>
  <si>
    <t>18.5톤</t>
    <phoneticPr fontId="1" type="noConversion"/>
  </si>
  <si>
    <t>김시석 연차</t>
    <phoneticPr fontId="1" type="noConversion"/>
  </si>
  <si>
    <t>김민정 연차</t>
    <phoneticPr fontId="1" type="noConversion"/>
  </si>
  <si>
    <t>12*10황</t>
    <phoneticPr fontId="1" type="noConversion"/>
  </si>
  <si>
    <t>12*12.5황</t>
    <phoneticPr fontId="1" type="noConversion"/>
  </si>
  <si>
    <t>15*10황</t>
    <phoneticPr fontId="1" type="noConversion"/>
  </si>
  <si>
    <t>까데기</t>
    <phoneticPr fontId="1" type="noConversion"/>
  </si>
  <si>
    <t>신한포장기계</t>
    <phoneticPr fontId="1" type="noConversion"/>
  </si>
  <si>
    <t>PE28*2백</t>
    <phoneticPr fontId="1" type="noConversion"/>
  </si>
  <si>
    <t>50박스</t>
    <phoneticPr fontId="1" type="noConversion"/>
  </si>
  <si>
    <t>기계 가져와야 함</t>
    <phoneticPr fontId="1" type="noConversion"/>
  </si>
  <si>
    <t>비오는날 납품하지 말것</t>
    <phoneticPr fontId="1" type="noConversion"/>
  </si>
  <si>
    <t>삼성</t>
    <phoneticPr fontId="1" type="noConversion"/>
  </si>
  <si>
    <t>18*21</t>
    <phoneticPr fontId="1" type="noConversion"/>
  </si>
  <si>
    <t>수</t>
    <phoneticPr fontId="1" type="noConversion"/>
  </si>
  <si>
    <t>제일산업</t>
    <phoneticPr fontId="1" type="noConversion"/>
  </si>
  <si>
    <t>50*5백</t>
    <phoneticPr fontId="1" type="noConversion"/>
  </si>
  <si>
    <t>75박스</t>
    <phoneticPr fontId="1" type="noConversion"/>
  </si>
  <si>
    <t>진송팩</t>
    <phoneticPr fontId="1" type="noConversion"/>
  </si>
  <si>
    <t>PE28*2백</t>
    <phoneticPr fontId="1" type="noConversion"/>
  </si>
  <si>
    <t>중앙포장기계 납품(용차)</t>
    <phoneticPr fontId="1" type="noConversion"/>
  </si>
  <si>
    <t>진송팩 납품(김부장님)</t>
    <phoneticPr fontId="1" type="noConversion"/>
  </si>
  <si>
    <t>8/23 용차 납품</t>
    <phoneticPr fontId="1" type="noConversion"/>
  </si>
  <si>
    <t>18*15</t>
    <phoneticPr fontId="1" type="noConversion"/>
  </si>
  <si>
    <t>금</t>
    <phoneticPr fontId="1" type="noConversion"/>
  </si>
  <si>
    <t>용차</t>
    <phoneticPr fontId="1" type="noConversion"/>
  </si>
  <si>
    <t>수</t>
    <phoneticPr fontId="1" type="noConversion"/>
  </si>
  <si>
    <t>삼화인쇄</t>
    <phoneticPr fontId="1" type="noConversion"/>
  </si>
  <si>
    <t>10.5*10투</t>
    <phoneticPr fontId="1" type="noConversion"/>
  </si>
  <si>
    <t>평판지하B판</t>
    <phoneticPr fontId="1" type="noConversion"/>
  </si>
  <si>
    <t>18*21</t>
    <phoneticPr fontId="1" type="noConversion"/>
  </si>
  <si>
    <t>18*15</t>
    <phoneticPr fontId="1" type="noConversion"/>
  </si>
  <si>
    <t>PP클립</t>
    <phoneticPr fontId="1" type="noConversion"/>
  </si>
  <si>
    <t>1000 ea</t>
    <phoneticPr fontId="1" type="noConversion"/>
  </si>
  <si>
    <t>18*21</t>
    <phoneticPr fontId="1" type="noConversion"/>
  </si>
  <si>
    <t>1000 ea</t>
    <phoneticPr fontId="1" type="noConversion"/>
  </si>
  <si>
    <t>대영포장(발안)</t>
    <phoneticPr fontId="1" type="noConversion"/>
  </si>
  <si>
    <t>7*10백</t>
    <phoneticPr fontId="1" type="noConversion"/>
  </si>
  <si>
    <t>PE50*5백</t>
    <phoneticPr fontId="1" type="noConversion"/>
  </si>
  <si>
    <t>파라마운트</t>
    <phoneticPr fontId="1" type="noConversion"/>
  </si>
  <si>
    <t>7톤</t>
    <phoneticPr fontId="1" type="noConversion"/>
  </si>
  <si>
    <t>20"(오후5시)</t>
    <phoneticPr fontId="1" type="noConversion"/>
  </si>
  <si>
    <t>19*1000*0.85T검</t>
    <phoneticPr fontId="1" type="noConversion"/>
  </si>
  <si>
    <t>12*9.5황</t>
    <phoneticPr fontId="1" type="noConversion"/>
  </si>
  <si>
    <t>PE28*2백</t>
    <phoneticPr fontId="1" type="noConversion"/>
  </si>
  <si>
    <t>서울포장</t>
    <phoneticPr fontId="1" type="noConversion"/>
  </si>
  <si>
    <t>12*10백</t>
    <phoneticPr fontId="1" type="noConversion"/>
  </si>
  <si>
    <t>광림파워팩</t>
    <phoneticPr fontId="1" type="noConversion"/>
  </si>
  <si>
    <t>9*10황(0.75T)</t>
    <phoneticPr fontId="1" type="noConversion"/>
  </si>
  <si>
    <t>12*12.5투</t>
    <phoneticPr fontId="1" type="noConversion"/>
  </si>
  <si>
    <t>15*10황</t>
    <phoneticPr fontId="1" type="noConversion"/>
  </si>
  <si>
    <t>18*15</t>
    <phoneticPr fontId="1" type="noConversion"/>
  </si>
  <si>
    <t>삼성</t>
    <phoneticPr fontId="1" type="noConversion"/>
  </si>
  <si>
    <t>18*21</t>
    <phoneticPr fontId="1" type="noConversion"/>
  </si>
  <si>
    <t>삼성</t>
    <phoneticPr fontId="1" type="noConversion"/>
  </si>
  <si>
    <t>18*21</t>
    <phoneticPr fontId="1" type="noConversion"/>
  </si>
  <si>
    <t>12*12청(0.65T)</t>
    <phoneticPr fontId="1" type="noConversion"/>
  </si>
  <si>
    <t>용차</t>
    <phoneticPr fontId="1" type="noConversion"/>
  </si>
  <si>
    <t>PE28*2백</t>
    <phoneticPr fontId="1" type="noConversion"/>
  </si>
  <si>
    <t>이월</t>
    <phoneticPr fontId="1" type="noConversion"/>
  </si>
  <si>
    <t>12*12.5황</t>
    <phoneticPr fontId="1" type="noConversion"/>
  </si>
  <si>
    <t>8*9.5청</t>
    <phoneticPr fontId="1" type="noConversion"/>
  </si>
  <si>
    <t>용차</t>
    <phoneticPr fontId="1" type="noConversion"/>
  </si>
  <si>
    <t>합동포장</t>
    <phoneticPr fontId="1" type="noConversion"/>
  </si>
  <si>
    <t>고메리</t>
    <phoneticPr fontId="1" type="noConversion"/>
  </si>
  <si>
    <t>4.3톤</t>
    <phoneticPr fontId="1" type="noConversion"/>
  </si>
  <si>
    <t>15.5*100황</t>
    <phoneticPr fontId="1" type="noConversion"/>
  </si>
  <si>
    <t>20"(오후5시)</t>
    <phoneticPr fontId="1" type="noConversion"/>
  </si>
  <si>
    <t>추 석 연 휴</t>
    <phoneticPr fontId="1" type="noConversion"/>
  </si>
  <si>
    <t>한솔포장</t>
    <phoneticPr fontId="1" type="noConversion"/>
  </si>
  <si>
    <t>PE28*6백</t>
    <phoneticPr fontId="1" type="noConversion"/>
  </si>
  <si>
    <t>25박스</t>
    <phoneticPr fontId="1" type="noConversion"/>
  </si>
  <si>
    <t>PE28*2청</t>
    <phoneticPr fontId="1" type="noConversion"/>
  </si>
  <si>
    <t>20박스</t>
    <phoneticPr fontId="1" type="noConversion"/>
  </si>
  <si>
    <t>PE28*2적</t>
    <phoneticPr fontId="1" type="noConversion"/>
  </si>
  <si>
    <t>5박스</t>
    <phoneticPr fontId="1" type="noConversion"/>
  </si>
  <si>
    <t>25박스</t>
    <phoneticPr fontId="1" type="noConversion"/>
  </si>
  <si>
    <t>제이케이머티리얼즈</t>
    <phoneticPr fontId="1" type="noConversion"/>
  </si>
  <si>
    <t>18*10황</t>
    <phoneticPr fontId="1" type="noConversion"/>
  </si>
  <si>
    <t>용차</t>
    <phoneticPr fontId="1" type="noConversion"/>
  </si>
  <si>
    <t>12*12.5투</t>
    <phoneticPr fontId="1" type="noConversion"/>
  </si>
  <si>
    <t>실납 30박스</t>
    <phoneticPr fontId="1" type="noConversion"/>
  </si>
  <si>
    <t>PE28*2백</t>
    <phoneticPr fontId="1" type="noConversion"/>
  </si>
  <si>
    <t>25박스</t>
    <phoneticPr fontId="1" type="noConversion"/>
  </si>
  <si>
    <t>삼성</t>
    <phoneticPr fontId="1" type="noConversion"/>
  </si>
  <si>
    <t>18*21</t>
    <phoneticPr fontId="1" type="noConversion"/>
  </si>
  <si>
    <t>18*15</t>
    <phoneticPr fontId="1" type="noConversion"/>
  </si>
  <si>
    <t>오전납품</t>
    <phoneticPr fontId="1" type="noConversion"/>
  </si>
  <si>
    <t>오전납품</t>
    <phoneticPr fontId="1" type="noConversion"/>
  </si>
  <si>
    <t>동원피엔아이</t>
    <phoneticPr fontId="1" type="noConversion"/>
  </si>
  <si>
    <t>프라스틱버클</t>
    <phoneticPr fontId="1" type="noConversion"/>
  </si>
  <si>
    <t>5000 ea</t>
    <phoneticPr fontId="1" type="noConversion"/>
  </si>
  <si>
    <t>PE50</t>
    <phoneticPr fontId="1" type="noConversion"/>
  </si>
  <si>
    <t>45박스</t>
    <phoneticPr fontId="1" type="noConversion"/>
  </si>
  <si>
    <t>㈜삼신</t>
    <phoneticPr fontId="1" type="noConversion"/>
  </si>
  <si>
    <t>파워팩</t>
    <phoneticPr fontId="1" type="noConversion"/>
  </si>
  <si>
    <t>9톤</t>
    <phoneticPr fontId="1" type="noConversion"/>
  </si>
  <si>
    <t>12*1000*0.5 회 외</t>
    <phoneticPr fontId="1" type="noConversion"/>
  </si>
  <si>
    <t>20"(오전8시)</t>
    <phoneticPr fontId="1" type="noConversion"/>
  </si>
  <si>
    <t>5톤</t>
    <phoneticPr fontId="1" type="noConversion"/>
  </si>
  <si>
    <t>고메리</t>
    <phoneticPr fontId="1" type="noConversion"/>
  </si>
  <si>
    <t>수</t>
    <phoneticPr fontId="1" type="noConversion"/>
  </si>
  <si>
    <t>월</t>
    <phoneticPr fontId="1" type="noConversion"/>
  </si>
  <si>
    <t>삼성</t>
    <phoneticPr fontId="1" type="noConversion"/>
  </si>
  <si>
    <t>18*21</t>
    <phoneticPr fontId="1" type="noConversion"/>
  </si>
  <si>
    <t>18*15</t>
    <phoneticPr fontId="1" type="noConversion"/>
  </si>
  <si>
    <t>PE28*2황</t>
    <phoneticPr fontId="1" type="noConversion"/>
  </si>
  <si>
    <t>삼보팩</t>
    <phoneticPr fontId="1" type="noConversion"/>
  </si>
  <si>
    <t>12*10황</t>
    <phoneticPr fontId="1" type="noConversion"/>
  </si>
  <si>
    <t>15*10*0.95T밝은빨강</t>
    <phoneticPr fontId="1" type="noConversion"/>
  </si>
  <si>
    <t>용차</t>
    <phoneticPr fontId="1" type="noConversion"/>
  </si>
  <si>
    <t>경인팩</t>
    <phoneticPr fontId="1" type="noConversion"/>
  </si>
  <si>
    <t>PE28*2백</t>
    <phoneticPr fontId="1" type="noConversion"/>
  </si>
  <si>
    <t>54박스</t>
    <phoneticPr fontId="1" type="noConversion"/>
  </si>
  <si>
    <t>PE28*2황</t>
    <phoneticPr fontId="1" type="noConversion"/>
  </si>
  <si>
    <t>10박스</t>
    <phoneticPr fontId="1" type="noConversion"/>
  </si>
  <si>
    <t>PE28*6백</t>
    <phoneticPr fontId="1" type="noConversion"/>
  </si>
  <si>
    <t>12박스</t>
    <phoneticPr fontId="1" type="noConversion"/>
  </si>
  <si>
    <t>12*10*0.65(농협)</t>
    <phoneticPr fontId="1" type="noConversion"/>
  </si>
  <si>
    <t>노스쇼아</t>
    <phoneticPr fontId="1" type="noConversion"/>
  </si>
  <si>
    <t>9.7톤</t>
    <phoneticPr fontId="1" type="noConversion"/>
  </si>
  <si>
    <t>대한테크 제품과 혼적</t>
    <phoneticPr fontId="1" type="noConversion"/>
  </si>
  <si>
    <t>40"(오후5시)</t>
    <phoneticPr fontId="1" type="noConversion"/>
  </si>
  <si>
    <t>9*3734*0.61 백 외</t>
    <phoneticPr fontId="1" type="noConversion"/>
  </si>
  <si>
    <t>15*13황</t>
    <phoneticPr fontId="1" type="noConversion"/>
  </si>
  <si>
    <t>12*10황</t>
    <phoneticPr fontId="1" type="noConversion"/>
  </si>
  <si>
    <t>서울포장</t>
    <phoneticPr fontId="1" type="noConversion"/>
  </si>
  <si>
    <t>12*10백</t>
    <phoneticPr fontId="1" type="noConversion"/>
  </si>
  <si>
    <t>낙원포장</t>
    <phoneticPr fontId="1" type="noConversion"/>
  </si>
  <si>
    <t>10.5*10투</t>
    <phoneticPr fontId="1" type="noConversion"/>
  </si>
  <si>
    <t>신대한판지</t>
    <phoneticPr fontId="1" type="noConversion"/>
  </si>
  <si>
    <t>7*10백</t>
    <phoneticPr fontId="1" type="noConversion"/>
  </si>
  <si>
    <t>12*12.5적</t>
    <phoneticPr fontId="1" type="noConversion"/>
  </si>
  <si>
    <t>12.12.5황</t>
    <phoneticPr fontId="1" type="noConversion"/>
  </si>
  <si>
    <t>8.5*9.5청</t>
    <phoneticPr fontId="1" type="noConversion"/>
  </si>
  <si>
    <t>제일포장</t>
    <phoneticPr fontId="1" type="noConversion"/>
  </si>
  <si>
    <t>PE28*2백</t>
    <phoneticPr fontId="1" type="noConversion"/>
  </si>
  <si>
    <t>합화</t>
    <phoneticPr fontId="1" type="noConversion"/>
  </si>
  <si>
    <t>대영포장</t>
    <phoneticPr fontId="1" type="noConversion"/>
  </si>
  <si>
    <t>18*10황(0.95T)</t>
    <phoneticPr fontId="1" type="noConversion"/>
  </si>
  <si>
    <t>PE50*5황</t>
    <phoneticPr fontId="1" type="noConversion"/>
  </si>
  <si>
    <t>PE50*5청</t>
    <phoneticPr fontId="1" type="noConversion"/>
  </si>
  <si>
    <t>용차</t>
    <phoneticPr fontId="1" type="noConversion"/>
  </si>
  <si>
    <t>싸이클럽</t>
    <phoneticPr fontId="1" type="noConversion"/>
  </si>
  <si>
    <t>18.3톤</t>
    <phoneticPr fontId="1" type="noConversion"/>
  </si>
  <si>
    <t>19*1000*0.95블랙</t>
    <phoneticPr fontId="1" type="noConversion"/>
  </si>
  <si>
    <t>삼성</t>
    <phoneticPr fontId="1" type="noConversion"/>
  </si>
  <si>
    <t>18*21</t>
    <phoneticPr fontId="1" type="noConversion"/>
  </si>
  <si>
    <t>18*21</t>
    <phoneticPr fontId="1" type="noConversion"/>
  </si>
  <si>
    <t>18*15</t>
    <phoneticPr fontId="1" type="noConversion"/>
  </si>
  <si>
    <t>금산포장</t>
    <phoneticPr fontId="1" type="noConversion"/>
  </si>
  <si>
    <t>베트남수출(얇은밴드)</t>
    <phoneticPr fontId="1" type="noConversion"/>
  </si>
  <si>
    <t>12*10*0.65T황</t>
    <phoneticPr fontId="1" type="noConversion"/>
  </si>
  <si>
    <t>얇은밴드</t>
    <phoneticPr fontId="1" type="noConversion"/>
  </si>
  <si>
    <t>12*12.5녹</t>
    <phoneticPr fontId="1" type="noConversion"/>
  </si>
  <si>
    <t>PE28*2백</t>
    <phoneticPr fontId="1" type="noConversion"/>
  </si>
  <si>
    <t>30박스</t>
    <phoneticPr fontId="1" type="noConversion"/>
  </si>
  <si>
    <t>신광포장</t>
    <phoneticPr fontId="1" type="noConversion"/>
  </si>
  <si>
    <t>15*10황</t>
    <phoneticPr fontId="1" type="noConversion"/>
  </si>
  <si>
    <t>12*10황</t>
    <phoneticPr fontId="1" type="noConversion"/>
  </si>
  <si>
    <t>18*21황</t>
    <phoneticPr fontId="1" type="noConversion"/>
  </si>
  <si>
    <t>대영포장(발안)</t>
    <phoneticPr fontId="1" type="noConversion"/>
  </si>
  <si>
    <t>7*10백</t>
    <phoneticPr fontId="1" type="noConversion"/>
  </si>
  <si>
    <t>PE50*5백</t>
    <phoneticPr fontId="1" type="noConversion"/>
  </si>
  <si>
    <t>삼성</t>
    <phoneticPr fontId="1" type="noConversion"/>
  </si>
  <si>
    <t>18*21</t>
    <phoneticPr fontId="1" type="noConversion"/>
  </si>
  <si>
    <t>삼성</t>
    <phoneticPr fontId="1" type="noConversion"/>
  </si>
  <si>
    <t>18*21황</t>
    <phoneticPr fontId="1" type="noConversion"/>
  </si>
  <si>
    <t>용차(10월로 이월)</t>
    <phoneticPr fontId="1" type="noConversion"/>
  </si>
  <si>
    <t>강원농협</t>
    <phoneticPr fontId="1" type="noConversion"/>
  </si>
  <si>
    <t>12*12.5황</t>
    <phoneticPr fontId="1" type="noConversion"/>
  </si>
  <si>
    <t>22박스 납품</t>
    <phoneticPr fontId="1" type="noConversion"/>
  </si>
  <si>
    <t>PP클립</t>
    <phoneticPr fontId="1" type="noConversion"/>
  </si>
  <si>
    <t>18*21</t>
    <phoneticPr fontId="1" type="noConversion"/>
  </si>
  <si>
    <t>PP 클립</t>
    <phoneticPr fontId="1" type="noConversion"/>
  </si>
  <si>
    <t>금산포장</t>
    <phoneticPr fontId="1" type="noConversion"/>
  </si>
  <si>
    <t>12*12.5녹</t>
    <phoneticPr fontId="1" type="noConversion"/>
  </si>
  <si>
    <t>PE28*2백</t>
    <phoneticPr fontId="1" type="noConversion"/>
  </si>
  <si>
    <t>30박스</t>
    <phoneticPr fontId="1" type="noConversion"/>
  </si>
  <si>
    <t>한서포장</t>
    <phoneticPr fontId="1" type="noConversion"/>
  </si>
  <si>
    <t>12*10황</t>
    <phoneticPr fontId="1" type="noConversion"/>
  </si>
  <si>
    <t>15*10황(0.65T)</t>
    <phoneticPr fontId="1" type="noConversion"/>
  </si>
  <si>
    <t>15박스</t>
    <phoneticPr fontId="1" type="noConversion"/>
  </si>
  <si>
    <t>오전납품</t>
    <phoneticPr fontId="1" type="noConversion"/>
  </si>
  <si>
    <t>개 천 절   휴 무</t>
    <phoneticPr fontId="1" type="noConversion"/>
  </si>
  <si>
    <t>수</t>
    <phoneticPr fontId="1" type="noConversion"/>
  </si>
  <si>
    <t>한 글 날   휴 무</t>
    <phoneticPr fontId="1" type="noConversion"/>
  </si>
  <si>
    <t>9.6톤</t>
    <phoneticPr fontId="1" type="noConversion"/>
  </si>
  <si>
    <t>9/30 납품</t>
    <phoneticPr fontId="1" type="noConversion"/>
  </si>
  <si>
    <t>9/30 납품</t>
    <phoneticPr fontId="1" type="noConversion"/>
  </si>
  <si>
    <t>납품</t>
    <phoneticPr fontId="1" type="noConversion"/>
  </si>
  <si>
    <t>서울포장</t>
    <phoneticPr fontId="1" type="noConversion"/>
  </si>
  <si>
    <t>12*10백</t>
    <phoneticPr fontId="1" type="noConversion"/>
  </si>
  <si>
    <t>18*21황</t>
    <phoneticPr fontId="1" type="noConversion"/>
  </si>
  <si>
    <t>동방포장</t>
    <phoneticPr fontId="1" type="noConversion"/>
  </si>
  <si>
    <t>12*10황</t>
    <phoneticPr fontId="1" type="noConversion"/>
  </si>
  <si>
    <t>12*12.5황</t>
    <phoneticPr fontId="1" type="noConversion"/>
  </si>
  <si>
    <t>9*10*0.75황</t>
    <phoneticPr fontId="1" type="noConversion"/>
  </si>
  <si>
    <t>합동포장</t>
    <phoneticPr fontId="1" type="noConversion"/>
  </si>
  <si>
    <t>15*13황</t>
    <phoneticPr fontId="1" type="noConversion"/>
  </si>
  <si>
    <t>12*12.5투</t>
    <phoneticPr fontId="1" type="noConversion"/>
  </si>
  <si>
    <t>PE28*2백</t>
    <phoneticPr fontId="1" type="noConversion"/>
  </si>
  <si>
    <t>20박스</t>
    <phoneticPr fontId="1" type="noConversion"/>
  </si>
  <si>
    <t>1000 ea</t>
    <phoneticPr fontId="1" type="noConversion"/>
  </si>
  <si>
    <t>라바인터네셔널</t>
    <phoneticPr fontId="1" type="noConversion"/>
  </si>
  <si>
    <t>12*10*0.8황</t>
    <phoneticPr fontId="1" type="noConversion"/>
  </si>
  <si>
    <t>오전납품(10시30분 요망)</t>
    <phoneticPr fontId="1" type="noConversion"/>
  </si>
  <si>
    <t>경인팩</t>
    <phoneticPr fontId="1" type="noConversion"/>
  </si>
  <si>
    <t>6*10백</t>
    <phoneticPr fontId="1" type="noConversion"/>
  </si>
  <si>
    <t>PE28*2백</t>
    <phoneticPr fontId="1" type="noConversion"/>
  </si>
  <si>
    <t>36박스</t>
    <phoneticPr fontId="1" type="noConversion"/>
  </si>
  <si>
    <t>삼성</t>
    <phoneticPr fontId="1" type="noConversion"/>
  </si>
  <si>
    <t>18*15</t>
    <phoneticPr fontId="1" type="noConversion"/>
  </si>
  <si>
    <t>고메리</t>
    <phoneticPr fontId="1" type="noConversion"/>
  </si>
  <si>
    <t>6톤</t>
    <phoneticPr fontId="1" type="noConversion"/>
  </si>
  <si>
    <t>20"(오후5시)</t>
    <phoneticPr fontId="1" type="noConversion"/>
  </si>
  <si>
    <t>15.5*100백 외</t>
    <phoneticPr fontId="1" type="noConversion"/>
  </si>
  <si>
    <t>싸이클롭</t>
    <phoneticPr fontId="1" type="noConversion"/>
  </si>
  <si>
    <t>16.6톤</t>
    <phoneticPr fontId="1" type="noConversion"/>
  </si>
  <si>
    <t>12*1000블루 외</t>
    <phoneticPr fontId="1" type="noConversion"/>
  </si>
  <si>
    <t>용차</t>
    <phoneticPr fontId="1" type="noConversion"/>
  </si>
  <si>
    <t>PE28*2청(24Kg)</t>
    <phoneticPr fontId="1" type="noConversion"/>
  </si>
  <si>
    <t>6박스</t>
    <phoneticPr fontId="1" type="noConversion"/>
  </si>
  <si>
    <t>3박스</t>
    <phoneticPr fontId="1" type="noConversion"/>
  </si>
  <si>
    <t>PE28*2적(24Kg)</t>
    <phoneticPr fontId="1" type="noConversion"/>
  </si>
  <si>
    <t>PE28*2황(24Kg)</t>
    <phoneticPr fontId="1" type="noConversion"/>
  </si>
  <si>
    <t>1박스</t>
    <phoneticPr fontId="1" type="noConversion"/>
  </si>
  <si>
    <t>스트레치 필름</t>
    <phoneticPr fontId="1" type="noConversion"/>
  </si>
  <si>
    <t>납   품   일   정</t>
    <phoneticPr fontId="1" type="noConversion"/>
  </si>
  <si>
    <t>대영포장(대구)</t>
    <phoneticPr fontId="1" type="noConversion"/>
  </si>
  <si>
    <t>7*10백</t>
    <phoneticPr fontId="1" type="noConversion"/>
  </si>
  <si>
    <t>합화</t>
    <phoneticPr fontId="1" type="noConversion"/>
  </si>
  <si>
    <t>삼성</t>
    <phoneticPr fontId="1" type="noConversion"/>
  </si>
  <si>
    <t>18*21황</t>
    <phoneticPr fontId="1" type="noConversion"/>
  </si>
  <si>
    <t>18*21</t>
    <phoneticPr fontId="1" type="noConversion"/>
  </si>
  <si>
    <t>진송팩</t>
    <phoneticPr fontId="1" type="noConversion"/>
  </si>
  <si>
    <t>PE28*2백</t>
    <phoneticPr fontId="1" type="noConversion"/>
  </si>
  <si>
    <t>50박스</t>
    <phoneticPr fontId="1" type="noConversion"/>
  </si>
  <si>
    <t>12*12.5투</t>
    <phoneticPr fontId="1" type="noConversion"/>
  </si>
  <si>
    <t>12*12.5황</t>
    <phoneticPr fontId="1" type="noConversion"/>
  </si>
  <si>
    <t>12*10황</t>
    <phoneticPr fontId="1" type="noConversion"/>
  </si>
  <si>
    <t>15*13황</t>
    <phoneticPr fontId="1" type="noConversion"/>
  </si>
  <si>
    <t>PE28*2적(24Kg)</t>
    <phoneticPr fontId="1" type="noConversion"/>
  </si>
  <si>
    <t>3박스</t>
    <phoneticPr fontId="1" type="noConversion"/>
  </si>
  <si>
    <t>PE28*2백(24Kg)</t>
    <phoneticPr fontId="1" type="noConversion"/>
  </si>
  <si>
    <t>25박스</t>
    <phoneticPr fontId="1" type="noConversion"/>
  </si>
  <si>
    <t>18*10황</t>
    <phoneticPr fontId="1" type="noConversion"/>
  </si>
  <si>
    <t>제이케이
머티리얼즈</t>
    <phoneticPr fontId="1" type="noConversion"/>
  </si>
  <si>
    <t>15*10황</t>
    <phoneticPr fontId="1" type="noConversion"/>
  </si>
  <si>
    <t>18*21</t>
    <phoneticPr fontId="1" type="noConversion"/>
  </si>
  <si>
    <t>18*15</t>
    <phoneticPr fontId="1" type="noConversion"/>
  </si>
  <si>
    <t>대영포장(발안)</t>
    <phoneticPr fontId="1" type="noConversion"/>
  </si>
  <si>
    <t>12*12.5황</t>
    <phoneticPr fontId="1" type="noConversion"/>
  </si>
  <si>
    <t>용차</t>
    <phoneticPr fontId="1" type="noConversion"/>
  </si>
  <si>
    <t>부장님</t>
    <phoneticPr fontId="1" type="noConversion"/>
  </si>
  <si>
    <t>PE28*6백</t>
    <phoneticPr fontId="1" type="noConversion"/>
  </si>
  <si>
    <t>26박스 납품</t>
    <phoneticPr fontId="1" type="noConversion"/>
  </si>
  <si>
    <t>44박스</t>
    <phoneticPr fontId="1" type="noConversion"/>
  </si>
  <si>
    <t>용차</t>
    <phoneticPr fontId="1" type="noConversion"/>
  </si>
  <si>
    <t>탐스텍</t>
    <phoneticPr fontId="1" type="noConversion"/>
  </si>
  <si>
    <t>2.7톤</t>
    <phoneticPr fontId="1" type="noConversion"/>
  </si>
  <si>
    <t>9*4000*0.55청</t>
    <phoneticPr fontId="1" type="noConversion"/>
  </si>
  <si>
    <t>내륙운송</t>
    <phoneticPr fontId="1" type="noConversion"/>
  </si>
  <si>
    <t>18.1톤</t>
    <phoneticPr fontId="1" type="noConversion"/>
  </si>
  <si>
    <t>12*0.55*1000청 외</t>
    <phoneticPr fontId="1" type="noConversion"/>
  </si>
  <si>
    <t>40"(오후5시)</t>
    <phoneticPr fontId="1" type="noConversion"/>
  </si>
  <si>
    <t>9*9.5*0.65황</t>
    <phoneticPr fontId="1" type="noConversion"/>
  </si>
  <si>
    <t>삼성</t>
    <phoneticPr fontId="1" type="noConversion"/>
  </si>
  <si>
    <t>18*21</t>
    <phoneticPr fontId="1" type="noConversion"/>
  </si>
  <si>
    <t>화</t>
    <phoneticPr fontId="1" type="noConversion"/>
  </si>
  <si>
    <t>수</t>
    <phoneticPr fontId="1" type="noConversion"/>
  </si>
  <si>
    <t>목</t>
    <phoneticPr fontId="1" type="noConversion"/>
  </si>
  <si>
    <t>월</t>
    <phoneticPr fontId="1" type="noConversion"/>
  </si>
  <si>
    <t>보우팩</t>
    <phoneticPr fontId="1" type="noConversion"/>
  </si>
  <si>
    <t>12*12.5투</t>
    <phoneticPr fontId="1" type="noConversion"/>
  </si>
  <si>
    <t>삼원산업</t>
    <phoneticPr fontId="1" type="noConversion"/>
  </si>
  <si>
    <t>15*10황</t>
    <phoneticPr fontId="1" type="noConversion"/>
  </si>
  <si>
    <t>12*10황</t>
    <phoneticPr fontId="1" type="noConversion"/>
  </si>
  <si>
    <t>대구한국포장</t>
    <phoneticPr fontId="1" type="noConversion"/>
  </si>
  <si>
    <t>광주천일</t>
    <phoneticPr fontId="1" type="noConversion"/>
  </si>
  <si>
    <t>용차</t>
    <phoneticPr fontId="1" type="noConversion"/>
  </si>
  <si>
    <t>8*10백</t>
    <phoneticPr fontId="1" type="noConversion"/>
  </si>
  <si>
    <t>실납 51롤(10롤 반품교체)</t>
    <phoneticPr fontId="1" type="noConversion"/>
  </si>
  <si>
    <t>수</t>
    <phoneticPr fontId="1" type="noConversion"/>
  </si>
  <si>
    <t>진송팩</t>
    <phoneticPr fontId="1" type="noConversion"/>
  </si>
  <si>
    <t>PE28*2백</t>
    <phoneticPr fontId="1" type="noConversion"/>
  </si>
  <si>
    <t>50박스</t>
    <phoneticPr fontId="1" type="noConversion"/>
  </si>
  <si>
    <t>신대한판지</t>
    <phoneticPr fontId="1" type="noConversion"/>
  </si>
  <si>
    <t>7*10백</t>
    <phoneticPr fontId="1" type="noConversion"/>
  </si>
  <si>
    <t>테이팩스</t>
    <phoneticPr fontId="1" type="noConversion"/>
  </si>
  <si>
    <t>15*10황</t>
    <phoneticPr fontId="1" type="noConversion"/>
  </si>
  <si>
    <t>신광포장</t>
    <phoneticPr fontId="1" type="noConversion"/>
  </si>
  <si>
    <t>12*10황</t>
    <phoneticPr fontId="1" type="noConversion"/>
  </si>
  <si>
    <t>15*10황</t>
    <phoneticPr fontId="1" type="noConversion"/>
  </si>
  <si>
    <t>12*12.5적 1롤 / 12*12.5백 4롤 같이 보내야함</t>
    <phoneticPr fontId="1" type="noConversion"/>
  </si>
  <si>
    <t>경인팩</t>
    <phoneticPr fontId="1" type="noConversion"/>
  </si>
  <si>
    <t>PE50*2백</t>
    <phoneticPr fontId="1" type="noConversion"/>
  </si>
  <si>
    <t>30박스</t>
    <phoneticPr fontId="1" type="noConversion"/>
  </si>
  <si>
    <t>동원팩</t>
    <phoneticPr fontId="1" type="noConversion"/>
  </si>
  <si>
    <t>PE28*6백</t>
    <phoneticPr fontId="1" type="noConversion"/>
  </si>
  <si>
    <t>PE28*2백</t>
    <phoneticPr fontId="1" type="noConversion"/>
  </si>
  <si>
    <t>수</t>
    <phoneticPr fontId="1" type="noConversion"/>
  </si>
  <si>
    <t>태양지대</t>
    <phoneticPr fontId="1" type="noConversion"/>
  </si>
  <si>
    <t>40박스</t>
    <phoneticPr fontId="1" type="noConversion"/>
  </si>
  <si>
    <t>9*9.5*0.65T황</t>
    <phoneticPr fontId="1" type="noConversion"/>
  </si>
  <si>
    <t>6*10백</t>
    <phoneticPr fontId="1" type="noConversion"/>
  </si>
  <si>
    <t>9.4톤</t>
    <phoneticPr fontId="1" type="noConversion"/>
  </si>
  <si>
    <t>12*3000*0.63청 외</t>
    <phoneticPr fontId="1" type="noConversion"/>
  </si>
  <si>
    <t>12*3000*0.6블루 외</t>
    <phoneticPr fontId="1" type="noConversion"/>
  </si>
  <si>
    <t>용차</t>
    <phoneticPr fontId="1" type="noConversion"/>
  </si>
  <si>
    <t>동원피엔아이</t>
    <phoneticPr fontId="1" type="noConversion"/>
  </si>
  <si>
    <t>PE50*5백</t>
    <phoneticPr fontId="1" type="noConversion"/>
  </si>
  <si>
    <t>50박스</t>
    <phoneticPr fontId="1" type="noConversion"/>
  </si>
  <si>
    <t>파워엠팩</t>
    <phoneticPr fontId="1" type="noConversion"/>
  </si>
  <si>
    <t>6*10백</t>
    <phoneticPr fontId="1" type="noConversion"/>
  </si>
  <si>
    <t>12*10황</t>
    <phoneticPr fontId="1" type="noConversion"/>
  </si>
  <si>
    <t>신광포장</t>
    <phoneticPr fontId="1" type="noConversion"/>
  </si>
  <si>
    <t>15*10황</t>
    <phoneticPr fontId="1" type="noConversion"/>
  </si>
  <si>
    <t>삼성</t>
    <phoneticPr fontId="1" type="noConversion"/>
  </si>
  <si>
    <t>18*21</t>
    <phoneticPr fontId="1" type="noConversion"/>
  </si>
  <si>
    <t>18*15</t>
    <phoneticPr fontId="1" type="noConversion"/>
  </si>
  <si>
    <t>15*13황</t>
    <phoneticPr fontId="1" type="noConversion"/>
  </si>
  <si>
    <t>한솔포장</t>
    <phoneticPr fontId="1" type="noConversion"/>
  </si>
  <si>
    <t>25박스</t>
    <phoneticPr fontId="1" type="noConversion"/>
  </si>
  <si>
    <t>PE28*6백</t>
    <phoneticPr fontId="1" type="noConversion"/>
  </si>
  <si>
    <t>PE28*2황</t>
    <phoneticPr fontId="1" type="noConversion"/>
  </si>
  <si>
    <t>21박스</t>
    <phoneticPr fontId="1" type="noConversion"/>
  </si>
  <si>
    <t>PE28*2적(24Kg)</t>
    <phoneticPr fontId="1" type="noConversion"/>
  </si>
  <si>
    <t>5박스</t>
    <phoneticPr fontId="1" type="noConversion"/>
  </si>
  <si>
    <t>광진산업</t>
    <phoneticPr fontId="1" type="noConversion"/>
  </si>
  <si>
    <t>15*10회</t>
    <phoneticPr fontId="1" type="noConversion"/>
  </si>
  <si>
    <t>대영포장(발안)</t>
    <phoneticPr fontId="1" type="noConversion"/>
  </si>
  <si>
    <t>7*10백</t>
    <phoneticPr fontId="1" type="noConversion"/>
  </si>
  <si>
    <t>삼성</t>
    <phoneticPr fontId="1" type="noConversion"/>
  </si>
  <si>
    <t>18*21</t>
    <phoneticPr fontId="1" type="noConversion"/>
  </si>
  <si>
    <t>삼성</t>
    <phoneticPr fontId="1" type="noConversion"/>
  </si>
  <si>
    <t>18*21</t>
    <phoneticPr fontId="1" type="noConversion"/>
  </si>
  <si>
    <t>오전납품</t>
    <phoneticPr fontId="1" type="noConversion"/>
  </si>
  <si>
    <t>오전납품</t>
    <phoneticPr fontId="1" type="noConversion"/>
  </si>
  <si>
    <t>오전납품</t>
    <phoneticPr fontId="1" type="noConversion"/>
  </si>
  <si>
    <t>12*10백</t>
    <phoneticPr fontId="1" type="noConversion"/>
  </si>
  <si>
    <t>9*9.5황</t>
    <phoneticPr fontId="1" type="noConversion"/>
  </si>
  <si>
    <t>12*12.5황</t>
    <phoneticPr fontId="1" type="noConversion"/>
  </si>
  <si>
    <t>21박스</t>
    <phoneticPr fontId="1" type="noConversion"/>
  </si>
  <si>
    <t>대영포장(발안)</t>
    <phoneticPr fontId="1" type="noConversion"/>
  </si>
  <si>
    <t>7*10백</t>
    <phoneticPr fontId="1" type="noConversion"/>
  </si>
  <si>
    <t>PE50*5백</t>
    <phoneticPr fontId="1" type="noConversion"/>
  </si>
  <si>
    <t>25박스</t>
    <phoneticPr fontId="1" type="noConversion"/>
  </si>
  <si>
    <t>RLB</t>
    <phoneticPr fontId="1" type="noConversion"/>
  </si>
  <si>
    <t>15.5톤</t>
    <phoneticPr fontId="1" type="noConversion"/>
  </si>
  <si>
    <t>40"(오후5시)</t>
    <phoneticPr fontId="1" type="noConversion"/>
  </si>
  <si>
    <t>12*3000*0.63클리어 외</t>
    <phoneticPr fontId="1" type="noConversion"/>
  </si>
  <si>
    <t>12*12.5황</t>
    <phoneticPr fontId="1" type="noConversion"/>
  </si>
  <si>
    <t>18*12황</t>
    <phoneticPr fontId="1" type="noConversion"/>
  </si>
  <si>
    <t>JH글로벌</t>
    <phoneticPr fontId="1" type="noConversion"/>
  </si>
  <si>
    <t>대진화학</t>
    <phoneticPr fontId="1" type="noConversion"/>
  </si>
  <si>
    <t>6*10백</t>
    <phoneticPr fontId="1" type="noConversion"/>
  </si>
  <si>
    <t>PE28*2백</t>
    <phoneticPr fontId="1" type="noConversion"/>
  </si>
  <si>
    <t>108박스</t>
    <phoneticPr fontId="1" type="noConversion"/>
  </si>
  <si>
    <t>PE28*2청</t>
    <phoneticPr fontId="1" type="noConversion"/>
  </si>
  <si>
    <t>PE28*2적</t>
    <phoneticPr fontId="1" type="noConversion"/>
  </si>
  <si>
    <t>이월</t>
    <phoneticPr fontId="1" type="noConversion"/>
  </si>
  <si>
    <t>불량1개 교환</t>
    <phoneticPr fontId="1" type="noConversion"/>
  </si>
  <si>
    <t>신광포장</t>
    <phoneticPr fontId="1" type="noConversion"/>
  </si>
  <si>
    <t>15*10황</t>
    <phoneticPr fontId="1" type="noConversion"/>
  </si>
  <si>
    <t>18*21</t>
    <phoneticPr fontId="1" type="noConversion"/>
  </si>
  <si>
    <t>18*21황</t>
    <phoneticPr fontId="1" type="noConversion"/>
  </si>
  <si>
    <t>18*15</t>
    <phoneticPr fontId="1" type="noConversion"/>
  </si>
  <si>
    <t>이월</t>
    <phoneticPr fontId="1" type="noConversion"/>
  </si>
  <si>
    <t>15*10황</t>
    <phoneticPr fontId="1" type="noConversion"/>
  </si>
  <si>
    <t>제책4층</t>
    <phoneticPr fontId="1" type="noConversion"/>
  </si>
  <si>
    <t>12*9.5황</t>
    <phoneticPr fontId="1" type="noConversion"/>
  </si>
  <si>
    <t>오전납품</t>
    <phoneticPr fontId="1" type="noConversion"/>
  </si>
  <si>
    <t>오전납품</t>
    <phoneticPr fontId="1" type="noConversion"/>
  </si>
  <si>
    <t>목</t>
    <phoneticPr fontId="1" type="noConversion"/>
  </si>
  <si>
    <t>워크샵(양평)</t>
    <phoneticPr fontId="1" type="noConversion"/>
  </si>
  <si>
    <t>합동포장기계</t>
    <phoneticPr fontId="1" type="noConversion"/>
  </si>
  <si>
    <t>강원농협</t>
    <phoneticPr fontId="1" type="noConversion"/>
  </si>
  <si>
    <t>12*12.5황</t>
    <phoneticPr fontId="1" type="noConversion"/>
  </si>
  <si>
    <t>12*12.5투</t>
    <phoneticPr fontId="1" type="noConversion"/>
  </si>
  <si>
    <t>15*13황</t>
    <phoneticPr fontId="1" type="noConversion"/>
  </si>
  <si>
    <t>PE28*2백</t>
    <phoneticPr fontId="1" type="noConversion"/>
  </si>
  <si>
    <t>30박스</t>
    <phoneticPr fontId="1" type="noConversion"/>
  </si>
  <si>
    <t>오전납품</t>
    <phoneticPr fontId="1" type="noConversion"/>
  </si>
  <si>
    <t>18*15</t>
    <phoneticPr fontId="1" type="noConversion"/>
  </si>
  <si>
    <t>신우교역</t>
    <phoneticPr fontId="1" type="noConversion"/>
  </si>
  <si>
    <t>12*10황</t>
    <phoneticPr fontId="1" type="noConversion"/>
  </si>
  <si>
    <t>PE28*2백(24Kg)</t>
    <phoneticPr fontId="1" type="noConversion"/>
  </si>
  <si>
    <t>이월</t>
    <phoneticPr fontId="1" type="noConversion"/>
  </si>
  <si>
    <t>스트레치필름</t>
    <phoneticPr fontId="1" type="noConversion"/>
  </si>
  <si>
    <t>100박스</t>
    <phoneticPr fontId="1" type="noConversion"/>
  </si>
  <si>
    <t>6*10황</t>
    <phoneticPr fontId="1" type="noConversion"/>
  </si>
  <si>
    <t>15*9.5적</t>
    <phoneticPr fontId="1" type="noConversion"/>
  </si>
  <si>
    <t>PE28*6백</t>
    <phoneticPr fontId="1" type="noConversion"/>
  </si>
  <si>
    <t>50박스</t>
    <phoneticPr fontId="1" type="noConversion"/>
  </si>
  <si>
    <t>PE28*2백</t>
    <phoneticPr fontId="1" type="noConversion"/>
  </si>
  <si>
    <t>36박스</t>
    <phoneticPr fontId="1" type="noConversion"/>
  </si>
  <si>
    <t>PE28*12R/L 빈박스 30장 출고</t>
    <phoneticPr fontId="1" type="noConversion"/>
  </si>
  <si>
    <t>택배발송</t>
    <phoneticPr fontId="1" type="noConversion"/>
  </si>
  <si>
    <t>용차-직납</t>
    <phoneticPr fontId="1" type="noConversion"/>
  </si>
  <si>
    <t>엔더슨</t>
    <phoneticPr fontId="1" type="noConversion"/>
  </si>
  <si>
    <t>18.3톤</t>
    <phoneticPr fontId="1" type="noConversion"/>
  </si>
  <si>
    <t>산유</t>
    <phoneticPr fontId="1" type="noConversion"/>
  </si>
  <si>
    <t>7.2톤</t>
    <phoneticPr fontId="1" type="noConversion"/>
  </si>
  <si>
    <t>15*100*0.55황색 외</t>
    <phoneticPr fontId="1" type="noConversion"/>
  </si>
  <si>
    <t>40"(오후5시)</t>
    <phoneticPr fontId="1" type="noConversion"/>
  </si>
  <si>
    <t>12*3000*0.55블루 외</t>
    <phoneticPr fontId="1" type="noConversion"/>
  </si>
  <si>
    <t>한솔포장</t>
    <phoneticPr fontId="1" type="noConversion"/>
  </si>
  <si>
    <t>PE28*6백</t>
    <phoneticPr fontId="1" type="noConversion"/>
  </si>
  <si>
    <t>25박스</t>
    <phoneticPr fontId="1" type="noConversion"/>
  </si>
  <si>
    <t>삼보펙</t>
    <phoneticPr fontId="1" type="noConversion"/>
  </si>
  <si>
    <t>12*10황</t>
    <phoneticPr fontId="1" type="noConversion"/>
  </si>
  <si>
    <t>삼성</t>
    <phoneticPr fontId="1" type="noConversion"/>
  </si>
  <si>
    <t>18*21</t>
    <phoneticPr fontId="1" type="noConversion"/>
  </si>
  <si>
    <t>광림파워팩</t>
    <phoneticPr fontId="1" type="noConversion"/>
  </si>
  <si>
    <t>9*10*0.75황</t>
    <phoneticPr fontId="1" type="noConversion"/>
  </si>
  <si>
    <t>12*12.5황</t>
    <phoneticPr fontId="1" type="noConversion"/>
  </si>
  <si>
    <t>12*10*0.65황</t>
    <phoneticPr fontId="1" type="noConversion"/>
  </si>
  <si>
    <t>15*10*0.8황</t>
    <phoneticPr fontId="1" type="noConversion"/>
  </si>
  <si>
    <t>곽동인 연차</t>
    <phoneticPr fontId="1" type="noConversion"/>
  </si>
  <si>
    <t>김시석 반차</t>
    <phoneticPr fontId="1" type="noConversion"/>
  </si>
  <si>
    <t>10월로 계산서 발행</t>
    <phoneticPr fontId="1" type="noConversion"/>
  </si>
  <si>
    <t>PE50*5Kg백</t>
    <phoneticPr fontId="1" type="noConversion"/>
  </si>
  <si>
    <t>낙원포장</t>
    <phoneticPr fontId="1" type="noConversion"/>
  </si>
  <si>
    <t>PE28*2황</t>
    <phoneticPr fontId="1" type="noConversion"/>
  </si>
  <si>
    <t>10박스</t>
    <phoneticPr fontId="1" type="noConversion"/>
  </si>
  <si>
    <t>PE28*2적</t>
    <phoneticPr fontId="1" type="noConversion"/>
  </si>
  <si>
    <t>5박스</t>
    <phoneticPr fontId="1" type="noConversion"/>
  </si>
  <si>
    <t>PE28*2백</t>
    <phoneticPr fontId="1" type="noConversion"/>
  </si>
  <si>
    <t>용차</t>
    <phoneticPr fontId="1" type="noConversion"/>
  </si>
  <si>
    <t>서울포장</t>
    <phoneticPr fontId="1" type="noConversion"/>
  </si>
  <si>
    <t>15*10황</t>
    <phoneticPr fontId="1" type="noConversion"/>
  </si>
  <si>
    <t>12*10백</t>
    <phoneticPr fontId="1" type="noConversion"/>
  </si>
  <si>
    <t>신광포장</t>
    <phoneticPr fontId="1" type="noConversion"/>
  </si>
  <si>
    <t>15*10황</t>
    <phoneticPr fontId="1" type="noConversion"/>
  </si>
  <si>
    <t>12*10황</t>
    <phoneticPr fontId="1" type="noConversion"/>
  </si>
  <si>
    <t>9*9.5황</t>
    <phoneticPr fontId="1" type="noConversion"/>
  </si>
  <si>
    <t>15*10황</t>
    <phoneticPr fontId="1" type="noConversion"/>
  </si>
  <si>
    <t>싸이클롭</t>
    <phoneticPr fontId="1" type="noConversion"/>
  </si>
  <si>
    <t>19*1000*0.95검정 외</t>
    <phoneticPr fontId="1" type="noConversion"/>
  </si>
  <si>
    <t>20톤</t>
    <phoneticPr fontId="1" type="noConversion"/>
  </si>
  <si>
    <t>40"(오후5시)</t>
    <phoneticPr fontId="1" type="noConversion"/>
  </si>
  <si>
    <t>18*10황</t>
    <phoneticPr fontId="1" type="noConversion"/>
  </si>
  <si>
    <t>제이케이
머티리얼즈</t>
    <phoneticPr fontId="1" type="noConversion"/>
  </si>
  <si>
    <t>15*10백</t>
    <phoneticPr fontId="1" type="noConversion"/>
  </si>
  <si>
    <t>12*10황</t>
    <phoneticPr fontId="1" type="noConversion"/>
  </si>
  <si>
    <t>PE28*2백</t>
    <phoneticPr fontId="1" type="noConversion"/>
  </si>
  <si>
    <t>10박스</t>
    <phoneticPr fontId="1" type="noConversion"/>
  </si>
  <si>
    <t>한서포장</t>
    <phoneticPr fontId="1" type="noConversion"/>
  </si>
  <si>
    <t>12*9.5황</t>
    <phoneticPr fontId="1" type="noConversion"/>
  </si>
  <si>
    <t>20박스</t>
    <phoneticPr fontId="1" type="noConversion"/>
  </si>
  <si>
    <t>15*10황</t>
    <phoneticPr fontId="1" type="noConversion"/>
  </si>
  <si>
    <t>우기케미칼</t>
    <phoneticPr fontId="1" type="noConversion"/>
  </si>
  <si>
    <t>32박스</t>
    <phoneticPr fontId="1" type="noConversion"/>
  </si>
  <si>
    <t>용차</t>
    <phoneticPr fontId="1" type="noConversion"/>
  </si>
  <si>
    <t>한솔포장</t>
    <phoneticPr fontId="1" type="noConversion"/>
  </si>
  <si>
    <t>PE28*6백</t>
    <phoneticPr fontId="1" type="noConversion"/>
  </si>
  <si>
    <t>25박스</t>
    <phoneticPr fontId="1" type="noConversion"/>
  </si>
  <si>
    <t>18*10*0.95황</t>
    <phoneticPr fontId="1" type="noConversion"/>
  </si>
  <si>
    <t>신한포장기계</t>
    <phoneticPr fontId="1" type="noConversion"/>
  </si>
  <si>
    <t>PE28*2백</t>
    <phoneticPr fontId="1" type="noConversion"/>
  </si>
  <si>
    <t>50박스</t>
    <phoneticPr fontId="1" type="noConversion"/>
  </si>
  <si>
    <t>15*10황</t>
    <phoneticPr fontId="1" type="noConversion"/>
  </si>
  <si>
    <t>불량교체 4롤 가져갈것</t>
    <phoneticPr fontId="1" type="noConversion"/>
  </si>
  <si>
    <t>서울포장</t>
    <phoneticPr fontId="1" type="noConversion"/>
  </si>
  <si>
    <t>12*10황</t>
    <phoneticPr fontId="1" type="noConversion"/>
  </si>
  <si>
    <t>12*10백</t>
    <phoneticPr fontId="1" type="noConversion"/>
  </si>
  <si>
    <t>삼성</t>
    <phoneticPr fontId="1" type="noConversion"/>
  </si>
  <si>
    <t>18*21</t>
    <phoneticPr fontId="1" type="noConversion"/>
  </si>
  <si>
    <t>한솔포장</t>
    <phoneticPr fontId="1" type="noConversion"/>
  </si>
  <si>
    <t>6*10백</t>
    <phoneticPr fontId="1" type="noConversion"/>
  </si>
  <si>
    <t>신대한판지</t>
    <phoneticPr fontId="1" type="noConversion"/>
  </si>
  <si>
    <t>7*10백</t>
    <phoneticPr fontId="1" type="noConversion"/>
  </si>
  <si>
    <t>동원팩</t>
    <phoneticPr fontId="1" type="noConversion"/>
  </si>
  <si>
    <t>PE28*2백</t>
    <phoneticPr fontId="1" type="noConversion"/>
  </si>
  <si>
    <t>40박스</t>
    <phoneticPr fontId="1" type="noConversion"/>
  </si>
  <si>
    <t>삼성</t>
    <phoneticPr fontId="1" type="noConversion"/>
  </si>
  <si>
    <t>파워팩</t>
    <phoneticPr fontId="1" type="noConversion"/>
  </si>
  <si>
    <t>12*3000*0.6청 외</t>
    <phoneticPr fontId="1" type="noConversion"/>
  </si>
  <si>
    <t>19.8톤</t>
    <phoneticPr fontId="1" type="noConversion"/>
  </si>
  <si>
    <t>40"(오후5시)</t>
    <phoneticPr fontId="1" type="noConversion"/>
  </si>
  <si>
    <t>1000ea</t>
    <phoneticPr fontId="1" type="noConversion"/>
  </si>
  <si>
    <t>18*21</t>
    <phoneticPr fontId="1" type="noConversion"/>
  </si>
  <si>
    <t>15*10황</t>
    <phoneticPr fontId="1" type="noConversion"/>
  </si>
  <si>
    <t>PE28*2(24Kg)백</t>
    <phoneticPr fontId="1" type="noConversion"/>
  </si>
  <si>
    <t>15*13황</t>
    <phoneticPr fontId="1" type="noConversion"/>
  </si>
  <si>
    <t>12*12.5황</t>
    <phoneticPr fontId="1" type="noConversion"/>
  </si>
  <si>
    <t>삼성</t>
    <phoneticPr fontId="1" type="noConversion"/>
  </si>
  <si>
    <t>18*21</t>
    <phoneticPr fontId="1" type="noConversion"/>
  </si>
  <si>
    <t>대영포장(대구)</t>
    <phoneticPr fontId="1" type="noConversion"/>
  </si>
  <si>
    <t>7*10백</t>
    <phoneticPr fontId="1" type="noConversion"/>
  </si>
  <si>
    <t>합화차</t>
    <phoneticPr fontId="1" type="noConversion"/>
  </si>
  <si>
    <t>김부장님 배송</t>
    <phoneticPr fontId="1" type="noConversion"/>
  </si>
  <si>
    <t>진송팩</t>
    <phoneticPr fontId="1" type="noConversion"/>
  </si>
  <si>
    <t>PE28*2백</t>
    <phoneticPr fontId="1" type="noConversion"/>
  </si>
  <si>
    <t>PE50*5Kg백</t>
    <phoneticPr fontId="1" type="noConversion"/>
  </si>
  <si>
    <t>20박스</t>
    <phoneticPr fontId="1" type="noConversion"/>
  </si>
  <si>
    <t>PE28*2황</t>
    <phoneticPr fontId="1" type="noConversion"/>
  </si>
  <si>
    <t>PE28*2청</t>
    <phoneticPr fontId="1" type="noConversion"/>
  </si>
  <si>
    <t>21박스</t>
    <phoneticPr fontId="1" type="noConversion"/>
  </si>
  <si>
    <t>대영포장(발안)</t>
    <phoneticPr fontId="1" type="noConversion"/>
  </si>
  <si>
    <t>7*10백</t>
    <phoneticPr fontId="1" type="noConversion"/>
  </si>
  <si>
    <t>12/12.5황</t>
    <phoneticPr fontId="1" type="noConversion"/>
  </si>
  <si>
    <t>PE50*5Kg백</t>
    <phoneticPr fontId="1" type="noConversion"/>
  </si>
  <si>
    <t>18*21(황)</t>
    <phoneticPr fontId="1" type="noConversion"/>
  </si>
  <si>
    <t>곽동인 연차</t>
    <phoneticPr fontId="1" type="noConversion"/>
  </si>
  <si>
    <t>제일포장(김해)</t>
    <phoneticPr fontId="1" type="noConversion"/>
  </si>
  <si>
    <t>PE28*2백</t>
    <phoneticPr fontId="1" type="noConversion"/>
  </si>
  <si>
    <t>성탄절 휴가</t>
    <phoneticPr fontId="1" type="noConversion"/>
  </si>
  <si>
    <t>목</t>
    <phoneticPr fontId="1" type="noConversion"/>
  </si>
  <si>
    <t>12*1000*0.5블루 외</t>
    <phoneticPr fontId="1" type="noConversion"/>
  </si>
  <si>
    <t>19.5톤</t>
    <phoneticPr fontId="1" type="noConversion"/>
  </si>
  <si>
    <t>18*21무엠보</t>
    <phoneticPr fontId="1" type="noConversion"/>
  </si>
  <si>
    <t>18*15</t>
    <phoneticPr fontId="1" type="noConversion"/>
  </si>
  <si>
    <t>삼성</t>
    <phoneticPr fontId="1" type="noConversion"/>
  </si>
  <si>
    <t>18*21</t>
    <phoneticPr fontId="1" type="noConversion"/>
  </si>
  <si>
    <t>18*21</t>
    <phoneticPr fontId="1" type="noConversion"/>
  </si>
  <si>
    <t>12*10*0.8T백</t>
    <phoneticPr fontId="1" type="noConversion"/>
  </si>
  <si>
    <t>12*12.5황</t>
    <phoneticPr fontId="1" type="noConversion"/>
  </si>
  <si>
    <t>낙원포장</t>
    <phoneticPr fontId="1" type="noConversion"/>
  </si>
  <si>
    <t>10.5*10투</t>
    <phoneticPr fontId="1" type="noConversion"/>
  </si>
  <si>
    <t>삼성</t>
    <phoneticPr fontId="1" type="noConversion"/>
  </si>
  <si>
    <t>18*21</t>
    <phoneticPr fontId="1" type="noConversion"/>
  </si>
  <si>
    <t>18*21</t>
    <phoneticPr fontId="1" type="noConversion"/>
  </si>
  <si>
    <t>18*21(황)</t>
    <phoneticPr fontId="1" type="noConversion"/>
  </si>
  <si>
    <t>18*15</t>
    <phoneticPr fontId="1" type="noConversion"/>
  </si>
  <si>
    <t>PP클립</t>
    <phoneticPr fontId="1" type="noConversion"/>
  </si>
  <si>
    <t>1000ea</t>
    <phoneticPr fontId="1" type="noConversion"/>
  </si>
  <si>
    <t>이월</t>
    <phoneticPr fontId="1" type="noConversion"/>
  </si>
  <si>
    <t>PE28*2백</t>
    <phoneticPr fontId="1" type="noConversion"/>
  </si>
  <si>
    <t>금산포장</t>
    <phoneticPr fontId="1" type="noConversion"/>
  </si>
  <si>
    <t xml:space="preserve">  15*10*0.65백</t>
    <phoneticPr fontId="1" type="noConversion"/>
  </si>
  <si>
    <t>조기현팀장 오전반차</t>
    <phoneticPr fontId="1" type="noConversion"/>
  </si>
  <si>
    <t>12*10백</t>
    <phoneticPr fontId="1" type="noConversion"/>
  </si>
  <si>
    <t>삼화인쇄</t>
    <phoneticPr fontId="1" type="noConversion"/>
  </si>
  <si>
    <t>10.5*10투</t>
    <phoneticPr fontId="1" type="noConversion"/>
  </si>
  <si>
    <t>평판지하B판</t>
    <phoneticPr fontId="1" type="noConversion"/>
  </si>
  <si>
    <t>9*9.5*0.65황</t>
    <phoneticPr fontId="1" type="noConversion"/>
  </si>
  <si>
    <t>15*10황</t>
    <phoneticPr fontId="1" type="noConversion"/>
  </si>
  <si>
    <t>9*10*0.75황</t>
    <phoneticPr fontId="1" type="noConversion"/>
  </si>
  <si>
    <t>9*10*0.75투</t>
    <phoneticPr fontId="1" type="noConversion"/>
  </si>
  <si>
    <t>김민정과장 오후반차</t>
    <phoneticPr fontId="1" type="noConversion"/>
  </si>
  <si>
    <t>심은주 과장 오후반차</t>
    <phoneticPr fontId="1" type="noConversion"/>
  </si>
  <si>
    <t>탐스텍</t>
    <phoneticPr fontId="1" type="noConversion"/>
  </si>
  <si>
    <t>한서포장</t>
    <phoneticPr fontId="1" type="noConversion"/>
  </si>
  <si>
    <t>12*9.5황</t>
    <phoneticPr fontId="1" type="noConversion"/>
  </si>
  <si>
    <t>PE28*2백</t>
    <phoneticPr fontId="1" type="noConversion"/>
  </si>
  <si>
    <t>30박스</t>
    <phoneticPr fontId="1" type="noConversion"/>
  </si>
  <si>
    <t>삼원산업</t>
    <phoneticPr fontId="1" type="noConversion"/>
  </si>
  <si>
    <t>12*12황</t>
    <phoneticPr fontId="1" type="noConversion"/>
  </si>
  <si>
    <t>15*10적</t>
    <phoneticPr fontId="1" type="noConversion"/>
  </si>
  <si>
    <t>동방포장기자재</t>
    <phoneticPr fontId="1" type="noConversion"/>
  </si>
  <si>
    <t>12*12*0.63청</t>
    <phoneticPr fontId="1" type="noConversion"/>
  </si>
  <si>
    <t>12*10*0.65황</t>
    <phoneticPr fontId="1" type="noConversion"/>
  </si>
  <si>
    <t>이월</t>
    <phoneticPr fontId="1" type="noConversion"/>
  </si>
  <si>
    <t>합동포장</t>
    <phoneticPr fontId="1" type="noConversion"/>
  </si>
  <si>
    <t>12*12.5황</t>
    <phoneticPr fontId="1" type="noConversion"/>
  </si>
  <si>
    <t>12*12.5투</t>
    <phoneticPr fontId="1" type="noConversion"/>
  </si>
  <si>
    <t>PE28*2백</t>
    <phoneticPr fontId="1" type="noConversion"/>
  </si>
  <si>
    <t>25박스</t>
    <phoneticPr fontId="1" type="noConversion"/>
  </si>
  <si>
    <t>오전납품</t>
    <phoneticPr fontId="1" type="noConversion"/>
  </si>
  <si>
    <t>18*15</t>
    <phoneticPr fontId="1" type="noConversion"/>
  </si>
  <si>
    <t>PE28*2백(24kg)</t>
    <phoneticPr fontId="1" type="noConversion"/>
  </si>
  <si>
    <t>14박스</t>
    <phoneticPr fontId="1" type="noConversion"/>
  </si>
  <si>
    <t>고메리</t>
    <phoneticPr fontId="1" type="noConversion"/>
  </si>
  <si>
    <t>40"(오후5시)</t>
    <phoneticPr fontId="1" type="noConversion"/>
  </si>
  <si>
    <t>15.5*100*0.58녹 외</t>
    <phoneticPr fontId="1" type="noConversion"/>
  </si>
  <si>
    <t>14.17톤</t>
    <phoneticPr fontId="1" type="noConversion"/>
  </si>
  <si>
    <t>대영포장</t>
    <phoneticPr fontId="1" type="noConversion"/>
  </si>
  <si>
    <t>12*10*0.8황</t>
    <phoneticPr fontId="1" type="noConversion"/>
  </si>
  <si>
    <t>오전납품</t>
    <phoneticPr fontId="1" type="noConversion"/>
  </si>
  <si>
    <t>대진화학</t>
    <phoneticPr fontId="1" type="noConversion"/>
  </si>
  <si>
    <t>7*10백</t>
    <phoneticPr fontId="1" type="noConversion"/>
  </si>
  <si>
    <t>18*15</t>
    <phoneticPr fontId="1" type="noConversion"/>
  </si>
  <si>
    <t>동원팩</t>
    <phoneticPr fontId="1" type="noConversion"/>
  </si>
  <si>
    <t>PE28*2백</t>
    <phoneticPr fontId="1" type="noConversion"/>
  </si>
  <si>
    <t>35박스</t>
    <phoneticPr fontId="1" type="noConversion"/>
  </si>
  <si>
    <t>PE28*2황</t>
    <phoneticPr fontId="1" type="noConversion"/>
  </si>
  <si>
    <t>5박스</t>
    <phoneticPr fontId="1" type="noConversion"/>
  </si>
  <si>
    <t>PE28*6백</t>
    <phoneticPr fontId="1" type="noConversion"/>
  </si>
  <si>
    <t>10박스</t>
    <phoneticPr fontId="1" type="noConversion"/>
  </si>
  <si>
    <t>12*10황</t>
    <phoneticPr fontId="1" type="noConversion"/>
  </si>
  <si>
    <t>6*10백</t>
    <phoneticPr fontId="1" type="noConversion"/>
  </si>
  <si>
    <t>12*12.5백</t>
    <phoneticPr fontId="1" type="noConversion"/>
  </si>
  <si>
    <t>월</t>
    <phoneticPr fontId="1" type="noConversion"/>
  </si>
  <si>
    <t>12*10황</t>
    <phoneticPr fontId="1" type="noConversion"/>
  </si>
  <si>
    <t>PE28*2백</t>
    <phoneticPr fontId="1" type="noConversion"/>
  </si>
  <si>
    <t>진송팩</t>
    <phoneticPr fontId="1" type="noConversion"/>
  </si>
  <si>
    <t>PE28*2백</t>
    <phoneticPr fontId="1" type="noConversion"/>
  </si>
  <si>
    <t>50박스</t>
    <phoneticPr fontId="1" type="noConversion"/>
  </si>
  <si>
    <t>12*10백</t>
    <phoneticPr fontId="1" type="noConversion"/>
  </si>
  <si>
    <t>쇼핑백(1층)</t>
    <phoneticPr fontId="1" type="noConversion"/>
  </si>
  <si>
    <t>PE28*2백</t>
    <phoneticPr fontId="1" type="noConversion"/>
  </si>
  <si>
    <t>10박스</t>
    <phoneticPr fontId="1" type="noConversion"/>
  </si>
  <si>
    <t>쇼핑백(1층)</t>
    <phoneticPr fontId="1" type="noConversion"/>
  </si>
  <si>
    <t>광현페이퍼</t>
    <phoneticPr fontId="1" type="noConversion"/>
  </si>
  <si>
    <t>3200원</t>
    <phoneticPr fontId="1" type="noConversion"/>
  </si>
  <si>
    <t>4시 전에 납품</t>
    <phoneticPr fontId="1" type="noConversion"/>
  </si>
  <si>
    <t>9시 납품</t>
    <phoneticPr fontId="1" type="noConversion"/>
  </si>
  <si>
    <t>라바인터네셔널</t>
    <phoneticPr fontId="1" type="noConversion"/>
  </si>
  <si>
    <t>12*10백</t>
    <phoneticPr fontId="1" type="noConversion"/>
  </si>
  <si>
    <t>12*10황</t>
    <phoneticPr fontId="1" type="noConversion"/>
  </si>
  <si>
    <t>PE28*2백</t>
    <phoneticPr fontId="1" type="noConversion"/>
  </si>
  <si>
    <t>PE28*6백</t>
    <phoneticPr fontId="1" type="noConversion"/>
  </si>
  <si>
    <t>20박스</t>
    <phoneticPr fontId="1" type="noConversion"/>
  </si>
  <si>
    <t>12*10황</t>
    <phoneticPr fontId="1" type="noConversion"/>
  </si>
  <si>
    <t>삼신</t>
    <phoneticPr fontId="1" type="noConversion"/>
  </si>
  <si>
    <t>PE28*2백</t>
    <phoneticPr fontId="1" type="noConversion"/>
  </si>
  <si>
    <t>100박스</t>
    <phoneticPr fontId="1" type="noConversion"/>
  </si>
  <si>
    <t>디에스아이 사리현동 납품</t>
    <phoneticPr fontId="1" type="noConversion"/>
  </si>
  <si>
    <t>PE28*2백</t>
    <phoneticPr fontId="1" type="noConversion"/>
  </si>
  <si>
    <t>100박스</t>
    <phoneticPr fontId="1" type="noConversion"/>
  </si>
  <si>
    <t>삼신 용두동 납품</t>
    <phoneticPr fontId="1" type="noConversion"/>
  </si>
  <si>
    <t>18*21</t>
    <phoneticPr fontId="1" type="noConversion"/>
  </si>
  <si>
    <t>18*21(황)</t>
    <phoneticPr fontId="1" type="noConversion"/>
  </si>
  <si>
    <t>삼성</t>
    <phoneticPr fontId="1" type="noConversion"/>
  </si>
  <si>
    <t>18*21</t>
    <phoneticPr fontId="1" type="noConversion"/>
  </si>
  <si>
    <t>싸이클롭</t>
    <phoneticPr fontId="1" type="noConversion"/>
  </si>
  <si>
    <t>5*7000*0.5블 외</t>
    <phoneticPr fontId="1" type="noConversion"/>
  </si>
  <si>
    <t>19.7톤</t>
    <phoneticPr fontId="1" type="noConversion"/>
  </si>
  <si>
    <t>40"(오후5시)</t>
    <phoneticPr fontId="1" type="noConversion"/>
  </si>
  <si>
    <t>12*3000*0.65투 외</t>
    <phoneticPr fontId="1" type="noConversion"/>
  </si>
  <si>
    <t>16.4톤</t>
    <phoneticPr fontId="1" type="noConversion"/>
  </si>
  <si>
    <t>서울포장기계</t>
    <phoneticPr fontId="1" type="noConversion"/>
  </si>
  <si>
    <t>12*10백</t>
    <phoneticPr fontId="1" type="noConversion"/>
  </si>
  <si>
    <t>18*21(황)</t>
    <phoneticPr fontId="1" type="noConversion"/>
  </si>
  <si>
    <t>삼성</t>
    <phoneticPr fontId="1" type="noConversion"/>
  </si>
  <si>
    <t>18*21</t>
    <phoneticPr fontId="1" type="noConversion"/>
  </si>
  <si>
    <t>18*10황</t>
    <phoneticPr fontId="1" type="noConversion"/>
  </si>
  <si>
    <t>제이케이
머티리얼즈</t>
    <phoneticPr fontId="1" type="noConversion"/>
  </si>
  <si>
    <t>한서포장</t>
    <phoneticPr fontId="1" type="noConversion"/>
  </si>
  <si>
    <t>12*9.5황</t>
    <phoneticPr fontId="1" type="noConversion"/>
  </si>
  <si>
    <t>PE28*2백</t>
    <phoneticPr fontId="1" type="noConversion"/>
  </si>
  <si>
    <t>20박스</t>
    <phoneticPr fontId="1" type="noConversion"/>
  </si>
  <si>
    <t>경인팩</t>
    <phoneticPr fontId="1" type="noConversion"/>
  </si>
  <si>
    <t>6*10백</t>
    <phoneticPr fontId="1" type="noConversion"/>
  </si>
  <si>
    <t>PE28*6백</t>
    <phoneticPr fontId="1" type="noConversion"/>
  </si>
  <si>
    <t>오전납품(10시까지 도착요망)</t>
    <phoneticPr fontId="1" type="noConversion"/>
  </si>
  <si>
    <t>에이스팩</t>
    <phoneticPr fontId="1" type="noConversion"/>
  </si>
  <si>
    <t>15*13황</t>
    <phoneticPr fontId="1" type="noConversion"/>
  </si>
  <si>
    <t>스트레치필름</t>
    <phoneticPr fontId="1" type="noConversion"/>
  </si>
  <si>
    <t>49박스</t>
    <phoneticPr fontId="1" type="noConversion"/>
  </si>
  <si>
    <t>9*9.5*0.95청</t>
    <phoneticPr fontId="1" type="noConversion"/>
  </si>
  <si>
    <t>15*10황(솔표식품)</t>
    <phoneticPr fontId="1" type="noConversion"/>
  </si>
  <si>
    <t>12*9.5황</t>
    <phoneticPr fontId="1" type="noConversion"/>
  </si>
  <si>
    <t>7*10백</t>
    <phoneticPr fontId="1" type="noConversion"/>
  </si>
  <si>
    <t>15*10투</t>
    <phoneticPr fontId="1" type="noConversion"/>
  </si>
  <si>
    <t>동방포장</t>
    <phoneticPr fontId="1" type="noConversion"/>
  </si>
  <si>
    <t>15*10*0.8황</t>
    <phoneticPr fontId="1" type="noConversion"/>
  </si>
  <si>
    <t>12*10녹</t>
    <phoneticPr fontId="1" type="noConversion"/>
  </si>
  <si>
    <t>삼성</t>
    <phoneticPr fontId="1" type="noConversion"/>
  </si>
  <si>
    <t>18*21</t>
    <phoneticPr fontId="1" type="noConversion"/>
  </si>
  <si>
    <t>18*15</t>
    <phoneticPr fontId="1" type="noConversion"/>
  </si>
  <si>
    <t>19.9톤</t>
    <phoneticPr fontId="1" type="noConversion"/>
  </si>
  <si>
    <t>40"(오후5시)</t>
    <phoneticPr fontId="1" type="noConversion"/>
  </si>
  <si>
    <t>12*1000*0.5청 외</t>
    <phoneticPr fontId="1" type="noConversion"/>
  </si>
  <si>
    <t>오전납품</t>
    <phoneticPr fontId="1" type="noConversion"/>
  </si>
  <si>
    <t>19*0.55T*5.8청</t>
    <phoneticPr fontId="1" type="noConversion"/>
  </si>
  <si>
    <t>삼화인쇄</t>
    <phoneticPr fontId="1" type="noConversion"/>
  </si>
  <si>
    <t>15*10황</t>
    <phoneticPr fontId="1" type="noConversion"/>
  </si>
  <si>
    <t>제책4층</t>
    <phoneticPr fontId="1" type="noConversion"/>
  </si>
  <si>
    <t>12*10황(대흥코리아)</t>
    <phoneticPr fontId="1" type="noConversion"/>
  </si>
  <si>
    <t>동원팩</t>
    <phoneticPr fontId="1" type="noConversion"/>
  </si>
  <si>
    <t>PE28*2백</t>
    <phoneticPr fontId="1" type="noConversion"/>
  </si>
  <si>
    <t>25박스</t>
    <phoneticPr fontId="1" type="noConversion"/>
  </si>
  <si>
    <t>PE28*6백</t>
    <phoneticPr fontId="1" type="noConversion"/>
  </si>
  <si>
    <t>에이원코리아</t>
    <phoneticPr fontId="1" type="noConversion"/>
  </si>
  <si>
    <t>우선산업</t>
    <phoneticPr fontId="1" type="noConversion"/>
  </si>
  <si>
    <t>PE50*5황</t>
    <phoneticPr fontId="1" type="noConversion"/>
  </si>
  <si>
    <t>9*9.5투</t>
    <phoneticPr fontId="1" type="noConversion"/>
  </si>
  <si>
    <t>12*12황</t>
    <phoneticPr fontId="1" type="noConversion"/>
  </si>
  <si>
    <t>한솔포장</t>
    <phoneticPr fontId="1" type="noConversion"/>
  </si>
  <si>
    <t>PE28*6백</t>
    <phoneticPr fontId="1" type="noConversion"/>
  </si>
  <si>
    <t>25박스</t>
    <phoneticPr fontId="1" type="noConversion"/>
  </si>
  <si>
    <t>PE28*2백</t>
    <phoneticPr fontId="1" type="noConversion"/>
  </si>
  <si>
    <t>4박스</t>
    <phoneticPr fontId="1" type="noConversion"/>
  </si>
  <si>
    <t>3파레트 여유</t>
    <phoneticPr fontId="1" type="noConversion"/>
  </si>
  <si>
    <t>4파레트 여유</t>
    <phoneticPr fontId="1" type="noConversion"/>
  </si>
  <si>
    <t>삼성</t>
    <phoneticPr fontId="1" type="noConversion"/>
  </si>
  <si>
    <t>18*21</t>
    <phoneticPr fontId="1" type="noConversion"/>
  </si>
  <si>
    <t>6*10백</t>
    <phoneticPr fontId="1" type="noConversion"/>
  </si>
  <si>
    <t>PE28*2백</t>
    <phoneticPr fontId="1" type="noConversion"/>
  </si>
  <si>
    <t>PE28*6백</t>
    <phoneticPr fontId="1" type="noConversion"/>
  </si>
  <si>
    <t>PE50*6백</t>
    <phoneticPr fontId="1" type="noConversion"/>
  </si>
  <si>
    <t>30박스</t>
    <phoneticPr fontId="1" type="noConversion"/>
  </si>
  <si>
    <t>금</t>
    <phoneticPr fontId="1" type="noConversion"/>
  </si>
  <si>
    <t>12*10황</t>
    <phoneticPr fontId="1" type="noConversion"/>
  </si>
  <si>
    <t>12*10황(0.8T)</t>
    <phoneticPr fontId="1" type="noConversion"/>
  </si>
  <si>
    <t>56박스</t>
    <phoneticPr fontId="1" type="noConversion"/>
  </si>
  <si>
    <t>15*10백</t>
    <phoneticPr fontId="1" type="noConversion"/>
  </si>
  <si>
    <t>80박스</t>
    <phoneticPr fontId="1" type="noConversion"/>
  </si>
  <si>
    <t>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</si>
</sst>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1" formatCode="_-* #,##0_-;\-* #,##0_-;_-* &quot;-&quot;_-;_-@_-"/>
    <numFmt numFmtId="43" formatCode="_-* #,##0.00_-;\-* #,##0.00_-;_-* &quot;-&quot;??_-;_-@_-"/>
    <numFmt numFmtId="176" formatCode="m&quot;월&quot;\ d&quot;일&quot;;@"/>
    <numFmt numFmtId="177" formatCode="#&quot;롤&quot;"/>
    <numFmt numFmtId="178" formatCode="m&quot;/&quot;d;@"/>
    <numFmt numFmtId="179" formatCode="mm&quot;월&quot;\ dd&quot;일&quot;"/>
    <numFmt numFmtId="180" formatCode="#,##0_);[Red]\(#,##0\)"/>
    <numFmt numFmtId="181" formatCode="##.#&quot;톤&quot;"/>
    <numFmt numFmtId="182" formatCode="#&quot;박스&quot;"/>
    <numFmt numFmtId="183" formatCode="#,##0_ "/>
  </numFmts>
  <fonts count="3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22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4"/>
      <color rgb="FFFF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36"/>
      <color theme="1"/>
      <name val="HY크리스탈M"/>
      <family val="1"/>
      <charset val="129"/>
    </font>
    <font>
      <sz val="8"/>
      <color theme="1"/>
      <name val="맑은 고딕"/>
      <family val="3"/>
      <charset val="129"/>
      <scheme val="minor"/>
    </font>
    <font>
      <sz val="26"/>
      <color theme="1"/>
      <name val="HY크리스탈M"/>
      <family val="1"/>
      <charset val="129"/>
    </font>
    <font>
      <b/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48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4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30" fillId="0" borderId="0" applyFont="0" applyFill="0" applyBorder="0" applyAlignment="0" applyProtection="0">
      <alignment vertical="center"/>
    </xf>
  </cellStyleXfs>
  <cellXfs count="836">
    <xf numFmtId="0" fontId="0" fillId="0" borderId="0" xfId="0">
      <alignment vertical="center"/>
    </xf>
    <xf numFmtId="176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7" fontId="7" fillId="2" borderId="1" xfId="0" applyNumberFormat="1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177" fontId="7" fillId="2" borderId="19" xfId="0" applyNumberFormat="1" applyFont="1" applyFill="1" applyBorder="1" applyAlignment="1">
      <alignment horizontal="center" vertical="center" wrapText="1"/>
    </xf>
    <xf numFmtId="0" fontId="8" fillId="2" borderId="20" xfId="0" applyFont="1" applyFill="1" applyBorder="1" applyAlignment="1">
      <alignment vertical="center"/>
    </xf>
    <xf numFmtId="177" fontId="7" fillId="0" borderId="19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77" fontId="7" fillId="0" borderId="3" xfId="0" applyNumberFormat="1" applyFont="1" applyFill="1" applyBorder="1" applyAlignment="1">
      <alignment horizontal="center" vertical="center" wrapText="1"/>
    </xf>
    <xf numFmtId="177" fontId="7" fillId="0" borderId="1" xfId="0" applyNumberFormat="1" applyFont="1" applyFill="1" applyBorder="1" applyAlignment="1">
      <alignment horizontal="center" vertical="center" wrapText="1"/>
    </xf>
    <xf numFmtId="177" fontId="7" fillId="0" borderId="4" xfId="0" applyNumberFormat="1" applyFont="1" applyFill="1" applyBorder="1" applyAlignment="1">
      <alignment horizontal="center" vertical="center" wrapText="1"/>
    </xf>
    <xf numFmtId="176" fontId="6" fillId="3" borderId="6" xfId="0" applyNumberFormat="1" applyFont="1" applyFill="1" applyBorder="1" applyAlignment="1">
      <alignment horizontal="center" vertical="center"/>
    </xf>
    <xf numFmtId="176" fontId="6" fillId="3" borderId="5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6" fillId="3" borderId="5" xfId="0" applyFont="1" applyFill="1" applyBorder="1" applyAlignment="1">
      <alignment horizontal="center" vertical="center"/>
    </xf>
    <xf numFmtId="176" fontId="6" fillId="3" borderId="21" xfId="0" applyNumberFormat="1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 wrapText="1"/>
    </xf>
    <xf numFmtId="176" fontId="6" fillId="3" borderId="31" xfId="0" applyNumberFormat="1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177" fontId="7" fillId="0" borderId="5" xfId="0" applyNumberFormat="1" applyFont="1" applyFill="1" applyBorder="1" applyAlignment="1">
      <alignment horizontal="center" vertical="center" wrapText="1"/>
    </xf>
    <xf numFmtId="176" fontId="6" fillId="3" borderId="10" xfId="0" applyNumberFormat="1" applyFont="1" applyFill="1" applyBorder="1" applyAlignment="1">
      <alignment horizontal="center" vertical="center"/>
    </xf>
    <xf numFmtId="177" fontId="7" fillId="2" borderId="4" xfId="0" applyNumberFormat="1" applyFont="1" applyFill="1" applyBorder="1" applyAlignment="1">
      <alignment horizontal="center" vertical="center" wrapText="1"/>
    </xf>
    <xf numFmtId="0" fontId="8" fillId="2" borderId="40" xfId="0" applyFont="1" applyFill="1" applyBorder="1" applyAlignment="1">
      <alignment vertical="center"/>
    </xf>
    <xf numFmtId="0" fontId="8" fillId="2" borderId="4" xfId="0" applyFont="1" applyFill="1" applyBorder="1" applyAlignment="1">
      <alignment horizontal="center" vertical="center" wrapText="1"/>
    </xf>
    <xf numFmtId="176" fontId="6" fillId="3" borderId="17" xfId="0" applyNumberFormat="1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vertical="center"/>
    </xf>
    <xf numFmtId="0" fontId="8" fillId="2" borderId="24" xfId="0" applyFont="1" applyFill="1" applyBorder="1" applyAlignment="1">
      <alignment vertical="center"/>
    </xf>
    <xf numFmtId="177" fontId="7" fillId="0" borderId="27" xfId="0" applyNumberFormat="1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176" fontId="6" fillId="3" borderId="28" xfId="0" applyNumberFormat="1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176" fontId="6" fillId="3" borderId="12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8" fillId="2" borderId="19" xfId="0" applyFont="1" applyFill="1" applyBorder="1" applyAlignment="1">
      <alignment vertical="center"/>
    </xf>
    <xf numFmtId="0" fontId="8" fillId="2" borderId="3" xfId="0" applyFont="1" applyFill="1" applyBorder="1" applyAlignment="1">
      <alignment vertical="center"/>
    </xf>
    <xf numFmtId="0" fontId="8" fillId="2" borderId="4" xfId="0" applyFont="1" applyFill="1" applyBorder="1" applyAlignment="1">
      <alignment vertical="center"/>
    </xf>
    <xf numFmtId="0" fontId="8" fillId="2" borderId="27" xfId="0" applyFont="1" applyFill="1" applyBorder="1" applyAlignment="1">
      <alignment vertical="center"/>
    </xf>
    <xf numFmtId="176" fontId="6" fillId="3" borderId="32" xfId="0" applyNumberFormat="1" applyFont="1" applyFill="1" applyBorder="1" applyAlignment="1">
      <alignment horizontal="center" vertical="center"/>
    </xf>
    <xf numFmtId="176" fontId="6" fillId="3" borderId="0" xfId="0" applyNumberFormat="1" applyFont="1" applyFill="1" applyBorder="1" applyAlignment="1">
      <alignment horizontal="center" vertical="center"/>
    </xf>
    <xf numFmtId="176" fontId="6" fillId="3" borderId="29" xfId="0" applyNumberFormat="1" applyFont="1" applyFill="1" applyBorder="1" applyAlignment="1">
      <alignment horizontal="center" vertical="center"/>
    </xf>
    <xf numFmtId="176" fontId="6" fillId="3" borderId="18" xfId="0" applyNumberFormat="1" applyFont="1" applyFill="1" applyBorder="1" applyAlignment="1">
      <alignment horizontal="center" vertical="center"/>
    </xf>
    <xf numFmtId="176" fontId="6" fillId="3" borderId="9" xfId="0" applyNumberFormat="1" applyFont="1" applyFill="1" applyBorder="1" applyAlignment="1">
      <alignment horizontal="center" vertical="center"/>
    </xf>
    <xf numFmtId="176" fontId="6" fillId="3" borderId="11" xfId="0" applyNumberFormat="1" applyFont="1" applyFill="1" applyBorder="1" applyAlignment="1">
      <alignment horizontal="center" vertical="center"/>
    </xf>
    <xf numFmtId="177" fontId="7" fillId="4" borderId="1" xfId="0" applyNumberFormat="1" applyFont="1" applyFill="1" applyBorder="1" applyAlignment="1">
      <alignment horizontal="center" vertical="center" wrapText="1"/>
    </xf>
    <xf numFmtId="177" fontId="7" fillId="4" borderId="4" xfId="0" applyNumberFormat="1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vertical="center"/>
    </xf>
    <xf numFmtId="0" fontId="11" fillId="2" borderId="15" xfId="0" applyFont="1" applyFill="1" applyBorder="1" applyAlignment="1">
      <alignment vertical="center"/>
    </xf>
    <xf numFmtId="0" fontId="11" fillId="2" borderId="20" xfId="0" applyFont="1" applyFill="1" applyBorder="1" applyAlignment="1">
      <alignment vertical="center"/>
    </xf>
    <xf numFmtId="0" fontId="11" fillId="2" borderId="24" xfId="0" applyFont="1" applyFill="1" applyBorder="1" applyAlignment="1">
      <alignment vertical="center"/>
    </xf>
    <xf numFmtId="0" fontId="11" fillId="2" borderId="40" xfId="0" applyFont="1" applyFill="1" applyBorder="1" applyAlignment="1">
      <alignment vertical="center"/>
    </xf>
    <xf numFmtId="0" fontId="8" fillId="2" borderId="5" xfId="0" applyFont="1" applyFill="1" applyBorder="1" applyAlignment="1">
      <alignment vertical="center"/>
    </xf>
    <xf numFmtId="0" fontId="11" fillId="2" borderId="26" xfId="0" applyFont="1" applyFill="1" applyBorder="1" applyAlignment="1">
      <alignment vertical="center"/>
    </xf>
    <xf numFmtId="176" fontId="12" fillId="3" borderId="39" xfId="0" applyNumberFormat="1" applyFont="1" applyFill="1" applyBorder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176" fontId="12" fillId="3" borderId="26" xfId="0" applyNumberFormat="1" applyFont="1" applyFill="1" applyBorder="1" applyAlignment="1">
      <alignment horizontal="center" vertical="center" shrinkToFit="1"/>
    </xf>
    <xf numFmtId="176" fontId="12" fillId="3" borderId="14" xfId="0" applyNumberFormat="1" applyFont="1" applyFill="1" applyBorder="1" applyAlignment="1">
      <alignment horizontal="center" vertical="center" shrinkToFit="1"/>
    </xf>
    <xf numFmtId="176" fontId="12" fillId="3" borderId="25" xfId="0" applyNumberFormat="1" applyFont="1" applyFill="1" applyBorder="1" applyAlignment="1">
      <alignment horizontal="center" vertical="center" shrinkToFit="1"/>
    </xf>
    <xf numFmtId="0" fontId="8" fillId="2" borderId="1" xfId="0" applyFont="1" applyFill="1" applyBorder="1" applyAlignment="1">
      <alignment horizontal="right" vertical="center" wrapText="1"/>
    </xf>
    <xf numFmtId="0" fontId="0" fillId="0" borderId="0" xfId="0" applyAlignment="1">
      <alignment horizontal="right" vertical="center"/>
    </xf>
    <xf numFmtId="178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right" vertical="center"/>
    </xf>
    <xf numFmtId="178" fontId="0" fillId="0" borderId="36" xfId="0" applyNumberFormat="1" applyBorder="1" applyAlignment="1">
      <alignment horizontal="right" vertical="center"/>
    </xf>
    <xf numFmtId="178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178" fontId="0" fillId="0" borderId="7" xfId="0" applyNumberFormat="1" applyBorder="1" applyAlignment="1">
      <alignment horizontal="center" vertical="center"/>
    </xf>
    <xf numFmtId="0" fontId="8" fillId="2" borderId="6" xfId="0" applyFont="1" applyFill="1" applyBorder="1" applyAlignment="1">
      <alignment horizontal="right" vertical="center" wrapText="1"/>
    </xf>
    <xf numFmtId="0" fontId="8" fillId="2" borderId="25" xfId="0" applyFont="1" applyFill="1" applyBorder="1" applyAlignment="1">
      <alignment horizontal="right" vertical="center" wrapText="1"/>
    </xf>
    <xf numFmtId="0" fontId="8" fillId="2" borderId="44" xfId="0" applyFont="1" applyFill="1" applyBorder="1" applyAlignment="1">
      <alignment horizontal="right" vertical="center" wrapText="1"/>
    </xf>
    <xf numFmtId="0" fontId="13" fillId="0" borderId="0" xfId="0" applyFont="1" applyAlignment="1">
      <alignment horizontal="right" vertical="center"/>
    </xf>
    <xf numFmtId="179" fontId="0" fillId="0" borderId="0" xfId="0" applyNumberFormat="1" applyAlignment="1">
      <alignment horizontal="right" vertical="center"/>
    </xf>
    <xf numFmtId="0" fontId="15" fillId="0" borderId="29" xfId="0" applyFont="1" applyBorder="1" applyAlignment="1">
      <alignment horizontal="right" vertical="center"/>
    </xf>
    <xf numFmtId="0" fontId="8" fillId="2" borderId="19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14" fillId="2" borderId="42" xfId="0" applyFont="1" applyFill="1" applyBorder="1" applyAlignment="1">
      <alignment horizontal="right" vertical="center" wrapText="1"/>
    </xf>
    <xf numFmtId="0" fontId="14" fillId="2" borderId="39" xfId="0" applyFont="1" applyFill="1" applyBorder="1" applyAlignment="1">
      <alignment horizontal="right" vertical="center" wrapText="1"/>
    </xf>
    <xf numFmtId="0" fontId="0" fillId="0" borderId="0" xfId="0" applyAlignment="1">
      <alignment horizontal="center" vertical="center"/>
    </xf>
    <xf numFmtId="0" fontId="8" fillId="2" borderId="36" xfId="0" applyFont="1" applyFill="1" applyBorder="1" applyAlignment="1">
      <alignment horizontal="center" vertical="center" wrapText="1"/>
    </xf>
    <xf numFmtId="0" fontId="8" fillId="2" borderId="37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0" borderId="0" xfId="0" applyFont="1">
      <alignment vertical="center"/>
    </xf>
    <xf numFmtId="0" fontId="9" fillId="2" borderId="1" xfId="0" applyFont="1" applyFill="1" applyBorder="1" applyAlignment="1">
      <alignment horizontal="left" vertical="center" wrapText="1"/>
    </xf>
    <xf numFmtId="178" fontId="9" fillId="0" borderId="0" xfId="0" applyNumberFormat="1" applyFont="1" applyAlignment="1">
      <alignment horizontal="center" vertical="center"/>
    </xf>
    <xf numFmtId="178" fontId="9" fillId="0" borderId="0" xfId="0" applyNumberFormat="1" applyFont="1" applyAlignment="1">
      <alignment horizontal="left" vertical="center"/>
    </xf>
    <xf numFmtId="179" fontId="9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178" fontId="9" fillId="0" borderId="1" xfId="0" applyNumberFormat="1" applyFont="1" applyBorder="1" applyAlignment="1">
      <alignment horizontal="center" vertical="center"/>
    </xf>
    <xf numFmtId="0" fontId="9" fillId="2" borderId="1" xfId="0" applyFont="1" applyFill="1" applyBorder="1" applyAlignment="1">
      <alignment horizontal="right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36" xfId="0" applyFont="1" applyFill="1" applyBorder="1" applyAlignment="1">
      <alignment horizontal="center" vertical="center" wrapText="1"/>
    </xf>
    <xf numFmtId="0" fontId="8" fillId="2" borderId="37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178" fontId="9" fillId="0" borderId="1" xfId="0" applyNumberFormat="1" applyFont="1" applyBorder="1" applyAlignment="1">
      <alignment vertical="center"/>
    </xf>
    <xf numFmtId="178" fontId="9" fillId="0" borderId="0" xfId="0" applyNumberFormat="1" applyFont="1" applyAlignment="1">
      <alignment vertical="center"/>
    </xf>
    <xf numFmtId="0" fontId="8" fillId="2" borderId="23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178" fontId="9" fillId="2" borderId="1" xfId="0" applyNumberFormat="1" applyFont="1" applyFill="1" applyBorder="1" applyAlignment="1">
      <alignment horizontal="right" vertical="center"/>
    </xf>
    <xf numFmtId="178" fontId="9" fillId="2" borderId="1" xfId="0" applyNumberFormat="1" applyFont="1" applyFill="1" applyBorder="1" applyAlignment="1">
      <alignment vertical="center"/>
    </xf>
    <xf numFmtId="177" fontId="2" fillId="2" borderId="1" xfId="0" applyNumberFormat="1" applyFont="1" applyFill="1" applyBorder="1" applyAlignment="1">
      <alignment horizontal="center" vertical="center" wrapText="1"/>
    </xf>
    <xf numFmtId="0" fontId="9" fillId="2" borderId="0" xfId="0" applyFont="1" applyFill="1">
      <alignment vertical="center"/>
    </xf>
    <xf numFmtId="0" fontId="8" fillId="2" borderId="37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left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left" vertical="center"/>
    </xf>
    <xf numFmtId="0" fontId="8" fillId="2" borderId="36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8" fillId="2" borderId="36" xfId="0" applyFont="1" applyFill="1" applyBorder="1" applyAlignment="1">
      <alignment horizontal="center" vertical="center" wrapText="1"/>
    </xf>
    <xf numFmtId="0" fontId="8" fillId="2" borderId="37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36" xfId="0" applyFont="1" applyFill="1" applyBorder="1" applyAlignment="1">
      <alignment horizontal="center" vertical="center" wrapText="1"/>
    </xf>
    <xf numFmtId="0" fontId="8" fillId="2" borderId="37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2" borderId="38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178" fontId="8" fillId="2" borderId="1" xfId="0" applyNumberFormat="1" applyFont="1" applyFill="1" applyBorder="1" applyAlignment="1">
      <alignment horizontal="left" vertical="center"/>
    </xf>
    <xf numFmtId="0" fontId="8" fillId="2" borderId="5" xfId="0" applyNumberFormat="1" applyFont="1" applyFill="1" applyBorder="1" applyAlignment="1">
      <alignment horizontal="right" vertical="center"/>
    </xf>
    <xf numFmtId="0" fontId="2" fillId="0" borderId="27" xfId="0" applyNumberFormat="1" applyFont="1" applyBorder="1" applyAlignment="1">
      <alignment horizontal="center" vertical="center"/>
    </xf>
    <xf numFmtId="0" fontId="8" fillId="2" borderId="4" xfId="0" applyNumberFormat="1" applyFont="1" applyFill="1" applyBorder="1" applyAlignment="1">
      <alignment horizontal="left" vertical="center"/>
    </xf>
    <xf numFmtId="0" fontId="8" fillId="2" borderId="36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>
      <alignment vertical="center"/>
    </xf>
    <xf numFmtId="178" fontId="8" fillId="2" borderId="4" xfId="0" applyNumberFormat="1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16" fillId="2" borderId="20" xfId="0" applyFont="1" applyFill="1" applyBorder="1" applyAlignment="1">
      <alignment vertical="center"/>
    </xf>
    <xf numFmtId="0" fontId="8" fillId="2" borderId="23" xfId="0" applyFont="1" applyFill="1" applyBorder="1" applyAlignment="1">
      <alignment horizontal="left" vertical="center" wrapText="1"/>
    </xf>
    <xf numFmtId="0" fontId="8" fillId="2" borderId="36" xfId="0" applyFont="1" applyFill="1" applyBorder="1" applyAlignment="1">
      <alignment horizontal="left" vertical="center" wrapText="1"/>
    </xf>
    <xf numFmtId="176" fontId="6" fillId="3" borderId="7" xfId="0" applyNumberFormat="1" applyFont="1" applyFill="1" applyBorder="1" applyAlignment="1">
      <alignment horizontal="center" vertical="center"/>
    </xf>
    <xf numFmtId="0" fontId="8" fillId="2" borderId="37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178" fontId="8" fillId="2" borderId="38" xfId="0" applyNumberFormat="1" applyFont="1" applyFill="1" applyBorder="1" applyAlignment="1">
      <alignment horizontal="center" vertical="center"/>
    </xf>
    <xf numFmtId="0" fontId="8" fillId="2" borderId="36" xfId="0" applyFont="1" applyFill="1" applyBorder="1" applyAlignment="1">
      <alignment horizontal="center" vertical="center" wrapText="1"/>
    </xf>
    <xf numFmtId="0" fontId="8" fillId="2" borderId="37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2" borderId="38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6" fillId="2" borderId="16" xfId="0" applyFont="1" applyFill="1" applyBorder="1" applyAlignment="1">
      <alignment vertical="center"/>
    </xf>
    <xf numFmtId="0" fontId="8" fillId="2" borderId="36" xfId="0" applyFont="1" applyFill="1" applyBorder="1" applyAlignment="1">
      <alignment horizontal="center" vertical="center" wrapText="1"/>
    </xf>
    <xf numFmtId="176" fontId="6" fillId="3" borderId="13" xfId="0" applyNumberFormat="1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 wrapText="1"/>
    </xf>
    <xf numFmtId="0" fontId="8" fillId="2" borderId="36" xfId="0" applyFont="1" applyFill="1" applyBorder="1" applyAlignment="1">
      <alignment horizontal="center" vertical="center" wrapText="1"/>
    </xf>
    <xf numFmtId="0" fontId="8" fillId="2" borderId="38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2" borderId="38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2" borderId="36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177" fontId="6" fillId="3" borderId="10" xfId="0" applyNumberFormat="1" applyFont="1" applyFill="1" applyBorder="1" applyAlignment="1">
      <alignment horizontal="center" vertical="center" wrapText="1"/>
    </xf>
    <xf numFmtId="0" fontId="8" fillId="2" borderId="38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vertical="center"/>
    </xf>
    <xf numFmtId="0" fontId="18" fillId="0" borderId="0" xfId="0" applyFont="1">
      <alignment vertical="center"/>
    </xf>
    <xf numFmtId="0" fontId="18" fillId="0" borderId="1" xfId="0" applyFont="1" applyBorder="1" applyAlignment="1">
      <alignment horizontal="center" vertical="center"/>
    </xf>
    <xf numFmtId="0" fontId="18" fillId="2" borderId="1" xfId="0" applyFont="1" applyFill="1" applyBorder="1">
      <alignment vertical="center"/>
    </xf>
    <xf numFmtId="0" fontId="18" fillId="0" borderId="1" xfId="0" applyFont="1" applyBorder="1">
      <alignment vertical="center"/>
    </xf>
    <xf numFmtId="0" fontId="8" fillId="2" borderId="36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2" borderId="38" xfId="0" applyFont="1" applyFill="1" applyBorder="1" applyAlignment="1">
      <alignment horizontal="center" vertical="center" wrapText="1"/>
    </xf>
    <xf numFmtId="0" fontId="8" fillId="2" borderId="36" xfId="0" applyFont="1" applyFill="1" applyBorder="1" applyAlignment="1">
      <alignment horizontal="center" vertical="center" wrapText="1"/>
    </xf>
    <xf numFmtId="0" fontId="8" fillId="2" borderId="36" xfId="0" applyFont="1" applyFill="1" applyBorder="1" applyAlignment="1">
      <alignment horizontal="center" vertical="center" wrapText="1"/>
    </xf>
    <xf numFmtId="0" fontId="8" fillId="2" borderId="36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2" borderId="38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left" vertical="center"/>
    </xf>
    <xf numFmtId="0" fontId="8" fillId="2" borderId="13" xfId="0" applyFont="1" applyFill="1" applyBorder="1" applyAlignment="1">
      <alignment horizontal="center" vertical="center" wrapText="1"/>
    </xf>
    <xf numFmtId="0" fontId="8" fillId="2" borderId="36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2" borderId="38" xfId="0" applyFont="1" applyFill="1" applyBorder="1" applyAlignment="1">
      <alignment horizontal="center" vertical="center" wrapText="1"/>
    </xf>
    <xf numFmtId="0" fontId="8" fillId="2" borderId="36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20" fillId="2" borderId="37" xfId="0" applyFont="1" applyFill="1" applyBorder="1" applyAlignment="1">
      <alignment horizontal="center" vertical="center" wrapText="1"/>
    </xf>
    <xf numFmtId="0" fontId="20" fillId="2" borderId="3" xfId="0" applyFont="1" applyFill="1" applyBorder="1" applyAlignment="1">
      <alignment horizontal="center" vertical="center" wrapText="1"/>
    </xf>
    <xf numFmtId="177" fontId="6" fillId="0" borderId="3" xfId="0" applyNumberFormat="1" applyFont="1" applyFill="1" applyBorder="1" applyAlignment="1">
      <alignment horizontal="center" vertical="center" wrapText="1"/>
    </xf>
    <xf numFmtId="0" fontId="20" fillId="2" borderId="3" xfId="0" applyFont="1" applyFill="1" applyBorder="1" applyAlignment="1">
      <alignment vertical="center"/>
    </xf>
    <xf numFmtId="0" fontId="21" fillId="2" borderId="15" xfId="0" applyFont="1" applyFill="1" applyBorder="1" applyAlignment="1">
      <alignment vertical="center"/>
    </xf>
    <xf numFmtId="0" fontId="8" fillId="2" borderId="38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2" borderId="37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20" fillId="2" borderId="23" xfId="0" applyFont="1" applyFill="1" applyBorder="1" applyAlignment="1">
      <alignment horizontal="center" vertical="center" wrapText="1"/>
    </xf>
    <xf numFmtId="0" fontId="20" fillId="2" borderId="19" xfId="0" applyFont="1" applyFill="1" applyBorder="1" applyAlignment="1">
      <alignment horizontal="center" vertical="center" wrapText="1"/>
    </xf>
    <xf numFmtId="177" fontId="6" fillId="0" borderId="19" xfId="0" applyNumberFormat="1" applyFont="1" applyFill="1" applyBorder="1" applyAlignment="1">
      <alignment horizontal="center" vertical="center" wrapText="1"/>
    </xf>
    <xf numFmtId="0" fontId="20" fillId="2" borderId="19" xfId="0" applyFont="1" applyFill="1" applyBorder="1" applyAlignment="1">
      <alignment vertical="center"/>
    </xf>
    <xf numFmtId="177" fontId="23" fillId="0" borderId="3" xfId="0" applyNumberFormat="1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vertical="center"/>
    </xf>
    <xf numFmtId="0" fontId="8" fillId="2" borderId="37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36" xfId="0" applyFont="1" applyFill="1" applyBorder="1" applyAlignment="1">
      <alignment horizontal="center" vertical="center" wrapText="1"/>
    </xf>
    <xf numFmtId="0" fontId="8" fillId="2" borderId="37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180" fontId="10" fillId="0" borderId="29" xfId="0" applyNumberFormat="1" applyFont="1" applyBorder="1" applyAlignment="1">
      <alignment vertical="center"/>
    </xf>
    <xf numFmtId="180" fontId="0" fillId="0" borderId="0" xfId="0" applyNumberFormat="1">
      <alignment vertical="center"/>
    </xf>
    <xf numFmtId="180" fontId="0" fillId="0" borderId="0" xfId="0" applyNumberFormat="1" applyAlignment="1">
      <alignment horizontal="right" vertical="center"/>
    </xf>
    <xf numFmtId="179" fontId="0" fillId="0" borderId="0" xfId="0" applyNumberFormat="1">
      <alignment vertical="center"/>
    </xf>
    <xf numFmtId="0" fontId="8" fillId="2" borderId="37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37" xfId="0" applyFont="1" applyFill="1" applyBorder="1" applyAlignment="1">
      <alignment vertical="center" wrapText="1"/>
    </xf>
    <xf numFmtId="0" fontId="8" fillId="2" borderId="36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2" borderId="37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2" borderId="36" xfId="0" applyFont="1" applyFill="1" applyBorder="1" applyAlignment="1">
      <alignment horizontal="center" vertical="center" wrapText="1"/>
    </xf>
    <xf numFmtId="0" fontId="8" fillId="2" borderId="37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2" borderId="36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vertical="center"/>
    </xf>
    <xf numFmtId="176" fontId="23" fillId="3" borderId="9" xfId="0" applyNumberFormat="1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horizontal="center" vertical="center"/>
    </xf>
    <xf numFmtId="176" fontId="23" fillId="3" borderId="10" xfId="0" applyNumberFormat="1" applyFont="1" applyFill="1" applyBorder="1" applyAlignment="1">
      <alignment horizontal="center" vertical="center"/>
    </xf>
    <xf numFmtId="0" fontId="8" fillId="2" borderId="38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176" fontId="24" fillId="3" borderId="39" xfId="0" applyNumberFormat="1" applyFont="1" applyFill="1" applyBorder="1" applyAlignment="1">
      <alignment horizontal="center" vertical="center" shrinkToFit="1"/>
    </xf>
    <xf numFmtId="0" fontId="8" fillId="2" borderId="36" xfId="0" applyFont="1" applyFill="1" applyBorder="1" applyAlignment="1">
      <alignment horizontal="center" vertical="center" wrapText="1"/>
    </xf>
    <xf numFmtId="0" fontId="8" fillId="2" borderId="36" xfId="0" applyFont="1" applyFill="1" applyBorder="1" applyAlignment="1">
      <alignment horizontal="center" vertical="center" wrapText="1"/>
    </xf>
    <xf numFmtId="0" fontId="8" fillId="2" borderId="37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38" xfId="0" applyFont="1" applyFill="1" applyBorder="1" applyAlignment="1">
      <alignment vertical="center" wrapText="1"/>
    </xf>
    <xf numFmtId="0" fontId="11" fillId="0" borderId="0" xfId="0" applyFont="1" applyAlignment="1">
      <alignment horizontal="left" vertical="center"/>
    </xf>
    <xf numFmtId="177" fontId="8" fillId="0" borderId="19" xfId="0" applyNumberFormat="1" applyFont="1" applyFill="1" applyBorder="1" applyAlignment="1">
      <alignment horizontal="center" vertical="center" wrapText="1"/>
    </xf>
    <xf numFmtId="177" fontId="8" fillId="0" borderId="1" xfId="0" applyNumberFormat="1" applyFont="1" applyFill="1" applyBorder="1" applyAlignment="1">
      <alignment horizontal="center" vertical="center" wrapText="1"/>
    </xf>
    <xf numFmtId="177" fontId="8" fillId="0" borderId="4" xfId="0" applyNumberFormat="1" applyFont="1" applyFill="1" applyBorder="1" applyAlignment="1">
      <alignment horizontal="center" vertical="center" wrapText="1"/>
    </xf>
    <xf numFmtId="176" fontId="20" fillId="3" borderId="9" xfId="0" applyNumberFormat="1" applyFont="1" applyFill="1" applyBorder="1" applyAlignment="1">
      <alignment horizontal="center" vertical="center"/>
    </xf>
    <xf numFmtId="0" fontId="20" fillId="3" borderId="10" xfId="0" applyFont="1" applyFill="1" applyBorder="1" applyAlignment="1">
      <alignment horizontal="center" vertical="center"/>
    </xf>
    <xf numFmtId="176" fontId="20" fillId="3" borderId="10" xfId="0" applyNumberFormat="1" applyFont="1" applyFill="1" applyBorder="1" applyAlignment="1">
      <alignment horizontal="center" vertical="center"/>
    </xf>
    <xf numFmtId="176" fontId="21" fillId="3" borderId="39" xfId="0" applyNumberFormat="1" applyFont="1" applyFill="1" applyBorder="1" applyAlignment="1">
      <alignment horizontal="center" vertical="center" shrinkToFit="1"/>
    </xf>
    <xf numFmtId="176" fontId="9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177" fontId="9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 shrinkToFit="1"/>
    </xf>
    <xf numFmtId="0" fontId="8" fillId="2" borderId="36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2" borderId="37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176" fontId="23" fillId="3" borderId="13" xfId="0" applyNumberFormat="1" applyFont="1" applyFill="1" applyBorder="1" applyAlignment="1">
      <alignment horizontal="center" vertical="center"/>
    </xf>
    <xf numFmtId="0" fontId="23" fillId="3" borderId="5" xfId="0" applyFont="1" applyFill="1" applyBorder="1" applyAlignment="1">
      <alignment horizontal="center" vertical="center"/>
    </xf>
    <xf numFmtId="176" fontId="23" fillId="3" borderId="5" xfId="0" applyNumberFormat="1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 wrapText="1"/>
    </xf>
    <xf numFmtId="0" fontId="8" fillId="2" borderId="36" xfId="0" applyFont="1" applyFill="1" applyBorder="1" applyAlignment="1">
      <alignment horizontal="center" vertical="center" wrapText="1"/>
    </xf>
    <xf numFmtId="177" fontId="8" fillId="0" borderId="3" xfId="0" applyNumberFormat="1" applyFont="1" applyFill="1" applyBorder="1" applyAlignment="1">
      <alignment horizontal="center" vertical="center" wrapText="1"/>
    </xf>
    <xf numFmtId="176" fontId="20" fillId="3" borderId="11" xfId="0" applyNumberFormat="1" applyFont="1" applyFill="1" applyBorder="1" applyAlignment="1">
      <alignment horizontal="center" vertical="center"/>
    </xf>
    <xf numFmtId="0" fontId="20" fillId="3" borderId="12" xfId="0" applyFont="1" applyFill="1" applyBorder="1" applyAlignment="1">
      <alignment horizontal="center" vertical="center"/>
    </xf>
    <xf numFmtId="176" fontId="20" fillId="3" borderId="12" xfId="0" applyNumberFormat="1" applyFont="1" applyFill="1" applyBorder="1" applyAlignment="1">
      <alignment horizontal="center" vertical="center"/>
    </xf>
    <xf numFmtId="176" fontId="21" fillId="3" borderId="14" xfId="0" applyNumberFormat="1" applyFont="1" applyFill="1" applyBorder="1" applyAlignment="1">
      <alignment horizontal="center" vertical="center" shrinkToFit="1"/>
    </xf>
    <xf numFmtId="176" fontId="20" fillId="3" borderId="7" xfId="0" applyNumberFormat="1" applyFont="1" applyFill="1" applyBorder="1" applyAlignment="1">
      <alignment horizontal="center" vertical="center"/>
    </xf>
    <xf numFmtId="0" fontId="20" fillId="3" borderId="6" xfId="0" applyFont="1" applyFill="1" applyBorder="1" applyAlignment="1">
      <alignment horizontal="center" vertical="center"/>
    </xf>
    <xf numFmtId="176" fontId="20" fillId="3" borderId="6" xfId="0" applyNumberFormat="1" applyFont="1" applyFill="1" applyBorder="1" applyAlignment="1">
      <alignment horizontal="center" vertical="center"/>
    </xf>
    <xf numFmtId="176" fontId="21" fillId="3" borderId="25" xfId="0" applyNumberFormat="1" applyFont="1" applyFill="1" applyBorder="1" applyAlignment="1">
      <alignment horizontal="center" vertical="center" shrinkToFit="1"/>
    </xf>
    <xf numFmtId="176" fontId="20" fillId="3" borderId="13" xfId="0" applyNumberFormat="1" applyFont="1" applyFill="1" applyBorder="1" applyAlignment="1">
      <alignment horizontal="center" vertical="center"/>
    </xf>
    <xf numFmtId="0" fontId="20" fillId="3" borderId="5" xfId="0" applyFont="1" applyFill="1" applyBorder="1" applyAlignment="1">
      <alignment horizontal="center" vertical="center"/>
    </xf>
    <xf numFmtId="176" fontId="20" fillId="3" borderId="5" xfId="0" applyNumberFormat="1" applyFont="1" applyFill="1" applyBorder="1" applyAlignment="1">
      <alignment horizontal="center" vertical="center"/>
    </xf>
    <xf numFmtId="176" fontId="21" fillId="3" borderId="26" xfId="0" applyNumberFormat="1" applyFont="1" applyFill="1" applyBorder="1" applyAlignment="1">
      <alignment horizontal="center" vertical="center" shrinkToFi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right" vertical="center" wrapText="1"/>
    </xf>
    <xf numFmtId="0" fontId="8" fillId="2" borderId="24" xfId="0" applyFont="1" applyFill="1" applyBorder="1" applyAlignment="1">
      <alignment horizontal="right" vertical="center" wrapText="1"/>
    </xf>
    <xf numFmtId="177" fontId="8" fillId="0" borderId="27" xfId="0" applyNumberFormat="1" applyFont="1" applyFill="1" applyBorder="1" applyAlignment="1">
      <alignment horizontal="center" vertical="center" wrapText="1"/>
    </xf>
    <xf numFmtId="176" fontId="20" fillId="3" borderId="39" xfId="0" applyNumberFormat="1" applyFont="1" applyFill="1" applyBorder="1" applyAlignment="1">
      <alignment horizontal="center" vertical="center" shrinkToFi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177" fontId="23" fillId="0" borderId="1" xfId="0" applyNumberFormat="1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vertical="center"/>
    </xf>
    <xf numFmtId="176" fontId="23" fillId="3" borderId="7" xfId="0" applyNumberFormat="1" applyFont="1" applyFill="1" applyBorder="1" applyAlignment="1">
      <alignment horizontal="center" vertical="center"/>
    </xf>
    <xf numFmtId="0" fontId="23" fillId="3" borderId="6" xfId="0" applyFont="1" applyFill="1" applyBorder="1" applyAlignment="1">
      <alignment horizontal="center" vertical="center"/>
    </xf>
    <xf numFmtId="176" fontId="23" fillId="3" borderId="6" xfId="0" applyNumberFormat="1" applyFont="1" applyFill="1" applyBorder="1" applyAlignment="1">
      <alignment horizontal="center" vertical="center"/>
    </xf>
    <xf numFmtId="176" fontId="23" fillId="3" borderId="8" xfId="0" applyNumberFormat="1" applyFont="1" applyFill="1" applyBorder="1" applyAlignment="1">
      <alignment vertical="center"/>
    </xf>
    <xf numFmtId="0" fontId="8" fillId="2" borderId="3" xfId="0" applyFont="1" applyFill="1" applyBorder="1" applyAlignment="1">
      <alignment horizontal="center" vertical="center" wrapText="1"/>
    </xf>
    <xf numFmtId="181" fontId="6" fillId="3" borderId="10" xfId="0" applyNumberFormat="1" applyFont="1" applyFill="1" applyBorder="1" applyAlignment="1">
      <alignment horizontal="center" vertical="center"/>
    </xf>
    <xf numFmtId="182" fontId="8" fillId="0" borderId="1" xfId="0" applyNumberFormat="1" applyFont="1" applyFill="1" applyBorder="1" applyAlignment="1">
      <alignment horizontal="center" vertical="center" wrapText="1"/>
    </xf>
    <xf numFmtId="176" fontId="7" fillId="2" borderId="1" xfId="0" applyNumberFormat="1" applyFont="1" applyFill="1" applyBorder="1" applyAlignment="1">
      <alignment horizontal="center" vertical="center"/>
    </xf>
    <xf numFmtId="0" fontId="8" fillId="2" borderId="36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2" borderId="38" xfId="0" applyFont="1" applyFill="1" applyBorder="1" applyAlignment="1">
      <alignment horizontal="center" vertical="center" wrapText="1"/>
    </xf>
    <xf numFmtId="0" fontId="8" fillId="2" borderId="37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181" fontId="6" fillId="3" borderId="6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81" fontId="7" fillId="2" borderId="1" xfId="0" applyNumberFormat="1" applyFont="1" applyFill="1" applyBorder="1" applyAlignment="1">
      <alignment horizontal="center" vertical="center"/>
    </xf>
    <xf numFmtId="176" fontId="21" fillId="2" borderId="16" xfId="0" applyNumberFormat="1" applyFont="1" applyFill="1" applyBorder="1" applyAlignment="1">
      <alignment horizontal="center" vertical="center" shrinkToFit="1"/>
    </xf>
    <xf numFmtId="181" fontId="6" fillId="3" borderId="5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36" xfId="0" applyFont="1" applyBorder="1" applyAlignment="1">
      <alignment horizontal="center" vertical="center" wrapText="1"/>
    </xf>
    <xf numFmtId="0" fontId="8" fillId="2" borderId="37" xfId="0" applyFont="1" applyFill="1" applyBorder="1" applyAlignment="1">
      <alignment horizontal="center" vertical="center" wrapText="1"/>
    </xf>
    <xf numFmtId="0" fontId="8" fillId="0" borderId="38" xfId="0" applyFont="1" applyBorder="1" applyAlignment="1">
      <alignment horizontal="center" vertical="center"/>
    </xf>
    <xf numFmtId="176" fontId="7" fillId="2" borderId="4" xfId="0" applyNumberFormat="1" applyFont="1" applyFill="1" applyBorder="1" applyAlignment="1">
      <alignment horizontal="center" vertical="center"/>
    </xf>
    <xf numFmtId="176" fontId="21" fillId="2" borderId="24" xfId="0" applyNumberFormat="1" applyFont="1" applyFill="1" applyBorder="1" applyAlignment="1">
      <alignment horizontal="center" vertical="center" shrinkToFit="1"/>
    </xf>
    <xf numFmtId="181" fontId="6" fillId="3" borderId="12" xfId="0" applyNumberFormat="1" applyFont="1" applyFill="1" applyBorder="1" applyAlignment="1">
      <alignment horizontal="center" vertical="center"/>
    </xf>
    <xf numFmtId="177" fontId="7" fillId="2" borderId="4" xfId="0" applyNumberFormat="1" applyFont="1" applyFill="1" applyBorder="1" applyAlignment="1">
      <alignment horizontal="center" vertical="center"/>
    </xf>
    <xf numFmtId="0" fontId="8" fillId="2" borderId="38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2" borderId="37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2" borderId="38" xfId="0" applyFont="1" applyFill="1" applyBorder="1" applyAlignment="1">
      <alignment horizontal="center" vertical="center" wrapText="1"/>
    </xf>
    <xf numFmtId="0" fontId="8" fillId="2" borderId="37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176" fontId="12" fillId="3" borderId="9" xfId="0" applyNumberFormat="1" applyFont="1" applyFill="1" applyBorder="1" applyAlignment="1">
      <alignment horizontal="center" vertical="center" shrinkToFit="1"/>
    </xf>
    <xf numFmtId="176" fontId="12" fillId="3" borderId="10" xfId="0" applyNumberFormat="1" applyFont="1" applyFill="1" applyBorder="1" applyAlignment="1">
      <alignment horizontal="center" vertical="center" shrinkToFit="1"/>
    </xf>
    <xf numFmtId="0" fontId="8" fillId="2" borderId="1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36" xfId="0" applyFont="1" applyFill="1" applyBorder="1" applyAlignment="1">
      <alignment horizontal="center" vertical="center" wrapText="1"/>
    </xf>
    <xf numFmtId="0" fontId="8" fillId="2" borderId="37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3" xfId="0" applyFont="1" applyFill="1" applyBorder="1" applyAlignment="1">
      <alignment horizontal="right" vertical="center" wrapText="1"/>
    </xf>
    <xf numFmtId="183" fontId="0" fillId="0" borderId="0" xfId="0" applyNumberFormat="1">
      <alignment vertical="center"/>
    </xf>
    <xf numFmtId="0" fontId="8" fillId="0" borderId="1" xfId="0" applyFont="1" applyBorder="1" applyAlignment="1">
      <alignment horizontal="center" vertical="center"/>
    </xf>
    <xf numFmtId="183" fontId="8" fillId="0" borderId="1" xfId="0" applyNumberFormat="1" applyFont="1" applyBorder="1" applyAlignment="1">
      <alignment horizontal="center" vertical="center"/>
    </xf>
    <xf numFmtId="0" fontId="8" fillId="0" borderId="0" xfId="0" applyFont="1">
      <alignment vertical="center"/>
    </xf>
    <xf numFmtId="0" fontId="8" fillId="0" borderId="43" xfId="0" applyFont="1" applyBorder="1" applyAlignment="1">
      <alignment horizontal="center" vertical="center"/>
    </xf>
    <xf numFmtId="183" fontId="8" fillId="0" borderId="43" xfId="0" applyNumberFormat="1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183" fontId="8" fillId="0" borderId="27" xfId="0" applyNumberFormat="1" applyFont="1" applyBorder="1" applyAlignment="1">
      <alignment horizontal="center" vertical="center"/>
    </xf>
    <xf numFmtId="0" fontId="8" fillId="2" borderId="37" xfId="0" applyFont="1" applyFill="1" applyBorder="1" applyAlignment="1">
      <alignment horizontal="center" vertical="center" wrapText="1"/>
    </xf>
    <xf numFmtId="178" fontId="0" fillId="0" borderId="49" xfId="0" applyNumberFormat="1" applyBorder="1" applyAlignment="1">
      <alignment horizontal="center" vertical="center"/>
    </xf>
    <xf numFmtId="178" fontId="0" fillId="0" borderId="52" xfId="0" applyNumberFormat="1" applyBorder="1" applyAlignment="1">
      <alignment horizontal="right" vertical="center"/>
    </xf>
    <xf numFmtId="178" fontId="0" fillId="0" borderId="53" xfId="0" applyNumberFormat="1" applyBorder="1" applyAlignment="1">
      <alignment horizontal="center" vertical="center"/>
    </xf>
    <xf numFmtId="0" fontId="8" fillId="2" borderId="38" xfId="0" applyFont="1" applyFill="1" applyBorder="1" applyAlignment="1">
      <alignment horizontal="center" vertical="center" wrapText="1"/>
    </xf>
    <xf numFmtId="0" fontId="8" fillId="2" borderId="36" xfId="0" applyFont="1" applyFill="1" applyBorder="1" applyAlignment="1">
      <alignment horizontal="center" vertical="center" wrapText="1"/>
    </xf>
    <xf numFmtId="0" fontId="8" fillId="2" borderId="37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36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2" borderId="38" xfId="0" applyFont="1" applyFill="1" applyBorder="1" applyAlignment="1">
      <alignment horizontal="center" vertical="center" wrapText="1"/>
    </xf>
    <xf numFmtId="0" fontId="8" fillId="2" borderId="37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38" xfId="0" applyFont="1" applyFill="1" applyBorder="1" applyAlignment="1">
      <alignment horizontal="center" vertical="center" wrapText="1"/>
    </xf>
    <xf numFmtId="0" fontId="8" fillId="2" borderId="36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177" fontId="8" fillId="0" borderId="12" xfId="0" applyNumberFormat="1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vertical="center"/>
    </xf>
    <xf numFmtId="0" fontId="8" fillId="2" borderId="13" xfId="0" applyFont="1" applyFill="1" applyBorder="1" applyAlignment="1">
      <alignment vertical="center" wrapText="1"/>
    </xf>
    <xf numFmtId="0" fontId="8" fillId="2" borderId="7" xfId="0" applyFont="1" applyFill="1" applyBorder="1" applyAlignment="1">
      <alignment vertical="center" wrapText="1"/>
    </xf>
    <xf numFmtId="0" fontId="8" fillId="2" borderId="6" xfId="0" applyFont="1" applyFill="1" applyBorder="1" applyAlignment="1">
      <alignment horizontal="center" vertical="center" wrapText="1"/>
    </xf>
    <xf numFmtId="177" fontId="8" fillId="0" borderId="6" xfId="0" applyNumberFormat="1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vertical="center"/>
    </xf>
    <xf numFmtId="0" fontId="11" fillId="2" borderId="25" xfId="0" applyFont="1" applyFill="1" applyBorder="1" applyAlignment="1">
      <alignment vertical="center"/>
    </xf>
    <xf numFmtId="0" fontId="8" fillId="2" borderId="36" xfId="0" applyFont="1" applyFill="1" applyBorder="1" applyAlignment="1">
      <alignment vertical="center" wrapText="1"/>
    </xf>
    <xf numFmtId="0" fontId="8" fillId="2" borderId="36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177" fontId="8" fillId="0" borderId="5" xfId="0" applyNumberFormat="1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vertical="center" wrapText="1"/>
    </xf>
    <xf numFmtId="0" fontId="8" fillId="0" borderId="5" xfId="0" applyFont="1" applyFill="1" applyBorder="1" applyAlignment="1">
      <alignment vertical="center"/>
    </xf>
    <xf numFmtId="176" fontId="20" fillId="3" borderId="37" xfId="0" applyNumberFormat="1" applyFont="1" applyFill="1" applyBorder="1" applyAlignment="1">
      <alignment horizontal="center" vertical="center"/>
    </xf>
    <xf numFmtId="0" fontId="20" fillId="3" borderId="3" xfId="0" applyFont="1" applyFill="1" applyBorder="1" applyAlignment="1">
      <alignment horizontal="center" vertical="center"/>
    </xf>
    <xf numFmtId="176" fontId="20" fillId="3" borderId="3" xfId="0" applyNumberFormat="1" applyFont="1" applyFill="1" applyBorder="1" applyAlignment="1">
      <alignment horizontal="center" vertical="center"/>
    </xf>
    <xf numFmtId="176" fontId="6" fillId="3" borderId="3" xfId="0" applyNumberFormat="1" applyFont="1" applyFill="1" applyBorder="1" applyAlignment="1">
      <alignment horizontal="center" vertical="center"/>
    </xf>
    <xf numFmtId="0" fontId="11" fillId="2" borderId="54" xfId="0" applyFont="1" applyFill="1" applyBorder="1" applyAlignment="1">
      <alignment vertical="center"/>
    </xf>
    <xf numFmtId="0" fontId="11" fillId="2" borderId="19" xfId="0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180" fontId="0" fillId="0" borderId="1" xfId="0" applyNumberFormat="1" applyBorder="1" applyAlignment="1">
      <alignment horizontal="center" vertical="center"/>
    </xf>
    <xf numFmtId="180" fontId="0" fillId="2" borderId="1" xfId="0" applyNumberFormat="1" applyFill="1" applyBorder="1" applyAlignment="1">
      <alignment horizontal="center" vertical="center"/>
    </xf>
    <xf numFmtId="0" fontId="10" fillId="0" borderId="28" xfId="0" applyFont="1" applyBorder="1" applyAlignment="1">
      <alignment vertical="center"/>
    </xf>
    <xf numFmtId="0" fontId="10" fillId="0" borderId="29" xfId="0" applyFont="1" applyBorder="1" applyAlignment="1">
      <alignment vertical="center"/>
    </xf>
    <xf numFmtId="178" fontId="0" fillId="0" borderId="1" xfId="0" applyNumberFormat="1" applyBorder="1" applyAlignment="1">
      <alignment horizontal="center" vertical="center"/>
    </xf>
    <xf numFmtId="178" fontId="0" fillId="2" borderId="1" xfId="0" applyNumberFormat="1" applyFill="1" applyBorder="1" applyAlignment="1">
      <alignment horizontal="right" vertical="center"/>
    </xf>
    <xf numFmtId="178" fontId="0" fillId="0" borderId="1" xfId="0" applyNumberFormat="1" applyBorder="1" applyAlignment="1">
      <alignment horizontal="right" vertical="center"/>
    </xf>
    <xf numFmtId="180" fontId="0" fillId="0" borderId="1" xfId="0" applyNumberFormat="1" applyBorder="1">
      <alignment vertical="center"/>
    </xf>
    <xf numFmtId="178" fontId="0" fillId="0" borderId="27" xfId="0" applyNumberFormat="1" applyBorder="1" applyAlignment="1">
      <alignment horizontal="center" vertical="center"/>
    </xf>
    <xf numFmtId="0" fontId="8" fillId="2" borderId="27" xfId="0" applyFont="1" applyFill="1" applyBorder="1" applyAlignment="1">
      <alignment horizontal="right" vertical="center" wrapText="1"/>
    </xf>
    <xf numFmtId="180" fontId="0" fillId="0" borderId="27" xfId="0" applyNumberFormat="1" applyBorder="1">
      <alignment vertical="center"/>
    </xf>
    <xf numFmtId="178" fontId="0" fillId="0" borderId="43" xfId="0" applyNumberFormat="1" applyBorder="1" applyAlignment="1">
      <alignment horizontal="right" vertical="center"/>
    </xf>
    <xf numFmtId="180" fontId="0" fillId="0" borderId="43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180" fontId="0" fillId="0" borderId="5" xfId="0" applyNumberFormat="1" applyBorder="1">
      <alignment vertical="center"/>
    </xf>
    <xf numFmtId="180" fontId="0" fillId="0" borderId="5" xfId="0" applyNumberFormat="1" applyBorder="1" applyAlignment="1">
      <alignment horizontal="center" vertical="center"/>
    </xf>
    <xf numFmtId="41" fontId="30" fillId="0" borderId="1" xfId="1" applyFont="1" applyBorder="1" applyAlignment="1">
      <alignment horizontal="center" vertical="center"/>
    </xf>
    <xf numFmtId="18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41" fontId="0" fillId="0" borderId="1" xfId="0" applyNumberFormat="1" applyBorder="1" applyAlignment="1">
      <alignment horizontal="center" vertical="center"/>
    </xf>
    <xf numFmtId="43" fontId="0" fillId="0" borderId="1" xfId="0" applyNumberFormat="1" applyBorder="1" applyAlignment="1">
      <alignment horizontal="center" vertical="center"/>
    </xf>
    <xf numFmtId="0" fontId="8" fillId="0" borderId="13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vertical="center"/>
    </xf>
    <xf numFmtId="0" fontId="0" fillId="0" borderId="0" xfId="0" applyAlignment="1">
      <alignment horizontal="left" vertical="center"/>
    </xf>
    <xf numFmtId="180" fontId="0" fillId="0" borderId="0" xfId="0" applyNumberFormat="1" applyAlignment="1">
      <alignment vertical="center" wrapText="1"/>
    </xf>
    <xf numFmtId="41" fontId="0" fillId="0" borderId="0" xfId="0" applyNumberFormat="1">
      <alignment vertical="center"/>
    </xf>
    <xf numFmtId="0" fontId="8" fillId="2" borderId="23" xfId="0" applyFont="1" applyFill="1" applyBorder="1" applyAlignment="1">
      <alignment vertical="center" wrapText="1"/>
    </xf>
    <xf numFmtId="176" fontId="23" fillId="0" borderId="7" xfId="0" applyNumberFormat="1" applyFont="1" applyFill="1" applyBorder="1" applyAlignment="1">
      <alignment horizontal="center" vertical="center"/>
    </xf>
    <xf numFmtId="0" fontId="23" fillId="0" borderId="6" xfId="0" applyFont="1" applyFill="1" applyBorder="1" applyAlignment="1">
      <alignment horizontal="center" vertical="center"/>
    </xf>
    <xf numFmtId="176" fontId="23" fillId="0" borderId="6" xfId="0" applyNumberFormat="1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vertical="center"/>
    </xf>
    <xf numFmtId="178" fontId="27" fillId="0" borderId="51" xfId="0" applyNumberFormat="1" applyFont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2" borderId="37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176" fontId="6" fillId="3" borderId="33" xfId="0" applyNumberFormat="1" applyFont="1" applyFill="1" applyBorder="1" applyAlignment="1">
      <alignment horizontal="center" vertical="center"/>
    </xf>
    <xf numFmtId="0" fontId="6" fillId="3" borderId="27" xfId="0" applyFont="1" applyFill="1" applyBorder="1" applyAlignment="1">
      <alignment horizontal="center" vertical="center"/>
    </xf>
    <xf numFmtId="176" fontId="6" fillId="3" borderId="27" xfId="0" applyNumberFormat="1" applyFont="1" applyFill="1" applyBorder="1" applyAlignment="1">
      <alignment horizontal="center" vertical="center"/>
    </xf>
    <xf numFmtId="0" fontId="11" fillId="3" borderId="40" xfId="0" applyFont="1" applyFill="1" applyBorder="1" applyAlignment="1">
      <alignment vertical="center"/>
    </xf>
    <xf numFmtId="0" fontId="8" fillId="2" borderId="36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37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176" fontId="7" fillId="0" borderId="7" xfId="0" applyNumberFormat="1" applyFont="1" applyFill="1" applyBorder="1" applyAlignment="1">
      <alignment horizontal="center" vertical="center"/>
    </xf>
    <xf numFmtId="0" fontId="8" fillId="2" borderId="36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/>
    </xf>
    <xf numFmtId="176" fontId="7" fillId="0" borderId="6" xfId="0" applyNumberFormat="1" applyFont="1" applyFill="1" applyBorder="1" applyAlignment="1">
      <alignment horizontal="center" vertical="center"/>
    </xf>
    <xf numFmtId="176" fontId="6" fillId="0" borderId="6" xfId="0" applyNumberFormat="1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 wrapText="1"/>
    </xf>
    <xf numFmtId="0" fontId="8" fillId="2" borderId="37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36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176" fontId="7" fillId="0" borderId="36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27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 wrapText="1"/>
    </xf>
    <xf numFmtId="0" fontId="8" fillId="2" borderId="36" xfId="0" applyFont="1" applyFill="1" applyBorder="1" applyAlignment="1">
      <alignment horizontal="center" vertical="center" wrapText="1"/>
    </xf>
    <xf numFmtId="0" fontId="8" fillId="2" borderId="49" xfId="0" applyFont="1" applyFill="1" applyBorder="1" applyAlignment="1">
      <alignment horizontal="right" vertical="center" wrapText="1"/>
    </xf>
    <xf numFmtId="177" fontId="8" fillId="0" borderId="50" xfId="0" applyNumberFormat="1" applyFont="1" applyFill="1" applyBorder="1" applyAlignment="1">
      <alignment horizontal="center" vertical="center" wrapText="1"/>
    </xf>
    <xf numFmtId="0" fontId="8" fillId="2" borderId="36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33" xfId="0" applyFont="1" applyFill="1" applyBorder="1" applyAlignment="1">
      <alignment horizontal="center" vertical="center" wrapText="1"/>
    </xf>
    <xf numFmtId="0" fontId="8" fillId="2" borderId="37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1" xfId="0" applyFont="1" applyFill="1" applyBorder="1" applyAlignment="1">
      <alignment horizontal="right" vertical="center" wrapText="1"/>
    </xf>
    <xf numFmtId="0" fontId="0" fillId="0" borderId="2" xfId="0" applyBorder="1" applyAlignment="1">
      <alignment horizontal="center" vertical="center"/>
    </xf>
    <xf numFmtId="0" fontId="14" fillId="2" borderId="4" xfId="0" applyFont="1" applyFill="1" applyBorder="1" applyAlignment="1">
      <alignment vertical="center" wrapText="1"/>
    </xf>
    <xf numFmtId="0" fontId="14" fillId="2" borderId="58" xfId="0" applyFont="1" applyFill="1" applyBorder="1" applyAlignment="1">
      <alignment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/>
    </xf>
    <xf numFmtId="0" fontId="11" fillId="2" borderId="59" xfId="0" applyFont="1" applyFill="1" applyBorder="1" applyAlignment="1">
      <alignment vertical="center"/>
    </xf>
    <xf numFmtId="177" fontId="8" fillId="0" borderId="51" xfId="0" applyNumberFormat="1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8" fillId="2" borderId="28" xfId="0" applyFont="1" applyFill="1" applyBorder="1" applyAlignment="1">
      <alignment horizontal="center" vertical="center" wrapText="1"/>
    </xf>
    <xf numFmtId="0" fontId="8" fillId="2" borderId="36" xfId="0" applyFont="1" applyFill="1" applyBorder="1" applyAlignment="1">
      <alignment horizontal="center" vertical="center" wrapText="1"/>
    </xf>
    <xf numFmtId="176" fontId="7" fillId="0" borderId="5" xfId="0" applyNumberFormat="1" applyFont="1" applyFill="1" applyBorder="1" applyAlignment="1">
      <alignment horizontal="center" vertical="center"/>
    </xf>
    <xf numFmtId="176" fontId="7" fillId="0" borderId="27" xfId="0" applyNumberFormat="1" applyFont="1" applyFill="1" applyBorder="1" applyAlignment="1">
      <alignment horizontal="center" vertical="center"/>
    </xf>
    <xf numFmtId="176" fontId="6" fillId="0" borderId="27" xfId="0" applyNumberFormat="1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/>
    </xf>
    <xf numFmtId="176" fontId="7" fillId="0" borderId="23" xfId="0" applyNumberFormat="1" applyFont="1" applyFill="1" applyBorder="1" applyAlignment="1">
      <alignment horizontal="center" vertical="center"/>
    </xf>
    <xf numFmtId="0" fontId="7" fillId="0" borderId="19" xfId="0" applyFont="1" applyFill="1" applyBorder="1" applyAlignment="1">
      <alignment horizontal="center" vertical="center"/>
    </xf>
    <xf numFmtId="176" fontId="7" fillId="0" borderId="7" xfId="0" applyNumberFormat="1" applyFont="1" applyFill="1" applyBorder="1" applyAlignment="1">
      <alignment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36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37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60" xfId="0" applyFont="1" applyFill="1" applyBorder="1" applyAlignment="1">
      <alignment horizontal="center" vertical="center" wrapText="1"/>
    </xf>
    <xf numFmtId="0" fontId="31" fillId="0" borderId="50" xfId="0" applyFont="1" applyBorder="1" applyAlignment="1">
      <alignment horizontal="center" vertical="center" wrapText="1"/>
    </xf>
    <xf numFmtId="176" fontId="6" fillId="3" borderId="49" xfId="0" applyNumberFormat="1" applyFont="1" applyFill="1" applyBorder="1" applyAlignment="1">
      <alignment horizontal="center" vertical="center"/>
    </xf>
    <xf numFmtId="0" fontId="8" fillId="2" borderId="38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38" xfId="0" applyFont="1" applyFill="1" applyBorder="1" applyAlignment="1">
      <alignment horizontal="center" vertical="center" wrapText="1"/>
    </xf>
    <xf numFmtId="176" fontId="6" fillId="0" borderId="36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11" fillId="0" borderId="16" xfId="0" applyFont="1" applyFill="1" applyBorder="1" applyAlignment="1">
      <alignment vertical="center"/>
    </xf>
    <xf numFmtId="0" fontId="8" fillId="2" borderId="11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38" xfId="0" applyFont="1" applyFill="1" applyBorder="1" applyAlignment="1">
      <alignment horizontal="center" vertical="center" wrapText="1"/>
    </xf>
    <xf numFmtId="0" fontId="8" fillId="2" borderId="36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11" fillId="0" borderId="40" xfId="0" applyFont="1" applyFill="1" applyBorder="1" applyAlignment="1">
      <alignment vertical="center"/>
    </xf>
    <xf numFmtId="177" fontId="8" fillId="0" borderId="60" xfId="0" applyNumberFormat="1" applyFont="1" applyFill="1" applyBorder="1" applyAlignment="1">
      <alignment horizontal="center" vertical="center" wrapText="1"/>
    </xf>
    <xf numFmtId="0" fontId="8" fillId="2" borderId="36" xfId="0" applyFont="1" applyFill="1" applyBorder="1" applyAlignment="1">
      <alignment horizontal="center" vertical="center" wrapText="1"/>
    </xf>
    <xf numFmtId="0" fontId="8" fillId="2" borderId="36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177" fontId="8" fillId="0" borderId="10" xfId="0" applyNumberFormat="1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vertical="center"/>
    </xf>
    <xf numFmtId="0" fontId="11" fillId="2" borderId="39" xfId="0" applyFont="1" applyFill="1" applyBorder="1" applyAlignment="1">
      <alignment vertical="center"/>
    </xf>
    <xf numFmtId="0" fontId="8" fillId="2" borderId="33" xfId="0" applyFont="1" applyFill="1" applyBorder="1" applyAlignment="1">
      <alignment horizontal="center" vertical="center" wrapText="1"/>
    </xf>
    <xf numFmtId="0" fontId="8" fillId="2" borderId="27" xfId="0" applyFont="1" applyFill="1" applyBorder="1" applyAlignment="1">
      <alignment horizontal="center" vertical="center"/>
    </xf>
    <xf numFmtId="176" fontId="7" fillId="0" borderId="13" xfId="0" applyNumberFormat="1" applyFont="1" applyFill="1" applyBorder="1" applyAlignment="1">
      <alignment horizontal="center" vertical="center"/>
    </xf>
    <xf numFmtId="178" fontId="0" fillId="0" borderId="61" xfId="0" applyNumberFormat="1" applyBorder="1" applyAlignment="1">
      <alignment horizontal="right" vertical="center"/>
    </xf>
    <xf numFmtId="0" fontId="8" fillId="2" borderId="37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36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vertical="center" wrapText="1"/>
    </xf>
    <xf numFmtId="0" fontId="2" fillId="2" borderId="57" xfId="0" applyFont="1" applyFill="1" applyBorder="1" applyAlignment="1">
      <alignment vertical="center" wrapText="1"/>
    </xf>
    <xf numFmtId="0" fontId="9" fillId="2" borderId="40" xfId="0" applyFont="1" applyFill="1" applyBorder="1" applyAlignment="1">
      <alignment vertical="center"/>
    </xf>
    <xf numFmtId="0" fontId="8" fillId="2" borderId="36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176" fontId="7" fillId="0" borderId="33" xfId="0" applyNumberFormat="1" applyFont="1" applyFill="1" applyBorder="1" applyAlignment="1">
      <alignment horizontal="center" vertical="center"/>
    </xf>
    <xf numFmtId="0" fontId="8" fillId="2" borderId="36" xfId="0" applyFont="1" applyFill="1" applyBorder="1" applyAlignment="1">
      <alignment horizontal="center" vertical="center" wrapText="1"/>
    </xf>
    <xf numFmtId="176" fontId="7" fillId="0" borderId="4" xfId="0" applyNumberFormat="1" applyFont="1" applyFill="1" applyBorder="1" applyAlignment="1">
      <alignment horizontal="center" vertical="center"/>
    </xf>
    <xf numFmtId="176" fontId="7" fillId="0" borderId="4" xfId="0" applyNumberFormat="1" applyFont="1" applyFill="1" applyBorder="1" applyAlignment="1">
      <alignment horizontal="left" vertical="center"/>
    </xf>
    <xf numFmtId="0" fontId="8" fillId="2" borderId="36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vertical="center" wrapText="1"/>
    </xf>
    <xf numFmtId="0" fontId="14" fillId="2" borderId="22" xfId="0" applyFont="1" applyFill="1" applyBorder="1" applyAlignment="1">
      <alignment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9" fillId="2" borderId="26" xfId="0" applyFont="1" applyFill="1" applyBorder="1" applyAlignment="1">
      <alignment vertical="center"/>
    </xf>
    <xf numFmtId="0" fontId="2" fillId="2" borderId="58" xfId="0" applyFont="1" applyFill="1" applyBorder="1" applyAlignment="1">
      <alignment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14" fillId="2" borderId="57" xfId="0" applyFont="1" applyFill="1" applyBorder="1" applyAlignment="1">
      <alignment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8" fillId="2" borderId="36" xfId="0" applyFont="1" applyFill="1" applyBorder="1" applyAlignment="1">
      <alignment horizontal="center" vertical="center" wrapText="1"/>
    </xf>
    <xf numFmtId="176" fontId="7" fillId="0" borderId="33" xfId="0" applyNumberFormat="1" applyFont="1" applyFill="1" applyBorder="1" applyAlignment="1">
      <alignment horizontal="center" vertical="center"/>
    </xf>
    <xf numFmtId="176" fontId="6" fillId="0" borderId="19" xfId="0" applyNumberFormat="1" applyFont="1" applyFill="1" applyBorder="1" applyAlignment="1">
      <alignment horizontal="center" vertical="center"/>
    </xf>
    <xf numFmtId="176" fontId="7" fillId="0" borderId="13" xfId="0" applyNumberFormat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 wrapText="1"/>
    </xf>
    <xf numFmtId="176" fontId="7" fillId="0" borderId="7" xfId="0" applyNumberFormat="1" applyFont="1" applyFill="1" applyBorder="1" applyAlignment="1">
      <alignment horizontal="center" vertical="center"/>
    </xf>
    <xf numFmtId="0" fontId="8" fillId="2" borderId="36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176" fontId="6" fillId="0" borderId="9" xfId="0" applyNumberFormat="1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176" fontId="6" fillId="0" borderId="10" xfId="0" applyNumberFormat="1" applyFont="1" applyFill="1" applyBorder="1" applyAlignment="1">
      <alignment horizontal="center" vertical="center"/>
    </xf>
    <xf numFmtId="176" fontId="7" fillId="0" borderId="13" xfId="0" applyNumberFormat="1" applyFont="1" applyFill="1" applyBorder="1" applyAlignment="1">
      <alignment horizontal="center" vertical="center"/>
    </xf>
    <xf numFmtId="176" fontId="7" fillId="0" borderId="7" xfId="0" applyNumberFormat="1" applyFont="1" applyFill="1" applyBorder="1" applyAlignment="1">
      <alignment horizontal="center" vertical="center"/>
    </xf>
    <xf numFmtId="0" fontId="8" fillId="2" borderId="36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8" fillId="2" borderId="36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/>
    </xf>
    <xf numFmtId="176" fontId="6" fillId="0" borderId="5" xfId="0" applyNumberFormat="1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 wrapText="1"/>
    </xf>
    <xf numFmtId="0" fontId="8" fillId="2" borderId="62" xfId="0" applyFont="1" applyFill="1" applyBorder="1" applyAlignment="1">
      <alignment horizontal="right" vertical="center" wrapText="1"/>
    </xf>
    <xf numFmtId="0" fontId="8" fillId="2" borderId="63" xfId="0" applyFont="1" applyFill="1" applyBorder="1" applyAlignment="1">
      <alignment horizontal="right" vertical="center" wrapText="1"/>
    </xf>
    <xf numFmtId="177" fontId="8" fillId="0" borderId="48" xfId="0" applyNumberFormat="1" applyFont="1" applyFill="1" applyBorder="1" applyAlignment="1">
      <alignment horizontal="center" vertical="center" wrapText="1"/>
    </xf>
    <xf numFmtId="0" fontId="8" fillId="2" borderId="36" xfId="0" applyFont="1" applyFill="1" applyBorder="1" applyAlignment="1">
      <alignment horizontal="center" vertical="center" wrapText="1"/>
    </xf>
    <xf numFmtId="0" fontId="8" fillId="2" borderId="37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8" fillId="2" borderId="3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177" fontId="8" fillId="0" borderId="47" xfId="0" applyNumberFormat="1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/>
    </xf>
    <xf numFmtId="176" fontId="12" fillId="0" borderId="26" xfId="0" applyNumberFormat="1" applyFont="1" applyFill="1" applyBorder="1" applyAlignment="1">
      <alignment horizontal="center" vertical="center" shrinkToFit="1"/>
    </xf>
    <xf numFmtId="0" fontId="8" fillId="0" borderId="1" xfId="0" applyFont="1" applyFill="1" applyBorder="1" applyAlignment="1">
      <alignment horizontal="center" vertical="center"/>
    </xf>
    <xf numFmtId="176" fontId="12" fillId="0" borderId="16" xfId="0" applyNumberFormat="1" applyFont="1" applyFill="1" applyBorder="1" applyAlignment="1">
      <alignment horizontal="center" vertical="center" shrinkToFit="1"/>
    </xf>
    <xf numFmtId="0" fontId="8" fillId="0" borderId="27" xfId="0" applyFont="1" applyFill="1" applyBorder="1" applyAlignment="1">
      <alignment horizontal="center" vertical="center"/>
    </xf>
    <xf numFmtId="176" fontId="12" fillId="0" borderId="40" xfId="0" applyNumberFormat="1" applyFont="1" applyFill="1" applyBorder="1" applyAlignment="1">
      <alignment horizontal="center" vertical="center" shrinkToFit="1"/>
    </xf>
    <xf numFmtId="176" fontId="7" fillId="0" borderId="13" xfId="0" applyNumberFormat="1" applyFont="1" applyFill="1" applyBorder="1" applyAlignment="1">
      <alignment horizontal="center" vertical="center"/>
    </xf>
    <xf numFmtId="176" fontId="7" fillId="0" borderId="7" xfId="0" applyNumberFormat="1" applyFont="1" applyFill="1" applyBorder="1" applyAlignment="1">
      <alignment horizontal="center" vertical="center"/>
    </xf>
    <xf numFmtId="176" fontId="7" fillId="0" borderId="36" xfId="0" applyNumberFormat="1" applyFont="1" applyFill="1" applyBorder="1" applyAlignment="1">
      <alignment horizontal="center" vertical="center" wrapText="1"/>
    </xf>
    <xf numFmtId="176" fontId="7" fillId="0" borderId="13" xfId="0" applyNumberFormat="1" applyFont="1" applyFill="1" applyBorder="1" applyAlignment="1">
      <alignment horizontal="center" vertical="center"/>
    </xf>
    <xf numFmtId="0" fontId="8" fillId="2" borderId="36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27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36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vertical="center" wrapText="1"/>
    </xf>
    <xf numFmtId="0" fontId="25" fillId="2" borderId="19" xfId="0" applyFont="1" applyFill="1" applyBorder="1" applyAlignment="1">
      <alignment vertical="center" wrapText="1"/>
    </xf>
    <xf numFmtId="0" fontId="25" fillId="2" borderId="20" xfId="0" applyFont="1" applyFill="1" applyBorder="1" applyAlignment="1">
      <alignment vertical="center" wrapText="1"/>
    </xf>
    <xf numFmtId="0" fontId="25" fillId="2" borderId="16" xfId="0" applyFont="1" applyFill="1" applyBorder="1" applyAlignment="1">
      <alignment vertical="center" wrapText="1"/>
    </xf>
    <xf numFmtId="0" fontId="25" fillId="2" borderId="3" xfId="0" applyFont="1" applyFill="1" applyBorder="1" applyAlignment="1">
      <alignment vertical="center" wrapText="1"/>
    </xf>
    <xf numFmtId="0" fontId="25" fillId="2" borderId="15" xfId="0" applyFont="1" applyFill="1" applyBorder="1" applyAlignment="1">
      <alignment vertical="center" wrapText="1"/>
    </xf>
    <xf numFmtId="0" fontId="8" fillId="2" borderId="36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/>
    </xf>
    <xf numFmtId="0" fontId="8" fillId="2" borderId="36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176" fontId="7" fillId="0" borderId="7" xfId="0" applyNumberFormat="1" applyFont="1" applyFill="1" applyBorder="1" applyAlignment="1">
      <alignment horizontal="center" vertical="center"/>
    </xf>
    <xf numFmtId="176" fontId="7" fillId="0" borderId="7" xfId="0" applyNumberFormat="1" applyFont="1" applyFill="1" applyBorder="1" applyAlignment="1">
      <alignment horizontal="center" vertical="center"/>
    </xf>
    <xf numFmtId="0" fontId="8" fillId="2" borderId="36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38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2" borderId="36" xfId="0" applyFont="1" applyFill="1" applyBorder="1" applyAlignment="1">
      <alignment horizontal="center" vertical="center" wrapText="1"/>
    </xf>
    <xf numFmtId="176" fontId="6" fillId="0" borderId="7" xfId="0" applyNumberFormat="1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11" fillId="0" borderId="25" xfId="0" applyFont="1" applyFill="1" applyBorder="1" applyAlignment="1">
      <alignment vertical="center"/>
    </xf>
    <xf numFmtId="0" fontId="8" fillId="2" borderId="37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176" fontId="7" fillId="0" borderId="7" xfId="0" applyNumberFormat="1" applyFont="1" applyFill="1" applyBorder="1" applyAlignment="1">
      <alignment horizontal="center" vertical="center"/>
    </xf>
    <xf numFmtId="0" fontId="25" fillId="3" borderId="7" xfId="0" applyFont="1" applyFill="1" applyBorder="1" applyAlignment="1">
      <alignment vertical="center" wrapText="1"/>
    </xf>
    <xf numFmtId="0" fontId="25" fillId="3" borderId="6" xfId="0" applyFont="1" applyFill="1" applyBorder="1" applyAlignment="1">
      <alignment vertical="center" wrapText="1"/>
    </xf>
    <xf numFmtId="0" fontId="25" fillId="3" borderId="25" xfId="0" applyFont="1" applyFill="1" applyBorder="1" applyAlignment="1">
      <alignment vertical="center" wrapText="1"/>
    </xf>
    <xf numFmtId="0" fontId="8" fillId="2" borderId="27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177" fontId="8" fillId="0" borderId="46" xfId="0" applyNumberFormat="1" applyFont="1" applyFill="1" applyBorder="1" applyAlignment="1">
      <alignment horizontal="center" vertical="center" wrapText="1"/>
    </xf>
    <xf numFmtId="0" fontId="25" fillId="2" borderId="4" xfId="0" applyFont="1" applyFill="1" applyBorder="1" applyAlignment="1">
      <alignment vertical="center" wrapText="1"/>
    </xf>
    <xf numFmtId="0" fontId="25" fillId="2" borderId="24" xfId="0" applyFont="1" applyFill="1" applyBorder="1" applyAlignment="1">
      <alignment vertical="center" wrapText="1"/>
    </xf>
    <xf numFmtId="176" fontId="7" fillId="0" borderId="7" xfId="0" applyNumberFormat="1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 wrapText="1"/>
    </xf>
    <xf numFmtId="0" fontId="8" fillId="2" borderId="36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2" borderId="36" xfId="0" applyFont="1" applyFill="1" applyBorder="1" applyAlignment="1">
      <alignment horizontal="center" vertical="center" wrapText="1"/>
    </xf>
    <xf numFmtId="0" fontId="8" fillId="0" borderId="19" xfId="0" applyFont="1" applyFill="1" applyBorder="1" applyAlignment="1">
      <alignment horizontal="center" vertical="center"/>
    </xf>
    <xf numFmtId="176" fontId="12" fillId="0" borderId="20" xfId="0" applyNumberFormat="1" applyFont="1" applyFill="1" applyBorder="1" applyAlignment="1">
      <alignment horizontal="center" vertical="center" shrinkToFit="1"/>
    </xf>
    <xf numFmtId="0" fontId="8" fillId="2" borderId="33" xfId="0" applyFont="1" applyFill="1" applyBorder="1" applyAlignment="1">
      <alignment horizontal="center" vertical="center" wrapText="1"/>
    </xf>
    <xf numFmtId="176" fontId="7" fillId="0" borderId="13" xfId="0" applyNumberFormat="1" applyFont="1" applyFill="1" applyBorder="1" applyAlignment="1">
      <alignment horizontal="center" vertical="center"/>
    </xf>
    <xf numFmtId="176" fontId="7" fillId="3" borderId="7" xfId="0" applyNumberFormat="1" applyFont="1" applyFill="1" applyBorder="1" applyAlignment="1">
      <alignment vertical="center"/>
    </xf>
    <xf numFmtId="0" fontId="7" fillId="3" borderId="6" xfId="0" applyFont="1" applyFill="1" applyBorder="1" applyAlignment="1">
      <alignment horizontal="center" vertical="center"/>
    </xf>
    <xf numFmtId="177" fontId="8" fillId="3" borderId="6" xfId="0" applyNumberFormat="1" applyFont="1" applyFill="1" applyBorder="1" applyAlignment="1">
      <alignment horizontal="center" vertical="center" wrapText="1"/>
    </xf>
    <xf numFmtId="176" fontId="7" fillId="3" borderId="6" xfId="0" applyNumberFormat="1" applyFont="1" applyFill="1" applyBorder="1" applyAlignment="1">
      <alignment horizontal="center" vertical="center"/>
    </xf>
    <xf numFmtId="0" fontId="11" fillId="3" borderId="25" xfId="0" applyFont="1" applyFill="1" applyBorder="1" applyAlignment="1">
      <alignment vertical="center"/>
    </xf>
    <xf numFmtId="0" fontId="8" fillId="2" borderId="36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8" fillId="2" borderId="36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8" fillId="2" borderId="36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8" fillId="2" borderId="64" xfId="0" applyFont="1" applyFill="1" applyBorder="1" applyAlignment="1">
      <alignment horizontal="right" vertical="center" wrapText="1"/>
    </xf>
    <xf numFmtId="0" fontId="8" fillId="2" borderId="36" xfId="0" applyFont="1" applyFill="1" applyBorder="1" applyAlignment="1">
      <alignment horizontal="center" vertical="center" wrapText="1"/>
    </xf>
    <xf numFmtId="0" fontId="8" fillId="2" borderId="36" xfId="0" applyFont="1" applyFill="1" applyBorder="1" applyAlignment="1">
      <alignment horizontal="center" vertical="center" wrapText="1"/>
    </xf>
    <xf numFmtId="176" fontId="7" fillId="0" borderId="7" xfId="0" applyNumberFormat="1" applyFont="1" applyFill="1" applyBorder="1" applyAlignment="1">
      <alignment horizontal="center" vertical="center"/>
    </xf>
    <xf numFmtId="0" fontId="8" fillId="2" borderId="33" xfId="0" applyFont="1" applyFill="1" applyBorder="1" applyAlignment="1">
      <alignment horizontal="center" vertical="center" wrapText="1"/>
    </xf>
    <xf numFmtId="0" fontId="8" fillId="2" borderId="36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36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176" fontId="7" fillId="0" borderId="33" xfId="0" applyNumberFormat="1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0" fontId="8" fillId="2" borderId="37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0" fontId="8" fillId="2" borderId="36" xfId="0" applyFont="1" applyFill="1" applyBorder="1" applyAlignment="1">
      <alignment horizontal="center" vertical="center" wrapText="1"/>
    </xf>
    <xf numFmtId="176" fontId="7" fillId="0" borderId="33" xfId="0" applyNumberFormat="1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 wrapText="1"/>
    </xf>
    <xf numFmtId="176" fontId="7" fillId="3" borderId="7" xfId="0" applyNumberFormat="1" applyFont="1" applyFill="1" applyBorder="1" applyAlignment="1">
      <alignment horizontal="center" vertical="center"/>
    </xf>
    <xf numFmtId="176" fontId="7" fillId="0" borderId="37" xfId="0" applyNumberFormat="1" applyFont="1" applyFill="1" applyBorder="1" applyAlignment="1">
      <alignment horizontal="center" vertical="center"/>
    </xf>
    <xf numFmtId="0" fontId="8" fillId="2" borderId="33" xfId="0" applyFont="1" applyFill="1" applyBorder="1" applyAlignment="1">
      <alignment horizontal="center" vertical="center" wrapText="1"/>
    </xf>
    <xf numFmtId="0" fontId="8" fillId="2" borderId="36" xfId="0" applyFont="1" applyFill="1" applyBorder="1" applyAlignment="1">
      <alignment horizontal="center" vertical="center" wrapText="1"/>
    </xf>
    <xf numFmtId="176" fontId="7" fillId="0" borderId="11" xfId="0" applyNumberFormat="1" applyFont="1" applyFill="1" applyBorder="1" applyAlignment="1">
      <alignment horizontal="center" vertical="center"/>
    </xf>
    <xf numFmtId="176" fontId="7" fillId="0" borderId="13" xfId="0" applyNumberFormat="1" applyFont="1" applyFill="1" applyBorder="1" applyAlignment="1">
      <alignment horizontal="center" vertical="center"/>
    </xf>
    <xf numFmtId="176" fontId="7" fillId="0" borderId="7" xfId="0" applyNumberFormat="1" applyFont="1" applyFill="1" applyBorder="1" applyAlignment="1">
      <alignment horizontal="center" vertical="center"/>
    </xf>
    <xf numFmtId="0" fontId="8" fillId="0" borderId="34" xfId="0" applyFont="1" applyFill="1" applyBorder="1" applyAlignment="1">
      <alignment horizontal="center" vertical="center"/>
    </xf>
    <xf numFmtId="0" fontId="8" fillId="0" borderId="35" xfId="0" applyFont="1" applyFill="1" applyBorder="1" applyAlignment="1">
      <alignment horizontal="center" vertical="center"/>
    </xf>
    <xf numFmtId="0" fontId="8" fillId="0" borderId="41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17" fillId="2" borderId="28" xfId="0" applyFont="1" applyFill="1" applyBorder="1" applyAlignment="1">
      <alignment horizontal="center" vertical="center" wrapText="1"/>
    </xf>
    <xf numFmtId="0" fontId="17" fillId="2" borderId="29" xfId="0" applyFont="1" applyFill="1" applyBorder="1" applyAlignment="1">
      <alignment horizontal="center" vertical="center" wrapText="1"/>
    </xf>
    <xf numFmtId="0" fontId="17" fillId="2" borderId="30" xfId="0" applyFont="1" applyFill="1" applyBorder="1" applyAlignment="1">
      <alignment horizontal="center" vertical="center" wrapText="1"/>
    </xf>
    <xf numFmtId="0" fontId="17" fillId="2" borderId="21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>
      <alignment horizontal="center" vertical="center" wrapText="1"/>
    </xf>
    <xf numFmtId="0" fontId="17" fillId="2" borderId="22" xfId="0" applyFont="1" applyFill="1" applyBorder="1" applyAlignment="1">
      <alignment horizontal="center" vertical="center" wrapText="1"/>
    </xf>
    <xf numFmtId="178" fontId="8" fillId="2" borderId="11" xfId="0" applyNumberFormat="1" applyFont="1" applyFill="1" applyBorder="1" applyAlignment="1">
      <alignment horizontal="center" vertical="center"/>
    </xf>
    <xf numFmtId="178" fontId="8" fillId="2" borderId="13" xfId="0" applyNumberFormat="1" applyFont="1" applyFill="1" applyBorder="1" applyAlignment="1">
      <alignment horizontal="center" vertical="center"/>
    </xf>
    <xf numFmtId="178" fontId="8" fillId="2" borderId="33" xfId="0" applyNumberFormat="1" applyFont="1" applyFill="1" applyBorder="1" applyAlignment="1">
      <alignment horizontal="center" vertical="center"/>
    </xf>
    <xf numFmtId="0" fontId="8" fillId="2" borderId="36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38" xfId="0" applyFont="1" applyFill="1" applyBorder="1" applyAlignment="1">
      <alignment horizontal="center" vertical="center" wrapText="1"/>
    </xf>
    <xf numFmtId="178" fontId="8" fillId="2" borderId="36" xfId="0" applyNumberFormat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 wrapText="1"/>
    </xf>
    <xf numFmtId="0" fontId="17" fillId="2" borderId="31" xfId="0" applyFont="1" applyFill="1" applyBorder="1" applyAlignment="1">
      <alignment horizontal="center" vertical="center" wrapText="1"/>
    </xf>
    <xf numFmtId="0" fontId="17" fillId="2" borderId="32" xfId="0" applyFont="1" applyFill="1" applyBorder="1" applyAlignment="1">
      <alignment horizontal="center" vertical="center" wrapText="1"/>
    </xf>
    <xf numFmtId="0" fontId="17" fillId="2" borderId="8" xfId="0" applyFont="1" applyFill="1" applyBorder="1" applyAlignment="1">
      <alignment horizontal="center" vertical="center" wrapText="1"/>
    </xf>
    <xf numFmtId="0" fontId="8" fillId="0" borderId="14" xfId="0" applyFont="1" applyFill="1" applyBorder="1" applyAlignment="1">
      <alignment horizontal="center" vertical="center"/>
    </xf>
    <xf numFmtId="0" fontId="8" fillId="0" borderId="25" xfId="0" applyFont="1" applyFill="1" applyBorder="1" applyAlignment="1">
      <alignment horizontal="center" vertical="center"/>
    </xf>
    <xf numFmtId="0" fontId="19" fillId="2" borderId="28" xfId="0" applyFont="1" applyFill="1" applyBorder="1" applyAlignment="1">
      <alignment horizontal="center" vertical="center" wrapText="1"/>
    </xf>
    <xf numFmtId="0" fontId="19" fillId="2" borderId="29" xfId="0" applyFont="1" applyFill="1" applyBorder="1" applyAlignment="1">
      <alignment horizontal="center" vertical="center" wrapText="1"/>
    </xf>
    <xf numFmtId="0" fontId="19" fillId="2" borderId="30" xfId="0" applyFont="1" applyFill="1" applyBorder="1" applyAlignment="1">
      <alignment horizontal="center" vertical="center" wrapText="1"/>
    </xf>
    <xf numFmtId="0" fontId="19" fillId="2" borderId="21" xfId="0" applyFont="1" applyFill="1" applyBorder="1" applyAlignment="1">
      <alignment horizontal="center" vertical="center" wrapText="1"/>
    </xf>
    <xf numFmtId="0" fontId="19" fillId="2" borderId="0" xfId="0" applyFont="1" applyFill="1" applyBorder="1" applyAlignment="1">
      <alignment horizontal="center" vertical="center" wrapText="1"/>
    </xf>
    <xf numFmtId="0" fontId="19" fillId="2" borderId="22" xfId="0" applyFont="1" applyFill="1" applyBorder="1" applyAlignment="1">
      <alignment horizontal="center" vertical="center" wrapText="1"/>
    </xf>
    <xf numFmtId="0" fontId="19" fillId="2" borderId="31" xfId="0" applyFont="1" applyFill="1" applyBorder="1" applyAlignment="1">
      <alignment horizontal="center" vertical="center" wrapText="1"/>
    </xf>
    <xf numFmtId="0" fontId="19" fillId="2" borderId="32" xfId="0" applyFont="1" applyFill="1" applyBorder="1" applyAlignment="1">
      <alignment horizontal="center" vertical="center" wrapText="1"/>
    </xf>
    <xf numFmtId="0" fontId="19" fillId="2" borderId="8" xfId="0" applyFont="1" applyFill="1" applyBorder="1" applyAlignment="1">
      <alignment horizontal="center" vertical="center" wrapText="1"/>
    </xf>
    <xf numFmtId="0" fontId="8" fillId="2" borderId="37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0" borderId="30" xfId="0" applyFont="1" applyFill="1" applyBorder="1" applyAlignment="1">
      <alignment horizontal="center" vertical="center"/>
    </xf>
    <xf numFmtId="0" fontId="8" fillId="0" borderId="22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22" fillId="2" borderId="28" xfId="0" applyFont="1" applyFill="1" applyBorder="1" applyAlignment="1">
      <alignment horizontal="center" vertical="center" wrapText="1"/>
    </xf>
    <xf numFmtId="0" fontId="22" fillId="2" borderId="29" xfId="0" applyFont="1" applyFill="1" applyBorder="1" applyAlignment="1">
      <alignment horizontal="center" vertical="center" wrapText="1"/>
    </xf>
    <xf numFmtId="0" fontId="22" fillId="2" borderId="30" xfId="0" applyFont="1" applyFill="1" applyBorder="1" applyAlignment="1">
      <alignment horizontal="center" vertical="center" wrapText="1"/>
    </xf>
    <xf numFmtId="0" fontId="22" fillId="2" borderId="21" xfId="0" applyFont="1" applyFill="1" applyBorder="1" applyAlignment="1">
      <alignment horizontal="center" vertical="center" wrapText="1"/>
    </xf>
    <xf numFmtId="0" fontId="22" fillId="2" borderId="0" xfId="0" applyFont="1" applyFill="1" applyBorder="1" applyAlignment="1">
      <alignment horizontal="center" vertical="center" wrapText="1"/>
    </xf>
    <xf numFmtId="0" fontId="22" fillId="2" borderId="22" xfId="0" applyFont="1" applyFill="1" applyBorder="1" applyAlignment="1">
      <alignment horizontal="center" vertical="center" wrapText="1"/>
    </xf>
    <xf numFmtId="0" fontId="22" fillId="2" borderId="31" xfId="0" applyFont="1" applyFill="1" applyBorder="1" applyAlignment="1">
      <alignment horizontal="center" vertical="center" wrapText="1"/>
    </xf>
    <xf numFmtId="0" fontId="22" fillId="2" borderId="32" xfId="0" applyFont="1" applyFill="1" applyBorder="1" applyAlignment="1">
      <alignment horizontal="center" vertical="center" wrapText="1"/>
    </xf>
    <xf numFmtId="0" fontId="22" fillId="2" borderId="8" xfId="0" applyFont="1" applyFill="1" applyBorder="1" applyAlignment="1">
      <alignment horizontal="center" vertical="center" wrapText="1"/>
    </xf>
    <xf numFmtId="0" fontId="23" fillId="2" borderId="45" xfId="0" applyFont="1" applyFill="1" applyBorder="1" applyAlignment="1">
      <alignment horizontal="center" vertical="center" wrapText="1"/>
    </xf>
    <xf numFmtId="0" fontId="23" fillId="2" borderId="46" xfId="0" applyFont="1" applyFill="1" applyBorder="1" applyAlignment="1">
      <alignment horizontal="center" vertical="center" wrapText="1"/>
    </xf>
    <xf numFmtId="176" fontId="23" fillId="3" borderId="35" xfId="0" applyNumberFormat="1" applyFont="1" applyFill="1" applyBorder="1" applyAlignment="1">
      <alignment horizontal="center" vertical="center"/>
    </xf>
    <xf numFmtId="176" fontId="23" fillId="3" borderId="22" xfId="0" applyNumberFormat="1" applyFont="1" applyFill="1" applyBorder="1" applyAlignment="1">
      <alignment horizontal="center" vertical="center"/>
    </xf>
    <xf numFmtId="0" fontId="23" fillId="2" borderId="37" xfId="0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28" fillId="2" borderId="28" xfId="0" applyFont="1" applyFill="1" applyBorder="1" applyAlignment="1">
      <alignment horizontal="center" vertical="center" wrapText="1"/>
    </xf>
    <xf numFmtId="0" fontId="28" fillId="2" borderId="29" xfId="0" applyFont="1" applyFill="1" applyBorder="1" applyAlignment="1">
      <alignment horizontal="center" vertical="center" wrapText="1"/>
    </xf>
    <xf numFmtId="0" fontId="28" fillId="2" borderId="47" xfId="0" applyFont="1" applyFill="1" applyBorder="1" applyAlignment="1">
      <alignment horizontal="center" vertical="center" wrapText="1"/>
    </xf>
    <xf numFmtId="0" fontId="28" fillId="2" borderId="21" xfId="0" applyFont="1" applyFill="1" applyBorder="1" applyAlignment="1">
      <alignment horizontal="center" vertical="center" wrapText="1"/>
    </xf>
    <xf numFmtId="0" fontId="28" fillId="2" borderId="0" xfId="0" applyFont="1" applyFill="1" applyBorder="1" applyAlignment="1">
      <alignment horizontal="center" vertical="center" wrapText="1"/>
    </xf>
    <xf numFmtId="0" fontId="28" fillId="2" borderId="48" xfId="0" applyFont="1" applyFill="1" applyBorder="1" applyAlignment="1">
      <alignment horizontal="center" vertical="center" wrapText="1"/>
    </xf>
    <xf numFmtId="176" fontId="8" fillId="0" borderId="11" xfId="0" applyNumberFormat="1" applyFont="1" applyFill="1" applyBorder="1" applyAlignment="1">
      <alignment horizontal="center" vertical="center"/>
    </xf>
    <xf numFmtId="176" fontId="8" fillId="0" borderId="13" xfId="0" applyNumberFormat="1" applyFont="1" applyFill="1" applyBorder="1" applyAlignment="1">
      <alignment horizontal="center" vertical="center"/>
    </xf>
    <xf numFmtId="176" fontId="8" fillId="0" borderId="7" xfId="0" applyNumberFormat="1" applyFont="1" applyFill="1" applyBorder="1" applyAlignment="1">
      <alignment horizontal="center" vertical="center"/>
    </xf>
    <xf numFmtId="0" fontId="25" fillId="0" borderId="17" xfId="0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25" fillId="0" borderId="2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8" fillId="0" borderId="36" xfId="0" applyFont="1" applyBorder="1" applyAlignment="1">
      <alignment vertical="center" wrapText="1"/>
    </xf>
    <xf numFmtId="0" fontId="0" fillId="0" borderId="1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0" fontId="23" fillId="2" borderId="36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8" fillId="0" borderId="37" xfId="0" applyFont="1" applyBorder="1" applyAlignment="1">
      <alignment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176" fontId="23" fillId="3" borderId="41" xfId="0" applyNumberFormat="1" applyFont="1" applyFill="1" applyBorder="1" applyAlignment="1">
      <alignment horizontal="center" vertical="center"/>
    </xf>
    <xf numFmtId="176" fontId="23" fillId="3" borderId="8" xfId="0" applyNumberFormat="1" applyFont="1" applyFill="1" applyBorder="1" applyAlignment="1">
      <alignment horizontal="center" vertical="center"/>
    </xf>
    <xf numFmtId="0" fontId="29" fillId="2" borderId="28" xfId="0" applyFont="1" applyFill="1" applyBorder="1" applyAlignment="1">
      <alignment horizontal="center" vertical="center" wrapText="1"/>
    </xf>
    <xf numFmtId="0" fontId="29" fillId="2" borderId="29" xfId="0" applyFont="1" applyFill="1" applyBorder="1" applyAlignment="1">
      <alignment horizontal="center" vertical="center" wrapText="1"/>
    </xf>
    <xf numFmtId="0" fontId="29" fillId="2" borderId="30" xfId="0" applyFont="1" applyFill="1" applyBorder="1" applyAlignment="1">
      <alignment horizontal="center" vertical="center" wrapText="1"/>
    </xf>
    <xf numFmtId="0" fontId="29" fillId="2" borderId="21" xfId="0" applyFont="1" applyFill="1" applyBorder="1" applyAlignment="1">
      <alignment horizontal="center" vertical="center" wrapText="1"/>
    </xf>
    <xf numFmtId="0" fontId="29" fillId="2" borderId="0" xfId="0" applyFont="1" applyFill="1" applyBorder="1" applyAlignment="1">
      <alignment horizontal="center" vertical="center" wrapText="1"/>
    </xf>
    <xf numFmtId="0" fontId="29" fillId="2" borderId="22" xfId="0" applyFont="1" applyFill="1" applyBorder="1" applyAlignment="1">
      <alignment horizontal="center" vertical="center" wrapText="1"/>
    </xf>
    <xf numFmtId="176" fontId="23" fillId="3" borderId="42" xfId="0" applyNumberFormat="1" applyFont="1" applyFill="1" applyBorder="1" applyAlignment="1">
      <alignment horizontal="center" vertical="center"/>
    </xf>
    <xf numFmtId="176" fontId="23" fillId="3" borderId="2" xfId="0" applyNumberFormat="1" applyFont="1" applyFill="1" applyBorder="1" applyAlignment="1">
      <alignment horizontal="center" vertical="center"/>
    </xf>
    <xf numFmtId="0" fontId="8" fillId="2" borderId="36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176" fontId="23" fillId="0" borderId="41" xfId="0" applyNumberFormat="1" applyFont="1" applyFill="1" applyBorder="1" applyAlignment="1">
      <alignment horizontal="center" vertical="center"/>
    </xf>
    <xf numFmtId="176" fontId="23" fillId="0" borderId="8" xfId="0" applyNumberFormat="1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8" fillId="0" borderId="27" xfId="0" applyFont="1" applyFill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/>
    </xf>
    <xf numFmtId="0" fontId="14" fillId="2" borderId="55" xfId="0" applyFont="1" applyFill="1" applyBorder="1" applyAlignment="1">
      <alignment horizontal="left" vertical="center" wrapText="1"/>
    </xf>
    <xf numFmtId="0" fontId="14" fillId="2" borderId="56" xfId="0" applyFont="1" applyFill="1" applyBorder="1" applyAlignment="1">
      <alignment horizontal="left" vertical="center" wrapText="1"/>
    </xf>
    <xf numFmtId="0" fontId="14" fillId="2" borderId="57" xfId="0" applyFont="1" applyFill="1" applyBorder="1" applyAlignment="1">
      <alignment horizontal="left" vertical="center" wrapText="1"/>
    </xf>
    <xf numFmtId="0" fontId="25" fillId="2" borderId="28" xfId="0" applyFont="1" applyFill="1" applyBorder="1" applyAlignment="1">
      <alignment horizontal="center" vertical="center" wrapText="1"/>
    </xf>
    <xf numFmtId="0" fontId="25" fillId="2" borderId="29" xfId="0" applyFont="1" applyFill="1" applyBorder="1" applyAlignment="1">
      <alignment horizontal="center" vertical="center" wrapText="1"/>
    </xf>
    <xf numFmtId="0" fontId="25" fillId="2" borderId="30" xfId="0" applyFont="1" applyFill="1" applyBorder="1" applyAlignment="1">
      <alignment horizontal="center" vertical="center" wrapText="1"/>
    </xf>
    <xf numFmtId="0" fontId="25" fillId="2" borderId="21" xfId="0" applyFont="1" applyFill="1" applyBorder="1" applyAlignment="1">
      <alignment horizontal="center" vertical="center" wrapText="1"/>
    </xf>
    <xf numFmtId="0" fontId="25" fillId="2" borderId="0" xfId="0" applyFont="1" applyFill="1" applyBorder="1" applyAlignment="1">
      <alignment horizontal="center" vertical="center" wrapText="1"/>
    </xf>
    <xf numFmtId="0" fontId="25" fillId="2" borderId="22" xfId="0" applyFont="1" applyFill="1" applyBorder="1" applyAlignment="1">
      <alignment horizontal="center" vertical="center" wrapText="1"/>
    </xf>
    <xf numFmtId="176" fontId="7" fillId="0" borderId="38" xfId="0" applyNumberFormat="1" applyFont="1" applyFill="1" applyBorder="1" applyAlignment="1">
      <alignment horizontal="center" vertical="center"/>
    </xf>
    <xf numFmtId="0" fontId="8" fillId="0" borderId="26" xfId="0" applyFont="1" applyFill="1" applyBorder="1" applyAlignment="1">
      <alignment horizontal="center" vertical="center"/>
    </xf>
    <xf numFmtId="0" fontId="8" fillId="2" borderId="51" xfId="0" applyFont="1" applyFill="1" applyBorder="1" applyAlignment="1">
      <alignment horizontal="center" vertical="center" wrapText="1"/>
    </xf>
    <xf numFmtId="0" fontId="0" fillId="0" borderId="53" xfId="0" applyBorder="1" applyAlignment="1">
      <alignment vertical="center" wrapText="1"/>
    </xf>
    <xf numFmtId="176" fontId="7" fillId="0" borderId="33" xfId="0" applyNumberFormat="1" applyFont="1" applyFill="1" applyBorder="1" applyAlignment="1">
      <alignment horizontal="center" vertical="center"/>
    </xf>
    <xf numFmtId="0" fontId="8" fillId="2" borderId="50" xfId="0" applyFont="1" applyFill="1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32" fillId="0" borderId="28" xfId="0" applyFont="1" applyFill="1" applyBorder="1" applyAlignment="1">
      <alignment horizontal="center" vertical="center" wrapText="1"/>
    </xf>
    <xf numFmtId="0" fontId="32" fillId="0" borderId="29" xfId="0" applyFont="1" applyFill="1" applyBorder="1" applyAlignment="1">
      <alignment horizontal="center" vertical="center" wrapText="1"/>
    </xf>
    <xf numFmtId="0" fontId="32" fillId="0" borderId="30" xfId="0" applyFont="1" applyFill="1" applyBorder="1" applyAlignment="1">
      <alignment horizontal="center" vertical="center" wrapText="1"/>
    </xf>
    <xf numFmtId="0" fontId="32" fillId="0" borderId="31" xfId="0" applyFont="1" applyFill="1" applyBorder="1" applyAlignment="1">
      <alignment horizontal="center" vertical="center" wrapText="1"/>
    </xf>
    <xf numFmtId="0" fontId="32" fillId="0" borderId="32" xfId="0" applyFont="1" applyFill="1" applyBorder="1" applyAlignment="1">
      <alignment horizontal="center" vertical="center" wrapText="1"/>
    </xf>
    <xf numFmtId="0" fontId="32" fillId="0" borderId="8" xfId="0" applyFont="1" applyFill="1" applyBorder="1" applyAlignment="1">
      <alignment horizontal="center" vertical="center" wrapText="1"/>
    </xf>
    <xf numFmtId="0" fontId="32" fillId="0" borderId="21" xfId="0" applyFont="1" applyFill="1" applyBorder="1" applyAlignment="1">
      <alignment horizontal="center" vertical="center" wrapText="1"/>
    </xf>
    <xf numFmtId="0" fontId="32" fillId="0" borderId="0" xfId="0" applyFont="1" applyFill="1" applyBorder="1" applyAlignment="1">
      <alignment horizontal="center" vertical="center" wrapText="1"/>
    </xf>
    <xf numFmtId="0" fontId="32" fillId="0" borderId="22" xfId="0" applyFont="1" applyFill="1" applyBorder="1" applyAlignment="1">
      <alignment horizontal="center" vertical="center" wrapText="1"/>
    </xf>
    <xf numFmtId="0" fontId="32" fillId="2" borderId="28" xfId="0" applyFont="1" applyFill="1" applyBorder="1" applyAlignment="1">
      <alignment horizontal="center" vertical="center" wrapText="1"/>
    </xf>
    <xf numFmtId="0" fontId="32" fillId="2" borderId="29" xfId="0" applyFont="1" applyFill="1" applyBorder="1" applyAlignment="1">
      <alignment horizontal="center" vertical="center" wrapText="1"/>
    </xf>
    <xf numFmtId="0" fontId="32" fillId="2" borderId="30" xfId="0" applyFont="1" applyFill="1" applyBorder="1" applyAlignment="1">
      <alignment horizontal="center" vertical="center" wrapText="1"/>
    </xf>
    <xf numFmtId="0" fontId="32" fillId="2" borderId="31" xfId="0" applyFont="1" applyFill="1" applyBorder="1" applyAlignment="1">
      <alignment horizontal="center" vertical="center" wrapText="1"/>
    </xf>
    <xf numFmtId="0" fontId="32" fillId="2" borderId="32" xfId="0" applyFont="1" applyFill="1" applyBorder="1" applyAlignment="1">
      <alignment horizontal="center" vertical="center" wrapText="1"/>
    </xf>
    <xf numFmtId="0" fontId="32" fillId="2" borderId="8" xfId="0" applyFont="1" applyFill="1" applyBorder="1" applyAlignment="1">
      <alignment horizontal="center" vertical="center" wrapText="1"/>
    </xf>
    <xf numFmtId="0" fontId="25" fillId="2" borderId="31" xfId="0" applyFont="1" applyFill="1" applyBorder="1" applyAlignment="1">
      <alignment horizontal="center" vertical="center" wrapText="1"/>
    </xf>
    <xf numFmtId="0" fontId="25" fillId="2" borderId="32" xfId="0" applyFont="1" applyFill="1" applyBorder="1" applyAlignment="1">
      <alignment horizontal="center" vertical="center" wrapText="1"/>
    </xf>
    <xf numFmtId="0" fontId="25" fillId="2" borderId="8" xfId="0" applyFont="1" applyFill="1" applyBorder="1" applyAlignment="1">
      <alignment horizontal="center" vertical="center" wrapText="1"/>
    </xf>
    <xf numFmtId="0" fontId="10" fillId="2" borderId="28" xfId="0" applyFont="1" applyFill="1" applyBorder="1" applyAlignment="1">
      <alignment horizontal="center" vertical="center" wrapText="1"/>
    </xf>
    <xf numFmtId="0" fontId="10" fillId="2" borderId="29" xfId="0" applyFont="1" applyFill="1" applyBorder="1" applyAlignment="1">
      <alignment horizontal="center" vertical="center" wrapText="1"/>
    </xf>
    <xf numFmtId="0" fontId="10" fillId="2" borderId="30" xfId="0" applyFont="1" applyFill="1" applyBorder="1" applyAlignment="1">
      <alignment horizontal="center" vertical="center" wrapText="1"/>
    </xf>
    <xf numFmtId="0" fontId="10" fillId="2" borderId="21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10" fillId="2" borderId="22" xfId="0" applyFont="1" applyFill="1" applyBorder="1" applyAlignment="1">
      <alignment horizontal="center" vertical="center" wrapText="1"/>
    </xf>
    <xf numFmtId="0" fontId="10" fillId="2" borderId="31" xfId="0" applyFont="1" applyFill="1" applyBorder="1" applyAlignment="1">
      <alignment horizontal="center" vertical="center" wrapText="1"/>
    </xf>
    <xf numFmtId="0" fontId="10" fillId="2" borderId="32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4"/>
  <sheetViews>
    <sheetView view="pageBreakPreview" zoomScale="71" zoomScaleNormal="87" zoomScaleSheetLayoutView="71" zoomScalePageLayoutView="75" workbookViewId="0">
      <selection activeCell="A90" sqref="A1:XFD1048576"/>
    </sheetView>
  </sheetViews>
  <sheetFormatPr defaultRowHeight="36" customHeight="1"/>
  <cols>
    <col min="1" max="1" width="12.5" style="1" customWidth="1"/>
    <col min="2" max="2" width="8.5" style="2" customWidth="1"/>
    <col min="3" max="3" width="17.875" style="9" customWidth="1"/>
    <col min="4" max="4" width="24.125" style="9" customWidth="1"/>
    <col min="5" max="5" width="15.375" style="3" customWidth="1"/>
    <col min="6" max="6" width="25.625" style="3" customWidth="1"/>
    <col min="7" max="7" width="19.5" style="59" customWidth="1"/>
    <col min="8" max="8" width="42.5" style="15" customWidth="1"/>
    <col min="9" max="16384" width="9" style="9"/>
  </cols>
  <sheetData>
    <row r="1" spans="1:7" ht="109.5" customHeight="1" thickBot="1">
      <c r="A1" s="688" t="s">
        <v>55</v>
      </c>
      <c r="B1" s="689"/>
      <c r="C1" s="690"/>
      <c r="D1" s="690"/>
      <c r="E1" s="690"/>
      <c r="F1" s="690"/>
      <c r="G1" s="691"/>
    </row>
    <row r="2" spans="1:7" s="15" customFormat="1" ht="36" customHeight="1">
      <c r="A2" s="682">
        <v>43437</v>
      </c>
      <c r="B2" s="685" t="s">
        <v>57</v>
      </c>
      <c r="C2" s="86" t="s">
        <v>58</v>
      </c>
      <c r="D2" s="87" t="s">
        <v>59</v>
      </c>
      <c r="E2" s="8" t="s">
        <v>60</v>
      </c>
      <c r="F2" s="39" t="s">
        <v>61</v>
      </c>
      <c r="G2" s="53"/>
    </row>
    <row r="3" spans="1:7" s="15" customFormat="1" ht="36" customHeight="1">
      <c r="A3" s="683"/>
      <c r="B3" s="686"/>
      <c r="C3" s="84" t="s">
        <v>63</v>
      </c>
      <c r="D3" s="88" t="s">
        <v>64</v>
      </c>
      <c r="E3" s="11">
        <v>100</v>
      </c>
      <c r="F3" s="35"/>
      <c r="G3" s="51"/>
    </row>
    <row r="4" spans="1:7" s="15" customFormat="1" ht="36" customHeight="1" thickBot="1">
      <c r="A4" s="684"/>
      <c r="B4" s="687"/>
      <c r="C4" s="17" t="s">
        <v>81</v>
      </c>
      <c r="D4" s="16" t="s">
        <v>82</v>
      </c>
      <c r="E4" s="14" t="s">
        <v>83</v>
      </c>
      <c r="F4" s="44" t="s">
        <v>84</v>
      </c>
      <c r="G4" s="60"/>
    </row>
    <row r="5" spans="1:7" ht="36" customHeight="1">
      <c r="A5" s="682">
        <v>43438</v>
      </c>
      <c r="B5" s="685" t="s">
        <v>16</v>
      </c>
      <c r="C5" s="100" t="s">
        <v>51</v>
      </c>
      <c r="D5" s="101" t="s">
        <v>35</v>
      </c>
      <c r="E5" s="8">
        <v>300</v>
      </c>
      <c r="F5" s="39"/>
      <c r="G5" s="53" t="s">
        <v>92</v>
      </c>
    </row>
    <row r="6" spans="1:7" ht="36" customHeight="1">
      <c r="A6" s="683"/>
      <c r="B6" s="686"/>
      <c r="C6" s="98" t="s">
        <v>78</v>
      </c>
      <c r="D6" s="102" t="s">
        <v>79</v>
      </c>
      <c r="E6" s="11">
        <v>150</v>
      </c>
      <c r="F6" s="35" t="s">
        <v>80</v>
      </c>
      <c r="G6" s="51"/>
    </row>
    <row r="7" spans="1:7" ht="36" customHeight="1" thickBot="1">
      <c r="A7" s="683"/>
      <c r="B7" s="686"/>
      <c r="C7" s="99"/>
      <c r="D7" s="5"/>
      <c r="E7" s="10"/>
      <c r="F7" s="40"/>
      <c r="G7" s="52"/>
    </row>
    <row r="8" spans="1:7" ht="36" customHeight="1" thickBot="1">
      <c r="A8" s="684"/>
      <c r="B8" s="687"/>
      <c r="C8" s="19"/>
      <c r="D8" s="20"/>
      <c r="E8" s="13"/>
      <c r="F8" s="43"/>
      <c r="G8" s="62"/>
    </row>
    <row r="9" spans="1:7" ht="36" customHeight="1">
      <c r="A9" s="682">
        <v>43439</v>
      </c>
      <c r="B9" s="685" t="s">
        <v>15</v>
      </c>
      <c r="C9" s="702" t="s">
        <v>65</v>
      </c>
      <c r="D9" s="87" t="s">
        <v>66</v>
      </c>
      <c r="E9" s="8">
        <v>100</v>
      </c>
      <c r="F9" s="39"/>
      <c r="G9" s="53" t="s">
        <v>107</v>
      </c>
    </row>
    <row r="10" spans="1:7" ht="36" customHeight="1">
      <c r="A10" s="683"/>
      <c r="B10" s="686"/>
      <c r="C10" s="705"/>
      <c r="D10" s="88" t="s">
        <v>67</v>
      </c>
      <c r="E10" s="11">
        <v>5</v>
      </c>
      <c r="F10" s="35" t="s">
        <v>68</v>
      </c>
      <c r="G10" s="51"/>
    </row>
    <row r="11" spans="1:7" ht="36" customHeight="1">
      <c r="A11" s="683"/>
      <c r="B11" s="686"/>
      <c r="C11" s="703"/>
      <c r="D11" s="25" t="s">
        <v>69</v>
      </c>
      <c r="E11" s="12" t="s">
        <v>70</v>
      </c>
      <c r="F11" s="41"/>
      <c r="G11" s="54"/>
    </row>
    <row r="12" spans="1:7" ht="36" customHeight="1">
      <c r="A12" s="683"/>
      <c r="B12" s="686"/>
      <c r="C12" s="97" t="s">
        <v>33</v>
      </c>
      <c r="D12" s="25" t="s">
        <v>73</v>
      </c>
      <c r="E12" s="12" t="s">
        <v>74</v>
      </c>
      <c r="F12" s="41" t="s">
        <v>75</v>
      </c>
      <c r="G12" s="54"/>
    </row>
    <row r="13" spans="1:7" ht="36" customHeight="1" thickBot="1">
      <c r="A13" s="683"/>
      <c r="B13" s="686"/>
      <c r="C13" s="85"/>
      <c r="D13" s="5"/>
      <c r="E13" s="10"/>
      <c r="F13" s="40"/>
      <c r="G13" s="52"/>
    </row>
    <row r="14" spans="1:7" ht="36" customHeight="1" thickBot="1">
      <c r="A14" s="684"/>
      <c r="B14" s="687"/>
      <c r="C14" s="17"/>
      <c r="D14" s="16"/>
      <c r="E14" s="14"/>
      <c r="F14" s="44"/>
      <c r="G14" s="60"/>
    </row>
    <row r="15" spans="1:7" ht="36" customHeight="1">
      <c r="A15" s="682">
        <v>43440</v>
      </c>
      <c r="B15" s="685" t="s">
        <v>17</v>
      </c>
      <c r="C15" s="704" t="s">
        <v>88</v>
      </c>
      <c r="D15" s="113" t="s">
        <v>89</v>
      </c>
      <c r="E15" s="8">
        <v>150</v>
      </c>
      <c r="F15" s="39" t="s">
        <v>101</v>
      </c>
      <c r="G15" s="53" t="s">
        <v>108</v>
      </c>
    </row>
    <row r="16" spans="1:7" ht="36" customHeight="1">
      <c r="A16" s="683"/>
      <c r="B16" s="686"/>
      <c r="C16" s="701"/>
      <c r="D16" s="114" t="s">
        <v>90</v>
      </c>
      <c r="E16" s="11" t="s">
        <v>91</v>
      </c>
      <c r="F16" s="35"/>
      <c r="G16" s="51" t="s">
        <v>109</v>
      </c>
    </row>
    <row r="17" spans="1:7" ht="36" customHeight="1">
      <c r="A17" s="683"/>
      <c r="B17" s="686"/>
      <c r="C17" s="706" t="s">
        <v>7</v>
      </c>
      <c r="D17" s="114" t="s">
        <v>41</v>
      </c>
      <c r="E17" s="49">
        <v>64</v>
      </c>
      <c r="F17" s="117" t="s">
        <v>93</v>
      </c>
      <c r="G17" s="51"/>
    </row>
    <row r="18" spans="1:7" ht="36" customHeight="1">
      <c r="A18" s="683"/>
      <c r="B18" s="686"/>
      <c r="C18" s="705"/>
      <c r="D18" s="114" t="s">
        <v>21</v>
      </c>
      <c r="E18" s="11">
        <v>200</v>
      </c>
      <c r="F18" s="116" t="s">
        <v>94</v>
      </c>
      <c r="G18" s="51"/>
    </row>
    <row r="19" spans="1:7" ht="36" customHeight="1">
      <c r="A19" s="683"/>
      <c r="B19" s="686"/>
      <c r="C19" s="705"/>
      <c r="D19" s="114" t="s">
        <v>27</v>
      </c>
      <c r="E19" s="49">
        <v>64</v>
      </c>
      <c r="F19" s="116" t="s">
        <v>95</v>
      </c>
      <c r="G19" s="51"/>
    </row>
    <row r="20" spans="1:7" ht="36" customHeight="1">
      <c r="A20" s="683"/>
      <c r="B20" s="686"/>
      <c r="C20" s="705"/>
      <c r="D20" s="114" t="s">
        <v>26</v>
      </c>
      <c r="E20" s="49">
        <v>50</v>
      </c>
      <c r="F20" s="116"/>
      <c r="G20" s="51"/>
    </row>
    <row r="21" spans="1:7" ht="35.25" customHeight="1">
      <c r="A21" s="683"/>
      <c r="B21" s="686"/>
      <c r="C21" s="705"/>
      <c r="D21" s="114" t="s">
        <v>28</v>
      </c>
      <c r="E21" s="49">
        <v>64</v>
      </c>
      <c r="F21" s="116"/>
      <c r="G21" s="51"/>
    </row>
    <row r="22" spans="1:7" ht="35.25" customHeight="1">
      <c r="A22" s="683"/>
      <c r="B22" s="686"/>
      <c r="C22" s="705"/>
      <c r="D22" s="114" t="s">
        <v>85</v>
      </c>
      <c r="E22" s="11">
        <v>50</v>
      </c>
      <c r="F22" s="115" t="s">
        <v>96</v>
      </c>
      <c r="G22" s="51"/>
    </row>
    <row r="23" spans="1:7" ht="35.25" customHeight="1">
      <c r="A23" s="683"/>
      <c r="B23" s="686"/>
      <c r="C23" s="705"/>
      <c r="D23" s="114" t="s">
        <v>86</v>
      </c>
      <c r="E23" s="49" t="s">
        <v>87</v>
      </c>
      <c r="F23" s="115" t="s">
        <v>97</v>
      </c>
      <c r="G23" s="51"/>
    </row>
    <row r="24" spans="1:7" ht="35.25" customHeight="1" thickBot="1">
      <c r="A24" s="683"/>
      <c r="B24" s="686"/>
      <c r="C24" s="705"/>
      <c r="D24" s="25" t="s">
        <v>105</v>
      </c>
      <c r="E24" s="50">
        <v>50</v>
      </c>
      <c r="F24" s="120" t="s">
        <v>106</v>
      </c>
      <c r="G24" s="54"/>
    </row>
    <row r="25" spans="1:7" ht="36" customHeight="1" thickBot="1">
      <c r="A25" s="684"/>
      <c r="B25" s="687"/>
      <c r="C25" s="26"/>
      <c r="D25" s="27"/>
      <c r="E25" s="22"/>
      <c r="F25" s="46"/>
      <c r="G25" s="58"/>
    </row>
    <row r="26" spans="1:7" ht="36" customHeight="1">
      <c r="A26" s="682">
        <v>43441</v>
      </c>
      <c r="B26" s="685" t="s">
        <v>18</v>
      </c>
      <c r="C26" s="100" t="s">
        <v>71</v>
      </c>
      <c r="D26" s="101" t="s">
        <v>77</v>
      </c>
      <c r="E26" s="8">
        <v>490</v>
      </c>
      <c r="F26" s="39"/>
      <c r="G26" s="53"/>
    </row>
    <row r="27" spans="1:7" ht="36" customHeight="1" thickBot="1">
      <c r="A27" s="683"/>
      <c r="B27" s="686"/>
      <c r="C27" s="99"/>
      <c r="D27" s="5"/>
      <c r="E27" s="10"/>
      <c r="F27" s="40"/>
      <c r="G27" s="52"/>
    </row>
    <row r="28" spans="1:7" ht="36" customHeight="1" thickBot="1">
      <c r="A28" s="684"/>
      <c r="B28" s="687"/>
      <c r="C28" s="19"/>
      <c r="D28" s="20"/>
      <c r="E28" s="13"/>
      <c r="F28" s="43"/>
      <c r="G28" s="62"/>
    </row>
    <row r="29" spans="1:7" ht="105" customHeight="1" thickBot="1">
      <c r="A29" s="688" t="s">
        <v>0</v>
      </c>
      <c r="B29" s="689"/>
      <c r="C29" s="690"/>
      <c r="D29" s="690"/>
      <c r="E29" s="690"/>
      <c r="F29" s="690"/>
      <c r="G29" s="691"/>
    </row>
    <row r="30" spans="1:7" ht="36" customHeight="1">
      <c r="A30" s="682">
        <v>43444</v>
      </c>
      <c r="B30" s="685" t="s">
        <v>2</v>
      </c>
      <c r="C30" s="105"/>
      <c r="D30" s="106"/>
      <c r="E30" s="8"/>
      <c r="F30" s="39"/>
      <c r="G30" s="53" t="s">
        <v>127</v>
      </c>
    </row>
    <row r="31" spans="1:7" ht="36" customHeight="1">
      <c r="A31" s="683"/>
      <c r="B31" s="686"/>
      <c r="C31" s="706" t="s">
        <v>102</v>
      </c>
      <c r="D31" s="107" t="s">
        <v>104</v>
      </c>
      <c r="E31" s="11" t="s">
        <v>103</v>
      </c>
      <c r="F31" s="35"/>
      <c r="G31" s="51" t="s">
        <v>120</v>
      </c>
    </row>
    <row r="32" spans="1:7" ht="36" customHeight="1">
      <c r="A32" s="683"/>
      <c r="B32" s="686"/>
      <c r="C32" s="703"/>
      <c r="D32" s="25" t="s">
        <v>110</v>
      </c>
      <c r="E32" s="12" t="s">
        <v>111</v>
      </c>
      <c r="F32" s="41"/>
      <c r="G32" s="54"/>
    </row>
    <row r="33" spans="1:7" ht="36" customHeight="1" thickBot="1">
      <c r="A33" s="683"/>
      <c r="B33" s="686"/>
      <c r="C33" s="118" t="s">
        <v>112</v>
      </c>
      <c r="D33" s="25" t="s">
        <v>113</v>
      </c>
      <c r="E33" s="12" t="s">
        <v>111</v>
      </c>
      <c r="F33" s="41"/>
      <c r="G33" s="54"/>
    </row>
    <row r="34" spans="1:7" ht="36" customHeight="1" thickBot="1">
      <c r="A34" s="684"/>
      <c r="B34" s="687"/>
      <c r="C34" s="26"/>
      <c r="D34" s="27"/>
      <c r="E34" s="22"/>
      <c r="F34" s="46"/>
      <c r="G34" s="58"/>
    </row>
    <row r="35" spans="1:7" ht="36" customHeight="1">
      <c r="A35" s="682">
        <v>43445</v>
      </c>
      <c r="B35" s="685" t="s">
        <v>16</v>
      </c>
      <c r="C35" s="704" t="s">
        <v>98</v>
      </c>
      <c r="D35" s="113" t="s">
        <v>99</v>
      </c>
      <c r="E35" s="8">
        <v>29</v>
      </c>
      <c r="F35" s="39" t="s">
        <v>134</v>
      </c>
      <c r="G35" s="53"/>
    </row>
    <row r="36" spans="1:7" ht="36" customHeight="1">
      <c r="A36" s="683"/>
      <c r="B36" s="686"/>
      <c r="C36" s="701"/>
      <c r="D36" s="114" t="s">
        <v>100</v>
      </c>
      <c r="E36" s="11">
        <f>39+2</f>
        <v>41</v>
      </c>
      <c r="F36" s="35"/>
      <c r="G36" s="51"/>
    </row>
    <row r="37" spans="1:7" ht="36" customHeight="1">
      <c r="A37" s="683"/>
      <c r="B37" s="686"/>
      <c r="C37" s="701" t="s">
        <v>116</v>
      </c>
      <c r="D37" s="119" t="s">
        <v>117</v>
      </c>
      <c r="E37" s="11">
        <v>100</v>
      </c>
      <c r="F37" s="41"/>
      <c r="G37" s="54"/>
    </row>
    <row r="38" spans="1:7" ht="36" customHeight="1">
      <c r="A38" s="683"/>
      <c r="B38" s="686"/>
      <c r="C38" s="701"/>
      <c r="D38" s="119" t="s">
        <v>10</v>
      </c>
      <c r="E38" s="11" t="s">
        <v>115</v>
      </c>
      <c r="F38" s="41"/>
      <c r="G38" s="54"/>
    </row>
    <row r="39" spans="1:7" ht="36" customHeight="1">
      <c r="A39" s="683"/>
      <c r="B39" s="686"/>
      <c r="C39" s="701"/>
      <c r="D39" s="119" t="s">
        <v>118</v>
      </c>
      <c r="E39" s="11" t="s">
        <v>119</v>
      </c>
      <c r="F39" s="41"/>
      <c r="G39" s="54"/>
    </row>
    <row r="40" spans="1:7" ht="36" customHeight="1" thickBot="1">
      <c r="A40" s="683"/>
      <c r="B40" s="686"/>
      <c r="C40" s="112"/>
      <c r="D40" s="5"/>
      <c r="E40" s="10"/>
      <c r="F40" s="40"/>
      <c r="G40" s="52"/>
    </row>
    <row r="41" spans="1:7" ht="36" customHeight="1" thickBot="1">
      <c r="A41" s="684"/>
      <c r="B41" s="687"/>
      <c r="C41" s="26"/>
      <c r="D41" s="27"/>
      <c r="E41" s="22"/>
      <c r="F41" s="46"/>
      <c r="G41" s="58"/>
    </row>
    <row r="42" spans="1:7" ht="36" customHeight="1">
      <c r="A42" s="682">
        <v>43446</v>
      </c>
      <c r="B42" s="685" t="s">
        <v>15</v>
      </c>
      <c r="C42" s="702" t="s">
        <v>7</v>
      </c>
      <c r="D42" s="122" t="s">
        <v>21</v>
      </c>
      <c r="E42" s="8">
        <v>200</v>
      </c>
      <c r="F42" s="39" t="s">
        <v>114</v>
      </c>
      <c r="G42" s="53"/>
    </row>
    <row r="43" spans="1:7" ht="36" customHeight="1">
      <c r="A43" s="683"/>
      <c r="B43" s="686"/>
      <c r="C43" s="703"/>
      <c r="D43" s="123" t="s">
        <v>26</v>
      </c>
      <c r="E43" s="11">
        <v>50</v>
      </c>
      <c r="F43" s="124" t="s">
        <v>96</v>
      </c>
      <c r="G43" s="51"/>
    </row>
    <row r="44" spans="1:7" ht="36" customHeight="1">
      <c r="A44" s="683"/>
      <c r="B44" s="686"/>
      <c r="C44" s="121" t="s">
        <v>129</v>
      </c>
      <c r="D44" s="123" t="s">
        <v>130</v>
      </c>
      <c r="E44" s="11">
        <v>100</v>
      </c>
      <c r="F44" s="125"/>
      <c r="G44" s="51"/>
    </row>
    <row r="45" spans="1:7" ht="36" customHeight="1" thickBot="1">
      <c r="A45" s="684"/>
      <c r="B45" s="687"/>
      <c r="C45" s="17"/>
      <c r="D45" s="16"/>
      <c r="E45" s="14"/>
      <c r="F45" s="44"/>
      <c r="G45" s="60"/>
    </row>
    <row r="46" spans="1:7" ht="36" customHeight="1">
      <c r="A46" s="682">
        <v>43447</v>
      </c>
      <c r="B46" s="685" t="s">
        <v>17</v>
      </c>
      <c r="C46" s="128" t="s">
        <v>133</v>
      </c>
      <c r="D46" s="129" t="s">
        <v>22</v>
      </c>
      <c r="E46" s="8" t="s">
        <v>8</v>
      </c>
      <c r="F46" s="39"/>
      <c r="G46" s="53"/>
    </row>
    <row r="47" spans="1:7" ht="36" customHeight="1" thickBot="1">
      <c r="A47" s="683"/>
      <c r="B47" s="686"/>
      <c r="C47" s="127"/>
      <c r="D47" s="5"/>
      <c r="E47" s="10"/>
      <c r="F47" s="40"/>
      <c r="G47" s="52"/>
    </row>
    <row r="48" spans="1:7" ht="36" customHeight="1" thickBot="1">
      <c r="A48" s="684"/>
      <c r="B48" s="687"/>
      <c r="C48" s="32"/>
      <c r="D48" s="33"/>
      <c r="E48" s="34"/>
      <c r="F48" s="45"/>
      <c r="G48" s="61"/>
    </row>
    <row r="49" spans="1:8" ht="36" customHeight="1">
      <c r="A49" s="682">
        <v>43448</v>
      </c>
      <c r="B49" s="685" t="s">
        <v>18</v>
      </c>
      <c r="C49" s="704" t="s">
        <v>131</v>
      </c>
      <c r="D49" s="129" t="s">
        <v>149</v>
      </c>
      <c r="E49" s="8">
        <v>150</v>
      </c>
      <c r="F49" s="39" t="s">
        <v>146</v>
      </c>
      <c r="G49" s="53"/>
    </row>
    <row r="50" spans="1:8" ht="36" customHeight="1">
      <c r="A50" s="683"/>
      <c r="B50" s="686"/>
      <c r="C50" s="701"/>
      <c r="D50" s="130" t="s">
        <v>132</v>
      </c>
      <c r="E50" s="11">
        <v>150</v>
      </c>
      <c r="F50" s="35" t="s">
        <v>146</v>
      </c>
      <c r="G50" s="51"/>
    </row>
    <row r="51" spans="1:8" ht="36" customHeight="1">
      <c r="A51" s="683"/>
      <c r="B51" s="686"/>
      <c r="C51" s="126" t="s">
        <v>32</v>
      </c>
      <c r="D51" s="130" t="s">
        <v>142</v>
      </c>
      <c r="E51" s="11">
        <v>100</v>
      </c>
      <c r="F51" s="35" t="s">
        <v>155</v>
      </c>
      <c r="G51" s="51"/>
    </row>
    <row r="52" spans="1:8" ht="36" customHeight="1">
      <c r="A52" s="683"/>
      <c r="B52" s="686"/>
      <c r="C52" s="126" t="s">
        <v>147</v>
      </c>
      <c r="D52" s="130" t="s">
        <v>13</v>
      </c>
      <c r="E52" s="11" t="s">
        <v>162</v>
      </c>
      <c r="F52" s="35" t="s">
        <v>154</v>
      </c>
      <c r="G52" s="51"/>
    </row>
    <row r="53" spans="1:8" ht="36" customHeight="1" thickBot="1">
      <c r="A53" s="683"/>
      <c r="B53" s="686"/>
      <c r="C53" s="127"/>
      <c r="D53" s="5"/>
      <c r="E53" s="10"/>
      <c r="F53" s="40"/>
      <c r="G53" s="52"/>
    </row>
    <row r="54" spans="1:8" ht="36" customHeight="1" thickBot="1">
      <c r="A54" s="683"/>
      <c r="B54" s="686"/>
      <c r="C54" s="19" t="s">
        <v>122</v>
      </c>
      <c r="D54" s="20" t="s">
        <v>124</v>
      </c>
      <c r="E54" s="13" t="s">
        <v>123</v>
      </c>
      <c r="F54" s="43" t="s">
        <v>125</v>
      </c>
      <c r="G54" s="62"/>
    </row>
    <row r="55" spans="1:8" ht="36" customHeight="1" thickBot="1">
      <c r="A55" s="684"/>
      <c r="B55" s="687"/>
      <c r="C55" s="19" t="s">
        <v>19</v>
      </c>
      <c r="D55" s="20" t="s">
        <v>20</v>
      </c>
      <c r="E55" s="13" t="s">
        <v>121</v>
      </c>
      <c r="F55" s="43" t="s">
        <v>126</v>
      </c>
      <c r="G55" s="58"/>
    </row>
    <row r="56" spans="1:8" ht="108" customHeight="1" thickBot="1">
      <c r="A56" s="688" t="s">
        <v>0</v>
      </c>
      <c r="B56" s="689"/>
      <c r="C56" s="690"/>
      <c r="D56" s="690"/>
      <c r="E56" s="690"/>
      <c r="F56" s="690"/>
      <c r="G56" s="691"/>
    </row>
    <row r="57" spans="1:8" ht="36" customHeight="1">
      <c r="A57" s="682">
        <v>43451</v>
      </c>
      <c r="B57" s="685" t="s">
        <v>135</v>
      </c>
      <c r="C57" s="702" t="s">
        <v>54</v>
      </c>
      <c r="D57" s="129" t="s">
        <v>128</v>
      </c>
      <c r="E57" s="8">
        <v>421</v>
      </c>
      <c r="F57" s="39"/>
      <c r="G57" s="53" t="s">
        <v>156</v>
      </c>
    </row>
    <row r="58" spans="1:8" ht="36" customHeight="1" thickBot="1">
      <c r="A58" s="683"/>
      <c r="B58" s="686"/>
      <c r="C58" s="705"/>
      <c r="D58" s="31" t="s">
        <v>150</v>
      </c>
      <c r="E58" s="21">
        <v>93</v>
      </c>
      <c r="F58" s="56"/>
      <c r="G58" s="57" t="s">
        <v>161</v>
      </c>
    </row>
    <row r="59" spans="1:8" ht="36" customHeight="1" thickBot="1">
      <c r="A59" s="684"/>
      <c r="B59" s="687"/>
      <c r="C59" s="26"/>
      <c r="D59" s="27"/>
      <c r="E59" s="22"/>
      <c r="F59" s="46"/>
      <c r="G59" s="58"/>
    </row>
    <row r="60" spans="1:8" ht="36" customHeight="1">
      <c r="A60" s="682">
        <v>43452</v>
      </c>
      <c r="B60" s="685" t="s">
        <v>16</v>
      </c>
      <c r="C60" s="704" t="s">
        <v>139</v>
      </c>
      <c r="D60" s="129" t="s">
        <v>140</v>
      </c>
      <c r="E60" s="8">
        <v>77</v>
      </c>
      <c r="F60" s="39"/>
      <c r="G60" s="53"/>
    </row>
    <row r="61" spans="1:8" ht="36" customHeight="1">
      <c r="A61" s="683"/>
      <c r="B61" s="686"/>
      <c r="C61" s="701"/>
      <c r="D61" s="130" t="s">
        <v>141</v>
      </c>
      <c r="E61" s="11">
        <v>132</v>
      </c>
      <c r="F61" s="35"/>
      <c r="G61" s="51"/>
    </row>
    <row r="62" spans="1:8" ht="36" customHeight="1">
      <c r="A62" s="683"/>
      <c r="B62" s="686"/>
      <c r="C62" s="706" t="s">
        <v>151</v>
      </c>
      <c r="D62" s="130" t="s">
        <v>152</v>
      </c>
      <c r="E62" s="11">
        <v>100</v>
      </c>
      <c r="F62" s="35"/>
      <c r="G62" s="51"/>
    </row>
    <row r="63" spans="1:8" ht="36" customHeight="1" thickBot="1">
      <c r="A63" s="683"/>
      <c r="B63" s="686"/>
      <c r="C63" s="703"/>
      <c r="D63" s="25" t="s">
        <v>153</v>
      </c>
      <c r="E63" s="12">
        <v>5</v>
      </c>
      <c r="F63" s="41"/>
      <c r="G63" s="54"/>
    </row>
    <row r="64" spans="1:8" ht="36" customHeight="1">
      <c r="A64" s="682">
        <v>43453</v>
      </c>
      <c r="B64" s="685" t="s">
        <v>15</v>
      </c>
      <c r="C64" s="133" t="s">
        <v>136</v>
      </c>
      <c r="D64" s="135" t="s">
        <v>137</v>
      </c>
      <c r="E64" s="8">
        <v>100</v>
      </c>
      <c r="F64" s="39" t="s">
        <v>176</v>
      </c>
      <c r="G64" s="53"/>
      <c r="H64" s="15" t="s">
        <v>138</v>
      </c>
    </row>
    <row r="65" spans="1:7" ht="36" customHeight="1">
      <c r="A65" s="683"/>
      <c r="B65" s="686"/>
      <c r="C65" s="706" t="s">
        <v>9</v>
      </c>
      <c r="D65" s="138" t="s">
        <v>157</v>
      </c>
      <c r="E65" s="11">
        <v>100</v>
      </c>
      <c r="F65" s="35" t="s">
        <v>12</v>
      </c>
      <c r="G65" s="57"/>
    </row>
    <row r="66" spans="1:7" ht="36" customHeight="1">
      <c r="A66" s="683"/>
      <c r="B66" s="686"/>
      <c r="C66" s="705"/>
      <c r="D66" s="138" t="s">
        <v>171</v>
      </c>
      <c r="E66" s="4">
        <v>50</v>
      </c>
      <c r="F66" s="145" t="s">
        <v>172</v>
      </c>
      <c r="G66" s="57"/>
    </row>
    <row r="67" spans="1:7" ht="36" customHeight="1">
      <c r="A67" s="683"/>
      <c r="B67" s="686"/>
      <c r="C67" s="705"/>
      <c r="D67" s="147" t="s">
        <v>31</v>
      </c>
      <c r="E67" s="4">
        <v>50</v>
      </c>
      <c r="F67" s="145" t="s">
        <v>14</v>
      </c>
      <c r="G67" s="57"/>
    </row>
    <row r="68" spans="1:7" ht="36" customHeight="1">
      <c r="A68" s="683"/>
      <c r="B68" s="686"/>
      <c r="C68" s="703"/>
      <c r="D68" s="147" t="s">
        <v>29</v>
      </c>
      <c r="E68" s="4">
        <v>100</v>
      </c>
      <c r="F68" s="145" t="s">
        <v>11</v>
      </c>
      <c r="G68" s="57"/>
    </row>
    <row r="69" spans="1:7" ht="36" customHeight="1" thickBot="1">
      <c r="A69" s="683"/>
      <c r="B69" s="686"/>
      <c r="C69" s="132" t="s">
        <v>174</v>
      </c>
      <c r="D69" s="5" t="s">
        <v>175</v>
      </c>
      <c r="E69" s="10">
        <v>200</v>
      </c>
      <c r="F69" s="40"/>
      <c r="G69" s="52"/>
    </row>
    <row r="70" spans="1:7" ht="36" customHeight="1" thickBot="1">
      <c r="A70" s="684"/>
      <c r="B70" s="687"/>
      <c r="C70" s="17"/>
      <c r="D70" s="16"/>
      <c r="E70" s="14"/>
      <c r="F70" s="44"/>
      <c r="G70" s="60"/>
    </row>
    <row r="71" spans="1:7" ht="36" customHeight="1">
      <c r="A71" s="682">
        <v>43454</v>
      </c>
      <c r="B71" s="685" t="s">
        <v>17</v>
      </c>
      <c r="C71" s="133" t="s">
        <v>148</v>
      </c>
      <c r="D71" s="135" t="s">
        <v>144</v>
      </c>
      <c r="E71" s="8">
        <v>640</v>
      </c>
      <c r="F71" s="39" t="s">
        <v>145</v>
      </c>
      <c r="G71" s="53"/>
    </row>
    <row r="72" spans="1:7" ht="36" customHeight="1">
      <c r="A72" s="683"/>
      <c r="B72" s="686"/>
      <c r="C72" s="707" t="s">
        <v>7</v>
      </c>
      <c r="D72" s="79" t="s">
        <v>158</v>
      </c>
      <c r="E72" s="4">
        <v>30</v>
      </c>
      <c r="F72" s="142" t="s">
        <v>160</v>
      </c>
      <c r="G72" s="54"/>
    </row>
    <row r="73" spans="1:7" ht="36" customHeight="1">
      <c r="A73" s="683"/>
      <c r="B73" s="686"/>
      <c r="C73" s="707"/>
      <c r="D73" s="79" t="s">
        <v>143</v>
      </c>
      <c r="E73" s="4">
        <v>30</v>
      </c>
      <c r="F73" s="140"/>
      <c r="G73" s="54"/>
    </row>
    <row r="74" spans="1:7" ht="36" customHeight="1">
      <c r="A74" s="683"/>
      <c r="B74" s="686"/>
      <c r="C74" s="707"/>
      <c r="D74" s="79" t="s">
        <v>23</v>
      </c>
      <c r="E74" s="4">
        <v>50</v>
      </c>
      <c r="F74" s="140"/>
      <c r="G74" s="54"/>
    </row>
    <row r="75" spans="1:7" ht="36" customHeight="1">
      <c r="A75" s="683"/>
      <c r="B75" s="686"/>
      <c r="C75" s="707"/>
      <c r="D75" s="79" t="s">
        <v>52</v>
      </c>
      <c r="E75" s="4">
        <v>64</v>
      </c>
      <c r="F75" s="141"/>
      <c r="G75" s="54"/>
    </row>
    <row r="76" spans="1:7" ht="36" customHeight="1">
      <c r="A76" s="683"/>
      <c r="B76" s="686"/>
      <c r="C76" s="707"/>
      <c r="D76" s="79" t="s">
        <v>42</v>
      </c>
      <c r="E76" s="4">
        <v>100</v>
      </c>
      <c r="F76" s="139" t="s">
        <v>159</v>
      </c>
      <c r="G76" s="54"/>
    </row>
    <row r="77" spans="1:7" ht="36" customHeight="1" thickBot="1">
      <c r="A77" s="683"/>
      <c r="B77" s="686"/>
      <c r="C77" s="143" t="s">
        <v>47</v>
      </c>
      <c r="D77" s="144" t="s">
        <v>42</v>
      </c>
      <c r="E77" s="11">
        <v>200</v>
      </c>
      <c r="F77" s="146"/>
      <c r="G77" s="54"/>
    </row>
    <row r="78" spans="1:7" ht="36" customHeight="1" thickBot="1">
      <c r="A78" s="684"/>
      <c r="B78" s="687"/>
      <c r="C78" s="26" t="s">
        <v>24</v>
      </c>
      <c r="D78" s="27" t="s">
        <v>25</v>
      </c>
      <c r="E78" s="22" t="s">
        <v>165</v>
      </c>
      <c r="F78" s="46" t="s">
        <v>166</v>
      </c>
      <c r="G78" s="58"/>
    </row>
    <row r="79" spans="1:7" ht="36" customHeight="1">
      <c r="A79" s="682">
        <v>43455</v>
      </c>
      <c r="B79" s="685" t="s">
        <v>18</v>
      </c>
      <c r="C79" s="702" t="s">
        <v>170</v>
      </c>
      <c r="D79" s="137" t="s">
        <v>5</v>
      </c>
      <c r="E79" s="8">
        <v>138</v>
      </c>
      <c r="F79" s="42"/>
      <c r="G79" s="55"/>
    </row>
    <row r="80" spans="1:7" ht="36" customHeight="1">
      <c r="A80" s="683"/>
      <c r="B80" s="686"/>
      <c r="C80" s="703"/>
      <c r="D80" s="18" t="s">
        <v>173</v>
      </c>
      <c r="E80" s="30">
        <v>2</v>
      </c>
      <c r="F80" s="42"/>
      <c r="G80" s="55"/>
    </row>
    <row r="81" spans="1:7" ht="36" customHeight="1">
      <c r="A81" s="683"/>
      <c r="B81" s="686"/>
      <c r="C81" s="706" t="s">
        <v>4</v>
      </c>
      <c r="D81" s="18" t="s">
        <v>182</v>
      </c>
      <c r="E81" s="30">
        <v>50</v>
      </c>
      <c r="F81" s="42"/>
      <c r="G81" s="55"/>
    </row>
    <row r="82" spans="1:7" ht="36" customHeight="1" thickBot="1">
      <c r="A82" s="683"/>
      <c r="B82" s="686"/>
      <c r="C82" s="708"/>
      <c r="D82" s="31" t="s">
        <v>183</v>
      </c>
      <c r="E82" s="21" t="s">
        <v>184</v>
      </c>
      <c r="F82" s="56"/>
      <c r="G82" s="57"/>
    </row>
    <row r="83" spans="1:7" ht="36" customHeight="1" thickBot="1">
      <c r="A83" s="684"/>
      <c r="B83" s="687"/>
      <c r="C83" s="26" t="s">
        <v>167</v>
      </c>
      <c r="D83" s="27" t="s">
        <v>168</v>
      </c>
      <c r="E83" s="22" t="s">
        <v>169</v>
      </c>
      <c r="F83" s="46" t="s">
        <v>166</v>
      </c>
      <c r="G83" s="58"/>
    </row>
    <row r="84" spans="1:7" ht="93.75" customHeight="1" thickBot="1">
      <c r="A84" s="688" t="s">
        <v>0</v>
      </c>
      <c r="B84" s="689"/>
      <c r="C84" s="690"/>
      <c r="D84" s="690"/>
      <c r="E84" s="690"/>
      <c r="F84" s="690"/>
      <c r="G84" s="691"/>
    </row>
    <row r="85" spans="1:7" ht="36" customHeight="1">
      <c r="A85" s="682">
        <v>43458</v>
      </c>
      <c r="B85" s="685" t="s">
        <v>163</v>
      </c>
      <c r="C85" s="698" t="s">
        <v>177</v>
      </c>
      <c r="D85" s="78" t="s">
        <v>179</v>
      </c>
      <c r="E85" s="6">
        <v>60</v>
      </c>
      <c r="F85" s="39"/>
      <c r="G85" s="7"/>
    </row>
    <row r="86" spans="1:7" ht="36" customHeight="1">
      <c r="A86" s="683"/>
      <c r="B86" s="686"/>
      <c r="C86" s="699"/>
      <c r="D86" s="79" t="s">
        <v>179</v>
      </c>
      <c r="E86" s="4">
        <v>150</v>
      </c>
      <c r="F86" s="42" t="s">
        <v>185</v>
      </c>
      <c r="G86" s="24"/>
    </row>
    <row r="87" spans="1:7" ht="36" customHeight="1">
      <c r="A87" s="683"/>
      <c r="B87" s="686"/>
      <c r="C87" s="700"/>
      <c r="D87" s="79" t="s">
        <v>180</v>
      </c>
      <c r="E87" s="4">
        <v>150</v>
      </c>
      <c r="F87" s="42" t="s">
        <v>185</v>
      </c>
      <c r="G87" s="24"/>
    </row>
    <row r="88" spans="1:7" ht="36" customHeight="1" thickBot="1">
      <c r="A88" s="683"/>
      <c r="B88" s="686"/>
      <c r="C88" s="156"/>
      <c r="D88" s="80"/>
      <c r="E88" s="23"/>
      <c r="F88" s="41"/>
      <c r="G88" s="29"/>
    </row>
    <row r="89" spans="1:7" ht="36" customHeight="1" thickBot="1">
      <c r="A89" s="684"/>
      <c r="B89" s="687"/>
      <c r="C89" s="47"/>
      <c r="D89" s="27"/>
      <c r="E89" s="22"/>
      <c r="F89" s="22"/>
      <c r="G89" s="58"/>
    </row>
    <row r="90" spans="1:7" ht="45.75" customHeight="1">
      <c r="A90" s="682">
        <v>43459</v>
      </c>
      <c r="B90" s="685" t="s">
        <v>16</v>
      </c>
      <c r="C90" s="692" t="s">
        <v>189</v>
      </c>
      <c r="D90" s="693"/>
      <c r="E90" s="693"/>
      <c r="F90" s="693"/>
      <c r="G90" s="694"/>
    </row>
    <row r="91" spans="1:7" ht="45.75" customHeight="1" thickBot="1">
      <c r="A91" s="684"/>
      <c r="B91" s="687"/>
      <c r="C91" s="695"/>
      <c r="D91" s="696"/>
      <c r="E91" s="696"/>
      <c r="F91" s="696"/>
      <c r="G91" s="697"/>
    </row>
    <row r="92" spans="1:7" ht="36" customHeight="1">
      <c r="A92" s="682">
        <v>43460</v>
      </c>
      <c r="B92" s="685" t="s">
        <v>15</v>
      </c>
      <c r="C92" s="153" t="s">
        <v>181</v>
      </c>
      <c r="D92" s="154" t="s">
        <v>56</v>
      </c>
      <c r="E92" s="8">
        <v>72</v>
      </c>
      <c r="F92" s="39" t="s">
        <v>178</v>
      </c>
      <c r="G92" s="53" t="s">
        <v>196</v>
      </c>
    </row>
    <row r="93" spans="1:7" ht="36" customHeight="1">
      <c r="A93" s="683"/>
      <c r="B93" s="686"/>
      <c r="C93" s="701" t="s">
        <v>191</v>
      </c>
      <c r="D93" s="155" t="s">
        <v>192</v>
      </c>
      <c r="E93" s="11">
        <v>100</v>
      </c>
      <c r="F93" s="35"/>
      <c r="G93" s="51"/>
    </row>
    <row r="94" spans="1:7" ht="36" customHeight="1">
      <c r="A94" s="683"/>
      <c r="B94" s="686"/>
      <c r="C94" s="701"/>
      <c r="D94" s="155" t="s">
        <v>193</v>
      </c>
      <c r="E94" s="11" t="s">
        <v>194</v>
      </c>
      <c r="F94" s="35"/>
      <c r="G94" s="51"/>
    </row>
    <row r="95" spans="1:7" ht="36" customHeight="1" thickBot="1">
      <c r="A95" s="683"/>
      <c r="B95" s="686"/>
      <c r="C95" s="152"/>
      <c r="D95" s="5"/>
      <c r="E95" s="10"/>
      <c r="F95" s="40"/>
      <c r="G95" s="52"/>
    </row>
    <row r="96" spans="1:7" ht="36" customHeight="1" thickBot="1">
      <c r="A96" s="684"/>
      <c r="B96" s="687"/>
      <c r="C96" s="151"/>
      <c r="D96" s="20"/>
      <c r="E96" s="13"/>
      <c r="F96" s="13"/>
      <c r="G96" s="62"/>
    </row>
    <row r="97" spans="1:7" ht="36" customHeight="1">
      <c r="A97" s="682">
        <v>43461</v>
      </c>
      <c r="B97" s="685" t="s">
        <v>17</v>
      </c>
      <c r="C97" s="133"/>
      <c r="D97" s="135"/>
      <c r="E97" s="8"/>
      <c r="F97" s="39"/>
      <c r="G97" s="148" t="s">
        <v>187</v>
      </c>
    </row>
    <row r="98" spans="1:7" ht="36" customHeight="1">
      <c r="A98" s="683"/>
      <c r="B98" s="686"/>
      <c r="C98" s="131"/>
      <c r="D98" s="136"/>
      <c r="E98" s="11"/>
      <c r="F98" s="35"/>
      <c r="G98" s="51"/>
    </row>
    <row r="99" spans="1:7" ht="36" customHeight="1" thickBot="1">
      <c r="A99" s="683"/>
      <c r="B99" s="686"/>
      <c r="C99" s="134"/>
      <c r="D99" s="25"/>
      <c r="E99" s="12"/>
      <c r="F99" s="41"/>
      <c r="G99" s="54"/>
    </row>
    <row r="100" spans="1:7" ht="36" customHeight="1" thickBot="1">
      <c r="A100" s="684"/>
      <c r="B100" s="687"/>
      <c r="C100" s="47"/>
      <c r="D100" s="27"/>
      <c r="E100" s="22"/>
      <c r="F100" s="22"/>
      <c r="G100" s="58"/>
    </row>
    <row r="101" spans="1:7" ht="36" customHeight="1">
      <c r="A101" s="682">
        <v>43462</v>
      </c>
      <c r="B101" s="685" t="s">
        <v>18</v>
      </c>
      <c r="C101" s="133" t="s">
        <v>164</v>
      </c>
      <c r="D101" s="135" t="s">
        <v>186</v>
      </c>
      <c r="E101" s="8">
        <v>201</v>
      </c>
      <c r="F101" s="39"/>
      <c r="G101" s="53"/>
    </row>
    <row r="102" spans="1:7" ht="36" customHeight="1">
      <c r="A102" s="683"/>
      <c r="B102" s="686"/>
      <c r="C102" s="131" t="s">
        <v>190</v>
      </c>
      <c r="D102" s="136" t="s">
        <v>195</v>
      </c>
      <c r="E102" s="11">
        <v>50</v>
      </c>
      <c r="F102" s="35" t="s">
        <v>197</v>
      </c>
      <c r="G102" s="51"/>
    </row>
    <row r="103" spans="1:7" ht="36" customHeight="1" thickBot="1">
      <c r="A103" s="683"/>
      <c r="B103" s="686"/>
      <c r="C103" s="134"/>
      <c r="D103" s="25"/>
      <c r="E103" s="12"/>
      <c r="F103" s="41"/>
      <c r="G103" s="54"/>
    </row>
    <row r="104" spans="1:7" ht="36" customHeight="1" thickBot="1">
      <c r="A104" s="684"/>
      <c r="B104" s="687"/>
      <c r="C104" s="47"/>
      <c r="D104" s="27"/>
      <c r="E104" s="22"/>
      <c r="F104" s="22"/>
      <c r="G104" s="58"/>
    </row>
  </sheetData>
  <mergeCells count="62">
    <mergeCell ref="C62:C63"/>
    <mergeCell ref="A57:A59"/>
    <mergeCell ref="B57:B59"/>
    <mergeCell ref="A79:A83"/>
    <mergeCell ref="B79:B83"/>
    <mergeCell ref="A60:A63"/>
    <mergeCell ref="B60:B63"/>
    <mergeCell ref="A64:A70"/>
    <mergeCell ref="B64:B70"/>
    <mergeCell ref="A71:A78"/>
    <mergeCell ref="B71:B78"/>
    <mergeCell ref="C60:C61"/>
    <mergeCell ref="C72:C76"/>
    <mergeCell ref="C65:C68"/>
    <mergeCell ref="C79:C80"/>
    <mergeCell ref="C81:C82"/>
    <mergeCell ref="B15:B25"/>
    <mergeCell ref="A26:A28"/>
    <mergeCell ref="A49:A55"/>
    <mergeCell ref="B49:B55"/>
    <mergeCell ref="A56:G56"/>
    <mergeCell ref="C49:C50"/>
    <mergeCell ref="A42:A45"/>
    <mergeCell ref="B42:B45"/>
    <mergeCell ref="A46:A48"/>
    <mergeCell ref="B46:B48"/>
    <mergeCell ref="A29:G29"/>
    <mergeCell ref="A30:A34"/>
    <mergeCell ref="B30:B34"/>
    <mergeCell ref="A35:A41"/>
    <mergeCell ref="B35:B41"/>
    <mergeCell ref="C31:C32"/>
    <mergeCell ref="C42:C43"/>
    <mergeCell ref="C37:C39"/>
    <mergeCell ref="C35:C36"/>
    <mergeCell ref="C57:C58"/>
    <mergeCell ref="A1:G1"/>
    <mergeCell ref="B26:B28"/>
    <mergeCell ref="A2:A4"/>
    <mergeCell ref="B2:B4"/>
    <mergeCell ref="A5:A8"/>
    <mergeCell ref="B5:B8"/>
    <mergeCell ref="A9:A14"/>
    <mergeCell ref="B9:B14"/>
    <mergeCell ref="C9:C11"/>
    <mergeCell ref="C17:C24"/>
    <mergeCell ref="C15:C16"/>
    <mergeCell ref="A15:A25"/>
    <mergeCell ref="A101:A104"/>
    <mergeCell ref="B101:B104"/>
    <mergeCell ref="A84:G84"/>
    <mergeCell ref="A85:A89"/>
    <mergeCell ref="B85:B89"/>
    <mergeCell ref="A90:A91"/>
    <mergeCell ref="B90:B91"/>
    <mergeCell ref="C90:G91"/>
    <mergeCell ref="A92:A96"/>
    <mergeCell ref="B92:B96"/>
    <mergeCell ref="A97:A100"/>
    <mergeCell ref="B97:B100"/>
    <mergeCell ref="C85:C87"/>
    <mergeCell ref="C93:C94"/>
  </mergeCells>
  <phoneticPr fontId="1" type="noConversion"/>
  <printOptions horizontalCentered="1" verticalCentered="1"/>
  <pageMargins left="0.15748031496062992" right="0.15748031496062992" top="0.15748031496062992" bottom="0.15748031496062992" header="0.11811023622047245" footer="0.31496062992125984"/>
  <pageSetup paperSize="9" scale="72" fitToHeight="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view="pageBreakPreview" topLeftCell="A133" zoomScale="71" zoomScaleNormal="87" zoomScaleSheetLayoutView="71" zoomScalePageLayoutView="75" workbookViewId="0">
      <selection activeCell="A88" sqref="A1:XFD1048576"/>
    </sheetView>
  </sheetViews>
  <sheetFormatPr defaultRowHeight="36" customHeight="1"/>
  <cols>
    <col min="1" max="1" width="12.5" style="1" customWidth="1"/>
    <col min="2" max="2" width="8.5" style="2" customWidth="1"/>
    <col min="3" max="3" width="17.875" style="9" customWidth="1"/>
    <col min="4" max="4" width="24.125" style="9" customWidth="1"/>
    <col min="5" max="5" width="15.375" style="3" customWidth="1"/>
    <col min="6" max="6" width="25.625" style="3" customWidth="1"/>
    <col min="7" max="7" width="19.5" style="59" customWidth="1"/>
    <col min="8" max="8" width="42.5" style="15" customWidth="1"/>
    <col min="9" max="16384" width="9" style="9"/>
  </cols>
  <sheetData>
    <row r="1" spans="1:7" s="15" customFormat="1" ht="107.25" customHeight="1" thickBot="1">
      <c r="A1" s="688" t="s">
        <v>201</v>
      </c>
      <c r="B1" s="689"/>
      <c r="C1" s="690"/>
      <c r="D1" s="690"/>
      <c r="E1" s="690"/>
      <c r="F1" s="690"/>
      <c r="G1" s="691"/>
    </row>
    <row r="2" spans="1:7" s="15" customFormat="1" ht="36" customHeight="1">
      <c r="A2" s="682">
        <v>43465</v>
      </c>
      <c r="B2" s="685" t="s">
        <v>202</v>
      </c>
      <c r="C2" s="149"/>
      <c r="D2" s="78"/>
      <c r="E2" s="6"/>
      <c r="F2" s="39"/>
      <c r="G2" s="7"/>
    </row>
    <row r="3" spans="1:7" s="15" customFormat="1" ht="36" customHeight="1">
      <c r="A3" s="683"/>
      <c r="B3" s="686"/>
      <c r="C3" s="150"/>
      <c r="D3" s="79"/>
      <c r="E3" s="4"/>
      <c r="F3" s="35"/>
      <c r="G3" s="28"/>
    </row>
    <row r="4" spans="1:7" s="15" customFormat="1" ht="36" customHeight="1" thickBot="1">
      <c r="A4" s="683"/>
      <c r="B4" s="686"/>
      <c r="C4" s="158"/>
      <c r="D4" s="5"/>
      <c r="E4" s="10"/>
      <c r="F4" s="40"/>
      <c r="G4" s="52"/>
    </row>
    <row r="5" spans="1:7" s="15" customFormat="1" ht="36" customHeight="1" thickBot="1">
      <c r="A5" s="684"/>
      <c r="B5" s="687"/>
      <c r="C5" s="47"/>
      <c r="D5" s="27"/>
      <c r="E5" s="22"/>
      <c r="F5" s="22"/>
      <c r="G5" s="58"/>
    </row>
    <row r="6" spans="1:7" s="15" customFormat="1" ht="36" customHeight="1">
      <c r="A6" s="682">
        <v>43101</v>
      </c>
      <c r="B6" s="712" t="s">
        <v>16</v>
      </c>
      <c r="C6" s="692" t="s">
        <v>203</v>
      </c>
      <c r="D6" s="693"/>
      <c r="E6" s="693"/>
      <c r="F6" s="693"/>
      <c r="G6" s="694"/>
    </row>
    <row r="7" spans="1:7" s="15" customFormat="1" ht="36" customHeight="1" thickBot="1">
      <c r="A7" s="684"/>
      <c r="B7" s="713"/>
      <c r="C7" s="709"/>
      <c r="D7" s="710"/>
      <c r="E7" s="710"/>
      <c r="F7" s="710"/>
      <c r="G7" s="711"/>
    </row>
    <row r="8" spans="1:7" s="15" customFormat="1" ht="36" customHeight="1">
      <c r="A8" s="682">
        <v>43102</v>
      </c>
      <c r="B8" s="685" t="s">
        <v>15</v>
      </c>
      <c r="C8" s="159" t="s">
        <v>204</v>
      </c>
      <c r="D8" s="162" t="s">
        <v>205</v>
      </c>
      <c r="E8" s="8" t="s">
        <v>206</v>
      </c>
      <c r="F8" s="39" t="s">
        <v>207</v>
      </c>
      <c r="G8" s="53"/>
    </row>
    <row r="9" spans="1:7" s="15" customFormat="1" ht="36" customHeight="1">
      <c r="A9" s="683"/>
      <c r="B9" s="686"/>
      <c r="C9" s="161" t="s">
        <v>208</v>
      </c>
      <c r="D9" s="18" t="s">
        <v>209</v>
      </c>
      <c r="E9" s="30" t="s">
        <v>210</v>
      </c>
      <c r="F9" s="42"/>
      <c r="G9" s="55"/>
    </row>
    <row r="10" spans="1:7" s="15" customFormat="1" ht="36" customHeight="1">
      <c r="A10" s="683"/>
      <c r="B10" s="686"/>
      <c r="C10" s="157" t="s">
        <v>211</v>
      </c>
      <c r="D10" s="163" t="s">
        <v>212</v>
      </c>
      <c r="E10" s="11">
        <v>200</v>
      </c>
      <c r="F10" s="35"/>
      <c r="G10" s="51"/>
    </row>
    <row r="11" spans="1:7" s="15" customFormat="1" ht="36" customHeight="1" thickBot="1">
      <c r="A11" s="683"/>
      <c r="B11" s="686"/>
      <c r="C11" s="160"/>
      <c r="D11" s="25"/>
      <c r="E11" s="12"/>
      <c r="F11" s="41"/>
      <c r="G11" s="54"/>
    </row>
    <row r="12" spans="1:7" s="15" customFormat="1" ht="36" customHeight="1" thickBot="1">
      <c r="A12" s="684"/>
      <c r="B12" s="687"/>
      <c r="C12" s="48"/>
      <c r="D12" s="33"/>
      <c r="E12" s="34"/>
      <c r="F12" s="34"/>
      <c r="G12" s="61"/>
    </row>
    <row r="13" spans="1:7" s="15" customFormat="1" ht="36" customHeight="1">
      <c r="A13" s="682">
        <v>43103</v>
      </c>
      <c r="B13" s="685" t="s">
        <v>17</v>
      </c>
      <c r="C13" s="701" t="s">
        <v>7</v>
      </c>
      <c r="D13" s="79" t="s">
        <v>28</v>
      </c>
      <c r="E13" s="4">
        <v>64</v>
      </c>
      <c r="F13" s="35"/>
      <c r="G13" s="148"/>
    </row>
    <row r="14" spans="1:7" s="15" customFormat="1" ht="36" customHeight="1">
      <c r="A14" s="683"/>
      <c r="B14" s="686"/>
      <c r="C14" s="701"/>
      <c r="D14" s="79" t="s">
        <v>27</v>
      </c>
      <c r="E14" s="4">
        <v>64</v>
      </c>
      <c r="F14" s="35"/>
      <c r="G14" s="164"/>
    </row>
    <row r="15" spans="1:7" s="15" customFormat="1" ht="36" customHeight="1">
      <c r="A15" s="683"/>
      <c r="B15" s="686"/>
      <c r="C15" s="701"/>
      <c r="D15" s="79" t="s">
        <v>143</v>
      </c>
      <c r="E15" s="4">
        <v>30</v>
      </c>
      <c r="F15" s="35" t="s">
        <v>199</v>
      </c>
      <c r="G15" s="164"/>
    </row>
    <row r="16" spans="1:7" s="15" customFormat="1" ht="36" customHeight="1">
      <c r="A16" s="683"/>
      <c r="B16" s="686"/>
      <c r="C16" s="701"/>
      <c r="D16" s="79" t="s">
        <v>198</v>
      </c>
      <c r="E16" s="4" t="s">
        <v>43</v>
      </c>
      <c r="F16" s="35"/>
      <c r="G16" s="51"/>
    </row>
    <row r="17" spans="1:8" s="15" customFormat="1" ht="35.25" customHeight="1" thickBot="1">
      <c r="A17" s="683"/>
      <c r="B17" s="686"/>
      <c r="C17" s="158"/>
      <c r="D17" s="5"/>
      <c r="E17" s="10"/>
      <c r="F17" s="40"/>
      <c r="G17" s="52"/>
    </row>
    <row r="18" spans="1:8" s="15" customFormat="1" ht="35.25" customHeight="1" thickBot="1">
      <c r="A18" s="684"/>
      <c r="B18" s="687"/>
      <c r="C18" s="151"/>
      <c r="D18" s="20"/>
      <c r="E18" s="13"/>
      <c r="F18" s="13"/>
      <c r="G18" s="62"/>
    </row>
    <row r="19" spans="1:8" s="15" customFormat="1" ht="35.25" customHeight="1">
      <c r="A19" s="682">
        <v>43104</v>
      </c>
      <c r="B19" s="685" t="s">
        <v>18</v>
      </c>
      <c r="C19" s="702" t="s">
        <v>3</v>
      </c>
      <c r="D19" s="162" t="s">
        <v>5</v>
      </c>
      <c r="E19" s="8">
        <v>250</v>
      </c>
      <c r="F19" s="39"/>
      <c r="G19" s="53"/>
    </row>
    <row r="20" spans="1:8" s="15" customFormat="1" ht="35.25" customHeight="1">
      <c r="A20" s="683"/>
      <c r="B20" s="686"/>
      <c r="C20" s="703"/>
      <c r="D20" s="163" t="s">
        <v>6</v>
      </c>
      <c r="E20" s="11">
        <v>159</v>
      </c>
      <c r="F20" s="35"/>
      <c r="G20" s="51"/>
    </row>
    <row r="21" spans="1:8" s="15" customFormat="1" ht="36" customHeight="1" thickBot="1">
      <c r="A21" s="683"/>
      <c r="B21" s="686"/>
      <c r="C21" s="160"/>
      <c r="D21" s="25"/>
      <c r="E21" s="12"/>
      <c r="F21" s="41"/>
      <c r="G21" s="54"/>
    </row>
    <row r="22" spans="1:8" s="15" customFormat="1" ht="36" customHeight="1" thickBot="1">
      <c r="A22" s="684"/>
      <c r="B22" s="687"/>
      <c r="C22" s="47"/>
      <c r="D22" s="27"/>
      <c r="E22" s="22"/>
      <c r="F22" s="22"/>
      <c r="G22" s="58"/>
    </row>
    <row r="23" spans="1:8" ht="105.75" customHeight="1" thickBot="1">
      <c r="A23" s="688" t="s">
        <v>250</v>
      </c>
      <c r="B23" s="689"/>
      <c r="C23" s="690"/>
      <c r="D23" s="690"/>
      <c r="E23" s="690"/>
      <c r="F23" s="690"/>
      <c r="G23" s="691"/>
      <c r="H23" s="9"/>
    </row>
    <row r="24" spans="1:8" ht="36" customHeight="1">
      <c r="A24" s="682">
        <v>43107</v>
      </c>
      <c r="B24" s="685" t="s">
        <v>2</v>
      </c>
      <c r="C24" s="167" t="s">
        <v>224</v>
      </c>
      <c r="D24" s="162" t="s">
        <v>225</v>
      </c>
      <c r="E24" s="8">
        <v>100</v>
      </c>
      <c r="F24" s="39"/>
      <c r="G24" s="53"/>
      <c r="H24" s="9"/>
    </row>
    <row r="25" spans="1:8" ht="36" customHeight="1">
      <c r="A25" s="683"/>
      <c r="B25" s="686"/>
      <c r="C25" s="168" t="s">
        <v>34</v>
      </c>
      <c r="D25" s="163" t="s">
        <v>35</v>
      </c>
      <c r="E25" s="11">
        <v>100</v>
      </c>
      <c r="F25" s="35"/>
      <c r="G25" s="51"/>
      <c r="H25" s="9"/>
    </row>
    <row r="26" spans="1:8" ht="36" customHeight="1" thickBot="1">
      <c r="A26" s="683"/>
      <c r="B26" s="686"/>
      <c r="C26" s="158" t="s">
        <v>226</v>
      </c>
      <c r="D26" s="5" t="s">
        <v>227</v>
      </c>
      <c r="E26" s="10" t="s">
        <v>228</v>
      </c>
      <c r="F26" s="40"/>
      <c r="G26" s="52"/>
      <c r="H26" s="9"/>
    </row>
    <row r="27" spans="1:8" ht="36" customHeight="1" thickBot="1">
      <c r="A27" s="684"/>
      <c r="B27" s="687"/>
      <c r="C27" s="166"/>
      <c r="D27" s="16"/>
      <c r="E27" s="14"/>
      <c r="F27" s="14"/>
      <c r="G27" s="60"/>
      <c r="H27" s="9"/>
    </row>
    <row r="28" spans="1:8" ht="36" customHeight="1">
      <c r="A28" s="682">
        <v>43108</v>
      </c>
      <c r="B28" s="685" t="s">
        <v>16</v>
      </c>
      <c r="C28" s="170" t="s">
        <v>215</v>
      </c>
      <c r="D28" s="162" t="s">
        <v>218</v>
      </c>
      <c r="E28" s="8">
        <v>900</v>
      </c>
      <c r="F28" s="39" t="s">
        <v>223</v>
      </c>
      <c r="G28" s="53"/>
      <c r="H28" s="9"/>
    </row>
    <row r="29" spans="1:8" ht="36" customHeight="1">
      <c r="A29" s="683"/>
      <c r="B29" s="686"/>
      <c r="C29" s="701" t="s">
        <v>216</v>
      </c>
      <c r="D29" s="163" t="s">
        <v>217</v>
      </c>
      <c r="E29" s="11">
        <v>200</v>
      </c>
      <c r="F29" s="35"/>
      <c r="G29" s="51"/>
      <c r="H29" s="9"/>
    </row>
    <row r="30" spans="1:8" ht="36" customHeight="1">
      <c r="A30" s="683"/>
      <c r="B30" s="686"/>
      <c r="C30" s="701"/>
      <c r="D30" s="163" t="s">
        <v>27</v>
      </c>
      <c r="E30" s="11">
        <v>100</v>
      </c>
      <c r="F30" s="35"/>
      <c r="G30" s="51"/>
      <c r="H30" s="9"/>
    </row>
    <row r="31" spans="1:8" ht="36" customHeight="1">
      <c r="A31" s="683"/>
      <c r="B31" s="686"/>
      <c r="C31" s="701" t="s">
        <v>204</v>
      </c>
      <c r="D31" s="163" t="s">
        <v>22</v>
      </c>
      <c r="E31" s="11" t="s">
        <v>111</v>
      </c>
      <c r="F31" s="35"/>
      <c r="G31" s="164"/>
      <c r="H31" s="9"/>
    </row>
    <row r="32" spans="1:8" ht="36" customHeight="1">
      <c r="A32" s="683"/>
      <c r="B32" s="686"/>
      <c r="C32" s="701"/>
      <c r="D32" s="163" t="s">
        <v>230</v>
      </c>
      <c r="E32" s="11" t="s">
        <v>231</v>
      </c>
      <c r="F32" s="35"/>
      <c r="G32" s="164"/>
      <c r="H32" s="9"/>
    </row>
    <row r="33" spans="1:8" ht="36" customHeight="1">
      <c r="A33" s="683"/>
      <c r="B33" s="686"/>
      <c r="C33" s="701"/>
      <c r="D33" s="163" t="s">
        <v>232</v>
      </c>
      <c r="E33" s="4" t="s">
        <v>233</v>
      </c>
      <c r="F33" s="35"/>
      <c r="G33" s="164"/>
      <c r="H33" s="9"/>
    </row>
    <row r="34" spans="1:8" ht="36" customHeight="1" thickBot="1">
      <c r="A34" s="683"/>
      <c r="B34" s="686"/>
      <c r="C34" s="158"/>
      <c r="D34" s="5"/>
      <c r="E34" s="10"/>
      <c r="F34" s="40"/>
      <c r="G34" s="52"/>
      <c r="H34" s="9"/>
    </row>
    <row r="35" spans="1:8" ht="36" customHeight="1" thickBot="1">
      <c r="A35" s="684"/>
      <c r="B35" s="687"/>
      <c r="C35" s="166"/>
      <c r="D35" s="16"/>
      <c r="E35" s="14"/>
      <c r="F35" s="14"/>
      <c r="G35" s="60"/>
      <c r="H35" s="9"/>
    </row>
    <row r="36" spans="1:8" ht="36" customHeight="1">
      <c r="A36" s="682">
        <v>43109</v>
      </c>
      <c r="B36" s="685" t="s">
        <v>15</v>
      </c>
      <c r="C36" s="704" t="s">
        <v>200</v>
      </c>
      <c r="D36" s="162" t="s">
        <v>21</v>
      </c>
      <c r="E36" s="6">
        <v>170</v>
      </c>
      <c r="F36" s="39" t="s">
        <v>214</v>
      </c>
      <c r="G36" s="148"/>
      <c r="H36" s="9"/>
    </row>
    <row r="37" spans="1:8" ht="36" customHeight="1">
      <c r="A37" s="683"/>
      <c r="B37" s="686"/>
      <c r="C37" s="701"/>
      <c r="D37" s="163" t="s">
        <v>23</v>
      </c>
      <c r="E37" s="4">
        <v>40</v>
      </c>
      <c r="F37" s="35"/>
      <c r="G37" s="164"/>
      <c r="H37" s="9"/>
    </row>
    <row r="38" spans="1:8" ht="36" customHeight="1">
      <c r="A38" s="683"/>
      <c r="B38" s="686"/>
      <c r="C38" s="701"/>
      <c r="D38" s="163" t="s">
        <v>26</v>
      </c>
      <c r="E38" s="4">
        <v>20</v>
      </c>
      <c r="F38" s="35"/>
      <c r="G38" s="164"/>
      <c r="H38" s="9"/>
    </row>
    <row r="39" spans="1:8" ht="36" customHeight="1">
      <c r="A39" s="683"/>
      <c r="B39" s="686"/>
      <c r="C39" s="701"/>
      <c r="D39" s="163" t="s">
        <v>213</v>
      </c>
      <c r="E39" s="4" t="s">
        <v>70</v>
      </c>
      <c r="F39" s="35"/>
      <c r="G39" s="51"/>
      <c r="H39" s="9"/>
    </row>
    <row r="40" spans="1:8" ht="36" customHeight="1">
      <c r="A40" s="683"/>
      <c r="B40" s="686"/>
      <c r="C40" s="169" t="s">
        <v>237</v>
      </c>
      <c r="D40" s="25" t="s">
        <v>238</v>
      </c>
      <c r="E40" s="23">
        <v>200</v>
      </c>
      <c r="F40" s="41"/>
      <c r="G40" s="54"/>
      <c r="H40" s="9"/>
    </row>
    <row r="41" spans="1:8" ht="36" customHeight="1" thickBot="1">
      <c r="A41" s="683"/>
      <c r="B41" s="686"/>
      <c r="C41" s="158"/>
      <c r="D41" s="5"/>
      <c r="E41" s="10"/>
      <c r="F41" s="40"/>
      <c r="G41" s="52"/>
      <c r="H41" s="9"/>
    </row>
    <row r="42" spans="1:8" ht="36" customHeight="1" thickBot="1">
      <c r="A42" s="684"/>
      <c r="B42" s="687"/>
      <c r="C42" s="166"/>
      <c r="D42" s="16"/>
      <c r="E42" s="14"/>
      <c r="F42" s="14"/>
      <c r="G42" s="60"/>
      <c r="H42" s="9"/>
    </row>
    <row r="43" spans="1:8" ht="36" customHeight="1">
      <c r="A43" s="682">
        <v>43110</v>
      </c>
      <c r="B43" s="685" t="s">
        <v>17</v>
      </c>
      <c r="C43" s="706" t="s">
        <v>129</v>
      </c>
      <c r="D43" s="163" t="s">
        <v>21</v>
      </c>
      <c r="E43" s="11">
        <v>100</v>
      </c>
      <c r="F43" s="35"/>
      <c r="G43" s="51"/>
      <c r="H43" s="9"/>
    </row>
    <row r="44" spans="1:8" ht="36" customHeight="1">
      <c r="A44" s="683"/>
      <c r="B44" s="686"/>
      <c r="C44" s="703"/>
      <c r="D44" s="25" t="s">
        <v>220</v>
      </c>
      <c r="E44" s="12">
        <v>100</v>
      </c>
      <c r="F44" s="41"/>
      <c r="G44" s="51"/>
      <c r="H44" s="9"/>
    </row>
    <row r="45" spans="1:8" ht="36" customHeight="1">
      <c r="A45" s="683"/>
      <c r="B45" s="686"/>
      <c r="C45" s="165" t="s">
        <v>239</v>
      </c>
      <c r="D45" s="163" t="s">
        <v>188</v>
      </c>
      <c r="E45" s="11">
        <v>720</v>
      </c>
      <c r="F45" s="35" t="s">
        <v>222</v>
      </c>
      <c r="G45" s="51"/>
      <c r="H45" s="9"/>
    </row>
    <row r="46" spans="1:8" ht="36" customHeight="1" thickBot="1">
      <c r="A46" s="683"/>
      <c r="B46" s="686"/>
      <c r="C46" s="158"/>
      <c r="D46" s="5"/>
      <c r="E46" s="10"/>
      <c r="F46" s="40"/>
      <c r="G46" s="52"/>
      <c r="H46" s="9"/>
    </row>
    <row r="47" spans="1:8" ht="36" customHeight="1" thickBot="1">
      <c r="A47" s="684"/>
      <c r="B47" s="687"/>
      <c r="C47" s="151"/>
      <c r="D47" s="20"/>
      <c r="E47" s="13"/>
      <c r="F47" s="13"/>
      <c r="G47" s="62"/>
      <c r="H47" s="9"/>
    </row>
    <row r="48" spans="1:8" ht="36" customHeight="1">
      <c r="A48" s="682">
        <v>43111</v>
      </c>
      <c r="B48" s="685" t="s">
        <v>18</v>
      </c>
      <c r="C48" s="702" t="s">
        <v>3</v>
      </c>
      <c r="D48" s="162" t="s">
        <v>5</v>
      </c>
      <c r="E48" s="8">
        <v>346</v>
      </c>
      <c r="F48" s="39"/>
      <c r="G48" s="53" t="s">
        <v>221</v>
      </c>
      <c r="H48" s="9"/>
    </row>
    <row r="49" spans="1:8" ht="36" customHeight="1">
      <c r="A49" s="683"/>
      <c r="B49" s="686"/>
      <c r="C49" s="703"/>
      <c r="D49" s="163" t="s">
        <v>229</v>
      </c>
      <c r="E49" s="11">
        <v>122</v>
      </c>
      <c r="F49" s="35"/>
      <c r="G49" s="51"/>
      <c r="H49" s="9"/>
    </row>
    <row r="50" spans="1:8" ht="36" customHeight="1" thickBot="1">
      <c r="A50" s="683"/>
      <c r="B50" s="686"/>
      <c r="C50" s="160"/>
      <c r="D50" s="25"/>
      <c r="E50" s="12"/>
      <c r="F50" s="41"/>
      <c r="G50" s="54"/>
      <c r="H50" s="9"/>
    </row>
    <row r="51" spans="1:8" ht="36" customHeight="1" thickBot="1">
      <c r="A51" s="684"/>
      <c r="B51" s="687"/>
      <c r="C51" s="47"/>
      <c r="D51" s="27"/>
      <c r="E51" s="22"/>
      <c r="F51" s="22"/>
      <c r="G51" s="58"/>
      <c r="H51" s="9"/>
    </row>
    <row r="52" spans="1:8" ht="107.25" customHeight="1" thickBot="1">
      <c r="A52" s="688" t="s">
        <v>0</v>
      </c>
      <c r="B52" s="689"/>
      <c r="C52" s="690"/>
      <c r="D52" s="690"/>
      <c r="E52" s="690"/>
      <c r="F52" s="690"/>
      <c r="G52" s="691"/>
      <c r="H52" s="9"/>
    </row>
    <row r="53" spans="1:8" ht="36" customHeight="1">
      <c r="A53" s="682">
        <v>43114</v>
      </c>
      <c r="B53" s="685" t="s">
        <v>2</v>
      </c>
      <c r="C53" s="159" t="s">
        <v>234</v>
      </c>
      <c r="D53" s="162" t="s">
        <v>235</v>
      </c>
      <c r="E53" s="8" t="s">
        <v>236</v>
      </c>
      <c r="F53" s="39"/>
      <c r="G53" s="53" t="s">
        <v>219</v>
      </c>
      <c r="H53" s="9"/>
    </row>
    <row r="54" spans="1:8" ht="36" customHeight="1">
      <c r="A54" s="683"/>
      <c r="B54" s="686"/>
      <c r="C54" s="157" t="s">
        <v>244</v>
      </c>
      <c r="D54" s="163" t="s">
        <v>245</v>
      </c>
      <c r="E54" s="11" t="s">
        <v>246</v>
      </c>
      <c r="F54" s="35" t="s">
        <v>247</v>
      </c>
      <c r="G54" s="51"/>
      <c r="H54" s="9"/>
    </row>
    <row r="55" spans="1:8" ht="36" customHeight="1" thickBot="1">
      <c r="A55" s="683"/>
      <c r="B55" s="686"/>
      <c r="C55" s="160"/>
      <c r="D55" s="25"/>
      <c r="E55" s="12"/>
      <c r="F55" s="41"/>
      <c r="G55" s="54"/>
      <c r="H55" s="9"/>
    </row>
    <row r="56" spans="1:8" ht="36" customHeight="1" thickBot="1">
      <c r="A56" s="684"/>
      <c r="B56" s="687"/>
      <c r="C56" s="47" t="s">
        <v>255</v>
      </c>
      <c r="D56" s="27" t="s">
        <v>258</v>
      </c>
      <c r="E56" s="22" t="s">
        <v>259</v>
      </c>
      <c r="F56" s="22" t="s">
        <v>260</v>
      </c>
      <c r="G56" s="58"/>
      <c r="H56" s="9"/>
    </row>
    <row r="57" spans="1:8" ht="36" customHeight="1">
      <c r="A57" s="682">
        <v>43115</v>
      </c>
      <c r="B57" s="685" t="s">
        <v>16</v>
      </c>
      <c r="C57" s="702" t="s">
        <v>65</v>
      </c>
      <c r="D57" s="18" t="s">
        <v>66</v>
      </c>
      <c r="E57" s="30">
        <v>100</v>
      </c>
      <c r="F57" s="42"/>
      <c r="G57" s="55" t="s">
        <v>265</v>
      </c>
      <c r="H57" s="9"/>
    </row>
    <row r="58" spans="1:8" ht="36" customHeight="1">
      <c r="A58" s="683"/>
      <c r="B58" s="686"/>
      <c r="C58" s="705"/>
      <c r="D58" s="163" t="s">
        <v>28</v>
      </c>
      <c r="E58" s="11">
        <v>10</v>
      </c>
      <c r="F58" s="35"/>
      <c r="G58" s="51" t="s">
        <v>271</v>
      </c>
      <c r="H58" s="9"/>
    </row>
    <row r="59" spans="1:8" ht="36" customHeight="1">
      <c r="A59" s="683"/>
      <c r="B59" s="686"/>
      <c r="C59" s="703"/>
      <c r="D59" s="25" t="s">
        <v>22</v>
      </c>
      <c r="E59" s="12" t="s">
        <v>70</v>
      </c>
      <c r="F59" s="41"/>
      <c r="G59" s="54"/>
      <c r="H59" s="9"/>
    </row>
    <row r="60" spans="1:8" ht="36" customHeight="1">
      <c r="A60" s="683"/>
      <c r="B60" s="686"/>
      <c r="C60" s="706" t="s">
        <v>7</v>
      </c>
      <c r="D60" s="163" t="s">
        <v>248</v>
      </c>
      <c r="E60" s="11">
        <v>64</v>
      </c>
      <c r="F60" s="35" t="s">
        <v>269</v>
      </c>
      <c r="G60" s="178"/>
      <c r="H60" s="9"/>
    </row>
    <row r="61" spans="1:8" ht="36" customHeight="1">
      <c r="A61" s="683"/>
      <c r="B61" s="686"/>
      <c r="C61" s="705"/>
      <c r="D61" s="163" t="s">
        <v>249</v>
      </c>
      <c r="E61" s="11">
        <v>64</v>
      </c>
      <c r="F61" s="35"/>
      <c r="G61" s="178"/>
      <c r="H61" s="9"/>
    </row>
    <row r="62" spans="1:8" ht="36" customHeight="1">
      <c r="A62" s="683"/>
      <c r="B62" s="686"/>
      <c r="C62" s="705"/>
      <c r="D62" s="163" t="s">
        <v>28</v>
      </c>
      <c r="E62" s="11">
        <v>64</v>
      </c>
      <c r="F62" s="35"/>
      <c r="G62" s="178" t="s">
        <v>243</v>
      </c>
      <c r="H62" s="9"/>
    </row>
    <row r="63" spans="1:8" ht="36" customHeight="1">
      <c r="A63" s="683"/>
      <c r="B63" s="686"/>
      <c r="C63" s="703"/>
      <c r="D63" s="163" t="s">
        <v>89</v>
      </c>
      <c r="E63" s="11">
        <v>50</v>
      </c>
      <c r="F63" s="35"/>
      <c r="G63" s="178"/>
      <c r="H63" s="9"/>
    </row>
    <row r="64" spans="1:8" ht="36" customHeight="1">
      <c r="A64" s="683"/>
      <c r="B64" s="686"/>
      <c r="C64" s="176" t="s">
        <v>266</v>
      </c>
      <c r="D64" s="25" t="s">
        <v>117</v>
      </c>
      <c r="E64" s="12">
        <v>100</v>
      </c>
      <c r="F64" s="41"/>
      <c r="G64" s="54"/>
      <c r="H64" s="9"/>
    </row>
    <row r="65" spans="1:8" ht="36" customHeight="1" thickBot="1">
      <c r="A65" s="683"/>
      <c r="B65" s="686"/>
      <c r="C65" s="160"/>
      <c r="D65" s="25"/>
      <c r="E65" s="12"/>
      <c r="F65" s="41"/>
      <c r="G65" s="54"/>
      <c r="H65" s="9"/>
    </row>
    <row r="66" spans="1:8" ht="36" customHeight="1" thickBot="1">
      <c r="A66" s="684"/>
      <c r="B66" s="687"/>
      <c r="C66" s="47" t="s">
        <v>262</v>
      </c>
      <c r="D66" s="27" t="s">
        <v>258</v>
      </c>
      <c r="E66" s="175" t="s">
        <v>263</v>
      </c>
      <c r="F66" s="22" t="s">
        <v>260</v>
      </c>
      <c r="G66" s="58"/>
      <c r="H66" s="9"/>
    </row>
    <row r="67" spans="1:8" ht="36" customHeight="1">
      <c r="A67" s="682">
        <v>43116</v>
      </c>
      <c r="B67" s="685" t="s">
        <v>15</v>
      </c>
      <c r="C67" s="177" t="s">
        <v>270</v>
      </c>
      <c r="D67" s="162"/>
      <c r="E67" s="8"/>
      <c r="F67" s="39"/>
      <c r="G67" s="53"/>
      <c r="H67" s="9"/>
    </row>
    <row r="68" spans="1:8" ht="36" customHeight="1" thickBot="1">
      <c r="A68" s="683"/>
      <c r="B68" s="686"/>
      <c r="C68" s="160"/>
      <c r="D68" s="25"/>
      <c r="E68" s="12"/>
      <c r="F68" s="41"/>
      <c r="G68" s="54"/>
      <c r="H68" s="9"/>
    </row>
    <row r="69" spans="1:8" ht="36" customHeight="1" thickBot="1">
      <c r="A69" s="684"/>
      <c r="B69" s="687"/>
      <c r="C69" s="47" t="s">
        <v>262</v>
      </c>
      <c r="D69" s="27" t="s">
        <v>258</v>
      </c>
      <c r="E69" s="175" t="s">
        <v>264</v>
      </c>
      <c r="F69" s="22" t="s">
        <v>260</v>
      </c>
      <c r="G69" s="58"/>
      <c r="H69" s="9"/>
    </row>
    <row r="70" spans="1:8" ht="36" customHeight="1">
      <c r="A70" s="682">
        <v>43117</v>
      </c>
      <c r="B70" s="685" t="s">
        <v>17</v>
      </c>
      <c r="C70" s="702" t="s">
        <v>240</v>
      </c>
      <c r="D70" s="162" t="s">
        <v>241</v>
      </c>
      <c r="E70" s="8">
        <v>155</v>
      </c>
      <c r="F70" s="39"/>
      <c r="G70" s="53" t="s">
        <v>272</v>
      </c>
      <c r="H70" s="9"/>
    </row>
    <row r="71" spans="1:8" ht="36" customHeight="1">
      <c r="A71" s="683"/>
      <c r="B71" s="686"/>
      <c r="C71" s="703"/>
      <c r="D71" s="163" t="s">
        <v>242</v>
      </c>
      <c r="E71" s="11">
        <f>96+120+45</f>
        <v>261</v>
      </c>
      <c r="F71" s="35"/>
      <c r="G71" s="51"/>
      <c r="H71" s="9"/>
    </row>
    <row r="72" spans="1:8" ht="36" customHeight="1" thickBot="1">
      <c r="A72" s="683"/>
      <c r="B72" s="686"/>
      <c r="C72" s="160"/>
      <c r="D72" s="25"/>
      <c r="E72" s="12"/>
      <c r="F72" s="41"/>
      <c r="G72" s="54"/>
      <c r="H72" s="9"/>
    </row>
    <row r="73" spans="1:8" ht="36" customHeight="1" thickBot="1">
      <c r="A73" s="684"/>
      <c r="B73" s="687"/>
      <c r="C73" s="47" t="s">
        <v>256</v>
      </c>
      <c r="D73" s="27" t="s">
        <v>257</v>
      </c>
      <c r="E73" s="175">
        <v>264</v>
      </c>
      <c r="F73" s="22" t="s">
        <v>261</v>
      </c>
      <c r="G73" s="58"/>
      <c r="H73" s="9"/>
    </row>
    <row r="74" spans="1:8" ht="36" customHeight="1">
      <c r="A74" s="682">
        <v>43118</v>
      </c>
      <c r="B74" s="685" t="s">
        <v>18</v>
      </c>
      <c r="C74" s="159" t="s">
        <v>267</v>
      </c>
      <c r="D74" s="162" t="s">
        <v>268</v>
      </c>
      <c r="E74" s="8">
        <v>171</v>
      </c>
      <c r="F74" s="39"/>
      <c r="G74" s="53"/>
      <c r="H74" s="9"/>
    </row>
    <row r="75" spans="1:8" ht="36" customHeight="1">
      <c r="A75" s="683"/>
      <c r="B75" s="686"/>
      <c r="C75" s="173" t="s">
        <v>129</v>
      </c>
      <c r="D75" s="163" t="s">
        <v>275</v>
      </c>
      <c r="E75" s="11">
        <v>100</v>
      </c>
      <c r="F75" s="35" t="s">
        <v>281</v>
      </c>
      <c r="G75" s="51"/>
      <c r="H75" s="9"/>
    </row>
    <row r="76" spans="1:8" ht="36" customHeight="1" thickBot="1">
      <c r="A76" s="683"/>
      <c r="B76" s="686"/>
      <c r="C76" s="160"/>
      <c r="D76" s="25"/>
      <c r="E76" s="12"/>
      <c r="F76" s="41"/>
      <c r="G76" s="54"/>
      <c r="H76" s="9"/>
    </row>
    <row r="77" spans="1:8" ht="36" customHeight="1" thickBot="1">
      <c r="A77" s="684"/>
      <c r="B77" s="687"/>
      <c r="C77" s="47"/>
      <c r="D77" s="27"/>
      <c r="E77" s="22"/>
      <c r="F77" s="22"/>
      <c r="G77" s="58"/>
      <c r="H77" s="9"/>
    </row>
    <row r="78" spans="1:8" ht="96" customHeight="1" thickBot="1">
      <c r="A78" s="688" t="s">
        <v>0</v>
      </c>
      <c r="B78" s="689"/>
      <c r="C78" s="690"/>
      <c r="D78" s="690"/>
      <c r="E78" s="690"/>
      <c r="F78" s="690"/>
      <c r="G78" s="691"/>
      <c r="H78" s="9"/>
    </row>
    <row r="79" spans="1:8" ht="36" customHeight="1">
      <c r="A79" s="682">
        <v>43486</v>
      </c>
      <c r="B79" s="685" t="s">
        <v>253</v>
      </c>
      <c r="C79" s="174" t="s">
        <v>251</v>
      </c>
      <c r="D79" s="162" t="s">
        <v>22</v>
      </c>
      <c r="E79" s="8" t="s">
        <v>252</v>
      </c>
      <c r="F79" s="39"/>
      <c r="G79" s="53" t="s">
        <v>284</v>
      </c>
      <c r="H79" s="9"/>
    </row>
    <row r="80" spans="1:8" ht="36" customHeight="1">
      <c r="A80" s="683"/>
      <c r="B80" s="686"/>
      <c r="C80" s="183" t="s">
        <v>282</v>
      </c>
      <c r="D80" s="163" t="s">
        <v>205</v>
      </c>
      <c r="E80" s="11" t="s">
        <v>103</v>
      </c>
      <c r="F80" s="35" t="s">
        <v>283</v>
      </c>
      <c r="G80" s="51"/>
      <c r="H80" s="9"/>
    </row>
    <row r="81" spans="1:8" ht="36" customHeight="1" thickBot="1">
      <c r="A81" s="683"/>
      <c r="B81" s="686"/>
      <c r="C81" s="171"/>
      <c r="D81" s="25"/>
      <c r="E81" s="12"/>
      <c r="F81" s="41"/>
      <c r="G81" s="54"/>
      <c r="H81" s="9"/>
    </row>
    <row r="82" spans="1:8" ht="36" customHeight="1" thickBot="1">
      <c r="A82" s="684"/>
      <c r="B82" s="687"/>
      <c r="C82" s="48" t="s">
        <v>285</v>
      </c>
      <c r="D82" s="33" t="s">
        <v>286</v>
      </c>
      <c r="E82" s="34" t="s">
        <v>287</v>
      </c>
      <c r="F82" s="34" t="s">
        <v>288</v>
      </c>
      <c r="G82" s="61"/>
      <c r="H82" s="9"/>
    </row>
    <row r="83" spans="1:8" ht="36" customHeight="1">
      <c r="A83" s="682">
        <v>43487</v>
      </c>
      <c r="B83" s="685" t="s">
        <v>16</v>
      </c>
      <c r="C83" s="704" t="s">
        <v>65</v>
      </c>
      <c r="D83" s="162" t="s">
        <v>278</v>
      </c>
      <c r="E83" s="8">
        <v>100</v>
      </c>
      <c r="F83" s="39"/>
      <c r="G83" s="53"/>
      <c r="H83" s="9"/>
    </row>
    <row r="84" spans="1:8" ht="36" customHeight="1">
      <c r="A84" s="683"/>
      <c r="B84" s="686"/>
      <c r="C84" s="701"/>
      <c r="D84" s="163" t="s">
        <v>279</v>
      </c>
      <c r="E84" s="11" t="s">
        <v>280</v>
      </c>
      <c r="F84" s="35"/>
      <c r="G84" s="51"/>
      <c r="H84" s="9"/>
    </row>
    <row r="85" spans="1:8" ht="36" customHeight="1">
      <c r="A85" s="683"/>
      <c r="B85" s="686"/>
      <c r="C85" s="186" t="s">
        <v>303</v>
      </c>
      <c r="D85" s="163" t="s">
        <v>304</v>
      </c>
      <c r="E85" s="11">
        <v>50</v>
      </c>
      <c r="F85" s="35" t="s">
        <v>310</v>
      </c>
      <c r="G85" s="51"/>
      <c r="H85" s="9"/>
    </row>
    <row r="86" spans="1:8" ht="36" customHeight="1" thickBot="1">
      <c r="A86" s="683"/>
      <c r="B86" s="686"/>
      <c r="C86" s="158" t="s">
        <v>307</v>
      </c>
      <c r="D86" s="5" t="s">
        <v>309</v>
      </c>
      <c r="E86" s="10" t="s">
        <v>308</v>
      </c>
      <c r="F86" s="40"/>
      <c r="G86" s="52"/>
      <c r="H86" s="9"/>
    </row>
    <row r="87" spans="1:8" ht="36" customHeight="1" thickBot="1">
      <c r="A87" s="684"/>
      <c r="B87" s="687"/>
      <c r="C87" s="151"/>
      <c r="D87" s="20"/>
      <c r="E87" s="13"/>
      <c r="F87" s="13"/>
      <c r="G87" s="62"/>
      <c r="H87" s="9"/>
    </row>
    <row r="88" spans="1:8" ht="36" customHeight="1">
      <c r="A88" s="682">
        <v>43488</v>
      </c>
      <c r="B88" s="685" t="s">
        <v>15</v>
      </c>
      <c r="C88" s="702" t="s">
        <v>7</v>
      </c>
      <c r="D88" s="162" t="s">
        <v>317</v>
      </c>
      <c r="E88" s="8">
        <v>64</v>
      </c>
      <c r="F88" s="39" t="s">
        <v>315</v>
      </c>
      <c r="G88" s="53"/>
      <c r="H88" s="9"/>
    </row>
    <row r="89" spans="1:8" ht="36" customHeight="1">
      <c r="A89" s="683"/>
      <c r="B89" s="686"/>
      <c r="C89" s="705"/>
      <c r="D89" s="163" t="s">
        <v>316</v>
      </c>
      <c r="E89" s="11">
        <v>50</v>
      </c>
      <c r="F89" s="35"/>
      <c r="G89" s="51"/>
      <c r="H89" s="9"/>
    </row>
    <row r="90" spans="1:8" ht="36" customHeight="1">
      <c r="A90" s="683"/>
      <c r="B90" s="686"/>
      <c r="C90" s="703"/>
      <c r="D90" s="25" t="s">
        <v>314</v>
      </c>
      <c r="E90" s="12" t="s">
        <v>87</v>
      </c>
      <c r="F90" s="41"/>
      <c r="G90" s="54"/>
      <c r="H90" s="9"/>
    </row>
    <row r="91" spans="1:8" ht="36" customHeight="1" thickBot="1">
      <c r="A91" s="683"/>
      <c r="B91" s="686"/>
      <c r="C91" s="171"/>
      <c r="D91" s="25"/>
      <c r="E91" s="12"/>
      <c r="F91" s="41"/>
      <c r="G91" s="54"/>
      <c r="H91" s="9"/>
    </row>
    <row r="92" spans="1:8" ht="36" customHeight="1" thickBot="1">
      <c r="A92" s="684"/>
      <c r="B92" s="687"/>
      <c r="C92" s="47" t="s">
        <v>289</v>
      </c>
      <c r="D92" s="27" t="s">
        <v>290</v>
      </c>
      <c r="E92" s="22" t="s">
        <v>291</v>
      </c>
      <c r="F92" s="22" t="s">
        <v>292</v>
      </c>
      <c r="G92" s="58"/>
      <c r="H92" s="9"/>
    </row>
    <row r="93" spans="1:8" ht="36" customHeight="1">
      <c r="A93" s="682">
        <v>43489</v>
      </c>
      <c r="B93" s="685" t="s">
        <v>17</v>
      </c>
      <c r="C93" s="172" t="s">
        <v>273</v>
      </c>
      <c r="D93" s="162" t="s">
        <v>274</v>
      </c>
      <c r="E93" s="8">
        <v>100</v>
      </c>
      <c r="F93" s="39" t="s">
        <v>323</v>
      </c>
      <c r="G93" s="53" t="s">
        <v>318</v>
      </c>
      <c r="H93" s="9"/>
    </row>
    <row r="94" spans="1:8" ht="36" customHeight="1">
      <c r="A94" s="683"/>
      <c r="B94" s="686"/>
      <c r="C94" s="187" t="s">
        <v>136</v>
      </c>
      <c r="D94" s="163" t="s">
        <v>29</v>
      </c>
      <c r="E94" s="11">
        <v>100</v>
      </c>
      <c r="F94" s="35"/>
      <c r="G94" s="51"/>
      <c r="H94" s="9"/>
    </row>
    <row r="95" spans="1:8" ht="36" customHeight="1" thickBot="1">
      <c r="A95" s="683"/>
      <c r="B95" s="686"/>
      <c r="C95" s="171"/>
      <c r="D95" s="25"/>
      <c r="E95" s="12"/>
      <c r="F95" s="41"/>
      <c r="G95" s="54"/>
      <c r="H95" s="9"/>
    </row>
    <row r="96" spans="1:8" ht="36" customHeight="1" thickBot="1">
      <c r="A96" s="684"/>
      <c r="B96" s="687"/>
      <c r="C96" s="48"/>
      <c r="D96" s="33"/>
      <c r="E96" s="34"/>
      <c r="F96" s="34"/>
      <c r="G96" s="61"/>
      <c r="H96" s="9"/>
    </row>
    <row r="97" spans="1:8" ht="36" customHeight="1">
      <c r="A97" s="682">
        <v>43490</v>
      </c>
      <c r="B97" s="685" t="s">
        <v>18</v>
      </c>
      <c r="C97" s="704" t="s">
        <v>254</v>
      </c>
      <c r="D97" s="162" t="s">
        <v>276</v>
      </c>
      <c r="E97" s="8">
        <v>98</v>
      </c>
      <c r="F97" s="39"/>
      <c r="G97" s="53"/>
      <c r="H97" s="9"/>
    </row>
    <row r="98" spans="1:8" ht="36" customHeight="1">
      <c r="A98" s="683"/>
      <c r="B98" s="686"/>
      <c r="C98" s="701"/>
      <c r="D98" s="163" t="s">
        <v>277</v>
      </c>
      <c r="E98" s="11">
        <v>122</v>
      </c>
      <c r="F98" s="35"/>
      <c r="G98" s="51"/>
      <c r="H98" s="9"/>
    </row>
    <row r="99" spans="1:8" ht="36" customHeight="1">
      <c r="A99" s="683"/>
      <c r="B99" s="686"/>
      <c r="C99" s="186"/>
      <c r="D99" s="163"/>
      <c r="E99" s="11"/>
      <c r="F99" s="35"/>
      <c r="G99" s="51"/>
      <c r="H99" s="9"/>
    </row>
    <row r="100" spans="1:8" ht="36" customHeight="1" thickBot="1">
      <c r="A100" s="683"/>
      <c r="B100" s="686"/>
      <c r="C100" s="158"/>
      <c r="D100" s="5"/>
      <c r="E100" s="10"/>
      <c r="F100" s="40"/>
      <c r="G100" s="52"/>
      <c r="H100" s="9"/>
    </row>
    <row r="101" spans="1:8" ht="36" customHeight="1" thickBot="1">
      <c r="A101" s="684"/>
      <c r="B101" s="687"/>
      <c r="C101" s="151" t="s">
        <v>293</v>
      </c>
      <c r="D101" s="20" t="s">
        <v>290</v>
      </c>
      <c r="E101" s="13" t="s">
        <v>294</v>
      </c>
      <c r="F101" s="13" t="s">
        <v>288</v>
      </c>
      <c r="G101" s="62"/>
      <c r="H101" s="9"/>
    </row>
    <row r="102" spans="1:8" ht="95.25" customHeight="1" thickBot="1">
      <c r="A102" s="688" t="s">
        <v>0</v>
      </c>
      <c r="B102" s="689"/>
      <c r="C102" s="690"/>
      <c r="D102" s="690"/>
      <c r="E102" s="690"/>
      <c r="F102" s="690"/>
      <c r="G102" s="691"/>
      <c r="H102" s="9"/>
    </row>
    <row r="103" spans="1:8" ht="36" customHeight="1">
      <c r="A103" s="682">
        <v>43493</v>
      </c>
      <c r="B103" s="685" t="s">
        <v>295</v>
      </c>
      <c r="C103" s="704" t="s">
        <v>7</v>
      </c>
      <c r="D103" s="162" t="s">
        <v>327</v>
      </c>
      <c r="E103" s="8">
        <v>59</v>
      </c>
      <c r="F103" s="191">
        <v>0.75</v>
      </c>
      <c r="G103" s="53"/>
      <c r="H103" s="9"/>
    </row>
    <row r="104" spans="1:8" ht="36" customHeight="1">
      <c r="A104" s="683"/>
      <c r="B104" s="686"/>
      <c r="C104" s="701"/>
      <c r="D104" s="163" t="s">
        <v>328</v>
      </c>
      <c r="E104" s="11">
        <v>64</v>
      </c>
      <c r="F104" s="35"/>
      <c r="G104" s="51"/>
      <c r="H104" s="9"/>
    </row>
    <row r="105" spans="1:8" ht="36" customHeight="1">
      <c r="A105" s="683"/>
      <c r="B105" s="686"/>
      <c r="C105" s="701"/>
      <c r="D105" s="163" t="s">
        <v>329</v>
      </c>
      <c r="E105" s="11">
        <v>100</v>
      </c>
      <c r="F105" s="35"/>
      <c r="G105" s="51"/>
      <c r="H105" s="9"/>
    </row>
    <row r="106" spans="1:8" ht="36" customHeight="1">
      <c r="A106" s="683"/>
      <c r="B106" s="686"/>
      <c r="C106" s="701"/>
      <c r="D106" s="163" t="s">
        <v>330</v>
      </c>
      <c r="E106" s="11">
        <v>64</v>
      </c>
      <c r="F106" s="35"/>
      <c r="G106" s="51"/>
      <c r="H106" s="9"/>
    </row>
    <row r="107" spans="1:8" ht="36" customHeight="1">
      <c r="A107" s="683"/>
      <c r="B107" s="686"/>
      <c r="C107" s="188" t="s">
        <v>311</v>
      </c>
      <c r="D107" s="163" t="s">
        <v>312</v>
      </c>
      <c r="E107" s="11">
        <v>720</v>
      </c>
      <c r="F107" s="35" t="s">
        <v>313</v>
      </c>
      <c r="G107" s="51"/>
      <c r="H107" s="9"/>
    </row>
    <row r="108" spans="1:8" ht="36" customHeight="1" thickBot="1">
      <c r="A108" s="683"/>
      <c r="B108" s="686"/>
      <c r="C108" s="158"/>
      <c r="D108" s="5"/>
      <c r="E108" s="10"/>
      <c r="F108" s="40"/>
      <c r="G108" s="52"/>
      <c r="H108" s="9"/>
    </row>
    <row r="109" spans="1:8" ht="36" customHeight="1" thickBot="1">
      <c r="A109" s="684"/>
      <c r="B109" s="687"/>
      <c r="C109" s="151"/>
      <c r="D109" s="20"/>
      <c r="E109" s="13"/>
      <c r="F109" s="13"/>
      <c r="G109" s="62"/>
      <c r="H109" s="9"/>
    </row>
    <row r="110" spans="1:8" ht="36" customHeight="1">
      <c r="A110" s="682">
        <v>43494</v>
      </c>
      <c r="B110" s="685" t="s">
        <v>16</v>
      </c>
      <c r="C110" s="184" t="s">
        <v>305</v>
      </c>
      <c r="D110" s="162" t="s">
        <v>306</v>
      </c>
      <c r="E110" s="8">
        <v>505</v>
      </c>
      <c r="F110" s="39"/>
      <c r="G110" s="53" t="s">
        <v>346</v>
      </c>
      <c r="H110" s="9"/>
    </row>
    <row r="111" spans="1:8" ht="36" customHeight="1">
      <c r="A111" s="683"/>
      <c r="B111" s="686"/>
      <c r="C111" s="183"/>
      <c r="D111" s="163"/>
      <c r="E111" s="11"/>
      <c r="F111" s="35"/>
      <c r="G111" s="51"/>
      <c r="H111" s="9"/>
    </row>
    <row r="112" spans="1:8" ht="36" customHeight="1" thickBot="1">
      <c r="A112" s="683"/>
      <c r="B112" s="686"/>
      <c r="C112" s="185"/>
      <c r="D112" s="25"/>
      <c r="E112" s="12"/>
      <c r="F112" s="41"/>
      <c r="G112" s="54"/>
      <c r="H112" s="9"/>
    </row>
    <row r="113" spans="1:8" ht="36" customHeight="1" thickBot="1">
      <c r="A113" s="684"/>
      <c r="B113" s="687"/>
      <c r="C113" s="47" t="s">
        <v>299</v>
      </c>
      <c r="D113" s="27" t="s">
        <v>297</v>
      </c>
      <c r="E113" s="22" t="s">
        <v>298</v>
      </c>
      <c r="F113" s="22" t="s">
        <v>292</v>
      </c>
      <c r="G113" s="58"/>
      <c r="H113" s="9"/>
    </row>
    <row r="114" spans="1:8" ht="36" customHeight="1">
      <c r="A114" s="682">
        <v>43495</v>
      </c>
      <c r="B114" s="685" t="s">
        <v>15</v>
      </c>
      <c r="C114" s="702" t="s">
        <v>34</v>
      </c>
      <c r="D114" s="162" t="s">
        <v>333</v>
      </c>
      <c r="E114" s="8">
        <v>51</v>
      </c>
      <c r="F114" s="39"/>
      <c r="G114" s="53" t="s">
        <v>334</v>
      </c>
    </row>
    <row r="115" spans="1:8" ht="36" customHeight="1">
      <c r="A115" s="683"/>
      <c r="B115" s="686"/>
      <c r="C115" s="703"/>
      <c r="D115" s="18" t="s">
        <v>332</v>
      </c>
      <c r="E115" s="30">
        <v>52</v>
      </c>
      <c r="F115" s="42"/>
      <c r="G115" s="55"/>
    </row>
    <row r="116" spans="1:8" ht="36" customHeight="1">
      <c r="A116" s="683"/>
      <c r="B116" s="686"/>
      <c r="C116" s="706" t="s">
        <v>319</v>
      </c>
      <c r="D116" s="18" t="s">
        <v>320</v>
      </c>
      <c r="E116" s="30">
        <v>30</v>
      </c>
      <c r="F116" s="42" t="s">
        <v>340</v>
      </c>
      <c r="G116" s="55"/>
    </row>
    <row r="117" spans="1:8" ht="36" customHeight="1">
      <c r="A117" s="683"/>
      <c r="B117" s="686"/>
      <c r="C117" s="703"/>
      <c r="D117" s="163" t="s">
        <v>321</v>
      </c>
      <c r="E117" s="11" t="s">
        <v>322</v>
      </c>
      <c r="F117" s="35"/>
      <c r="G117" s="51"/>
    </row>
    <row r="118" spans="1:8" ht="36" customHeight="1">
      <c r="A118" s="683"/>
      <c r="B118" s="686"/>
      <c r="C118" s="188" t="s">
        <v>324</v>
      </c>
      <c r="D118" s="163" t="s">
        <v>325</v>
      </c>
      <c r="E118" s="11">
        <v>100</v>
      </c>
      <c r="F118" s="35" t="s">
        <v>326</v>
      </c>
      <c r="G118" s="51"/>
    </row>
    <row r="119" spans="1:8" ht="36" customHeight="1" thickBot="1">
      <c r="A119" s="683"/>
      <c r="B119" s="686"/>
      <c r="C119" s="185"/>
      <c r="D119" s="25"/>
      <c r="E119" s="12"/>
      <c r="F119" s="41"/>
      <c r="G119" s="54"/>
    </row>
    <row r="120" spans="1:8" ht="36" customHeight="1" thickBot="1">
      <c r="A120" s="684"/>
      <c r="B120" s="687"/>
      <c r="C120" s="47" t="s">
        <v>296</v>
      </c>
      <c r="D120" s="27" t="s">
        <v>300</v>
      </c>
      <c r="E120" s="22" t="s">
        <v>301</v>
      </c>
      <c r="F120" s="22" t="s">
        <v>292</v>
      </c>
      <c r="G120" s="58"/>
    </row>
    <row r="121" spans="1:8" ht="36" customHeight="1">
      <c r="A121" s="682">
        <v>43496</v>
      </c>
      <c r="B121" s="685" t="s">
        <v>17</v>
      </c>
      <c r="C121" s="702" t="s">
        <v>302</v>
      </c>
      <c r="D121" s="162" t="s">
        <v>5</v>
      </c>
      <c r="E121" s="8">
        <v>215</v>
      </c>
      <c r="F121" s="39" t="s">
        <v>335</v>
      </c>
      <c r="G121" s="53"/>
    </row>
    <row r="122" spans="1:8" ht="36" customHeight="1">
      <c r="A122" s="683"/>
      <c r="B122" s="686"/>
      <c r="C122" s="703"/>
      <c r="D122" s="18" t="s">
        <v>337</v>
      </c>
      <c r="E122" s="30">
        <v>267</v>
      </c>
      <c r="F122" s="42"/>
      <c r="G122" s="55"/>
    </row>
    <row r="123" spans="1:8" ht="36" customHeight="1" thickBot="1">
      <c r="A123" s="683"/>
      <c r="B123" s="686"/>
      <c r="C123" s="185"/>
      <c r="D123" s="25"/>
      <c r="E123" s="12"/>
      <c r="F123" s="41"/>
      <c r="G123" s="54"/>
    </row>
    <row r="124" spans="1:8" ht="36" customHeight="1" thickBot="1">
      <c r="A124" s="684"/>
      <c r="B124" s="687"/>
      <c r="C124" s="47"/>
      <c r="D124" s="27"/>
      <c r="E124" s="22"/>
      <c r="F124" s="22"/>
      <c r="G124" s="58"/>
    </row>
    <row r="125" spans="1:8" ht="36" customHeight="1">
      <c r="A125" s="682">
        <v>43497</v>
      </c>
      <c r="B125" s="685" t="s">
        <v>18</v>
      </c>
      <c r="C125" s="184" t="s">
        <v>34</v>
      </c>
      <c r="D125" s="162" t="s">
        <v>331</v>
      </c>
      <c r="E125" s="8">
        <v>300</v>
      </c>
      <c r="F125" s="39"/>
      <c r="G125" s="53"/>
    </row>
    <row r="126" spans="1:8" ht="36" customHeight="1">
      <c r="A126" s="683"/>
      <c r="B126" s="686"/>
      <c r="C126" s="183"/>
      <c r="D126" s="163"/>
      <c r="E126" s="11"/>
      <c r="F126" s="35"/>
      <c r="G126" s="51"/>
    </row>
    <row r="127" spans="1:8" ht="36" customHeight="1" thickBot="1">
      <c r="A127" s="683"/>
      <c r="B127" s="686"/>
      <c r="C127" s="185"/>
      <c r="D127" s="25"/>
      <c r="E127" s="12"/>
      <c r="F127" s="41"/>
      <c r="G127" s="54"/>
    </row>
    <row r="128" spans="1:8" ht="36" customHeight="1" thickBot="1">
      <c r="A128" s="684"/>
      <c r="B128" s="687"/>
      <c r="C128" s="47"/>
      <c r="D128" s="27"/>
      <c r="E128" s="22"/>
      <c r="F128" s="22"/>
      <c r="G128" s="58"/>
    </row>
    <row r="129" spans="1:7" ht="116.25" customHeight="1" thickBot="1">
      <c r="A129" s="688" t="s">
        <v>0</v>
      </c>
      <c r="B129" s="689"/>
      <c r="C129" s="690"/>
      <c r="D129" s="690"/>
      <c r="E129" s="690"/>
      <c r="F129" s="690"/>
      <c r="G129" s="691"/>
    </row>
    <row r="130" spans="1:7" ht="36" customHeight="1">
      <c r="A130" s="682">
        <v>43500</v>
      </c>
      <c r="B130" s="685" t="s">
        <v>341</v>
      </c>
      <c r="C130" s="714" t="s">
        <v>342</v>
      </c>
      <c r="D130" s="715"/>
      <c r="E130" s="715"/>
      <c r="F130" s="715"/>
      <c r="G130" s="716"/>
    </row>
    <row r="131" spans="1:7" ht="36" customHeight="1">
      <c r="A131" s="683"/>
      <c r="B131" s="686"/>
      <c r="C131" s="717"/>
      <c r="D131" s="718"/>
      <c r="E131" s="718"/>
      <c r="F131" s="718"/>
      <c r="G131" s="719"/>
    </row>
    <row r="132" spans="1:7" ht="36" customHeight="1">
      <c r="A132" s="683"/>
      <c r="B132" s="686"/>
      <c r="C132" s="717"/>
      <c r="D132" s="718"/>
      <c r="E132" s="718"/>
      <c r="F132" s="718"/>
      <c r="G132" s="719"/>
    </row>
    <row r="133" spans="1:7" ht="36" customHeight="1" thickBot="1">
      <c r="A133" s="684"/>
      <c r="B133" s="687"/>
      <c r="C133" s="720"/>
      <c r="D133" s="721"/>
      <c r="E133" s="721"/>
      <c r="F133" s="721"/>
      <c r="G133" s="722"/>
    </row>
    <row r="134" spans="1:7" ht="36" customHeight="1">
      <c r="A134" s="682">
        <v>43501</v>
      </c>
      <c r="B134" s="685" t="s">
        <v>16</v>
      </c>
      <c r="C134" s="714" t="s">
        <v>342</v>
      </c>
      <c r="D134" s="715"/>
      <c r="E134" s="715"/>
      <c r="F134" s="715"/>
      <c r="G134" s="716"/>
    </row>
    <row r="135" spans="1:7" ht="36" customHeight="1">
      <c r="A135" s="683"/>
      <c r="B135" s="686"/>
      <c r="C135" s="717"/>
      <c r="D135" s="718"/>
      <c r="E135" s="718"/>
      <c r="F135" s="718"/>
      <c r="G135" s="719"/>
    </row>
    <row r="136" spans="1:7" ht="36" customHeight="1">
      <c r="A136" s="683"/>
      <c r="B136" s="686"/>
      <c r="C136" s="717"/>
      <c r="D136" s="718"/>
      <c r="E136" s="718"/>
      <c r="F136" s="718"/>
      <c r="G136" s="719"/>
    </row>
    <row r="137" spans="1:7" ht="36" customHeight="1" thickBot="1">
      <c r="A137" s="684"/>
      <c r="B137" s="687"/>
      <c r="C137" s="720"/>
      <c r="D137" s="721"/>
      <c r="E137" s="721"/>
      <c r="F137" s="721"/>
      <c r="G137" s="722"/>
    </row>
    <row r="138" spans="1:7" ht="36" customHeight="1">
      <c r="A138" s="682">
        <v>43502</v>
      </c>
      <c r="B138" s="685" t="s">
        <v>15</v>
      </c>
      <c r="C138" s="714" t="s">
        <v>342</v>
      </c>
      <c r="D138" s="715"/>
      <c r="E138" s="715"/>
      <c r="F138" s="715"/>
      <c r="G138" s="716"/>
    </row>
    <row r="139" spans="1:7" ht="36" customHeight="1">
      <c r="A139" s="683"/>
      <c r="B139" s="686"/>
      <c r="C139" s="717"/>
      <c r="D139" s="718"/>
      <c r="E139" s="718"/>
      <c r="F139" s="718"/>
      <c r="G139" s="719"/>
    </row>
    <row r="140" spans="1:7" ht="36" customHeight="1">
      <c r="A140" s="683"/>
      <c r="B140" s="686"/>
      <c r="C140" s="717"/>
      <c r="D140" s="718"/>
      <c r="E140" s="718"/>
      <c r="F140" s="718"/>
      <c r="G140" s="719"/>
    </row>
    <row r="141" spans="1:7" ht="36" customHeight="1" thickBot="1">
      <c r="A141" s="684"/>
      <c r="B141" s="687"/>
      <c r="C141" s="720"/>
      <c r="D141" s="721"/>
      <c r="E141" s="721"/>
      <c r="F141" s="721"/>
      <c r="G141" s="722"/>
    </row>
    <row r="142" spans="1:7" ht="36" customHeight="1">
      <c r="A142" s="682">
        <v>43503</v>
      </c>
      <c r="B142" s="685" t="s">
        <v>17</v>
      </c>
      <c r="C142" s="189" t="s">
        <v>357</v>
      </c>
      <c r="D142" s="162" t="s">
        <v>358</v>
      </c>
      <c r="E142" s="8" t="s">
        <v>359</v>
      </c>
      <c r="F142" s="39"/>
      <c r="G142" s="53"/>
    </row>
    <row r="143" spans="1:7" ht="36" customHeight="1">
      <c r="A143" s="683"/>
      <c r="B143" s="686"/>
      <c r="C143" s="706" t="s">
        <v>369</v>
      </c>
      <c r="D143" s="25" t="s">
        <v>362</v>
      </c>
      <c r="E143" s="12">
        <v>33</v>
      </c>
      <c r="F143" s="41" t="s">
        <v>370</v>
      </c>
      <c r="G143" s="54"/>
    </row>
    <row r="144" spans="1:7" ht="36" customHeight="1" thickBot="1">
      <c r="A144" s="683"/>
      <c r="B144" s="686"/>
      <c r="C144" s="705"/>
      <c r="D144" s="25" t="s">
        <v>363</v>
      </c>
      <c r="E144" s="12">
        <v>9</v>
      </c>
      <c r="F144" s="41"/>
      <c r="G144" s="54"/>
    </row>
    <row r="145" spans="1:7" ht="36" customHeight="1" thickBot="1">
      <c r="A145" s="684"/>
      <c r="B145" s="687"/>
      <c r="C145" s="47"/>
      <c r="D145" s="27"/>
      <c r="E145" s="22"/>
      <c r="F145" s="22"/>
      <c r="G145" s="58"/>
    </row>
    <row r="146" spans="1:7" ht="36" customHeight="1">
      <c r="A146" s="682">
        <v>43504</v>
      </c>
      <c r="B146" s="685" t="s">
        <v>18</v>
      </c>
      <c r="C146" s="702" t="s">
        <v>336</v>
      </c>
      <c r="D146" s="162" t="s">
        <v>343</v>
      </c>
      <c r="E146" s="8">
        <v>76</v>
      </c>
      <c r="F146" s="39"/>
      <c r="G146" s="53" t="s">
        <v>365</v>
      </c>
    </row>
    <row r="147" spans="1:7" ht="36" customHeight="1">
      <c r="A147" s="683"/>
      <c r="B147" s="686"/>
      <c r="C147" s="703"/>
      <c r="D147" s="163" t="s">
        <v>344</v>
      </c>
      <c r="E147" s="11">
        <v>140</v>
      </c>
      <c r="F147" s="35"/>
      <c r="G147" s="51"/>
    </row>
    <row r="148" spans="1:7" ht="36" customHeight="1">
      <c r="A148" s="683"/>
      <c r="B148" s="686"/>
      <c r="C148" s="192" t="s">
        <v>368</v>
      </c>
      <c r="D148" s="25" t="s">
        <v>367</v>
      </c>
      <c r="E148" s="12">
        <v>200</v>
      </c>
      <c r="F148" s="41"/>
      <c r="G148" s="54"/>
    </row>
    <row r="149" spans="1:7" ht="36" customHeight="1" thickBot="1">
      <c r="A149" s="683"/>
      <c r="B149" s="686"/>
      <c r="C149" s="190"/>
      <c r="D149" s="25"/>
      <c r="E149" s="12"/>
      <c r="F149" s="41"/>
      <c r="G149" s="54"/>
    </row>
    <row r="150" spans="1:7" ht="36" customHeight="1" thickBot="1">
      <c r="A150" s="684"/>
      <c r="B150" s="687"/>
      <c r="C150" s="47" t="s">
        <v>347</v>
      </c>
      <c r="D150" s="27" t="s">
        <v>349</v>
      </c>
      <c r="E150" s="22" t="s">
        <v>348</v>
      </c>
      <c r="F150" s="22" t="s">
        <v>350</v>
      </c>
      <c r="G150" s="58"/>
    </row>
  </sheetData>
  <mergeCells count="89">
    <mergeCell ref="A134:A137"/>
    <mergeCell ref="B134:B137"/>
    <mergeCell ref="C143:C144"/>
    <mergeCell ref="A102:G102"/>
    <mergeCell ref="A103:A109"/>
    <mergeCell ref="B103:B109"/>
    <mergeCell ref="A110:A113"/>
    <mergeCell ref="B110:B113"/>
    <mergeCell ref="C130:G133"/>
    <mergeCell ref="C134:G137"/>
    <mergeCell ref="C138:G141"/>
    <mergeCell ref="B93:B96"/>
    <mergeCell ref="C97:C98"/>
    <mergeCell ref="A129:G129"/>
    <mergeCell ref="A130:A133"/>
    <mergeCell ref="B130:B133"/>
    <mergeCell ref="A125:A128"/>
    <mergeCell ref="B125:B128"/>
    <mergeCell ref="C103:C106"/>
    <mergeCell ref="C114:C115"/>
    <mergeCell ref="C121:C122"/>
    <mergeCell ref="C116:C117"/>
    <mergeCell ref="A114:A120"/>
    <mergeCell ref="B114:B120"/>
    <mergeCell ref="C48:C49"/>
    <mergeCell ref="A48:A51"/>
    <mergeCell ref="B48:B51"/>
    <mergeCell ref="B74:B77"/>
    <mergeCell ref="A121:A124"/>
    <mergeCell ref="B121:B124"/>
    <mergeCell ref="A97:A101"/>
    <mergeCell ref="B97:B101"/>
    <mergeCell ref="A78:G78"/>
    <mergeCell ref="A79:A82"/>
    <mergeCell ref="B79:B82"/>
    <mergeCell ref="A83:A87"/>
    <mergeCell ref="B83:B87"/>
    <mergeCell ref="A88:A92"/>
    <mergeCell ref="B88:B92"/>
    <mergeCell ref="A93:A96"/>
    <mergeCell ref="A52:G52"/>
    <mergeCell ref="A53:A56"/>
    <mergeCell ref="B53:B56"/>
    <mergeCell ref="A57:A66"/>
    <mergeCell ref="B57:B66"/>
    <mergeCell ref="C57:C59"/>
    <mergeCell ref="C60:C63"/>
    <mergeCell ref="A67:A69"/>
    <mergeCell ref="B67:B69"/>
    <mergeCell ref="C83:C84"/>
    <mergeCell ref="C88:C90"/>
    <mergeCell ref="A70:A73"/>
    <mergeCell ref="B70:B73"/>
    <mergeCell ref="C70:C71"/>
    <mergeCell ref="A74:A77"/>
    <mergeCell ref="A28:A35"/>
    <mergeCell ref="B28:B35"/>
    <mergeCell ref="C43:C44"/>
    <mergeCell ref="C29:C30"/>
    <mergeCell ref="C31:C33"/>
    <mergeCell ref="A36:A42"/>
    <mergeCell ref="B36:B42"/>
    <mergeCell ref="A43:A47"/>
    <mergeCell ref="B43:B47"/>
    <mergeCell ref="C36:C39"/>
    <mergeCell ref="A19:A22"/>
    <mergeCell ref="B19:B22"/>
    <mergeCell ref="C19:C20"/>
    <mergeCell ref="A23:G23"/>
    <mergeCell ref="A24:A27"/>
    <mergeCell ref="B24:B27"/>
    <mergeCell ref="A13:A18"/>
    <mergeCell ref="B13:B18"/>
    <mergeCell ref="C13:C16"/>
    <mergeCell ref="A1:G1"/>
    <mergeCell ref="C6:G7"/>
    <mergeCell ref="A2:A5"/>
    <mergeCell ref="B2:B5"/>
    <mergeCell ref="A6:A7"/>
    <mergeCell ref="B6:B7"/>
    <mergeCell ref="A8:A12"/>
    <mergeCell ref="B8:B12"/>
    <mergeCell ref="C146:C147"/>
    <mergeCell ref="A138:A141"/>
    <mergeCell ref="B138:B141"/>
    <mergeCell ref="A142:A145"/>
    <mergeCell ref="B142:B145"/>
    <mergeCell ref="A146:A150"/>
    <mergeCell ref="B146:B150"/>
  </mergeCells>
  <phoneticPr fontId="1" type="noConversion"/>
  <printOptions horizontalCentered="1" verticalCentered="1"/>
  <pageMargins left="0.15748031496062992" right="0.15748031496062992" top="0.15748031496062992" bottom="0.15748031496062992" header="0.11811023622047245" footer="0.31496062992125984"/>
  <pageSetup paperSize="9" scale="72" fitToHeight="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7"/>
  <sheetViews>
    <sheetView view="pageBreakPreview" topLeftCell="A88" zoomScale="71" zoomScaleNormal="87" zoomScaleSheetLayoutView="71" zoomScalePageLayoutView="75" workbookViewId="0">
      <selection activeCell="E16" sqref="E15:E16"/>
    </sheetView>
  </sheetViews>
  <sheetFormatPr defaultRowHeight="36" customHeight="1"/>
  <cols>
    <col min="1" max="1" width="12.5" style="1" customWidth="1"/>
    <col min="2" max="2" width="8.5" style="2" customWidth="1"/>
    <col min="3" max="3" width="17.875" style="9" customWidth="1"/>
    <col min="4" max="4" width="24.125" style="9" customWidth="1"/>
    <col min="5" max="5" width="15.375" style="3" customWidth="1"/>
    <col min="6" max="6" width="25.625" style="3" customWidth="1"/>
    <col min="7" max="7" width="19.5" style="59" customWidth="1"/>
    <col min="8" max="8" width="42.5" style="15" customWidth="1"/>
    <col min="9" max="16384" width="9" style="9"/>
  </cols>
  <sheetData>
    <row r="1" spans="1:7" s="15" customFormat="1" ht="116.25" customHeight="1" thickBot="1">
      <c r="A1" s="688" t="s">
        <v>0</v>
      </c>
      <c r="B1" s="689"/>
      <c r="C1" s="690"/>
      <c r="D1" s="690"/>
      <c r="E1" s="690"/>
      <c r="F1" s="690"/>
      <c r="G1" s="691"/>
    </row>
    <row r="2" spans="1:7" s="15" customFormat="1" ht="36" customHeight="1">
      <c r="A2" s="682">
        <v>43500</v>
      </c>
      <c r="B2" s="685" t="s">
        <v>2</v>
      </c>
      <c r="C2" s="714" t="s">
        <v>342</v>
      </c>
      <c r="D2" s="715"/>
      <c r="E2" s="715"/>
      <c r="F2" s="715"/>
      <c r="G2" s="716"/>
    </row>
    <row r="3" spans="1:7" s="15" customFormat="1" ht="36" customHeight="1">
      <c r="A3" s="683"/>
      <c r="B3" s="686"/>
      <c r="C3" s="717"/>
      <c r="D3" s="718"/>
      <c r="E3" s="718"/>
      <c r="F3" s="718"/>
      <c r="G3" s="719"/>
    </row>
    <row r="4" spans="1:7" s="15" customFormat="1" ht="36" customHeight="1">
      <c r="A4" s="683"/>
      <c r="B4" s="686"/>
      <c r="C4" s="717"/>
      <c r="D4" s="718"/>
      <c r="E4" s="718"/>
      <c r="F4" s="718"/>
      <c r="G4" s="719"/>
    </row>
    <row r="5" spans="1:7" s="15" customFormat="1" ht="36" customHeight="1" thickBot="1">
      <c r="A5" s="684"/>
      <c r="B5" s="687"/>
      <c r="C5" s="720"/>
      <c r="D5" s="721"/>
      <c r="E5" s="721"/>
      <c r="F5" s="721"/>
      <c r="G5" s="722"/>
    </row>
    <row r="6" spans="1:7" s="15" customFormat="1" ht="36" customHeight="1">
      <c r="A6" s="682">
        <v>43501</v>
      </c>
      <c r="B6" s="685" t="s">
        <v>16</v>
      </c>
      <c r="C6" s="714" t="s">
        <v>342</v>
      </c>
      <c r="D6" s="715"/>
      <c r="E6" s="715"/>
      <c r="F6" s="715"/>
      <c r="G6" s="716"/>
    </row>
    <row r="7" spans="1:7" s="15" customFormat="1" ht="36" customHeight="1">
      <c r="A7" s="683"/>
      <c r="B7" s="686"/>
      <c r="C7" s="717"/>
      <c r="D7" s="718"/>
      <c r="E7" s="718"/>
      <c r="F7" s="718"/>
      <c r="G7" s="719"/>
    </row>
    <row r="8" spans="1:7" s="15" customFormat="1" ht="36" customHeight="1">
      <c r="A8" s="683"/>
      <c r="B8" s="686"/>
      <c r="C8" s="717"/>
      <c r="D8" s="718"/>
      <c r="E8" s="718"/>
      <c r="F8" s="718"/>
      <c r="G8" s="719"/>
    </row>
    <row r="9" spans="1:7" s="15" customFormat="1" ht="36" customHeight="1" thickBot="1">
      <c r="A9" s="684"/>
      <c r="B9" s="687"/>
      <c r="C9" s="720"/>
      <c r="D9" s="721"/>
      <c r="E9" s="721"/>
      <c r="F9" s="721"/>
      <c r="G9" s="722"/>
    </row>
    <row r="10" spans="1:7" s="15" customFormat="1" ht="36" customHeight="1">
      <c r="A10" s="682">
        <v>43502</v>
      </c>
      <c r="B10" s="685" t="s">
        <v>15</v>
      </c>
      <c r="C10" s="714" t="s">
        <v>342</v>
      </c>
      <c r="D10" s="715"/>
      <c r="E10" s="715"/>
      <c r="F10" s="715"/>
      <c r="G10" s="716"/>
    </row>
    <row r="11" spans="1:7" s="15" customFormat="1" ht="36" customHeight="1">
      <c r="A11" s="683"/>
      <c r="B11" s="686"/>
      <c r="C11" s="717"/>
      <c r="D11" s="718"/>
      <c r="E11" s="718"/>
      <c r="F11" s="718"/>
      <c r="G11" s="719"/>
    </row>
    <row r="12" spans="1:7" s="15" customFormat="1" ht="36" customHeight="1">
      <c r="A12" s="683"/>
      <c r="B12" s="686"/>
      <c r="C12" s="717"/>
      <c r="D12" s="718"/>
      <c r="E12" s="718"/>
      <c r="F12" s="718"/>
      <c r="G12" s="719"/>
    </row>
    <row r="13" spans="1:7" s="15" customFormat="1" ht="36" customHeight="1" thickBot="1">
      <c r="A13" s="684"/>
      <c r="B13" s="687"/>
      <c r="C13" s="720"/>
      <c r="D13" s="721"/>
      <c r="E13" s="721"/>
      <c r="F13" s="721"/>
      <c r="G13" s="722"/>
    </row>
    <row r="14" spans="1:7" s="15" customFormat="1" ht="36" customHeight="1">
      <c r="A14" s="682">
        <v>43503</v>
      </c>
      <c r="B14" s="685" t="s">
        <v>17</v>
      </c>
      <c r="C14" s="194" t="s">
        <v>58</v>
      </c>
      <c r="D14" s="162" t="s">
        <v>205</v>
      </c>
      <c r="E14" s="8" t="s">
        <v>8</v>
      </c>
      <c r="F14" s="39"/>
      <c r="G14" s="53"/>
    </row>
    <row r="15" spans="1:7" s="15" customFormat="1" ht="36" customHeight="1">
      <c r="A15" s="683"/>
      <c r="B15" s="686"/>
      <c r="C15" s="706" t="s">
        <v>369</v>
      </c>
      <c r="D15" s="25" t="s">
        <v>49</v>
      </c>
      <c r="E15" s="12">
        <v>33</v>
      </c>
      <c r="F15" s="41" t="s">
        <v>370</v>
      </c>
      <c r="G15" s="51" t="s">
        <v>366</v>
      </c>
    </row>
    <row r="16" spans="1:7" s="15" customFormat="1" ht="36" customHeight="1" thickBot="1">
      <c r="A16" s="683"/>
      <c r="B16" s="686"/>
      <c r="C16" s="705"/>
      <c r="D16" s="25" t="s">
        <v>36</v>
      </c>
      <c r="E16" s="12">
        <v>9</v>
      </c>
      <c r="F16" s="41"/>
      <c r="G16" s="54"/>
    </row>
    <row r="17" spans="1:7" s="15" customFormat="1" ht="36" customHeight="1" thickBot="1">
      <c r="A17" s="684"/>
      <c r="B17" s="687"/>
      <c r="C17" s="47"/>
      <c r="D17" s="27"/>
      <c r="E17" s="22"/>
      <c r="F17" s="22"/>
      <c r="G17" s="58"/>
    </row>
    <row r="18" spans="1:7" s="15" customFormat="1" ht="36" customHeight="1">
      <c r="A18" s="682">
        <v>43504</v>
      </c>
      <c r="B18" s="685" t="s">
        <v>18</v>
      </c>
      <c r="C18" s="702" t="s">
        <v>3</v>
      </c>
      <c r="D18" s="162" t="s">
        <v>5</v>
      </c>
      <c r="E18" s="8">
        <v>76</v>
      </c>
      <c r="F18" s="39"/>
      <c r="G18" s="53" t="s">
        <v>365</v>
      </c>
    </row>
    <row r="19" spans="1:7" s="15" customFormat="1" ht="36" customHeight="1">
      <c r="A19" s="683"/>
      <c r="B19" s="686"/>
      <c r="C19" s="703"/>
      <c r="D19" s="163" t="s">
        <v>6</v>
      </c>
      <c r="E19" s="11">
        <v>140</v>
      </c>
      <c r="F19" s="35"/>
      <c r="G19" s="51" t="s">
        <v>385</v>
      </c>
    </row>
    <row r="20" spans="1:7" s="15" customFormat="1" ht="36" customHeight="1">
      <c r="A20" s="683"/>
      <c r="B20" s="686"/>
      <c r="C20" s="706" t="s">
        <v>226</v>
      </c>
      <c r="D20" s="25" t="s">
        <v>367</v>
      </c>
      <c r="E20" s="12">
        <v>200</v>
      </c>
      <c r="F20" s="41"/>
      <c r="G20" s="54"/>
    </row>
    <row r="21" spans="1:7" s="15" customFormat="1" ht="36" customHeight="1">
      <c r="A21" s="683"/>
      <c r="B21" s="686"/>
      <c r="C21" s="703"/>
      <c r="D21" s="25" t="s">
        <v>372</v>
      </c>
      <c r="E21" s="12">
        <v>100</v>
      </c>
      <c r="F21" s="41"/>
      <c r="G21" s="54"/>
    </row>
    <row r="22" spans="1:7" s="15" customFormat="1" ht="36" customHeight="1" thickBot="1">
      <c r="A22" s="683"/>
      <c r="B22" s="686"/>
      <c r="C22" s="195"/>
      <c r="D22" s="25"/>
      <c r="E22" s="12"/>
      <c r="F22" s="41"/>
      <c r="G22" s="54"/>
    </row>
    <row r="23" spans="1:7" s="15" customFormat="1" ht="36" customHeight="1" thickBot="1">
      <c r="A23" s="684"/>
      <c r="B23" s="687"/>
      <c r="C23" s="47" t="s">
        <v>347</v>
      </c>
      <c r="D23" s="27" t="s">
        <v>349</v>
      </c>
      <c r="E23" s="22" t="s">
        <v>348</v>
      </c>
      <c r="F23" s="22" t="s">
        <v>350</v>
      </c>
      <c r="G23" s="58"/>
    </row>
    <row r="24" spans="1:7" s="15" customFormat="1" ht="111" customHeight="1" thickBot="1">
      <c r="A24" s="688" t="s">
        <v>0</v>
      </c>
      <c r="B24" s="689"/>
      <c r="C24" s="690"/>
      <c r="D24" s="690"/>
      <c r="E24" s="690"/>
      <c r="F24" s="690"/>
      <c r="G24" s="691"/>
    </row>
    <row r="25" spans="1:7" s="15" customFormat="1" ht="36" customHeight="1">
      <c r="A25" s="682">
        <v>43507</v>
      </c>
      <c r="B25" s="685" t="s">
        <v>2</v>
      </c>
      <c r="C25" s="702" t="s">
        <v>65</v>
      </c>
      <c r="D25" s="162" t="s">
        <v>66</v>
      </c>
      <c r="E25" s="8">
        <v>100</v>
      </c>
      <c r="F25" s="39"/>
      <c r="G25" s="53" t="s">
        <v>345</v>
      </c>
    </row>
    <row r="26" spans="1:7" s="15" customFormat="1" ht="36" customHeight="1">
      <c r="A26" s="683"/>
      <c r="B26" s="686"/>
      <c r="C26" s="705"/>
      <c r="D26" s="163" t="s">
        <v>28</v>
      </c>
      <c r="E26" s="11">
        <v>5</v>
      </c>
      <c r="F26" s="35"/>
      <c r="G26" s="51" t="s">
        <v>389</v>
      </c>
    </row>
    <row r="27" spans="1:7" s="15" customFormat="1" ht="36" customHeight="1">
      <c r="A27" s="683"/>
      <c r="B27" s="686"/>
      <c r="C27" s="705"/>
      <c r="D27" s="25" t="s">
        <v>22</v>
      </c>
      <c r="E27" s="12" t="s">
        <v>70</v>
      </c>
      <c r="F27" s="41"/>
      <c r="G27" s="54"/>
    </row>
    <row r="28" spans="1:7" s="15" customFormat="1" ht="36" customHeight="1" thickBot="1">
      <c r="A28" s="683"/>
      <c r="B28" s="686"/>
      <c r="C28" s="158" t="s">
        <v>395</v>
      </c>
      <c r="D28" s="25" t="s">
        <v>391</v>
      </c>
      <c r="E28" s="12" t="s">
        <v>392</v>
      </c>
      <c r="F28" s="41"/>
      <c r="G28" s="52"/>
    </row>
    <row r="29" spans="1:7" s="15" customFormat="1" ht="36" customHeight="1" thickBot="1">
      <c r="A29" s="684"/>
      <c r="B29" s="687"/>
      <c r="C29" s="48" t="s">
        <v>351</v>
      </c>
      <c r="D29" s="33" t="s">
        <v>297</v>
      </c>
      <c r="E29" s="34" t="s">
        <v>291</v>
      </c>
      <c r="F29" s="34" t="s">
        <v>166</v>
      </c>
      <c r="G29" s="61"/>
    </row>
    <row r="30" spans="1:7" s="15" customFormat="1" ht="36" customHeight="1">
      <c r="A30" s="682">
        <v>43508</v>
      </c>
      <c r="B30" s="685" t="s">
        <v>16</v>
      </c>
      <c r="C30" s="702" t="s">
        <v>3</v>
      </c>
      <c r="D30" s="162" t="s">
        <v>5</v>
      </c>
      <c r="E30" s="8">
        <v>146</v>
      </c>
      <c r="F30" s="39"/>
      <c r="G30" s="53"/>
    </row>
    <row r="31" spans="1:7" s="15" customFormat="1" ht="36" customHeight="1" thickBot="1">
      <c r="A31" s="683"/>
      <c r="B31" s="686"/>
      <c r="C31" s="703"/>
      <c r="D31" s="163" t="s">
        <v>6</v>
      </c>
      <c r="E31" s="11">
        <v>331</v>
      </c>
      <c r="F31" s="35"/>
      <c r="G31" s="51"/>
    </row>
    <row r="32" spans="1:7" s="15" customFormat="1" ht="36" customHeight="1" thickBot="1">
      <c r="A32" s="684"/>
      <c r="B32" s="687"/>
      <c r="C32" s="48"/>
      <c r="D32" s="33"/>
      <c r="E32" s="34"/>
      <c r="F32" s="34"/>
      <c r="G32" s="61"/>
    </row>
    <row r="33" spans="1:7" s="15" customFormat="1" ht="36" customHeight="1">
      <c r="A33" s="682">
        <v>43509</v>
      </c>
      <c r="B33" s="685" t="s">
        <v>15</v>
      </c>
      <c r="C33" s="704" t="s">
        <v>200</v>
      </c>
      <c r="D33" s="162" t="s">
        <v>21</v>
      </c>
      <c r="E33" s="8">
        <v>170</v>
      </c>
      <c r="F33" s="39" t="s">
        <v>356</v>
      </c>
      <c r="G33" s="53"/>
    </row>
    <row r="34" spans="1:7" s="15" customFormat="1" ht="36" customHeight="1">
      <c r="A34" s="683"/>
      <c r="B34" s="686"/>
      <c r="C34" s="701"/>
      <c r="D34" s="163" t="s">
        <v>23</v>
      </c>
      <c r="E34" s="11">
        <v>30</v>
      </c>
      <c r="F34" s="35"/>
      <c r="G34" s="51"/>
    </row>
    <row r="35" spans="1:7" s="15" customFormat="1" ht="36" customHeight="1">
      <c r="A35" s="683"/>
      <c r="B35" s="686"/>
      <c r="C35" s="701"/>
      <c r="D35" s="163" t="s">
        <v>355</v>
      </c>
      <c r="E35" s="11" t="s">
        <v>70</v>
      </c>
      <c r="F35" s="35"/>
      <c r="G35" s="51"/>
    </row>
    <row r="36" spans="1:7" s="15" customFormat="1" ht="36" customHeight="1">
      <c r="A36" s="683"/>
      <c r="B36" s="686"/>
      <c r="C36" s="701" t="s">
        <v>7</v>
      </c>
      <c r="D36" s="163" t="s">
        <v>360</v>
      </c>
      <c r="E36" s="11">
        <v>63</v>
      </c>
      <c r="F36" s="198"/>
      <c r="G36" s="51"/>
    </row>
    <row r="37" spans="1:7" s="15" customFormat="1" ht="36" customHeight="1">
      <c r="A37" s="683"/>
      <c r="B37" s="686"/>
      <c r="C37" s="701"/>
      <c r="D37" s="163" t="s">
        <v>27</v>
      </c>
      <c r="E37" s="11">
        <v>64</v>
      </c>
      <c r="F37" s="35"/>
      <c r="G37" s="51"/>
    </row>
    <row r="38" spans="1:7" s="15" customFormat="1" ht="36" customHeight="1">
      <c r="A38" s="683"/>
      <c r="B38" s="686"/>
      <c r="C38" s="701"/>
      <c r="D38" s="163" t="s">
        <v>22</v>
      </c>
      <c r="E38" s="11" t="s">
        <v>361</v>
      </c>
      <c r="F38" s="35"/>
      <c r="G38" s="51"/>
    </row>
    <row r="39" spans="1:7" s="15" customFormat="1" ht="36" customHeight="1">
      <c r="A39" s="683"/>
      <c r="B39" s="686"/>
      <c r="C39" s="196" t="s">
        <v>373</v>
      </c>
      <c r="D39" s="163" t="s">
        <v>374</v>
      </c>
      <c r="E39" s="11">
        <v>100</v>
      </c>
      <c r="F39" s="35" t="s">
        <v>375</v>
      </c>
      <c r="G39" s="51"/>
    </row>
    <row r="40" spans="1:7" s="15" customFormat="1" ht="36" customHeight="1" thickBot="1">
      <c r="A40" s="683"/>
      <c r="B40" s="686"/>
      <c r="C40" s="199" t="s">
        <v>148</v>
      </c>
      <c r="D40" s="200" t="s">
        <v>3</v>
      </c>
      <c r="E40" s="201">
        <v>720</v>
      </c>
      <c r="F40" s="202" t="s">
        <v>364</v>
      </c>
      <c r="G40" s="203"/>
    </row>
    <row r="41" spans="1:7" s="15" customFormat="1" ht="36" customHeight="1" thickBot="1">
      <c r="A41" s="684"/>
      <c r="B41" s="687"/>
      <c r="C41" s="166"/>
      <c r="D41" s="16"/>
      <c r="E41" s="14"/>
      <c r="F41" s="14"/>
      <c r="G41" s="60"/>
    </row>
    <row r="42" spans="1:7" s="15" customFormat="1" ht="36" customHeight="1">
      <c r="A42" s="682">
        <v>43510</v>
      </c>
      <c r="B42" s="685" t="s">
        <v>17</v>
      </c>
      <c r="C42" s="197" t="s">
        <v>3</v>
      </c>
      <c r="D42" s="162" t="s">
        <v>5</v>
      </c>
      <c r="E42" s="8">
        <v>197</v>
      </c>
      <c r="F42" s="39"/>
      <c r="G42" s="53"/>
    </row>
    <row r="43" spans="1:7" s="15" customFormat="1" ht="36" customHeight="1">
      <c r="A43" s="683"/>
      <c r="B43" s="686"/>
      <c r="C43" s="196" t="s">
        <v>208</v>
      </c>
      <c r="D43" s="163" t="s">
        <v>371</v>
      </c>
      <c r="E43" s="11" t="s">
        <v>111</v>
      </c>
      <c r="F43" s="35"/>
      <c r="G43" s="51"/>
    </row>
    <row r="44" spans="1:7" s="15" customFormat="1" ht="36" customHeight="1" thickBot="1">
      <c r="A44" s="683"/>
      <c r="B44" s="686"/>
      <c r="C44" s="158"/>
      <c r="D44" s="5"/>
      <c r="E44" s="10"/>
      <c r="F44" s="40"/>
      <c r="G44" s="52"/>
    </row>
    <row r="45" spans="1:7" s="15" customFormat="1" ht="36" customHeight="1" thickBot="1">
      <c r="A45" s="684"/>
      <c r="B45" s="687"/>
      <c r="C45" s="151"/>
      <c r="D45" s="20"/>
      <c r="E45" s="13"/>
      <c r="F45" s="13"/>
      <c r="G45" s="62"/>
    </row>
    <row r="46" spans="1:7" s="15" customFormat="1" ht="36" customHeight="1">
      <c r="A46" s="683">
        <v>43511</v>
      </c>
      <c r="B46" s="686" t="s">
        <v>396</v>
      </c>
      <c r="C46" s="706" t="s">
        <v>376</v>
      </c>
      <c r="D46" s="163" t="s">
        <v>377</v>
      </c>
      <c r="E46" s="11">
        <v>50</v>
      </c>
      <c r="F46" s="35" t="s">
        <v>378</v>
      </c>
      <c r="G46" s="51"/>
    </row>
    <row r="47" spans="1:7" s="15" customFormat="1" ht="36" customHeight="1">
      <c r="A47" s="683"/>
      <c r="B47" s="686"/>
      <c r="C47" s="703"/>
      <c r="D47" s="25" t="s">
        <v>397</v>
      </c>
      <c r="E47" s="12" t="s">
        <v>379</v>
      </c>
      <c r="F47" s="41" t="s">
        <v>380</v>
      </c>
      <c r="G47" s="54"/>
    </row>
    <row r="48" spans="1:7" s="15" customFormat="1" ht="36" customHeight="1">
      <c r="A48" s="683"/>
      <c r="B48" s="686"/>
      <c r="C48" s="204" t="s">
        <v>400</v>
      </c>
      <c r="D48" s="25" t="s">
        <v>401</v>
      </c>
      <c r="E48" s="12">
        <v>100</v>
      </c>
      <c r="F48" s="41"/>
      <c r="G48" s="54"/>
    </row>
    <row r="49" spans="1:7" s="15" customFormat="1" ht="36" customHeight="1" thickBot="1">
      <c r="A49" s="683"/>
      <c r="B49" s="686"/>
      <c r="C49" s="195"/>
      <c r="D49" s="25"/>
      <c r="E49" s="12"/>
      <c r="F49" s="41"/>
      <c r="G49" s="54"/>
    </row>
    <row r="50" spans="1:7" s="15" customFormat="1" ht="36" customHeight="1" thickBot="1">
      <c r="A50" s="684"/>
      <c r="B50" s="687"/>
      <c r="C50" s="47" t="s">
        <v>352</v>
      </c>
      <c r="D50" s="27" t="s">
        <v>353</v>
      </c>
      <c r="E50" s="22" t="s">
        <v>354</v>
      </c>
      <c r="F50" s="22" t="s">
        <v>166</v>
      </c>
      <c r="G50" s="58"/>
    </row>
    <row r="51" spans="1:7" ht="113.25" customHeight="1" thickBot="1">
      <c r="A51" s="688" t="s">
        <v>0</v>
      </c>
      <c r="B51" s="689"/>
      <c r="C51" s="690"/>
      <c r="D51" s="690"/>
      <c r="E51" s="690"/>
      <c r="F51" s="690"/>
      <c r="G51" s="691"/>
    </row>
    <row r="52" spans="1:7" ht="36" customHeight="1">
      <c r="A52" s="682">
        <v>43514</v>
      </c>
      <c r="B52" s="685" t="s">
        <v>2</v>
      </c>
      <c r="C52" s="194" t="s">
        <v>386</v>
      </c>
      <c r="D52" s="162" t="s">
        <v>388</v>
      </c>
      <c r="E52" s="8">
        <v>100</v>
      </c>
      <c r="F52" s="39" t="s">
        <v>418</v>
      </c>
      <c r="G52" s="53" t="s">
        <v>406</v>
      </c>
    </row>
    <row r="53" spans="1:7" ht="36" customHeight="1">
      <c r="A53" s="683"/>
      <c r="B53" s="686"/>
      <c r="C53" s="193" t="s">
        <v>398</v>
      </c>
      <c r="D53" s="163" t="s">
        <v>399</v>
      </c>
      <c r="E53" s="11">
        <v>100</v>
      </c>
      <c r="F53" s="35"/>
      <c r="G53" s="51"/>
    </row>
    <row r="54" spans="1:7" ht="36" customHeight="1" thickBot="1">
      <c r="A54" s="683"/>
      <c r="B54" s="686"/>
      <c r="C54" s="158"/>
      <c r="D54" s="5"/>
      <c r="E54" s="10"/>
      <c r="F54" s="40"/>
      <c r="G54" s="52"/>
    </row>
    <row r="55" spans="1:7" ht="36" customHeight="1" thickBot="1">
      <c r="A55" s="684"/>
      <c r="B55" s="687"/>
      <c r="C55" s="151"/>
      <c r="D55" s="20"/>
      <c r="E55" s="13"/>
      <c r="F55" s="13"/>
      <c r="G55" s="62"/>
    </row>
    <row r="56" spans="1:7" ht="36" customHeight="1">
      <c r="A56" s="682">
        <v>43515</v>
      </c>
      <c r="B56" s="685" t="s">
        <v>16</v>
      </c>
      <c r="C56" s="194" t="s">
        <v>381</v>
      </c>
      <c r="D56" s="162" t="s">
        <v>382</v>
      </c>
      <c r="E56" s="8" t="s">
        <v>210</v>
      </c>
      <c r="F56" s="39" t="s">
        <v>383</v>
      </c>
      <c r="G56" s="53"/>
    </row>
    <row r="57" spans="1:7" ht="36" customHeight="1">
      <c r="A57" s="683"/>
      <c r="B57" s="686"/>
      <c r="C57" s="193" t="s">
        <v>390</v>
      </c>
      <c r="D57" s="163" t="s">
        <v>394</v>
      </c>
      <c r="E57" s="11">
        <v>244</v>
      </c>
      <c r="F57" s="35"/>
      <c r="G57" s="51"/>
    </row>
    <row r="58" spans="1:7" ht="36" customHeight="1" thickBot="1">
      <c r="A58" s="683"/>
      <c r="B58" s="686"/>
      <c r="C58" s="158"/>
      <c r="D58" s="5"/>
      <c r="E58" s="10"/>
      <c r="F58" s="40"/>
      <c r="G58" s="52"/>
    </row>
    <row r="59" spans="1:7" ht="36" customHeight="1" thickBot="1">
      <c r="A59" s="684"/>
      <c r="B59" s="687"/>
      <c r="C59" s="166"/>
      <c r="D59" s="16"/>
      <c r="E59" s="14"/>
      <c r="F59" s="14"/>
      <c r="G59" s="60"/>
    </row>
    <row r="60" spans="1:7" ht="36" customHeight="1">
      <c r="A60" s="682">
        <v>43516</v>
      </c>
      <c r="B60" s="685" t="s">
        <v>15</v>
      </c>
      <c r="C60" s="206" t="s">
        <v>65</v>
      </c>
      <c r="D60" s="162" t="s">
        <v>405</v>
      </c>
      <c r="E60" s="8">
        <v>100</v>
      </c>
      <c r="F60" s="39"/>
      <c r="G60" s="53" t="s">
        <v>428</v>
      </c>
    </row>
    <row r="61" spans="1:7" ht="36" customHeight="1">
      <c r="A61" s="683"/>
      <c r="B61" s="686"/>
      <c r="C61" s="701" t="s">
        <v>204</v>
      </c>
      <c r="D61" s="163" t="s">
        <v>230</v>
      </c>
      <c r="E61" s="11" t="s">
        <v>8</v>
      </c>
      <c r="F61" s="35"/>
      <c r="G61" s="51"/>
    </row>
    <row r="62" spans="1:7" ht="36" customHeight="1">
      <c r="A62" s="683"/>
      <c r="B62" s="686"/>
      <c r="C62" s="701"/>
      <c r="D62" s="163" t="s">
        <v>232</v>
      </c>
      <c r="E62" s="11" t="s">
        <v>393</v>
      </c>
      <c r="F62" s="35"/>
      <c r="G62" s="51"/>
    </row>
    <row r="63" spans="1:7" ht="36" customHeight="1" thickBot="1">
      <c r="A63" s="683"/>
      <c r="B63" s="686"/>
      <c r="C63" s="158" t="s">
        <v>434</v>
      </c>
      <c r="D63" s="5" t="s">
        <v>435</v>
      </c>
      <c r="E63" s="10" t="s">
        <v>436</v>
      </c>
      <c r="F63" s="40"/>
      <c r="G63" s="52"/>
    </row>
    <row r="64" spans="1:7" ht="36" customHeight="1" thickBot="1">
      <c r="A64" s="684"/>
      <c r="B64" s="687"/>
      <c r="C64" s="166" t="s">
        <v>407</v>
      </c>
      <c r="D64" s="16" t="s">
        <v>408</v>
      </c>
      <c r="E64" s="14" t="s">
        <v>409</v>
      </c>
      <c r="F64" s="14" t="s">
        <v>126</v>
      </c>
      <c r="G64" s="60"/>
    </row>
    <row r="65" spans="1:7" ht="36" customHeight="1">
      <c r="A65" s="682">
        <v>43517</v>
      </c>
      <c r="B65" s="685" t="s">
        <v>17</v>
      </c>
      <c r="C65" s="704" t="s">
        <v>410</v>
      </c>
      <c r="D65" s="162" t="s">
        <v>411</v>
      </c>
      <c r="E65" s="8">
        <v>148</v>
      </c>
      <c r="F65" s="39"/>
      <c r="G65" s="53"/>
    </row>
    <row r="66" spans="1:7" ht="36" customHeight="1">
      <c r="A66" s="683"/>
      <c r="B66" s="686"/>
      <c r="C66" s="701"/>
      <c r="D66" s="163" t="s">
        <v>415</v>
      </c>
      <c r="E66" s="11">
        <v>96</v>
      </c>
      <c r="F66" s="35"/>
      <c r="G66" s="51"/>
    </row>
    <row r="67" spans="1:7" ht="36" customHeight="1" thickBot="1">
      <c r="A67" s="683"/>
      <c r="B67" s="686"/>
      <c r="C67" s="158"/>
      <c r="D67" s="5"/>
      <c r="E67" s="10"/>
      <c r="F67" s="40"/>
      <c r="G67" s="52"/>
    </row>
    <row r="68" spans="1:7" ht="36" customHeight="1" thickBot="1">
      <c r="A68" s="684"/>
      <c r="B68" s="687"/>
      <c r="C68" s="151"/>
      <c r="D68" s="20"/>
      <c r="E68" s="13"/>
      <c r="F68" s="13"/>
      <c r="G68" s="62"/>
    </row>
    <row r="69" spans="1:7" ht="36" customHeight="1">
      <c r="A69" s="682">
        <v>43518</v>
      </c>
      <c r="B69" s="685" t="s">
        <v>18</v>
      </c>
      <c r="C69" s="194" t="s">
        <v>402</v>
      </c>
      <c r="D69" s="162" t="s">
        <v>403</v>
      </c>
      <c r="E69" s="8" t="s">
        <v>404</v>
      </c>
      <c r="F69" s="39"/>
      <c r="G69" s="53" t="s">
        <v>427</v>
      </c>
    </row>
    <row r="70" spans="1:7" ht="36" customHeight="1">
      <c r="A70" s="683"/>
      <c r="B70" s="686"/>
      <c r="C70" s="706" t="s">
        <v>7</v>
      </c>
      <c r="D70" s="163" t="s">
        <v>360</v>
      </c>
      <c r="E70" s="11">
        <v>64</v>
      </c>
      <c r="F70" s="35" t="s">
        <v>384</v>
      </c>
      <c r="G70" s="51"/>
    </row>
    <row r="71" spans="1:7" ht="36" customHeight="1">
      <c r="A71" s="683"/>
      <c r="B71" s="686"/>
      <c r="C71" s="705"/>
      <c r="D71" s="163" t="s">
        <v>437</v>
      </c>
      <c r="E71" s="11">
        <v>21</v>
      </c>
      <c r="F71" s="35"/>
      <c r="G71" s="51"/>
    </row>
    <row r="72" spans="1:7" ht="36" customHeight="1" thickBot="1">
      <c r="A72" s="683"/>
      <c r="B72" s="686"/>
      <c r="C72" s="705"/>
      <c r="D72" s="25" t="s">
        <v>429</v>
      </c>
      <c r="E72" s="12">
        <v>50</v>
      </c>
      <c r="F72" s="41"/>
      <c r="G72" s="54"/>
    </row>
    <row r="73" spans="1:7" ht="36" customHeight="1" thickBot="1">
      <c r="A73" s="684"/>
      <c r="B73" s="687"/>
      <c r="C73" s="47"/>
      <c r="D73" s="27"/>
      <c r="E73" s="22"/>
      <c r="F73" s="22"/>
      <c r="G73" s="58"/>
    </row>
    <row r="74" spans="1:7" ht="117" customHeight="1" thickBot="1">
      <c r="A74" s="688" t="s">
        <v>0</v>
      </c>
      <c r="B74" s="689"/>
      <c r="C74" s="690"/>
      <c r="D74" s="690"/>
      <c r="E74" s="690"/>
      <c r="F74" s="690"/>
      <c r="G74" s="691"/>
    </row>
    <row r="75" spans="1:7" ht="36" customHeight="1">
      <c r="A75" s="682">
        <v>43521</v>
      </c>
      <c r="B75" s="726" t="s">
        <v>412</v>
      </c>
      <c r="C75" s="211" t="s">
        <v>450</v>
      </c>
      <c r="D75" s="212" t="s">
        <v>22</v>
      </c>
      <c r="E75" s="213" t="s">
        <v>451</v>
      </c>
      <c r="F75" s="214" t="s">
        <v>452</v>
      </c>
      <c r="G75" s="53" t="s">
        <v>447</v>
      </c>
    </row>
    <row r="76" spans="1:7" ht="36" customHeight="1">
      <c r="A76" s="683"/>
      <c r="B76" s="727"/>
      <c r="C76" s="210" t="s">
        <v>438</v>
      </c>
      <c r="D76" s="18" t="s">
        <v>439</v>
      </c>
      <c r="E76" s="30" t="s">
        <v>440</v>
      </c>
      <c r="F76" s="42"/>
      <c r="G76" s="55"/>
    </row>
    <row r="77" spans="1:7" ht="36" customHeight="1">
      <c r="A77" s="683"/>
      <c r="B77" s="727"/>
      <c r="C77" s="701" t="s">
        <v>445</v>
      </c>
      <c r="D77" s="163" t="s">
        <v>441</v>
      </c>
      <c r="E77" s="11">
        <v>12</v>
      </c>
      <c r="F77" s="35"/>
      <c r="G77" s="51"/>
    </row>
    <row r="78" spans="1:7" ht="36" customHeight="1">
      <c r="A78" s="683"/>
      <c r="B78" s="727"/>
      <c r="C78" s="701"/>
      <c r="D78" s="163" t="s">
        <v>442</v>
      </c>
      <c r="E78" s="11">
        <v>39</v>
      </c>
      <c r="F78" s="35" t="s">
        <v>443</v>
      </c>
      <c r="G78" s="51"/>
    </row>
    <row r="79" spans="1:7" ht="36" customHeight="1" thickBot="1">
      <c r="A79" s="683"/>
      <c r="B79" s="727"/>
      <c r="C79" s="723" t="s">
        <v>444</v>
      </c>
      <c r="D79" s="724"/>
      <c r="E79" s="724"/>
      <c r="F79" s="724"/>
      <c r="G79" s="725"/>
    </row>
    <row r="80" spans="1:7" ht="36" customHeight="1" thickBot="1">
      <c r="A80" s="684"/>
      <c r="B80" s="728"/>
      <c r="C80" s="151"/>
      <c r="D80" s="20"/>
      <c r="E80" s="13"/>
      <c r="F80" s="13"/>
      <c r="G80" s="62"/>
    </row>
    <row r="81" spans="1:7" ht="36" customHeight="1">
      <c r="A81" s="682">
        <v>43522</v>
      </c>
      <c r="B81" s="685" t="s">
        <v>16</v>
      </c>
      <c r="C81" s="205" t="s">
        <v>414</v>
      </c>
      <c r="D81" s="162" t="s">
        <v>416</v>
      </c>
      <c r="E81" s="8">
        <v>527</v>
      </c>
      <c r="F81" s="39"/>
      <c r="G81" s="53"/>
    </row>
    <row r="82" spans="1:7" ht="36" customHeight="1" thickBot="1">
      <c r="A82" s="683"/>
      <c r="B82" s="686"/>
      <c r="C82" s="738" t="s">
        <v>421</v>
      </c>
      <c r="D82" s="739"/>
      <c r="E82" s="215" t="s">
        <v>419</v>
      </c>
      <c r="F82" s="216" t="s">
        <v>420</v>
      </c>
      <c r="G82" s="52"/>
    </row>
    <row r="83" spans="1:7" ht="36" customHeight="1" thickBot="1">
      <c r="A83" s="684"/>
      <c r="B83" s="687"/>
      <c r="C83" s="166"/>
      <c r="D83" s="16"/>
      <c r="E83" s="14"/>
      <c r="F83" s="14"/>
      <c r="G83" s="60"/>
    </row>
    <row r="84" spans="1:7" ht="36" customHeight="1">
      <c r="A84" s="682">
        <v>43523</v>
      </c>
      <c r="B84" s="685" t="s">
        <v>15</v>
      </c>
      <c r="C84" s="207" t="s">
        <v>422</v>
      </c>
      <c r="D84" s="162" t="s">
        <v>423</v>
      </c>
      <c r="E84" s="8" t="s">
        <v>424</v>
      </c>
      <c r="F84" s="39"/>
      <c r="G84" s="53"/>
    </row>
    <row r="85" spans="1:7" ht="36" customHeight="1">
      <c r="A85" s="683"/>
      <c r="B85" s="686"/>
      <c r="C85" s="701" t="s">
        <v>446</v>
      </c>
      <c r="D85" s="163" t="s">
        <v>49</v>
      </c>
      <c r="E85" s="11">
        <v>33</v>
      </c>
      <c r="F85" s="35"/>
      <c r="G85" s="51"/>
    </row>
    <row r="86" spans="1:7" ht="36" customHeight="1">
      <c r="A86" s="683"/>
      <c r="B86" s="686"/>
      <c r="C86" s="701"/>
      <c r="D86" s="163" t="s">
        <v>36</v>
      </c>
      <c r="E86" s="11">
        <v>9</v>
      </c>
      <c r="F86" s="35"/>
      <c r="G86" s="51"/>
    </row>
    <row r="87" spans="1:7" ht="36" customHeight="1" thickBot="1">
      <c r="A87" s="683"/>
      <c r="B87" s="686"/>
      <c r="C87" s="208"/>
      <c r="D87" s="209"/>
      <c r="E87" s="10"/>
      <c r="F87" s="40"/>
      <c r="G87" s="52"/>
    </row>
    <row r="88" spans="1:7" ht="36" customHeight="1" thickBot="1">
      <c r="A88" s="684"/>
      <c r="B88" s="687"/>
      <c r="C88" s="151" t="s">
        <v>448</v>
      </c>
      <c r="D88" s="20" t="s">
        <v>20</v>
      </c>
      <c r="E88" s="13" t="s">
        <v>449</v>
      </c>
      <c r="F88" s="14" t="s">
        <v>126</v>
      </c>
      <c r="G88" s="62"/>
    </row>
    <row r="89" spans="1:7" ht="36" customHeight="1">
      <c r="A89" s="682">
        <v>43524</v>
      </c>
      <c r="B89" s="685" t="s">
        <v>17</v>
      </c>
      <c r="C89" s="702" t="s">
        <v>414</v>
      </c>
      <c r="D89" s="162" t="s">
        <v>416</v>
      </c>
      <c r="E89" s="8">
        <v>163</v>
      </c>
      <c r="F89" s="39"/>
      <c r="G89" s="53" t="s">
        <v>426</v>
      </c>
    </row>
    <row r="90" spans="1:7" ht="36" customHeight="1">
      <c r="A90" s="683"/>
      <c r="B90" s="686"/>
      <c r="C90" s="703"/>
      <c r="D90" s="163" t="s">
        <v>417</v>
      </c>
      <c r="E90" s="11">
        <v>1</v>
      </c>
      <c r="F90" s="35"/>
      <c r="G90" s="51"/>
    </row>
    <row r="91" spans="1:7" ht="36" customHeight="1">
      <c r="A91" s="683"/>
      <c r="B91" s="686"/>
      <c r="C91" s="706" t="s">
        <v>430</v>
      </c>
      <c r="D91" s="25" t="s">
        <v>431</v>
      </c>
      <c r="E91" s="12">
        <v>71</v>
      </c>
      <c r="F91" s="41" t="s">
        <v>433</v>
      </c>
      <c r="G91" s="54"/>
    </row>
    <row r="92" spans="1:7" ht="36" customHeight="1">
      <c r="A92" s="683"/>
      <c r="B92" s="686"/>
      <c r="C92" s="703"/>
      <c r="D92" s="25" t="s">
        <v>432</v>
      </c>
      <c r="E92" s="12">
        <v>30</v>
      </c>
      <c r="F92" s="41"/>
      <c r="G92" s="54"/>
    </row>
    <row r="93" spans="1:7" ht="36" customHeight="1" thickBot="1">
      <c r="A93" s="683"/>
      <c r="B93" s="686"/>
      <c r="C93" s="158"/>
      <c r="D93" s="5"/>
      <c r="E93" s="10"/>
      <c r="F93" s="40"/>
      <c r="G93" s="52"/>
    </row>
    <row r="94" spans="1:7" ht="36" customHeight="1" thickBot="1">
      <c r="A94" s="684"/>
      <c r="B94" s="687"/>
      <c r="C94" s="151"/>
      <c r="D94" s="20"/>
      <c r="E94" s="13"/>
      <c r="F94" s="14"/>
      <c r="G94" s="62"/>
    </row>
    <row r="95" spans="1:7" ht="36" customHeight="1">
      <c r="A95" s="682">
        <v>43525</v>
      </c>
      <c r="B95" s="685" t="s">
        <v>18</v>
      </c>
      <c r="C95" s="729" t="s">
        <v>413</v>
      </c>
      <c r="D95" s="730"/>
      <c r="E95" s="730"/>
      <c r="F95" s="730"/>
      <c r="G95" s="731"/>
    </row>
    <row r="96" spans="1:7" ht="36" customHeight="1">
      <c r="A96" s="683"/>
      <c r="B96" s="686"/>
      <c r="C96" s="732"/>
      <c r="D96" s="733"/>
      <c r="E96" s="733"/>
      <c r="F96" s="733"/>
      <c r="G96" s="734"/>
    </row>
    <row r="97" spans="1:7" ht="36" customHeight="1" thickBot="1">
      <c r="A97" s="684"/>
      <c r="B97" s="687"/>
      <c r="C97" s="735"/>
      <c r="D97" s="736"/>
      <c r="E97" s="736"/>
      <c r="F97" s="736"/>
      <c r="G97" s="737"/>
    </row>
  </sheetData>
  <mergeCells count="65">
    <mergeCell ref="A75:A80"/>
    <mergeCell ref="B75:B80"/>
    <mergeCell ref="C95:G97"/>
    <mergeCell ref="C89:C90"/>
    <mergeCell ref="C82:D82"/>
    <mergeCell ref="A84:A88"/>
    <mergeCell ref="B84:B88"/>
    <mergeCell ref="A89:A94"/>
    <mergeCell ref="B89:B94"/>
    <mergeCell ref="A95:A97"/>
    <mergeCell ref="B95:B97"/>
    <mergeCell ref="C91:C92"/>
    <mergeCell ref="B14:B17"/>
    <mergeCell ref="A81:A83"/>
    <mergeCell ref="B81:B83"/>
    <mergeCell ref="A69:A73"/>
    <mergeCell ref="A18:A23"/>
    <mergeCell ref="A56:A59"/>
    <mergeCell ref="B56:B59"/>
    <mergeCell ref="A30:A32"/>
    <mergeCell ref="B30:B32"/>
    <mergeCell ref="A42:A45"/>
    <mergeCell ref="B42:B45"/>
    <mergeCell ref="A46:A50"/>
    <mergeCell ref="B46:B50"/>
    <mergeCell ref="A74:G74"/>
    <mergeCell ref="C77:C78"/>
    <mergeCell ref="C79:G79"/>
    <mergeCell ref="A1:G1"/>
    <mergeCell ref="A60:A64"/>
    <mergeCell ref="B60:B64"/>
    <mergeCell ref="A65:A68"/>
    <mergeCell ref="B65:B68"/>
    <mergeCell ref="A2:A5"/>
    <mergeCell ref="B2:B5"/>
    <mergeCell ref="C2:G5"/>
    <mergeCell ref="A6:A9"/>
    <mergeCell ref="B6:B9"/>
    <mergeCell ref="C6:G9"/>
    <mergeCell ref="A10:A13"/>
    <mergeCell ref="B10:B13"/>
    <mergeCell ref="C10:G13"/>
    <mergeCell ref="A14:A17"/>
    <mergeCell ref="C15:C16"/>
    <mergeCell ref="C30:C31"/>
    <mergeCell ref="A33:A41"/>
    <mergeCell ref="B33:B41"/>
    <mergeCell ref="C33:C35"/>
    <mergeCell ref="C36:C38"/>
    <mergeCell ref="C20:C21"/>
    <mergeCell ref="C70:C72"/>
    <mergeCell ref="C85:C86"/>
    <mergeCell ref="C65:C66"/>
    <mergeCell ref="B18:B23"/>
    <mergeCell ref="C18:C19"/>
    <mergeCell ref="A24:G24"/>
    <mergeCell ref="A25:A29"/>
    <mergeCell ref="B25:B29"/>
    <mergeCell ref="C25:C27"/>
    <mergeCell ref="B69:B73"/>
    <mergeCell ref="C46:C47"/>
    <mergeCell ref="A51:G51"/>
    <mergeCell ref="A52:A55"/>
    <mergeCell ref="B52:B55"/>
    <mergeCell ref="C61:C62"/>
  </mergeCells>
  <phoneticPr fontId="1" type="noConversion"/>
  <printOptions horizontalCentered="1" verticalCentered="1"/>
  <pageMargins left="0.15748031496062992" right="0.15748031496062992" top="0.15748031496062992" bottom="0.15748031496062992" header="0.11811023622047245" footer="0.31496062992125984"/>
  <pageSetup paperSize="9" scale="72" fitToHeight="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4"/>
  <sheetViews>
    <sheetView view="pageBreakPreview" topLeftCell="A58" zoomScale="71" zoomScaleNormal="87" zoomScaleSheetLayoutView="71" zoomScalePageLayoutView="75" workbookViewId="0">
      <selection activeCell="E104" sqref="E104"/>
    </sheetView>
  </sheetViews>
  <sheetFormatPr defaultRowHeight="36" customHeight="1"/>
  <cols>
    <col min="1" max="1" width="12.5" style="1" customWidth="1"/>
    <col min="2" max="2" width="8.5" style="2" customWidth="1"/>
    <col min="3" max="3" width="17.875" style="9" customWidth="1"/>
    <col min="4" max="4" width="24.125" style="9" customWidth="1"/>
    <col min="5" max="5" width="15.375" style="3" customWidth="1"/>
    <col min="6" max="6" width="25.625" style="3" customWidth="1"/>
    <col min="7" max="7" width="19.5" style="59" customWidth="1"/>
    <col min="8" max="8" width="42.5" style="15" customWidth="1"/>
    <col min="9" max="16384" width="9" style="9"/>
  </cols>
  <sheetData>
    <row r="1" spans="1:7" s="15" customFormat="1" ht="87.75" customHeight="1" thickBot="1">
      <c r="A1" s="688" t="s">
        <v>0</v>
      </c>
      <c r="B1" s="689"/>
      <c r="C1" s="690"/>
      <c r="D1" s="690"/>
      <c r="E1" s="690"/>
      <c r="F1" s="690"/>
      <c r="G1" s="691"/>
    </row>
    <row r="2" spans="1:7" s="15" customFormat="1" ht="36" customHeight="1">
      <c r="A2" s="682">
        <v>43528</v>
      </c>
      <c r="B2" s="685" t="s">
        <v>2</v>
      </c>
      <c r="C2" s="704" t="s">
        <v>200</v>
      </c>
      <c r="D2" s="162" t="s">
        <v>466</v>
      </c>
      <c r="E2" s="8">
        <v>180</v>
      </c>
      <c r="F2" s="39"/>
      <c r="G2" s="53" t="s">
        <v>471</v>
      </c>
    </row>
    <row r="3" spans="1:7" s="15" customFormat="1" ht="36" customHeight="1">
      <c r="A3" s="683"/>
      <c r="B3" s="686"/>
      <c r="C3" s="701"/>
      <c r="D3" s="163" t="s">
        <v>467</v>
      </c>
      <c r="E3" s="11" t="s">
        <v>468</v>
      </c>
      <c r="F3" s="35"/>
      <c r="G3" s="51" t="s">
        <v>480</v>
      </c>
    </row>
    <row r="4" spans="1:7" s="15" customFormat="1" ht="36" customHeight="1" thickBot="1">
      <c r="A4" s="683"/>
      <c r="B4" s="686"/>
      <c r="C4" s="217" t="s">
        <v>472</v>
      </c>
      <c r="D4" s="218" t="s">
        <v>474</v>
      </c>
      <c r="E4" s="10">
        <v>300</v>
      </c>
      <c r="F4" s="40" t="s">
        <v>473</v>
      </c>
      <c r="G4" s="52"/>
    </row>
    <row r="5" spans="1:7" s="15" customFormat="1" ht="36" customHeight="1" thickBot="1">
      <c r="A5" s="684"/>
      <c r="B5" s="687"/>
      <c r="C5" s="166"/>
      <c r="D5" s="16"/>
      <c r="E5" s="14"/>
      <c r="F5" s="14"/>
      <c r="G5" s="60"/>
    </row>
    <row r="6" spans="1:7" ht="36" customHeight="1">
      <c r="A6" s="682">
        <v>43529</v>
      </c>
      <c r="B6" s="685" t="s">
        <v>16</v>
      </c>
      <c r="C6" s="704" t="s">
        <v>453</v>
      </c>
      <c r="D6" s="162" t="s">
        <v>454</v>
      </c>
      <c r="E6" s="8">
        <v>200</v>
      </c>
      <c r="F6" s="39"/>
      <c r="G6" s="53"/>
    </row>
    <row r="7" spans="1:7" ht="36" customHeight="1">
      <c r="A7" s="683"/>
      <c r="B7" s="686"/>
      <c r="C7" s="701"/>
      <c r="D7" s="163" t="s">
        <v>455</v>
      </c>
      <c r="E7" s="11">
        <v>70</v>
      </c>
      <c r="F7" s="35"/>
      <c r="G7" s="51"/>
    </row>
    <row r="8" spans="1:7" ht="36" customHeight="1">
      <c r="A8" s="683"/>
      <c r="B8" s="686"/>
      <c r="C8" s="701" t="s">
        <v>481</v>
      </c>
      <c r="D8" s="163" t="s">
        <v>482</v>
      </c>
      <c r="E8" s="11">
        <v>200</v>
      </c>
      <c r="F8" s="35"/>
      <c r="G8" s="51"/>
    </row>
    <row r="9" spans="1:7" ht="36" customHeight="1">
      <c r="A9" s="683"/>
      <c r="B9" s="686"/>
      <c r="C9" s="701"/>
      <c r="D9" s="163" t="s">
        <v>483</v>
      </c>
      <c r="E9" s="11" t="s">
        <v>484</v>
      </c>
      <c r="F9" s="35"/>
      <c r="G9" s="51"/>
    </row>
    <row r="10" spans="1:7" ht="36" customHeight="1" thickBot="1">
      <c r="A10" s="683"/>
      <c r="B10" s="686"/>
      <c r="C10" s="226" t="s">
        <v>491</v>
      </c>
      <c r="D10" s="227" t="s">
        <v>492</v>
      </c>
      <c r="E10" s="10">
        <v>100</v>
      </c>
      <c r="F10" s="40"/>
      <c r="G10" s="52"/>
    </row>
    <row r="11" spans="1:7" ht="36" customHeight="1" thickBot="1">
      <c r="A11" s="684"/>
      <c r="B11" s="687"/>
      <c r="C11" s="166"/>
      <c r="D11" s="16"/>
      <c r="E11" s="14"/>
      <c r="F11" s="14"/>
      <c r="G11" s="60"/>
    </row>
    <row r="12" spans="1:7" ht="36" customHeight="1" thickBot="1">
      <c r="A12" s="682">
        <v>43530</v>
      </c>
      <c r="B12" s="685" t="s">
        <v>15</v>
      </c>
      <c r="C12" s="704" t="s">
        <v>475</v>
      </c>
      <c r="D12" s="162" t="s">
        <v>476</v>
      </c>
      <c r="E12" s="8">
        <v>100</v>
      </c>
      <c r="F12" s="39"/>
      <c r="G12" s="53" t="s">
        <v>488</v>
      </c>
    </row>
    <row r="13" spans="1:7" ht="36" customHeight="1">
      <c r="A13" s="683"/>
      <c r="B13" s="686"/>
      <c r="C13" s="701"/>
      <c r="D13" s="163" t="s">
        <v>477</v>
      </c>
      <c r="E13" s="11" t="s">
        <v>478</v>
      </c>
      <c r="F13" s="35"/>
      <c r="G13" s="53" t="s">
        <v>509</v>
      </c>
    </row>
    <row r="14" spans="1:7" ht="36" customHeight="1">
      <c r="A14" s="683"/>
      <c r="B14" s="686"/>
      <c r="C14" s="706" t="s">
        <v>204</v>
      </c>
      <c r="D14" s="163" t="s">
        <v>230</v>
      </c>
      <c r="E14" s="11" t="s">
        <v>489</v>
      </c>
      <c r="F14" s="35" t="s">
        <v>479</v>
      </c>
      <c r="G14" s="51"/>
    </row>
    <row r="15" spans="1:7" ht="36" customHeight="1" thickBot="1">
      <c r="A15" s="683"/>
      <c r="B15" s="686"/>
      <c r="C15" s="708"/>
      <c r="D15" s="227" t="s">
        <v>490</v>
      </c>
      <c r="E15" s="10" t="s">
        <v>103</v>
      </c>
      <c r="F15" s="40"/>
      <c r="G15" s="52"/>
    </row>
    <row r="16" spans="1:7" ht="36" customHeight="1" thickBot="1">
      <c r="A16" s="684"/>
      <c r="B16" s="687"/>
      <c r="C16" s="166" t="s">
        <v>285</v>
      </c>
      <c r="D16" s="16" t="s">
        <v>286</v>
      </c>
      <c r="E16" s="14" t="s">
        <v>465</v>
      </c>
      <c r="F16" s="14" t="s">
        <v>126</v>
      </c>
      <c r="G16" s="60"/>
    </row>
    <row r="17" spans="1:7" ht="36" customHeight="1">
      <c r="A17" s="682">
        <v>43531</v>
      </c>
      <c r="B17" s="685" t="s">
        <v>17</v>
      </c>
      <c r="C17" s="704" t="s">
        <v>456</v>
      </c>
      <c r="D17" s="162" t="s">
        <v>457</v>
      </c>
      <c r="E17" s="8">
        <v>100</v>
      </c>
      <c r="F17" s="39" t="s">
        <v>459</v>
      </c>
      <c r="G17" s="53" t="s">
        <v>497</v>
      </c>
    </row>
    <row r="18" spans="1:7" ht="36" customHeight="1">
      <c r="A18" s="683"/>
      <c r="B18" s="686"/>
      <c r="C18" s="701"/>
      <c r="D18" s="163" t="s">
        <v>458</v>
      </c>
      <c r="E18" s="11">
        <v>200</v>
      </c>
      <c r="F18" s="35"/>
      <c r="G18" s="51"/>
    </row>
    <row r="19" spans="1:7" ht="36" customHeight="1">
      <c r="A19" s="683"/>
      <c r="B19" s="686"/>
      <c r="C19" s="229" t="s">
        <v>485</v>
      </c>
      <c r="D19" s="163" t="s">
        <v>486</v>
      </c>
      <c r="E19" s="11">
        <v>150</v>
      </c>
      <c r="F19" s="35" t="s">
        <v>487</v>
      </c>
      <c r="G19" s="51" t="s">
        <v>505</v>
      </c>
    </row>
    <row r="20" spans="1:7" ht="36" customHeight="1" thickBot="1">
      <c r="A20" s="683"/>
      <c r="B20" s="686"/>
      <c r="C20" s="228"/>
      <c r="D20" s="232"/>
      <c r="E20" s="10"/>
      <c r="F20" s="40"/>
      <c r="G20" s="52"/>
    </row>
    <row r="21" spans="1:7" ht="36" customHeight="1" thickBot="1">
      <c r="A21" s="684"/>
      <c r="B21" s="687"/>
      <c r="C21" s="166" t="s">
        <v>33</v>
      </c>
      <c r="D21" s="16" t="s">
        <v>463</v>
      </c>
      <c r="E21" s="14" t="s">
        <v>462</v>
      </c>
      <c r="F21" s="14" t="s">
        <v>464</v>
      </c>
      <c r="G21" s="60"/>
    </row>
    <row r="22" spans="1:7" ht="36" customHeight="1">
      <c r="A22" s="682">
        <v>43532</v>
      </c>
      <c r="B22" s="685" t="s">
        <v>18</v>
      </c>
      <c r="C22" s="704" t="s">
        <v>425</v>
      </c>
      <c r="D22" s="162" t="s">
        <v>493</v>
      </c>
      <c r="E22" s="8">
        <v>48</v>
      </c>
      <c r="F22" s="39"/>
      <c r="G22" s="53" t="s">
        <v>510</v>
      </c>
    </row>
    <row r="23" spans="1:7" ht="36" customHeight="1">
      <c r="A23" s="683"/>
      <c r="B23" s="686"/>
      <c r="C23" s="701"/>
      <c r="D23" s="163" t="s">
        <v>494</v>
      </c>
      <c r="E23" s="11">
        <v>75</v>
      </c>
      <c r="F23" s="35"/>
      <c r="G23" s="51"/>
    </row>
    <row r="24" spans="1:7" ht="36" customHeight="1">
      <c r="A24" s="683"/>
      <c r="B24" s="686"/>
      <c r="C24" s="701" t="s">
        <v>7</v>
      </c>
      <c r="D24" s="163" t="s">
        <v>501</v>
      </c>
      <c r="E24" s="11" t="s">
        <v>502</v>
      </c>
      <c r="F24" s="35" t="s">
        <v>499</v>
      </c>
      <c r="G24" s="51"/>
    </row>
    <row r="25" spans="1:7" ht="36" customHeight="1">
      <c r="A25" s="683"/>
      <c r="B25" s="686"/>
      <c r="C25" s="701"/>
      <c r="D25" s="163" t="s">
        <v>503</v>
      </c>
      <c r="E25" s="11">
        <v>64</v>
      </c>
      <c r="F25" s="35" t="s">
        <v>500</v>
      </c>
      <c r="G25" s="51"/>
    </row>
    <row r="26" spans="1:7" ht="36" customHeight="1">
      <c r="A26" s="683"/>
      <c r="B26" s="686"/>
      <c r="C26" s="701"/>
      <c r="D26" s="163" t="s">
        <v>504</v>
      </c>
      <c r="E26" s="11">
        <v>50</v>
      </c>
      <c r="F26" s="35" t="s">
        <v>500</v>
      </c>
      <c r="G26" s="51"/>
    </row>
    <row r="27" spans="1:7" ht="36" customHeight="1" thickBot="1">
      <c r="A27" s="683"/>
      <c r="B27" s="686"/>
      <c r="C27" s="723"/>
      <c r="D27" s="232" t="s">
        <v>26</v>
      </c>
      <c r="E27" s="10">
        <v>50</v>
      </c>
      <c r="F27" s="40" t="s">
        <v>498</v>
      </c>
      <c r="G27" s="52"/>
    </row>
    <row r="28" spans="1:7" ht="36" customHeight="1" thickBot="1">
      <c r="A28" s="684"/>
      <c r="B28" s="687"/>
      <c r="C28" s="151"/>
      <c r="D28" s="20"/>
      <c r="E28" s="13"/>
      <c r="F28" s="13"/>
      <c r="G28" s="62"/>
    </row>
    <row r="29" spans="1:7" ht="95.25" customHeight="1" thickBot="1">
      <c r="A29" s="688" t="s">
        <v>0</v>
      </c>
      <c r="B29" s="689"/>
      <c r="C29" s="690"/>
      <c r="D29" s="690"/>
      <c r="E29" s="690"/>
      <c r="F29" s="690"/>
      <c r="G29" s="691"/>
    </row>
    <row r="30" spans="1:7" ht="36" customHeight="1">
      <c r="A30" s="682">
        <v>43535</v>
      </c>
      <c r="B30" s="685" t="s">
        <v>469</v>
      </c>
      <c r="C30" s="702" t="s">
        <v>522</v>
      </c>
      <c r="D30" s="162" t="s">
        <v>524</v>
      </c>
      <c r="E30" s="8">
        <v>58</v>
      </c>
      <c r="F30" s="39" t="s">
        <v>523</v>
      </c>
      <c r="G30" s="53" t="s">
        <v>516</v>
      </c>
    </row>
    <row r="31" spans="1:7" ht="36" customHeight="1">
      <c r="A31" s="683"/>
      <c r="B31" s="686"/>
      <c r="C31" s="703"/>
      <c r="D31" s="163" t="s">
        <v>525</v>
      </c>
      <c r="E31" s="11">
        <v>10</v>
      </c>
      <c r="F31" s="35" t="s">
        <v>526</v>
      </c>
      <c r="G31" s="51"/>
    </row>
    <row r="32" spans="1:7" ht="36" customHeight="1" thickBot="1">
      <c r="A32" s="683"/>
      <c r="B32" s="686"/>
      <c r="C32" s="220"/>
      <c r="D32" s="221"/>
      <c r="E32" s="10"/>
      <c r="F32" s="40"/>
      <c r="G32" s="52"/>
    </row>
    <row r="33" spans="1:7" ht="36" customHeight="1" thickBot="1">
      <c r="A33" s="684"/>
      <c r="B33" s="687"/>
      <c r="C33" s="151"/>
      <c r="D33" s="20"/>
      <c r="E33" s="13"/>
      <c r="F33" s="13"/>
      <c r="G33" s="62"/>
    </row>
    <row r="34" spans="1:7" ht="36" customHeight="1">
      <c r="A34" s="682">
        <v>43536</v>
      </c>
      <c r="B34" s="685" t="s">
        <v>16</v>
      </c>
      <c r="C34" s="702" t="s">
        <v>3</v>
      </c>
      <c r="D34" s="163" t="s">
        <v>495</v>
      </c>
      <c r="E34" s="11">
        <v>328</v>
      </c>
      <c r="F34" s="39"/>
      <c r="G34" s="53" t="s">
        <v>527</v>
      </c>
    </row>
    <row r="35" spans="1:7" ht="36" customHeight="1">
      <c r="A35" s="683"/>
      <c r="B35" s="686"/>
      <c r="C35" s="703"/>
      <c r="D35" s="163" t="s">
        <v>496</v>
      </c>
      <c r="E35" s="11">
        <v>49</v>
      </c>
      <c r="F35" s="35"/>
      <c r="G35" s="51"/>
    </row>
    <row r="36" spans="1:7" ht="36" customHeight="1" thickBot="1">
      <c r="A36" s="683"/>
      <c r="B36" s="686"/>
      <c r="C36" s="220"/>
      <c r="D36" s="221"/>
      <c r="E36" s="10"/>
      <c r="F36" s="40"/>
      <c r="G36" s="52"/>
    </row>
    <row r="37" spans="1:7" ht="36" customHeight="1" thickBot="1">
      <c r="A37" s="684"/>
      <c r="B37" s="687"/>
      <c r="C37" s="47" t="s">
        <v>289</v>
      </c>
      <c r="D37" s="27" t="s">
        <v>20</v>
      </c>
      <c r="E37" s="22" t="s">
        <v>506</v>
      </c>
      <c r="F37" s="22" t="s">
        <v>292</v>
      </c>
      <c r="G37" s="58"/>
    </row>
    <row r="38" spans="1:7" ht="36" customHeight="1">
      <c r="A38" s="682">
        <v>43537</v>
      </c>
      <c r="B38" s="685" t="s">
        <v>15</v>
      </c>
      <c r="C38" s="233" t="s">
        <v>533</v>
      </c>
      <c r="D38" s="162" t="s">
        <v>534</v>
      </c>
      <c r="E38" s="8">
        <v>100</v>
      </c>
      <c r="F38" s="39"/>
      <c r="G38" s="239" t="s">
        <v>540</v>
      </c>
    </row>
    <row r="39" spans="1:7" ht="36" customHeight="1">
      <c r="A39" s="683"/>
      <c r="B39" s="686"/>
      <c r="C39" s="234"/>
      <c r="D39" s="163"/>
      <c r="E39" s="11"/>
      <c r="F39" s="42"/>
      <c r="G39" s="51" t="s">
        <v>532</v>
      </c>
    </row>
    <row r="40" spans="1:7" ht="36" customHeight="1" thickBot="1">
      <c r="A40" s="683"/>
      <c r="B40" s="686"/>
      <c r="C40" s="235"/>
      <c r="D40" s="236"/>
      <c r="E40" s="10"/>
      <c r="F40" s="40"/>
      <c r="G40" s="52"/>
    </row>
    <row r="41" spans="1:7" ht="36" customHeight="1" thickBot="1">
      <c r="A41" s="684"/>
      <c r="B41" s="687"/>
      <c r="C41" s="151"/>
      <c r="D41" s="20"/>
      <c r="E41" s="13"/>
      <c r="F41" s="13"/>
      <c r="G41" s="62"/>
    </row>
    <row r="42" spans="1:7" ht="36" customHeight="1">
      <c r="A42" s="682">
        <v>43538</v>
      </c>
      <c r="B42" s="685" t="s">
        <v>17</v>
      </c>
      <c r="C42" s="237" t="s">
        <v>528</v>
      </c>
      <c r="D42" s="162" t="s">
        <v>529</v>
      </c>
      <c r="E42" s="8">
        <v>100</v>
      </c>
      <c r="F42" s="39" t="s">
        <v>531</v>
      </c>
      <c r="G42" s="53" t="s">
        <v>547</v>
      </c>
    </row>
    <row r="43" spans="1:7" ht="36" customHeight="1">
      <c r="A43" s="683"/>
      <c r="B43" s="686"/>
      <c r="C43" s="219" t="s">
        <v>535</v>
      </c>
      <c r="D43" s="163" t="s">
        <v>536</v>
      </c>
      <c r="E43" s="11">
        <v>235</v>
      </c>
      <c r="F43" s="35" t="s">
        <v>537</v>
      </c>
      <c r="G43" s="51"/>
    </row>
    <row r="44" spans="1:7" ht="36" customHeight="1" thickBot="1">
      <c r="A44" s="683"/>
      <c r="B44" s="686"/>
      <c r="C44" s="220"/>
      <c r="D44" s="221"/>
      <c r="E44" s="10"/>
      <c r="F44" s="40"/>
      <c r="G44" s="52"/>
    </row>
    <row r="45" spans="1:7" ht="36" customHeight="1" thickBot="1">
      <c r="A45" s="684"/>
      <c r="B45" s="687"/>
      <c r="C45" s="151"/>
      <c r="D45" s="20"/>
      <c r="E45" s="13"/>
      <c r="F45" s="13"/>
      <c r="G45" s="62"/>
    </row>
    <row r="46" spans="1:7" ht="36" customHeight="1">
      <c r="A46" s="682">
        <v>43539</v>
      </c>
      <c r="B46" s="685" t="s">
        <v>18</v>
      </c>
      <c r="C46" s="702" t="s">
        <v>470</v>
      </c>
      <c r="D46" s="162" t="s">
        <v>520</v>
      </c>
      <c r="E46" s="8">
        <v>125</v>
      </c>
      <c r="F46" s="39"/>
      <c r="G46" s="53" t="s">
        <v>530</v>
      </c>
    </row>
    <row r="47" spans="1:7" ht="36" customHeight="1">
      <c r="A47" s="683"/>
      <c r="B47" s="686"/>
      <c r="C47" s="703"/>
      <c r="D47" s="163" t="s">
        <v>521</v>
      </c>
      <c r="E47" s="11">
        <v>177</v>
      </c>
      <c r="F47" s="35"/>
      <c r="G47" s="51" t="s">
        <v>541</v>
      </c>
    </row>
    <row r="48" spans="1:7" ht="36" customHeight="1" thickBot="1">
      <c r="A48" s="683"/>
      <c r="B48" s="686"/>
      <c r="C48" s="738" t="s">
        <v>552</v>
      </c>
      <c r="D48" s="739"/>
      <c r="E48" s="215" t="s">
        <v>551</v>
      </c>
      <c r="F48" s="216" t="s">
        <v>543</v>
      </c>
      <c r="G48" s="52"/>
    </row>
    <row r="49" spans="1:7" ht="36" customHeight="1" thickBot="1">
      <c r="A49" s="684"/>
      <c r="B49" s="687"/>
      <c r="C49" s="47" t="s">
        <v>507</v>
      </c>
      <c r="D49" s="27" t="s">
        <v>349</v>
      </c>
      <c r="E49" s="22" t="s">
        <v>508</v>
      </c>
      <c r="F49" s="22" t="s">
        <v>292</v>
      </c>
      <c r="G49" s="62"/>
    </row>
    <row r="50" spans="1:7" ht="105" customHeight="1" thickBot="1">
      <c r="A50" s="688" t="s">
        <v>0</v>
      </c>
      <c r="B50" s="689"/>
      <c r="C50" s="690"/>
      <c r="D50" s="690"/>
      <c r="E50" s="690"/>
      <c r="F50" s="690"/>
      <c r="G50" s="691"/>
    </row>
    <row r="51" spans="1:7" ht="36" customHeight="1">
      <c r="A51" s="682">
        <v>43542</v>
      </c>
      <c r="B51" s="685" t="s">
        <v>511</v>
      </c>
      <c r="C51" s="230" t="s">
        <v>548</v>
      </c>
      <c r="D51" s="162" t="s">
        <v>517</v>
      </c>
      <c r="E51" s="8" t="s">
        <v>518</v>
      </c>
      <c r="F51" s="39" t="s">
        <v>519</v>
      </c>
      <c r="G51" s="53"/>
    </row>
    <row r="52" spans="1:7" ht="36" customHeight="1">
      <c r="A52" s="683"/>
      <c r="B52" s="686"/>
      <c r="C52" s="706" t="s">
        <v>583</v>
      </c>
      <c r="D52" s="18" t="s">
        <v>584</v>
      </c>
      <c r="E52" s="30">
        <v>70</v>
      </c>
      <c r="F52" s="42"/>
      <c r="G52" s="55"/>
    </row>
    <row r="53" spans="1:7" ht="36" customHeight="1">
      <c r="A53" s="683"/>
      <c r="B53" s="686"/>
      <c r="C53" s="705"/>
      <c r="D53" s="31" t="s">
        <v>585</v>
      </c>
      <c r="E53" s="21">
        <v>30</v>
      </c>
      <c r="F53" s="56"/>
      <c r="G53" s="57"/>
    </row>
    <row r="54" spans="1:7" ht="36" customHeight="1" thickBot="1">
      <c r="A54" s="683"/>
      <c r="B54" s="686"/>
      <c r="C54" s="708"/>
      <c r="D54" s="232" t="s">
        <v>586</v>
      </c>
      <c r="E54" s="10" t="s">
        <v>587</v>
      </c>
      <c r="F54" s="40"/>
      <c r="G54" s="52"/>
    </row>
    <row r="55" spans="1:7" ht="36" customHeight="1" thickBot="1">
      <c r="A55" s="684"/>
      <c r="B55" s="687"/>
      <c r="C55" s="240" t="s">
        <v>564</v>
      </c>
      <c r="D55" s="241" t="s">
        <v>565</v>
      </c>
      <c r="E55" s="242" t="s">
        <v>566</v>
      </c>
      <c r="F55" s="242" t="s">
        <v>567</v>
      </c>
      <c r="G55" s="246"/>
    </row>
    <row r="56" spans="1:7" ht="36" customHeight="1">
      <c r="A56" s="682">
        <v>43543</v>
      </c>
      <c r="B56" s="685" t="s">
        <v>16</v>
      </c>
      <c r="C56" s="245" t="s">
        <v>535</v>
      </c>
      <c r="D56" s="162" t="s">
        <v>549</v>
      </c>
      <c r="E56" s="8">
        <v>204</v>
      </c>
      <c r="F56" s="39"/>
      <c r="G56" s="53"/>
    </row>
    <row r="57" spans="1:7" ht="36" customHeight="1">
      <c r="A57" s="683"/>
      <c r="B57" s="686"/>
      <c r="C57" s="701" t="s">
        <v>553</v>
      </c>
      <c r="D57" s="163" t="s">
        <v>555</v>
      </c>
      <c r="E57" s="11">
        <v>100</v>
      </c>
      <c r="F57" s="35" t="s">
        <v>554</v>
      </c>
      <c r="G57" s="51"/>
    </row>
    <row r="58" spans="1:7" ht="36" customHeight="1">
      <c r="A58" s="683"/>
      <c r="B58" s="686"/>
      <c r="C58" s="701"/>
      <c r="D58" s="163" t="s">
        <v>556</v>
      </c>
      <c r="E58" s="11">
        <v>5</v>
      </c>
      <c r="F58" s="35"/>
      <c r="G58" s="51"/>
    </row>
    <row r="59" spans="1:7" ht="36" customHeight="1" thickBot="1">
      <c r="A59" s="683"/>
      <c r="B59" s="686"/>
      <c r="C59" s="706"/>
      <c r="D59" s="25" t="s">
        <v>557</v>
      </c>
      <c r="E59" s="12" t="s">
        <v>558</v>
      </c>
      <c r="F59" s="41"/>
      <c r="G59" s="54"/>
    </row>
    <row r="60" spans="1:7" ht="36" customHeight="1" thickBot="1">
      <c r="A60" s="684"/>
      <c r="B60" s="687"/>
      <c r="C60" s="47" t="s">
        <v>560</v>
      </c>
      <c r="D60" s="27" t="s">
        <v>561</v>
      </c>
      <c r="E60" s="22" t="s">
        <v>562</v>
      </c>
      <c r="F60" s="22" t="s">
        <v>563</v>
      </c>
      <c r="G60" s="58"/>
    </row>
    <row r="61" spans="1:7" ht="36" customHeight="1">
      <c r="A61" s="682">
        <v>43544</v>
      </c>
      <c r="B61" s="685" t="s">
        <v>15</v>
      </c>
      <c r="C61" s="702" t="s">
        <v>7</v>
      </c>
      <c r="D61" s="162" t="s">
        <v>544</v>
      </c>
      <c r="E61" s="8">
        <v>50</v>
      </c>
      <c r="F61" s="39"/>
      <c r="G61" s="53"/>
    </row>
    <row r="62" spans="1:7" ht="36" customHeight="1">
      <c r="A62" s="683"/>
      <c r="B62" s="686"/>
      <c r="C62" s="705"/>
      <c r="D62" s="163" t="s">
        <v>545</v>
      </c>
      <c r="E62" s="11">
        <v>20</v>
      </c>
      <c r="F62" s="35" t="s">
        <v>546</v>
      </c>
      <c r="G62" s="55"/>
    </row>
    <row r="63" spans="1:7" ht="36" customHeight="1">
      <c r="A63" s="683"/>
      <c r="B63" s="686"/>
      <c r="C63" s="705"/>
      <c r="D63" s="163" t="s">
        <v>572</v>
      </c>
      <c r="E63" s="11">
        <v>64</v>
      </c>
      <c r="F63" s="35" t="s">
        <v>576</v>
      </c>
      <c r="G63" s="55"/>
    </row>
    <row r="64" spans="1:7" ht="36" customHeight="1">
      <c r="A64" s="683"/>
      <c r="B64" s="686"/>
      <c r="C64" s="703"/>
      <c r="D64" s="163" t="s">
        <v>573</v>
      </c>
      <c r="E64" s="11">
        <v>64</v>
      </c>
      <c r="F64" s="35" t="s">
        <v>577</v>
      </c>
      <c r="G64" s="55"/>
    </row>
    <row r="65" spans="1:7" ht="36" customHeight="1">
      <c r="A65" s="683"/>
      <c r="B65" s="686"/>
      <c r="C65" s="244" t="s">
        <v>574</v>
      </c>
      <c r="D65" s="163" t="s">
        <v>580</v>
      </c>
      <c r="E65" s="11">
        <v>100</v>
      </c>
      <c r="F65" s="35" t="s">
        <v>592</v>
      </c>
      <c r="G65" s="55"/>
    </row>
    <row r="66" spans="1:7" ht="36" customHeight="1">
      <c r="A66" s="683"/>
      <c r="B66" s="686"/>
      <c r="C66" s="238" t="s">
        <v>538</v>
      </c>
      <c r="D66" s="163" t="s">
        <v>550</v>
      </c>
      <c r="E66" s="11">
        <v>70</v>
      </c>
      <c r="F66" s="35" t="s">
        <v>539</v>
      </c>
      <c r="G66" s="51"/>
    </row>
    <row r="67" spans="1:7" ht="36" customHeight="1" thickBot="1">
      <c r="A67" s="683"/>
      <c r="B67" s="686"/>
      <c r="C67" s="738" t="s">
        <v>421</v>
      </c>
      <c r="D67" s="739"/>
      <c r="E67" s="215" t="s">
        <v>419</v>
      </c>
      <c r="F67" s="216" t="s">
        <v>420</v>
      </c>
      <c r="G67" s="52"/>
    </row>
    <row r="68" spans="1:7" ht="36" customHeight="1" thickBot="1">
      <c r="A68" s="684"/>
      <c r="B68" s="687"/>
      <c r="C68" s="48" t="s">
        <v>568</v>
      </c>
      <c r="D68" s="33" t="s">
        <v>569</v>
      </c>
      <c r="E68" s="34" t="s">
        <v>570</v>
      </c>
      <c r="F68" s="22" t="s">
        <v>563</v>
      </c>
      <c r="G68" s="60"/>
    </row>
    <row r="69" spans="1:7" ht="36" customHeight="1">
      <c r="A69" s="682">
        <v>43545</v>
      </c>
      <c r="B69" s="685" t="s">
        <v>17</v>
      </c>
      <c r="C69" s="702" t="s">
        <v>575</v>
      </c>
      <c r="D69" s="162" t="s">
        <v>578</v>
      </c>
      <c r="E69" s="8">
        <v>289</v>
      </c>
      <c r="F69" s="39"/>
      <c r="G69" s="53" t="s">
        <v>591</v>
      </c>
    </row>
    <row r="70" spans="1:7" ht="36" customHeight="1">
      <c r="A70" s="683"/>
      <c r="B70" s="686"/>
      <c r="C70" s="705"/>
      <c r="D70" s="25" t="s">
        <v>579</v>
      </c>
      <c r="E70" s="12">
        <v>198</v>
      </c>
      <c r="F70" s="41"/>
      <c r="G70" s="54" t="s">
        <v>596</v>
      </c>
    </row>
    <row r="71" spans="1:7" ht="36" customHeight="1" thickBot="1">
      <c r="A71" s="683"/>
      <c r="B71" s="686"/>
      <c r="C71" s="243"/>
      <c r="D71" s="25"/>
      <c r="E71" s="12"/>
      <c r="F71" s="41"/>
      <c r="G71" s="54"/>
    </row>
    <row r="72" spans="1:7" ht="36" customHeight="1" thickBot="1">
      <c r="A72" s="684"/>
      <c r="B72" s="687"/>
      <c r="C72" s="48" t="s">
        <v>293</v>
      </c>
      <c r="D72" s="33" t="s">
        <v>569</v>
      </c>
      <c r="E72" s="34" t="s">
        <v>571</v>
      </c>
      <c r="F72" s="34" t="s">
        <v>84</v>
      </c>
      <c r="G72" s="61"/>
    </row>
    <row r="73" spans="1:7" ht="36" customHeight="1">
      <c r="A73" s="682">
        <v>43546</v>
      </c>
      <c r="B73" s="685" t="s">
        <v>18</v>
      </c>
      <c r="C73" s="265" t="s">
        <v>266</v>
      </c>
      <c r="D73" s="162" t="s">
        <v>399</v>
      </c>
      <c r="E73" s="8">
        <v>100</v>
      </c>
      <c r="F73" s="39" t="s">
        <v>588</v>
      </c>
      <c r="G73" s="53"/>
    </row>
    <row r="74" spans="1:7" ht="36" customHeight="1">
      <c r="A74" s="683"/>
      <c r="B74" s="686"/>
      <c r="C74" s="701" t="s">
        <v>177</v>
      </c>
      <c r="D74" s="163" t="s">
        <v>581</v>
      </c>
      <c r="E74" s="11">
        <v>50</v>
      </c>
      <c r="F74" s="35" t="s">
        <v>593</v>
      </c>
      <c r="G74" s="51"/>
    </row>
    <row r="75" spans="1:7" ht="36" customHeight="1">
      <c r="A75" s="683"/>
      <c r="B75" s="686"/>
      <c r="C75" s="701"/>
      <c r="D75" s="163" t="s">
        <v>603</v>
      </c>
      <c r="E75" s="11">
        <v>150</v>
      </c>
      <c r="F75" s="35" t="s">
        <v>604</v>
      </c>
      <c r="G75" s="51"/>
    </row>
    <row r="76" spans="1:7" ht="36" customHeight="1" thickBot="1">
      <c r="A76" s="683"/>
      <c r="B76" s="686"/>
      <c r="C76" s="266" t="s">
        <v>613</v>
      </c>
      <c r="D76" s="267" t="s">
        <v>614</v>
      </c>
      <c r="E76" s="10" t="s">
        <v>611</v>
      </c>
      <c r="F76" s="40" t="s">
        <v>615</v>
      </c>
      <c r="G76" s="52"/>
    </row>
    <row r="77" spans="1:7" ht="36" customHeight="1" thickBot="1">
      <c r="A77" s="684"/>
      <c r="B77" s="687"/>
      <c r="C77" s="151"/>
      <c r="D77" s="20"/>
      <c r="E77" s="13"/>
      <c r="F77" s="13"/>
      <c r="G77" s="62"/>
    </row>
    <row r="78" spans="1:7" ht="98.25" customHeight="1" thickBot="1">
      <c r="A78" s="688" t="s">
        <v>0</v>
      </c>
      <c r="B78" s="689"/>
      <c r="C78" s="690"/>
      <c r="D78" s="690"/>
      <c r="E78" s="690"/>
      <c r="F78" s="690"/>
      <c r="G78" s="691"/>
    </row>
    <row r="79" spans="1:7" ht="36" customHeight="1">
      <c r="A79" s="682">
        <v>43549</v>
      </c>
      <c r="B79" s="685" t="s">
        <v>511</v>
      </c>
      <c r="C79" s="702" t="s">
        <v>7</v>
      </c>
      <c r="D79" s="162" t="s">
        <v>360</v>
      </c>
      <c r="E79" s="8">
        <v>64</v>
      </c>
      <c r="F79" s="191" t="s">
        <v>589</v>
      </c>
      <c r="G79" s="53" t="s">
        <v>559</v>
      </c>
    </row>
    <row r="80" spans="1:7" ht="36" customHeight="1">
      <c r="A80" s="683"/>
      <c r="B80" s="686"/>
      <c r="C80" s="705"/>
      <c r="D80" s="163" t="s">
        <v>143</v>
      </c>
      <c r="E80" s="11">
        <v>30</v>
      </c>
      <c r="F80" s="35" t="s">
        <v>589</v>
      </c>
      <c r="G80" s="51"/>
    </row>
    <row r="81" spans="1:7" ht="36" customHeight="1">
      <c r="A81" s="683"/>
      <c r="B81" s="686"/>
      <c r="C81" s="705"/>
      <c r="D81" s="163" t="s">
        <v>598</v>
      </c>
      <c r="E81" s="11">
        <v>50</v>
      </c>
      <c r="F81" s="35" t="s">
        <v>597</v>
      </c>
      <c r="G81" s="51"/>
    </row>
    <row r="82" spans="1:7" ht="36" customHeight="1">
      <c r="A82" s="683"/>
      <c r="B82" s="686"/>
      <c r="C82" s="705"/>
      <c r="D82" s="163" t="s">
        <v>620</v>
      </c>
      <c r="E82" s="11">
        <v>50</v>
      </c>
      <c r="F82" s="35" t="s">
        <v>621</v>
      </c>
      <c r="G82" s="51"/>
    </row>
    <row r="83" spans="1:7" ht="36" customHeight="1">
      <c r="A83" s="683"/>
      <c r="B83" s="686"/>
      <c r="C83" s="703"/>
      <c r="D83" s="163" t="s">
        <v>22</v>
      </c>
      <c r="E83" s="11" t="s">
        <v>590</v>
      </c>
      <c r="F83" s="35" t="s">
        <v>589</v>
      </c>
      <c r="G83" s="51"/>
    </row>
    <row r="84" spans="1:7" ht="36" customHeight="1">
      <c r="A84" s="683"/>
      <c r="B84" s="686"/>
      <c r="C84" s="248" t="s">
        <v>34</v>
      </c>
      <c r="D84" s="163" t="s">
        <v>594</v>
      </c>
      <c r="E84" s="11">
        <v>300</v>
      </c>
      <c r="F84" s="35" t="s">
        <v>602</v>
      </c>
      <c r="G84" s="51"/>
    </row>
    <row r="85" spans="1:7" ht="36" customHeight="1" thickBot="1">
      <c r="A85" s="683"/>
      <c r="B85" s="686"/>
      <c r="C85" s="249"/>
      <c r="D85" s="250"/>
      <c r="E85" s="10"/>
      <c r="F85" s="40"/>
      <c r="G85" s="52"/>
    </row>
    <row r="86" spans="1:7" ht="36" customHeight="1" thickBot="1">
      <c r="A86" s="684"/>
      <c r="B86" s="687"/>
      <c r="C86" s="47"/>
      <c r="D86" s="27"/>
      <c r="E86" s="22"/>
      <c r="F86" s="22"/>
      <c r="G86" s="58"/>
    </row>
    <row r="87" spans="1:7" ht="36" customHeight="1">
      <c r="A87" s="682">
        <v>43550</v>
      </c>
      <c r="B87" s="685" t="s">
        <v>16</v>
      </c>
      <c r="C87" s="702" t="s">
        <v>481</v>
      </c>
      <c r="D87" s="18" t="s">
        <v>609</v>
      </c>
      <c r="E87" s="30">
        <v>200</v>
      </c>
      <c r="F87" s="42" t="s">
        <v>612</v>
      </c>
      <c r="G87" s="55" t="s">
        <v>559</v>
      </c>
    </row>
    <row r="88" spans="1:7" ht="36" customHeight="1">
      <c r="A88" s="683"/>
      <c r="B88" s="686"/>
      <c r="C88" s="703"/>
      <c r="D88" s="18" t="s">
        <v>610</v>
      </c>
      <c r="E88" s="30" t="s">
        <v>611</v>
      </c>
      <c r="F88" s="42"/>
      <c r="G88" s="55"/>
    </row>
    <row r="89" spans="1:7" ht="36" customHeight="1">
      <c r="A89" s="683"/>
      <c r="B89" s="686"/>
      <c r="C89" s="264" t="s">
        <v>136</v>
      </c>
      <c r="D89" s="163" t="s">
        <v>29</v>
      </c>
      <c r="E89" s="11">
        <v>101</v>
      </c>
      <c r="F89" s="35"/>
      <c r="G89" s="55"/>
    </row>
    <row r="90" spans="1:7" ht="36" customHeight="1">
      <c r="A90" s="683"/>
      <c r="B90" s="686"/>
      <c r="C90" s="247"/>
      <c r="D90" s="163"/>
      <c r="E90" s="11"/>
      <c r="F90" s="35"/>
      <c r="G90" s="51"/>
    </row>
    <row r="91" spans="1:7" ht="36" customHeight="1" thickBot="1">
      <c r="A91" s="683"/>
      <c r="B91" s="686"/>
      <c r="C91" s="742" t="s">
        <v>421</v>
      </c>
      <c r="D91" s="743"/>
      <c r="E91" s="215" t="s">
        <v>419</v>
      </c>
      <c r="F91" s="216" t="s">
        <v>582</v>
      </c>
      <c r="G91" s="52"/>
    </row>
    <row r="92" spans="1:7" ht="36" customHeight="1" thickBot="1">
      <c r="A92" s="684"/>
      <c r="B92" s="687"/>
      <c r="C92" s="268" t="s">
        <v>512</v>
      </c>
      <c r="D92" s="269" t="s">
        <v>515</v>
      </c>
      <c r="E92" s="270" t="s">
        <v>513</v>
      </c>
      <c r="F92" s="740" t="s">
        <v>514</v>
      </c>
      <c r="G92" s="741"/>
    </row>
    <row r="93" spans="1:7" ht="36" customHeight="1">
      <c r="A93" s="682">
        <v>43551</v>
      </c>
      <c r="B93" s="685" t="s">
        <v>15</v>
      </c>
      <c r="C93" s="704" t="s">
        <v>65</v>
      </c>
      <c r="D93" s="162" t="s">
        <v>278</v>
      </c>
      <c r="E93" s="8">
        <v>100</v>
      </c>
      <c r="F93" s="39"/>
      <c r="G93" s="53" t="s">
        <v>559</v>
      </c>
    </row>
    <row r="94" spans="1:7" ht="36" customHeight="1">
      <c r="A94" s="683"/>
      <c r="B94" s="686"/>
      <c r="C94" s="701"/>
      <c r="D94" s="163" t="s">
        <v>608</v>
      </c>
      <c r="E94" s="11">
        <v>10</v>
      </c>
      <c r="F94" s="35"/>
      <c r="G94" s="51"/>
    </row>
    <row r="95" spans="1:7" ht="36" customHeight="1">
      <c r="A95" s="683"/>
      <c r="B95" s="686"/>
      <c r="C95" s="264" t="s">
        <v>63</v>
      </c>
      <c r="D95" s="163" t="s">
        <v>35</v>
      </c>
      <c r="E95" s="11">
        <v>100</v>
      </c>
      <c r="F95" s="35"/>
      <c r="G95" s="51"/>
    </row>
    <row r="96" spans="1:7" ht="36" customHeight="1" thickBot="1">
      <c r="A96" s="683"/>
      <c r="B96" s="686"/>
      <c r="C96" s="266"/>
      <c r="D96" s="267"/>
      <c r="E96" s="10"/>
      <c r="F96" s="40"/>
      <c r="G96" s="52"/>
    </row>
    <row r="97" spans="1:7" ht="36" customHeight="1" thickBot="1">
      <c r="A97" s="684"/>
      <c r="B97" s="687"/>
      <c r="C97" s="151"/>
      <c r="D97" s="20"/>
      <c r="E97" s="13"/>
      <c r="F97" s="13"/>
      <c r="G97" s="62"/>
    </row>
    <row r="98" spans="1:7" ht="36" customHeight="1">
      <c r="A98" s="682">
        <v>43552</v>
      </c>
      <c r="B98" s="685" t="s">
        <v>17</v>
      </c>
      <c r="C98" s="702" t="s">
        <v>605</v>
      </c>
      <c r="D98" s="162" t="s">
        <v>606</v>
      </c>
      <c r="E98" s="8">
        <v>474</v>
      </c>
      <c r="F98" s="39"/>
      <c r="G98" s="53" t="s">
        <v>559</v>
      </c>
    </row>
    <row r="99" spans="1:7" ht="36" customHeight="1">
      <c r="A99" s="683"/>
      <c r="B99" s="686"/>
      <c r="C99" s="703"/>
      <c r="D99" s="163" t="s">
        <v>607</v>
      </c>
      <c r="E99" s="11">
        <v>1</v>
      </c>
      <c r="F99" s="35"/>
      <c r="G99" s="51"/>
    </row>
    <row r="100" spans="1:7" ht="36" customHeight="1" thickBot="1">
      <c r="A100" s="683"/>
      <c r="B100" s="686"/>
      <c r="C100" s="231"/>
      <c r="D100" s="232"/>
      <c r="E100" s="10"/>
      <c r="F100" s="40"/>
      <c r="G100" s="52"/>
    </row>
    <row r="101" spans="1:7" ht="36" customHeight="1" thickBot="1">
      <c r="A101" s="684"/>
      <c r="B101" s="687"/>
      <c r="C101" s="47"/>
      <c r="D101" s="27"/>
      <c r="E101" s="22"/>
      <c r="F101" s="22"/>
      <c r="G101" s="62"/>
    </row>
    <row r="102" spans="1:7" ht="36" customHeight="1" thickBot="1">
      <c r="A102" s="682">
        <v>43553</v>
      </c>
      <c r="B102" s="685" t="s">
        <v>18</v>
      </c>
      <c r="C102" s="272" t="s">
        <v>3</v>
      </c>
      <c r="D102" s="163" t="s">
        <v>5</v>
      </c>
      <c r="E102" s="11">
        <v>132</v>
      </c>
      <c r="F102" s="35"/>
      <c r="G102" s="53"/>
    </row>
    <row r="103" spans="1:7" ht="36" customHeight="1" thickBot="1">
      <c r="A103" s="683"/>
      <c r="B103" s="686"/>
      <c r="C103" s="272" t="s">
        <v>32</v>
      </c>
      <c r="D103" s="163" t="s">
        <v>542</v>
      </c>
      <c r="E103" s="11">
        <v>100</v>
      </c>
      <c r="F103" s="35" t="s">
        <v>616</v>
      </c>
      <c r="G103" s="53" t="s">
        <v>559</v>
      </c>
    </row>
    <row r="104" spans="1:7" ht="36" customHeight="1" thickBot="1">
      <c r="A104" s="684"/>
      <c r="B104" s="687"/>
      <c r="C104" s="47" t="s">
        <v>617</v>
      </c>
      <c r="D104" s="27" t="s">
        <v>618</v>
      </c>
      <c r="E104" s="22" t="s">
        <v>619</v>
      </c>
      <c r="F104" s="22" t="s">
        <v>84</v>
      </c>
      <c r="G104" s="62"/>
    </row>
  </sheetData>
  <mergeCells count="68">
    <mergeCell ref="A1:G1"/>
    <mergeCell ref="A12:A16"/>
    <mergeCell ref="B12:B16"/>
    <mergeCell ref="A6:A11"/>
    <mergeCell ref="B6:B11"/>
    <mergeCell ref="C6:C7"/>
    <mergeCell ref="A2:A5"/>
    <mergeCell ref="B2:B5"/>
    <mergeCell ref="C2:C3"/>
    <mergeCell ref="C8:C9"/>
    <mergeCell ref="C12:C13"/>
    <mergeCell ref="C14:C15"/>
    <mergeCell ref="C17:C18"/>
    <mergeCell ref="A17:A21"/>
    <mergeCell ref="C30:C31"/>
    <mergeCell ref="A34:A37"/>
    <mergeCell ref="B34:B37"/>
    <mergeCell ref="C34:C35"/>
    <mergeCell ref="A30:A33"/>
    <mergeCell ref="B30:B33"/>
    <mergeCell ref="C24:C27"/>
    <mergeCell ref="A22:A28"/>
    <mergeCell ref="B22:B28"/>
    <mergeCell ref="B17:B21"/>
    <mergeCell ref="C22:C23"/>
    <mergeCell ref="A29:G29"/>
    <mergeCell ref="A38:A41"/>
    <mergeCell ref="B38:B41"/>
    <mergeCell ref="A42:A45"/>
    <mergeCell ref="B42:B45"/>
    <mergeCell ref="A46:A49"/>
    <mergeCell ref="B46:B49"/>
    <mergeCell ref="A50:G50"/>
    <mergeCell ref="C46:C47"/>
    <mergeCell ref="C48:D48"/>
    <mergeCell ref="A51:A55"/>
    <mergeCell ref="B51:B55"/>
    <mergeCell ref="C52:C54"/>
    <mergeCell ref="A56:A60"/>
    <mergeCell ref="B56:B60"/>
    <mergeCell ref="A61:A68"/>
    <mergeCell ref="B61:B68"/>
    <mergeCell ref="A78:G78"/>
    <mergeCell ref="C57:C59"/>
    <mergeCell ref="C61:C64"/>
    <mergeCell ref="C69:C70"/>
    <mergeCell ref="C67:D67"/>
    <mergeCell ref="C74:C75"/>
    <mergeCell ref="F92:G92"/>
    <mergeCell ref="A69:A72"/>
    <mergeCell ref="B69:B72"/>
    <mergeCell ref="A73:A77"/>
    <mergeCell ref="B73:B77"/>
    <mergeCell ref="A79:A86"/>
    <mergeCell ref="B79:B86"/>
    <mergeCell ref="C91:D91"/>
    <mergeCell ref="C79:C83"/>
    <mergeCell ref="A102:A104"/>
    <mergeCell ref="B102:B104"/>
    <mergeCell ref="A87:A92"/>
    <mergeCell ref="B87:B92"/>
    <mergeCell ref="A93:A97"/>
    <mergeCell ref="B93:B97"/>
    <mergeCell ref="C98:C99"/>
    <mergeCell ref="C93:C94"/>
    <mergeCell ref="C87:C88"/>
    <mergeCell ref="A98:A101"/>
    <mergeCell ref="B98:B101"/>
  </mergeCells>
  <phoneticPr fontId="1" type="noConversion"/>
  <printOptions horizontalCentered="1" verticalCentered="1"/>
  <pageMargins left="0.15748031496062992" right="0.15748031496062992" top="0.15748031496062992" bottom="0.15748031496062992" header="0.11811023622047245" footer="0.31496062992125984"/>
  <pageSetup paperSize="9" scale="72" fitToHeight="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2"/>
  <sheetViews>
    <sheetView view="pageBreakPreview" zoomScale="71" zoomScaleNormal="87" zoomScaleSheetLayoutView="71" zoomScalePageLayoutView="75" workbookViewId="0">
      <selection activeCell="C50" sqref="C50:F50"/>
    </sheetView>
  </sheetViews>
  <sheetFormatPr defaultRowHeight="36" customHeight="1"/>
  <cols>
    <col min="1" max="1" width="12.5" style="260" customWidth="1"/>
    <col min="2" max="2" width="8.5" style="261" customWidth="1"/>
    <col min="3" max="3" width="17.875" style="317" customWidth="1"/>
    <col min="4" max="4" width="22.5" style="37" customWidth="1"/>
    <col min="5" max="5" width="15.375" style="262" customWidth="1"/>
    <col min="6" max="6" width="25.625" style="262" customWidth="1"/>
    <col min="7" max="7" width="28.125" style="263" customWidth="1"/>
    <col min="8" max="8" width="42.5" style="252" customWidth="1"/>
    <col min="9" max="16384" width="9" style="37"/>
  </cols>
  <sheetData>
    <row r="1" spans="1:7" s="252" customFormat="1" ht="105" customHeight="1" thickBot="1">
      <c r="A1" s="763" t="s">
        <v>0</v>
      </c>
      <c r="B1" s="755"/>
      <c r="C1" s="755"/>
      <c r="D1" s="755"/>
      <c r="E1" s="755"/>
      <c r="F1" s="755"/>
      <c r="G1" s="756"/>
    </row>
    <row r="2" spans="1:7" s="252" customFormat="1" ht="36" customHeight="1">
      <c r="A2" s="750">
        <v>43556</v>
      </c>
      <c r="B2" s="685" t="s">
        <v>2</v>
      </c>
      <c r="C2" s="702" t="s">
        <v>7</v>
      </c>
      <c r="D2" s="162" t="s">
        <v>628</v>
      </c>
      <c r="E2" s="253">
        <v>64</v>
      </c>
      <c r="F2" s="191" t="s">
        <v>633</v>
      </c>
      <c r="G2" s="53"/>
    </row>
    <row r="3" spans="1:7" s="252" customFormat="1" ht="36" customHeight="1">
      <c r="A3" s="751"/>
      <c r="B3" s="686"/>
      <c r="C3" s="705"/>
      <c r="D3" s="163" t="s">
        <v>629</v>
      </c>
      <c r="E3" s="254">
        <v>64</v>
      </c>
      <c r="F3" s="125">
        <v>0.75</v>
      </c>
      <c r="G3" s="51"/>
    </row>
    <row r="4" spans="1:7" s="252" customFormat="1" ht="36" customHeight="1">
      <c r="A4" s="751"/>
      <c r="B4" s="686"/>
      <c r="C4" s="705"/>
      <c r="D4" s="163" t="s">
        <v>630</v>
      </c>
      <c r="E4" s="254">
        <v>64</v>
      </c>
      <c r="F4" s="35"/>
      <c r="G4" s="51"/>
    </row>
    <row r="5" spans="1:7" s="252" customFormat="1" ht="36" customHeight="1">
      <c r="A5" s="751"/>
      <c r="B5" s="686"/>
      <c r="C5" s="705"/>
      <c r="D5" s="163" t="s">
        <v>631</v>
      </c>
      <c r="E5" s="254">
        <v>100</v>
      </c>
      <c r="F5" s="35" t="s">
        <v>634</v>
      </c>
      <c r="G5" s="51"/>
    </row>
    <row r="6" spans="1:7" s="252" customFormat="1" ht="36" customHeight="1">
      <c r="A6" s="751"/>
      <c r="B6" s="686"/>
      <c r="C6" s="703"/>
      <c r="D6" s="163" t="s">
        <v>632</v>
      </c>
      <c r="E6" s="254">
        <v>50</v>
      </c>
      <c r="F6" s="35"/>
      <c r="G6" s="51"/>
    </row>
    <row r="7" spans="1:7" s="252" customFormat="1" ht="36" customHeight="1">
      <c r="A7" s="751"/>
      <c r="B7" s="686"/>
      <c r="C7" s="706" t="s">
        <v>624</v>
      </c>
      <c r="D7" s="163" t="s">
        <v>625</v>
      </c>
      <c r="E7" s="254" t="s">
        <v>626</v>
      </c>
      <c r="F7" s="35"/>
      <c r="G7" s="51"/>
    </row>
    <row r="8" spans="1:7" s="252" customFormat="1" ht="36" customHeight="1">
      <c r="A8" s="751"/>
      <c r="B8" s="686"/>
      <c r="C8" s="703"/>
      <c r="D8" s="163" t="s">
        <v>627</v>
      </c>
      <c r="E8" s="254" t="s">
        <v>650</v>
      </c>
      <c r="F8" s="35"/>
      <c r="G8" s="51"/>
    </row>
    <row r="9" spans="1:7" s="252" customFormat="1" ht="36" customHeight="1" thickBot="1">
      <c r="A9" s="751"/>
      <c r="B9" s="686"/>
      <c r="C9" s="228"/>
      <c r="D9" s="271"/>
      <c r="E9" s="273"/>
      <c r="F9" s="40"/>
      <c r="G9" s="52"/>
    </row>
    <row r="10" spans="1:7" s="252" customFormat="1" ht="36" customHeight="1" thickBot="1">
      <c r="A10" s="752"/>
      <c r="B10" s="687"/>
      <c r="C10" s="274"/>
      <c r="D10" s="275"/>
      <c r="E10" s="276"/>
      <c r="F10" s="276"/>
      <c r="G10" s="277"/>
    </row>
    <row r="11" spans="1:7" ht="36" customHeight="1">
      <c r="A11" s="750">
        <v>43557</v>
      </c>
      <c r="B11" s="685" t="s">
        <v>16</v>
      </c>
      <c r="C11" s="306" t="s">
        <v>599</v>
      </c>
      <c r="D11" s="162" t="s">
        <v>600</v>
      </c>
      <c r="E11" s="253">
        <v>200</v>
      </c>
      <c r="F11" s="39" t="s">
        <v>601</v>
      </c>
      <c r="G11" s="53" t="s">
        <v>647</v>
      </c>
    </row>
    <row r="12" spans="1:7" ht="36" customHeight="1">
      <c r="A12" s="751"/>
      <c r="B12" s="686"/>
      <c r="C12" s="304" t="s">
        <v>651</v>
      </c>
      <c r="D12" s="163" t="s">
        <v>652</v>
      </c>
      <c r="E12" s="254" t="s">
        <v>653</v>
      </c>
      <c r="F12" s="35" t="s">
        <v>654</v>
      </c>
      <c r="G12" s="51"/>
    </row>
    <row r="13" spans="1:7" ht="36" customHeight="1">
      <c r="A13" s="751"/>
      <c r="B13" s="686"/>
      <c r="C13" s="304" t="s">
        <v>622</v>
      </c>
      <c r="D13" s="163" t="s">
        <v>623</v>
      </c>
      <c r="E13" s="254">
        <v>50</v>
      </c>
      <c r="F13" s="35"/>
      <c r="G13" s="51"/>
    </row>
    <row r="14" spans="1:7" ht="36" customHeight="1" thickBot="1">
      <c r="A14" s="751"/>
      <c r="B14" s="686"/>
      <c r="C14" s="308" t="s">
        <v>4</v>
      </c>
      <c r="D14" s="286" t="s">
        <v>595</v>
      </c>
      <c r="E14" s="10">
        <v>30</v>
      </c>
      <c r="F14" s="40" t="s">
        <v>655</v>
      </c>
      <c r="G14" s="52"/>
    </row>
    <row r="15" spans="1:7" ht="36" customHeight="1" thickBot="1">
      <c r="A15" s="752"/>
      <c r="B15" s="687"/>
      <c r="C15" s="282"/>
      <c r="D15" s="283"/>
      <c r="E15" s="284"/>
      <c r="F15" s="284"/>
      <c r="G15" s="285"/>
    </row>
    <row r="16" spans="1:7" ht="36" customHeight="1">
      <c r="A16" s="750">
        <v>43558</v>
      </c>
      <c r="B16" s="685" t="s">
        <v>15</v>
      </c>
      <c r="C16" s="704" t="s">
        <v>204</v>
      </c>
      <c r="D16" s="162" t="s">
        <v>643</v>
      </c>
      <c r="E16" s="253" t="s">
        <v>644</v>
      </c>
      <c r="F16" s="39" t="s">
        <v>657</v>
      </c>
      <c r="G16" s="53"/>
    </row>
    <row r="17" spans="1:7" ht="36" customHeight="1">
      <c r="A17" s="751"/>
      <c r="B17" s="686"/>
      <c r="C17" s="701"/>
      <c r="D17" s="163" t="s">
        <v>645</v>
      </c>
      <c r="E17" s="254" t="s">
        <v>646</v>
      </c>
      <c r="F17" s="35"/>
      <c r="G17" s="51"/>
    </row>
    <row r="18" spans="1:7" ht="36" customHeight="1">
      <c r="A18" s="751"/>
      <c r="B18" s="686"/>
      <c r="C18" s="701" t="s">
        <v>200</v>
      </c>
      <c r="D18" s="163" t="s">
        <v>275</v>
      </c>
      <c r="E18" s="254">
        <v>170</v>
      </c>
      <c r="F18" s="35" t="s">
        <v>659</v>
      </c>
      <c r="G18" s="51" t="s">
        <v>658</v>
      </c>
    </row>
    <row r="19" spans="1:7" ht="36" customHeight="1">
      <c r="A19" s="751"/>
      <c r="B19" s="686"/>
      <c r="C19" s="701"/>
      <c r="D19" s="163" t="s">
        <v>642</v>
      </c>
      <c r="E19" s="254">
        <v>20</v>
      </c>
      <c r="F19" s="35"/>
      <c r="G19" s="51"/>
    </row>
    <row r="20" spans="1:7" ht="36" customHeight="1" thickBot="1">
      <c r="A20" s="751"/>
      <c r="B20" s="686"/>
      <c r="C20" s="723"/>
      <c r="D20" s="286" t="s">
        <v>22</v>
      </c>
      <c r="E20" s="273" t="s">
        <v>8</v>
      </c>
      <c r="F20" s="40"/>
      <c r="G20" s="52"/>
    </row>
    <row r="21" spans="1:7" ht="36" customHeight="1" thickBot="1">
      <c r="A21" s="752"/>
      <c r="B21" s="687"/>
      <c r="C21" s="278"/>
      <c r="D21" s="279"/>
      <c r="E21" s="280"/>
      <c r="F21" s="280"/>
      <c r="G21" s="281"/>
    </row>
    <row r="22" spans="1:7" ht="36" customHeight="1">
      <c r="A22" s="750">
        <v>43559</v>
      </c>
      <c r="B22" s="685" t="s">
        <v>17</v>
      </c>
      <c r="C22" s="306" t="s">
        <v>635</v>
      </c>
      <c r="D22" s="162" t="s">
        <v>636</v>
      </c>
      <c r="E22" s="253">
        <v>412</v>
      </c>
      <c r="F22" s="39"/>
      <c r="G22" s="53" t="s">
        <v>661</v>
      </c>
    </row>
    <row r="23" spans="1:7" ht="36" customHeight="1" thickBot="1">
      <c r="A23" s="751"/>
      <c r="B23" s="686"/>
      <c r="C23" s="307" t="s">
        <v>663</v>
      </c>
      <c r="D23" s="25" t="s">
        <v>665</v>
      </c>
      <c r="E23" s="255" t="s">
        <v>664</v>
      </c>
      <c r="F23" s="41" t="s">
        <v>601</v>
      </c>
      <c r="G23" s="54" t="s">
        <v>662</v>
      </c>
    </row>
    <row r="24" spans="1:7" ht="36" customHeight="1" thickBot="1">
      <c r="A24" s="752"/>
      <c r="B24" s="687"/>
      <c r="C24" s="274" t="s">
        <v>637</v>
      </c>
      <c r="D24" s="275" t="s">
        <v>639</v>
      </c>
      <c r="E24" s="276" t="s">
        <v>638</v>
      </c>
      <c r="F24" s="34" t="s">
        <v>84</v>
      </c>
      <c r="G24" s="277"/>
    </row>
    <row r="25" spans="1:7" ht="36" customHeight="1">
      <c r="A25" s="750">
        <v>43560</v>
      </c>
      <c r="B25" s="685" t="s">
        <v>18</v>
      </c>
      <c r="C25" s="306" t="s">
        <v>129</v>
      </c>
      <c r="D25" s="162" t="s">
        <v>387</v>
      </c>
      <c r="E25" s="253">
        <v>100</v>
      </c>
      <c r="F25" s="39" t="s">
        <v>640</v>
      </c>
      <c r="G25" s="53"/>
    </row>
    <row r="26" spans="1:7" ht="36" customHeight="1">
      <c r="A26" s="751"/>
      <c r="B26" s="686"/>
      <c r="C26" s="706" t="s">
        <v>7</v>
      </c>
      <c r="D26" s="163" t="s">
        <v>28</v>
      </c>
      <c r="E26" s="254">
        <v>64</v>
      </c>
      <c r="F26" s="35"/>
      <c r="G26" s="51"/>
    </row>
    <row r="27" spans="1:7" ht="36" customHeight="1">
      <c r="A27" s="751"/>
      <c r="B27" s="686"/>
      <c r="C27" s="703"/>
      <c r="D27" s="163" t="s">
        <v>27</v>
      </c>
      <c r="E27" s="254">
        <v>64</v>
      </c>
      <c r="F27" s="35"/>
      <c r="G27" s="51"/>
    </row>
    <row r="28" spans="1:7" ht="36" customHeight="1">
      <c r="A28" s="751"/>
      <c r="B28" s="686"/>
      <c r="C28" s="304" t="s">
        <v>4</v>
      </c>
      <c r="D28" s="163" t="s">
        <v>22</v>
      </c>
      <c r="E28" s="11" t="s">
        <v>8</v>
      </c>
      <c r="F28" s="35" t="s">
        <v>356</v>
      </c>
      <c r="G28" s="51"/>
    </row>
    <row r="29" spans="1:7" ht="36" customHeight="1" thickBot="1">
      <c r="A29" s="751"/>
      <c r="B29" s="686"/>
      <c r="C29" s="308"/>
      <c r="D29" s="287"/>
      <c r="E29" s="10"/>
      <c r="F29" s="40"/>
      <c r="G29" s="52"/>
    </row>
    <row r="30" spans="1:7" ht="36" customHeight="1" thickBot="1">
      <c r="A30" s="752"/>
      <c r="B30" s="687"/>
      <c r="C30" s="278"/>
      <c r="D30" s="279"/>
      <c r="E30" s="280"/>
      <c r="F30" s="280"/>
      <c r="G30" s="281"/>
    </row>
    <row r="31" spans="1:7" ht="101.25" customHeight="1" thickBot="1">
      <c r="A31" s="763" t="s">
        <v>0</v>
      </c>
      <c r="B31" s="755"/>
      <c r="C31" s="755"/>
      <c r="D31" s="755"/>
      <c r="E31" s="755"/>
      <c r="F31" s="755"/>
      <c r="G31" s="756"/>
    </row>
    <row r="32" spans="1:7" ht="36" customHeight="1">
      <c r="A32" s="750">
        <v>43563</v>
      </c>
      <c r="B32" s="685" t="s">
        <v>641</v>
      </c>
      <c r="C32" s="704" t="s">
        <v>649</v>
      </c>
      <c r="D32" s="162" t="s">
        <v>49</v>
      </c>
      <c r="E32" s="253">
        <v>3</v>
      </c>
      <c r="F32" s="39"/>
      <c r="G32" s="53" t="s">
        <v>671</v>
      </c>
    </row>
    <row r="33" spans="1:7" ht="36" customHeight="1">
      <c r="A33" s="751"/>
      <c r="B33" s="686"/>
      <c r="C33" s="701"/>
      <c r="D33" s="163" t="s">
        <v>36</v>
      </c>
      <c r="E33" s="254">
        <v>30</v>
      </c>
      <c r="F33" s="35"/>
      <c r="G33" s="51"/>
    </row>
    <row r="34" spans="1:7" ht="36" customHeight="1">
      <c r="A34" s="751"/>
      <c r="B34" s="686"/>
      <c r="C34" s="706" t="s">
        <v>672</v>
      </c>
      <c r="D34" s="25" t="s">
        <v>673</v>
      </c>
      <c r="E34" s="255" t="s">
        <v>674</v>
      </c>
      <c r="F34" s="41"/>
      <c r="G34" s="54"/>
    </row>
    <row r="35" spans="1:7" ht="36" customHeight="1">
      <c r="A35" s="751"/>
      <c r="B35" s="686"/>
      <c r="C35" s="705"/>
      <c r="D35" s="25" t="s">
        <v>675</v>
      </c>
      <c r="E35" s="255" t="s">
        <v>677</v>
      </c>
      <c r="F35" s="41"/>
      <c r="G35" s="54"/>
    </row>
    <row r="36" spans="1:7" ht="36" customHeight="1">
      <c r="A36" s="751"/>
      <c r="B36" s="686"/>
      <c r="C36" s="703"/>
      <c r="D36" s="25" t="s">
        <v>676</v>
      </c>
      <c r="E36" s="255" t="s">
        <v>674</v>
      </c>
      <c r="F36" s="41"/>
      <c r="G36" s="54"/>
    </row>
    <row r="37" spans="1:7" ht="36" customHeight="1" thickBot="1">
      <c r="A37" s="751"/>
      <c r="B37" s="686"/>
      <c r="C37" s="228"/>
      <c r="D37" s="286"/>
      <c r="E37" s="273"/>
      <c r="F37" s="40"/>
      <c r="G37" s="52"/>
    </row>
    <row r="38" spans="1:7" ht="36" customHeight="1" thickBot="1">
      <c r="A38" s="752"/>
      <c r="B38" s="687"/>
      <c r="C38" s="278"/>
      <c r="D38" s="279"/>
      <c r="E38" s="280"/>
      <c r="F38" s="13"/>
      <c r="G38" s="281"/>
    </row>
    <row r="39" spans="1:7" ht="36" customHeight="1">
      <c r="A39" s="750">
        <v>43564</v>
      </c>
      <c r="B39" s="685" t="s">
        <v>16</v>
      </c>
      <c r="C39" s="702" t="s">
        <v>656</v>
      </c>
      <c r="D39" s="162" t="s">
        <v>5</v>
      </c>
      <c r="E39" s="253">
        <v>225</v>
      </c>
      <c r="F39" s="39"/>
      <c r="G39" s="53" t="s">
        <v>693</v>
      </c>
    </row>
    <row r="40" spans="1:7" ht="36" customHeight="1">
      <c r="A40" s="751"/>
      <c r="B40" s="686"/>
      <c r="C40" s="703"/>
      <c r="D40" s="25" t="s">
        <v>666</v>
      </c>
      <c r="E40" s="255">
        <v>148</v>
      </c>
      <c r="F40" s="41"/>
      <c r="G40" s="54" t="s">
        <v>694</v>
      </c>
    </row>
    <row r="41" spans="1:7" ht="36" customHeight="1" thickBot="1">
      <c r="A41" s="751"/>
      <c r="B41" s="686"/>
      <c r="C41" s="251"/>
      <c r="D41" s="25"/>
      <c r="E41" s="255"/>
      <c r="F41" s="41"/>
      <c r="G41" s="54"/>
    </row>
    <row r="42" spans="1:7" ht="36" customHeight="1" thickBot="1">
      <c r="A42" s="752"/>
      <c r="B42" s="687"/>
      <c r="C42" s="256" t="s">
        <v>678</v>
      </c>
      <c r="D42" s="257" t="s">
        <v>679</v>
      </c>
      <c r="E42" s="258" t="s">
        <v>680</v>
      </c>
      <c r="F42" s="22" t="s">
        <v>84</v>
      </c>
      <c r="G42" s="259"/>
    </row>
    <row r="43" spans="1:7" ht="36" customHeight="1">
      <c r="A43" s="750">
        <v>43565</v>
      </c>
      <c r="B43" s="685" t="s">
        <v>15</v>
      </c>
      <c r="C43" s="702" t="s">
        <v>667</v>
      </c>
      <c r="D43" s="162" t="s">
        <v>668</v>
      </c>
      <c r="E43" s="253">
        <v>100</v>
      </c>
      <c r="F43" s="39"/>
      <c r="G43" s="53"/>
    </row>
    <row r="44" spans="1:7" ht="36" customHeight="1">
      <c r="A44" s="751"/>
      <c r="B44" s="686"/>
      <c r="C44" s="703"/>
      <c r="D44" s="163" t="s">
        <v>669</v>
      </c>
      <c r="E44" s="254" t="s">
        <v>670</v>
      </c>
      <c r="F44" s="35"/>
      <c r="G44" s="51"/>
    </row>
    <row r="45" spans="1:7" ht="36" customHeight="1" thickBot="1">
      <c r="A45" s="751"/>
      <c r="B45" s="686"/>
      <c r="C45" s="228"/>
      <c r="D45" s="292"/>
      <c r="E45" s="273"/>
      <c r="F45" s="40"/>
      <c r="G45" s="52"/>
    </row>
    <row r="46" spans="1:7" ht="36" customHeight="1" thickBot="1">
      <c r="A46" s="752"/>
      <c r="B46" s="687"/>
      <c r="C46" s="256"/>
      <c r="D46" s="257"/>
      <c r="E46" s="258"/>
      <c r="F46" s="22"/>
      <c r="G46" s="259"/>
    </row>
    <row r="47" spans="1:7" ht="36" customHeight="1">
      <c r="A47" s="750">
        <v>43566</v>
      </c>
      <c r="B47" s="685" t="s">
        <v>17</v>
      </c>
      <c r="C47" s="706" t="s">
        <v>695</v>
      </c>
      <c r="D47" s="25" t="s">
        <v>696</v>
      </c>
      <c r="E47" s="255" t="s">
        <v>697</v>
      </c>
      <c r="F47" s="41"/>
      <c r="G47" s="54" t="s">
        <v>705</v>
      </c>
    </row>
    <row r="48" spans="1:7" ht="36" customHeight="1">
      <c r="A48" s="751"/>
      <c r="B48" s="686"/>
      <c r="C48" s="703"/>
      <c r="D48" s="25" t="s">
        <v>698</v>
      </c>
      <c r="E48" s="255" t="s">
        <v>699</v>
      </c>
      <c r="F48" s="41"/>
      <c r="G48" s="54"/>
    </row>
    <row r="49" spans="1:7" ht="36" customHeight="1" thickBot="1">
      <c r="A49" s="751"/>
      <c r="B49" s="686"/>
      <c r="C49" s="307" t="s">
        <v>712</v>
      </c>
      <c r="D49" s="25" t="s">
        <v>713</v>
      </c>
      <c r="E49" s="255">
        <v>50</v>
      </c>
      <c r="F49" s="41"/>
      <c r="G49" s="54"/>
    </row>
    <row r="50" spans="1:7" ht="36" customHeight="1" thickBot="1">
      <c r="A50" s="752"/>
      <c r="B50" s="687"/>
      <c r="C50" s="274" t="s">
        <v>681</v>
      </c>
      <c r="D50" s="275" t="s">
        <v>679</v>
      </c>
      <c r="E50" s="276" t="s">
        <v>682</v>
      </c>
      <c r="F50" s="34" t="s">
        <v>683</v>
      </c>
      <c r="G50" s="277"/>
    </row>
    <row r="51" spans="1:7" ht="36" customHeight="1">
      <c r="A51" s="750">
        <v>43567</v>
      </c>
      <c r="B51" s="685" t="s">
        <v>18</v>
      </c>
      <c r="C51" s="306" t="s">
        <v>204</v>
      </c>
      <c r="D51" s="162" t="s">
        <v>703</v>
      </c>
      <c r="E51" s="253" t="s">
        <v>704</v>
      </c>
      <c r="F51" s="39"/>
      <c r="G51" s="53" t="s">
        <v>660</v>
      </c>
    </row>
    <row r="52" spans="1:7" ht="36" customHeight="1">
      <c r="A52" s="751"/>
      <c r="B52" s="686"/>
      <c r="C52" s="701" t="s">
        <v>707</v>
      </c>
      <c r="D52" s="163" t="s">
        <v>708</v>
      </c>
      <c r="E52" s="254">
        <v>30</v>
      </c>
      <c r="F52" s="35"/>
      <c r="G52" s="51" t="s">
        <v>720</v>
      </c>
    </row>
    <row r="53" spans="1:7" ht="36" customHeight="1">
      <c r="A53" s="751"/>
      <c r="B53" s="686"/>
      <c r="C53" s="701"/>
      <c r="D53" s="163" t="s">
        <v>709</v>
      </c>
      <c r="E53" s="254" t="s">
        <v>710</v>
      </c>
      <c r="F53" s="35" t="s">
        <v>711</v>
      </c>
      <c r="G53" s="51"/>
    </row>
    <row r="54" spans="1:7" ht="36" customHeight="1" thickBot="1">
      <c r="A54" s="751"/>
      <c r="B54" s="686"/>
      <c r="C54" s="228"/>
      <c r="D54" s="293"/>
      <c r="E54" s="273"/>
      <c r="F54" s="40"/>
      <c r="G54" s="52"/>
    </row>
    <row r="55" spans="1:7" ht="36" customHeight="1" thickBot="1">
      <c r="A55" s="751"/>
      <c r="B55" s="686"/>
      <c r="C55" s="296" t="s">
        <v>689</v>
      </c>
      <c r="D55" s="297" t="s">
        <v>690</v>
      </c>
      <c r="E55" s="298" t="s">
        <v>692</v>
      </c>
      <c r="F55" s="298" t="s">
        <v>691</v>
      </c>
      <c r="G55" s="299"/>
    </row>
    <row r="56" spans="1:7" ht="36" customHeight="1" thickBot="1">
      <c r="A56" s="751"/>
      <c r="B56" s="686"/>
      <c r="C56" s="47" t="s">
        <v>507</v>
      </c>
      <c r="D56" s="27" t="s">
        <v>349</v>
      </c>
      <c r="E56" s="22" t="s">
        <v>165</v>
      </c>
      <c r="F56" s="22" t="s">
        <v>126</v>
      </c>
      <c r="G56" s="58"/>
    </row>
    <row r="57" spans="1:7" ht="36" customHeight="1" thickBot="1">
      <c r="A57" s="752"/>
      <c r="B57" s="687"/>
      <c r="C57" s="256" t="s">
        <v>684</v>
      </c>
      <c r="D57" s="257" t="s">
        <v>685</v>
      </c>
      <c r="E57" s="258" t="s">
        <v>686</v>
      </c>
      <c r="F57" s="22" t="s">
        <v>687</v>
      </c>
      <c r="G57" s="291" t="s">
        <v>688</v>
      </c>
    </row>
    <row r="58" spans="1:7" ht="111.75" customHeight="1" thickBot="1">
      <c r="A58" s="763" t="s">
        <v>0</v>
      </c>
      <c r="B58" s="755"/>
      <c r="C58" s="755"/>
      <c r="D58" s="755"/>
      <c r="E58" s="755"/>
      <c r="F58" s="755"/>
      <c r="G58" s="756"/>
    </row>
    <row r="59" spans="1:7" ht="36" customHeight="1">
      <c r="A59" s="750">
        <v>43570</v>
      </c>
      <c r="B59" s="685" t="s">
        <v>700</v>
      </c>
      <c r="C59" s="704" t="s">
        <v>716</v>
      </c>
      <c r="D59" s="162" t="s">
        <v>717</v>
      </c>
      <c r="E59" s="253">
        <v>172</v>
      </c>
      <c r="F59" s="39"/>
      <c r="G59" s="53" t="s">
        <v>719</v>
      </c>
    </row>
    <row r="60" spans="1:7" ht="36" customHeight="1">
      <c r="A60" s="751"/>
      <c r="B60" s="686"/>
      <c r="C60" s="701"/>
      <c r="D60" s="163" t="s">
        <v>718</v>
      </c>
      <c r="E60" s="254">
        <v>1</v>
      </c>
      <c r="F60" s="35"/>
      <c r="G60" s="51"/>
    </row>
    <row r="61" spans="1:7" ht="36" customHeight="1" thickBot="1">
      <c r="A61" s="751"/>
      <c r="B61" s="686"/>
      <c r="C61" s="307" t="s">
        <v>724</v>
      </c>
      <c r="D61" s="25" t="s">
        <v>28</v>
      </c>
      <c r="E61" s="255">
        <v>100</v>
      </c>
      <c r="F61" s="41"/>
      <c r="G61" s="54"/>
    </row>
    <row r="62" spans="1:7" ht="36" customHeight="1" thickBot="1">
      <c r="A62" s="752"/>
      <c r="B62" s="687"/>
      <c r="C62" s="256"/>
      <c r="D62" s="257"/>
      <c r="E62" s="258"/>
      <c r="F62" s="22"/>
      <c r="G62" s="259"/>
    </row>
    <row r="63" spans="1:7" ht="36" customHeight="1">
      <c r="A63" s="750">
        <v>43571</v>
      </c>
      <c r="B63" s="685" t="s">
        <v>16</v>
      </c>
      <c r="C63" s="304" t="s">
        <v>706</v>
      </c>
      <c r="D63" s="163" t="s">
        <v>22</v>
      </c>
      <c r="E63" s="254" t="s">
        <v>103</v>
      </c>
      <c r="F63" s="35"/>
      <c r="G63" s="51"/>
    </row>
    <row r="64" spans="1:7" ht="36" customHeight="1">
      <c r="A64" s="751"/>
      <c r="B64" s="686"/>
      <c r="C64" s="251"/>
      <c r="D64" s="25"/>
      <c r="E64" s="255"/>
      <c r="F64" s="41"/>
      <c r="G64" s="54"/>
    </row>
    <row r="65" spans="1:7" ht="36" customHeight="1" thickBot="1">
      <c r="A65" s="751"/>
      <c r="B65" s="686"/>
      <c r="C65" s="251"/>
      <c r="D65" s="25"/>
      <c r="E65" s="255"/>
      <c r="F65" s="41"/>
      <c r="G65" s="54"/>
    </row>
    <row r="66" spans="1:7" ht="36" customHeight="1" thickBot="1">
      <c r="A66" s="752"/>
      <c r="B66" s="687"/>
      <c r="C66" s="274"/>
      <c r="D66" s="275"/>
      <c r="E66" s="276"/>
      <c r="F66" s="34"/>
      <c r="G66" s="277"/>
    </row>
    <row r="67" spans="1:7" ht="36" customHeight="1">
      <c r="A67" s="750">
        <v>43572</v>
      </c>
      <c r="B67" s="685" t="s">
        <v>15</v>
      </c>
      <c r="C67" s="704" t="s">
        <v>7</v>
      </c>
      <c r="D67" s="162" t="s">
        <v>715</v>
      </c>
      <c r="E67" s="253">
        <v>64</v>
      </c>
      <c r="F67" s="191" t="s">
        <v>734</v>
      </c>
      <c r="G67" s="53" t="s">
        <v>729</v>
      </c>
    </row>
    <row r="68" spans="1:7" ht="36" customHeight="1">
      <c r="A68" s="751"/>
      <c r="B68" s="686"/>
      <c r="C68" s="701"/>
      <c r="D68" s="163" t="s">
        <v>714</v>
      </c>
      <c r="E68" s="254">
        <v>40</v>
      </c>
      <c r="F68" s="35"/>
      <c r="G68" s="51"/>
    </row>
    <row r="69" spans="1:7" ht="36" customHeight="1">
      <c r="A69" s="751"/>
      <c r="B69" s="686"/>
      <c r="C69" s="701"/>
      <c r="D69" s="163" t="s">
        <v>708</v>
      </c>
      <c r="E69" s="254">
        <v>64</v>
      </c>
      <c r="F69" s="35"/>
      <c r="G69" s="51"/>
    </row>
    <row r="70" spans="1:7" ht="36" customHeight="1">
      <c r="A70" s="751"/>
      <c r="B70" s="686"/>
      <c r="C70" s="701"/>
      <c r="D70" s="163" t="s">
        <v>713</v>
      </c>
      <c r="E70" s="254">
        <v>100</v>
      </c>
      <c r="F70" s="35" t="s">
        <v>735</v>
      </c>
      <c r="G70" s="51"/>
    </row>
    <row r="71" spans="1:7" ht="36" customHeight="1">
      <c r="A71" s="751"/>
      <c r="B71" s="686"/>
      <c r="C71" s="307" t="s">
        <v>721</v>
      </c>
      <c r="D71" s="25" t="s">
        <v>722</v>
      </c>
      <c r="E71" s="255">
        <v>50</v>
      </c>
      <c r="F71" s="41" t="s">
        <v>723</v>
      </c>
      <c r="G71" s="54"/>
    </row>
    <row r="72" spans="1:7" ht="36" customHeight="1" thickBot="1">
      <c r="A72" s="751"/>
      <c r="B72" s="686"/>
      <c r="C72" s="307"/>
      <c r="D72" s="25"/>
      <c r="E72" s="255"/>
      <c r="F72" s="41"/>
      <c r="G72" s="54"/>
    </row>
    <row r="73" spans="1:7" ht="36" customHeight="1" thickBot="1">
      <c r="A73" s="752"/>
      <c r="B73" s="687"/>
      <c r="C73" s="256"/>
      <c r="D73" s="257"/>
      <c r="E73" s="258"/>
      <c r="F73" s="22"/>
      <c r="G73" s="259"/>
    </row>
    <row r="74" spans="1:7" ht="36" customHeight="1">
      <c r="A74" s="750">
        <v>43573</v>
      </c>
      <c r="B74" s="685" t="s">
        <v>17</v>
      </c>
      <c r="C74" s="305" t="s">
        <v>732</v>
      </c>
      <c r="D74" s="18" t="s">
        <v>733</v>
      </c>
      <c r="E74" s="290">
        <v>300</v>
      </c>
      <c r="F74" s="42"/>
      <c r="G74" s="55" t="s">
        <v>736</v>
      </c>
    </row>
    <row r="75" spans="1:7" ht="36" customHeight="1">
      <c r="A75" s="751"/>
      <c r="B75" s="686"/>
      <c r="C75" s="305"/>
      <c r="D75" s="18"/>
      <c r="E75" s="290"/>
      <c r="F75" s="42"/>
      <c r="G75" s="55"/>
    </row>
    <row r="76" spans="1:7" ht="36" customHeight="1">
      <c r="A76" s="751"/>
      <c r="B76" s="686"/>
      <c r="C76" s="764" t="s">
        <v>421</v>
      </c>
      <c r="D76" s="765"/>
      <c r="E76" s="294" t="s">
        <v>419</v>
      </c>
      <c r="F76" s="295" t="s">
        <v>727</v>
      </c>
      <c r="G76" s="51"/>
    </row>
    <row r="77" spans="1:7" ht="36" customHeight="1" thickBot="1">
      <c r="A77" s="751"/>
      <c r="B77" s="686"/>
      <c r="C77" s="742" t="s">
        <v>421</v>
      </c>
      <c r="D77" s="743"/>
      <c r="E77" s="215" t="s">
        <v>419</v>
      </c>
      <c r="F77" s="216" t="s">
        <v>728</v>
      </c>
      <c r="G77" s="52"/>
    </row>
    <row r="78" spans="1:7" ht="36" customHeight="1" thickBot="1">
      <c r="A78" s="752"/>
      <c r="B78" s="687"/>
      <c r="C78" s="278"/>
      <c r="D78" s="279"/>
      <c r="E78" s="280"/>
      <c r="F78" s="13"/>
      <c r="G78" s="281"/>
    </row>
    <row r="79" spans="1:7" ht="36" customHeight="1">
      <c r="A79" s="750">
        <v>43574</v>
      </c>
      <c r="B79" s="685" t="s">
        <v>18</v>
      </c>
      <c r="C79" s="702" t="s">
        <v>702</v>
      </c>
      <c r="D79" s="162" t="s">
        <v>730</v>
      </c>
      <c r="E79" s="253">
        <v>316</v>
      </c>
      <c r="F79" s="39"/>
      <c r="G79" s="53" t="s">
        <v>701</v>
      </c>
    </row>
    <row r="80" spans="1:7" ht="36" customHeight="1">
      <c r="A80" s="751"/>
      <c r="B80" s="686"/>
      <c r="C80" s="703"/>
      <c r="D80" s="25" t="s">
        <v>731</v>
      </c>
      <c r="E80" s="255">
        <v>2</v>
      </c>
      <c r="F80" s="41"/>
      <c r="G80" s="54" t="s">
        <v>739</v>
      </c>
    </row>
    <row r="81" spans="1:7" ht="36" customHeight="1" thickBot="1">
      <c r="A81" s="751"/>
      <c r="B81" s="686"/>
      <c r="C81" s="251"/>
      <c r="D81" s="25"/>
      <c r="E81" s="255"/>
      <c r="F81" s="41"/>
      <c r="G81" s="54"/>
    </row>
    <row r="82" spans="1:7" ht="36" customHeight="1" thickBot="1">
      <c r="A82" s="752"/>
      <c r="B82" s="687"/>
      <c r="C82" s="47" t="s">
        <v>617</v>
      </c>
      <c r="D82" s="27" t="s">
        <v>725</v>
      </c>
      <c r="E82" s="22" t="s">
        <v>506</v>
      </c>
      <c r="F82" s="22" t="s">
        <v>726</v>
      </c>
      <c r="G82" s="58"/>
    </row>
    <row r="83" spans="1:7" ht="103.5" customHeight="1" thickBot="1">
      <c r="A83" s="753" t="s">
        <v>0</v>
      </c>
      <c r="B83" s="754"/>
      <c r="C83" s="755"/>
      <c r="D83" s="755"/>
      <c r="E83" s="755"/>
      <c r="F83" s="755"/>
      <c r="G83" s="756"/>
    </row>
    <row r="84" spans="1:7" ht="36" customHeight="1">
      <c r="A84" s="751">
        <v>43577</v>
      </c>
      <c r="B84" s="686" t="s">
        <v>752</v>
      </c>
      <c r="C84" s="704" t="s">
        <v>744</v>
      </c>
      <c r="D84" s="162" t="s">
        <v>745</v>
      </c>
      <c r="E84" s="253" t="s">
        <v>748</v>
      </c>
      <c r="F84" s="39"/>
      <c r="G84" s="53" t="s">
        <v>740</v>
      </c>
    </row>
    <row r="85" spans="1:7" ht="36" customHeight="1">
      <c r="A85" s="751"/>
      <c r="B85" s="686"/>
      <c r="C85" s="757"/>
      <c r="D85" s="163" t="s">
        <v>746</v>
      </c>
      <c r="E85" s="254" t="s">
        <v>747</v>
      </c>
      <c r="F85" s="35"/>
      <c r="G85" s="51" t="s">
        <v>488</v>
      </c>
    </row>
    <row r="86" spans="1:7" ht="36" customHeight="1">
      <c r="A86" s="751"/>
      <c r="B86" s="686"/>
      <c r="C86" s="701" t="s">
        <v>753</v>
      </c>
      <c r="D86" s="163" t="s">
        <v>754</v>
      </c>
      <c r="E86" s="254">
        <v>50</v>
      </c>
      <c r="F86" s="35"/>
      <c r="G86" s="51"/>
    </row>
    <row r="87" spans="1:7" ht="36" customHeight="1" thickBot="1">
      <c r="A87" s="751"/>
      <c r="B87" s="686"/>
      <c r="C87" s="766"/>
      <c r="D87" s="309" t="s">
        <v>755</v>
      </c>
      <c r="E87" s="273">
        <v>50</v>
      </c>
      <c r="F87" s="40"/>
      <c r="G87" s="52"/>
    </row>
    <row r="88" spans="1:7" ht="36" customHeight="1" thickBot="1">
      <c r="A88" s="752"/>
      <c r="B88" s="687"/>
      <c r="C88" s="282"/>
      <c r="D88" s="283"/>
      <c r="E88" s="316"/>
      <c r="F88" s="14"/>
      <c r="G88" s="285"/>
    </row>
    <row r="89" spans="1:7" ht="36" customHeight="1">
      <c r="A89" s="750">
        <v>43578</v>
      </c>
      <c r="B89" s="685" t="s">
        <v>16</v>
      </c>
      <c r="C89" s="704" t="s">
        <v>65</v>
      </c>
      <c r="D89" s="162" t="s">
        <v>741</v>
      </c>
      <c r="E89" s="253">
        <v>10</v>
      </c>
      <c r="F89" s="39"/>
      <c r="G89" s="53"/>
    </row>
    <row r="90" spans="1:7" ht="36" customHeight="1">
      <c r="A90" s="751"/>
      <c r="B90" s="686"/>
      <c r="C90" s="757"/>
      <c r="D90" s="163" t="s">
        <v>742</v>
      </c>
      <c r="E90" s="254">
        <v>100</v>
      </c>
      <c r="F90" s="35"/>
      <c r="G90" s="51"/>
    </row>
    <row r="91" spans="1:7" ht="36" customHeight="1">
      <c r="A91" s="758"/>
      <c r="B91" s="760"/>
      <c r="C91" s="757"/>
      <c r="D91" s="163" t="s">
        <v>743</v>
      </c>
      <c r="E91" s="302">
        <v>15</v>
      </c>
      <c r="F91" s="35"/>
      <c r="G91" s="51"/>
    </row>
    <row r="92" spans="1:7" ht="36" customHeight="1" thickBot="1">
      <c r="A92" s="758"/>
      <c r="B92" s="760"/>
      <c r="C92" s="320" t="s">
        <v>767</v>
      </c>
      <c r="D92" s="117" t="s">
        <v>768</v>
      </c>
      <c r="E92" s="324">
        <v>200</v>
      </c>
      <c r="F92" s="321"/>
      <c r="G92" s="322"/>
    </row>
    <row r="93" spans="1:7" ht="36" customHeight="1" thickBot="1">
      <c r="A93" s="759"/>
      <c r="B93" s="761"/>
      <c r="C93" s="256"/>
      <c r="D93" s="257"/>
      <c r="E93" s="301"/>
      <c r="F93" s="22"/>
      <c r="G93" s="259"/>
    </row>
    <row r="94" spans="1:7" ht="36" customHeight="1">
      <c r="A94" s="750">
        <v>43579</v>
      </c>
      <c r="B94" s="685" t="s">
        <v>15</v>
      </c>
      <c r="C94" s="704" t="s">
        <v>34</v>
      </c>
      <c r="D94" s="162" t="s">
        <v>737</v>
      </c>
      <c r="E94" s="253">
        <v>50</v>
      </c>
      <c r="F94" s="39" t="s">
        <v>738</v>
      </c>
      <c r="G94" s="53"/>
    </row>
    <row r="95" spans="1:7" ht="36" customHeight="1">
      <c r="A95" s="751"/>
      <c r="B95" s="686"/>
      <c r="C95" s="762"/>
      <c r="D95" s="313" t="s">
        <v>750</v>
      </c>
      <c r="E95" s="314" t="s">
        <v>749</v>
      </c>
      <c r="F95" s="303" t="s">
        <v>751</v>
      </c>
      <c r="G95" s="315"/>
    </row>
    <row r="96" spans="1:7" ht="36" customHeight="1">
      <c r="A96" s="751"/>
      <c r="B96" s="686"/>
      <c r="C96" s="318" t="s">
        <v>762</v>
      </c>
      <c r="D96" s="163" t="s">
        <v>22</v>
      </c>
      <c r="E96" s="302" t="s">
        <v>91</v>
      </c>
      <c r="F96" s="35"/>
      <c r="G96" s="51"/>
    </row>
    <row r="97" spans="1:7" ht="36" customHeight="1" thickBot="1">
      <c r="A97" s="751"/>
      <c r="B97" s="686"/>
      <c r="C97" s="319" t="s">
        <v>779</v>
      </c>
      <c r="D97" s="300" t="s">
        <v>780</v>
      </c>
      <c r="E97" s="273" t="s">
        <v>781</v>
      </c>
      <c r="F97" s="40" t="s">
        <v>782</v>
      </c>
      <c r="G97" s="52"/>
    </row>
    <row r="98" spans="1:7" ht="36" customHeight="1" thickBot="1">
      <c r="A98" s="752"/>
      <c r="B98" s="687"/>
      <c r="C98" s="274"/>
      <c r="D98" s="275"/>
      <c r="E98" s="323"/>
      <c r="F98" s="34"/>
      <c r="G98" s="277"/>
    </row>
    <row r="99" spans="1:7" ht="36" customHeight="1">
      <c r="A99" s="751">
        <v>43580</v>
      </c>
      <c r="B99" s="686" t="s">
        <v>776</v>
      </c>
      <c r="C99" s="310" t="s">
        <v>3</v>
      </c>
      <c r="D99" s="162" t="s">
        <v>5</v>
      </c>
      <c r="E99" s="253">
        <v>240</v>
      </c>
      <c r="F99" s="39"/>
      <c r="G99" s="53"/>
    </row>
    <row r="100" spans="1:7" ht="36" customHeight="1">
      <c r="A100" s="751"/>
      <c r="B100" s="686"/>
      <c r="C100" s="706" t="s">
        <v>7</v>
      </c>
      <c r="D100" s="163" t="s">
        <v>769</v>
      </c>
      <c r="E100" s="254" t="s">
        <v>770</v>
      </c>
      <c r="F100" s="35"/>
      <c r="G100" s="51"/>
    </row>
    <row r="101" spans="1:7" ht="36" customHeight="1">
      <c r="A101" s="751"/>
      <c r="B101" s="686"/>
      <c r="C101" s="705"/>
      <c r="D101" s="163" t="s">
        <v>772</v>
      </c>
      <c r="E101" s="254" t="s">
        <v>771</v>
      </c>
      <c r="F101" s="35"/>
      <c r="G101" s="51"/>
    </row>
    <row r="102" spans="1:7" ht="36" customHeight="1">
      <c r="A102" s="751"/>
      <c r="B102" s="686"/>
      <c r="C102" s="705"/>
      <c r="D102" s="163" t="s">
        <v>773</v>
      </c>
      <c r="E102" s="254">
        <v>100</v>
      </c>
      <c r="F102" s="35"/>
      <c r="G102" s="51"/>
    </row>
    <row r="103" spans="1:7" ht="36" customHeight="1">
      <c r="A103" s="751"/>
      <c r="B103" s="686"/>
      <c r="C103" s="705"/>
      <c r="D103" s="163" t="s">
        <v>774</v>
      </c>
      <c r="E103" s="254">
        <v>64</v>
      </c>
      <c r="F103" s="35"/>
      <c r="G103" s="51"/>
    </row>
    <row r="104" spans="1:7" ht="36" customHeight="1">
      <c r="A104" s="751"/>
      <c r="B104" s="686"/>
      <c r="C104" s="703"/>
      <c r="D104" s="163" t="s">
        <v>775</v>
      </c>
      <c r="E104" s="254">
        <v>64</v>
      </c>
      <c r="F104" s="35"/>
      <c r="G104" s="51"/>
    </row>
    <row r="105" spans="1:7" ht="36" customHeight="1" thickBot="1">
      <c r="A105" s="751"/>
      <c r="B105" s="686"/>
      <c r="C105" s="228"/>
      <c r="D105" s="311"/>
      <c r="E105" s="273"/>
      <c r="F105" s="40"/>
      <c r="G105" s="52"/>
    </row>
    <row r="106" spans="1:7" ht="36" customHeight="1" thickBot="1">
      <c r="A106" s="752"/>
      <c r="B106" s="687"/>
      <c r="C106" s="278"/>
      <c r="D106" s="279"/>
      <c r="E106" s="312"/>
      <c r="F106" s="13"/>
      <c r="G106" s="281"/>
    </row>
    <row r="107" spans="1:7" ht="36" customHeight="1">
      <c r="A107" s="750">
        <v>43581</v>
      </c>
      <c r="B107" s="685" t="s">
        <v>18</v>
      </c>
      <c r="C107" s="306" t="s">
        <v>777</v>
      </c>
      <c r="D107" s="162" t="s">
        <v>778</v>
      </c>
      <c r="E107" s="253">
        <v>100</v>
      </c>
      <c r="F107" s="39"/>
      <c r="G107" s="53" t="s">
        <v>790</v>
      </c>
    </row>
    <row r="108" spans="1:7" ht="36" customHeight="1">
      <c r="A108" s="751"/>
      <c r="B108" s="686"/>
      <c r="C108" s="307" t="s">
        <v>756</v>
      </c>
      <c r="D108" s="25" t="s">
        <v>758</v>
      </c>
      <c r="E108" s="255">
        <v>100</v>
      </c>
      <c r="F108" s="41" t="s">
        <v>757</v>
      </c>
      <c r="G108" s="54" t="s">
        <v>759</v>
      </c>
    </row>
    <row r="109" spans="1:7" ht="36" customHeight="1" thickBot="1">
      <c r="A109" s="751"/>
      <c r="B109" s="686"/>
      <c r="C109" s="228"/>
      <c r="D109" s="300"/>
      <c r="E109" s="273"/>
      <c r="F109" s="40"/>
      <c r="G109" s="52"/>
    </row>
    <row r="110" spans="1:7" ht="36" customHeight="1" thickBot="1">
      <c r="A110" s="752"/>
      <c r="B110" s="687"/>
      <c r="C110" s="47" t="s">
        <v>617</v>
      </c>
      <c r="D110" s="27" t="s">
        <v>569</v>
      </c>
      <c r="E110" s="301">
        <v>17.8</v>
      </c>
      <c r="F110" s="22" t="s">
        <v>126</v>
      </c>
      <c r="G110" s="58"/>
    </row>
    <row r="111" spans="1:7" ht="122.25" customHeight="1" thickBot="1">
      <c r="A111" s="753" t="s">
        <v>0</v>
      </c>
      <c r="B111" s="754"/>
      <c r="C111" s="755"/>
      <c r="D111" s="755"/>
      <c r="E111" s="755"/>
      <c r="F111" s="755"/>
      <c r="G111" s="756"/>
    </row>
    <row r="112" spans="1:7" ht="36" customHeight="1">
      <c r="A112" s="750">
        <v>43584</v>
      </c>
      <c r="B112" s="685" t="s">
        <v>760</v>
      </c>
      <c r="C112" s="310" t="s">
        <v>764</v>
      </c>
      <c r="D112" s="162" t="s">
        <v>766</v>
      </c>
      <c r="E112" s="253" t="s">
        <v>765</v>
      </c>
      <c r="F112" s="39" t="s">
        <v>800</v>
      </c>
      <c r="G112" s="53" t="s">
        <v>788</v>
      </c>
    </row>
    <row r="113" spans="1:7" ht="36" customHeight="1">
      <c r="A113" s="751"/>
      <c r="B113" s="686"/>
      <c r="C113" s="706" t="s">
        <v>783</v>
      </c>
      <c r="D113" s="25" t="s">
        <v>785</v>
      </c>
      <c r="E113" s="255">
        <v>6</v>
      </c>
      <c r="F113" s="41" t="s">
        <v>784</v>
      </c>
      <c r="G113" s="54" t="s">
        <v>819</v>
      </c>
    </row>
    <row r="114" spans="1:7" ht="36" customHeight="1">
      <c r="A114" s="751"/>
      <c r="B114" s="686"/>
      <c r="C114" s="705"/>
      <c r="D114" s="25" t="s">
        <v>787</v>
      </c>
      <c r="E114" s="255">
        <v>39</v>
      </c>
      <c r="F114" s="41"/>
      <c r="G114" s="54"/>
    </row>
    <row r="115" spans="1:7" ht="36" customHeight="1">
      <c r="A115" s="751"/>
      <c r="B115" s="686"/>
      <c r="C115" s="703"/>
      <c r="D115" s="25" t="s">
        <v>786</v>
      </c>
      <c r="E115" s="255">
        <v>6</v>
      </c>
      <c r="F115" s="41"/>
      <c r="G115" s="54"/>
    </row>
    <row r="116" spans="1:7" ht="36" customHeight="1" thickBot="1">
      <c r="A116" s="751"/>
      <c r="B116" s="686"/>
      <c r="C116" s="328" t="s">
        <v>803</v>
      </c>
      <c r="D116" s="309" t="s">
        <v>804</v>
      </c>
      <c r="E116" s="273">
        <v>100</v>
      </c>
      <c r="F116" s="40" t="s">
        <v>805</v>
      </c>
      <c r="G116" s="52"/>
    </row>
    <row r="117" spans="1:7" ht="36" customHeight="1" thickBot="1">
      <c r="A117" s="752"/>
      <c r="B117" s="687"/>
      <c r="C117" s="48"/>
      <c r="D117" s="33"/>
      <c r="E117" s="323"/>
      <c r="F117" s="34"/>
      <c r="G117" s="61"/>
    </row>
    <row r="118" spans="1:7" ht="36" customHeight="1">
      <c r="A118" s="750">
        <v>43585</v>
      </c>
      <c r="B118" s="685" t="s">
        <v>16</v>
      </c>
      <c r="C118" s="327" t="s">
        <v>761</v>
      </c>
      <c r="D118" s="162" t="s">
        <v>791</v>
      </c>
      <c r="E118" s="253">
        <v>101</v>
      </c>
      <c r="F118" s="39"/>
      <c r="G118" s="53" t="s">
        <v>763</v>
      </c>
    </row>
    <row r="119" spans="1:7" ht="36" customHeight="1">
      <c r="A119" s="751"/>
      <c r="B119" s="686"/>
      <c r="C119" s="701" t="s">
        <v>7</v>
      </c>
      <c r="D119" s="163" t="s">
        <v>801</v>
      </c>
      <c r="E119" s="254">
        <v>64</v>
      </c>
      <c r="F119" s="35"/>
      <c r="G119" s="51"/>
    </row>
    <row r="120" spans="1:7" ht="36" customHeight="1">
      <c r="A120" s="751"/>
      <c r="B120" s="686"/>
      <c r="C120" s="701"/>
      <c r="D120" s="163" t="s">
        <v>802</v>
      </c>
      <c r="E120" s="254">
        <v>50</v>
      </c>
      <c r="F120" s="35"/>
      <c r="G120" s="51"/>
    </row>
    <row r="121" spans="1:7" ht="36" customHeight="1" thickBot="1">
      <c r="A121" s="751"/>
      <c r="B121" s="686"/>
      <c r="C121" s="723"/>
      <c r="D121" s="329" t="s">
        <v>817</v>
      </c>
      <c r="E121" s="273">
        <v>30</v>
      </c>
      <c r="F121" s="40" t="s">
        <v>818</v>
      </c>
      <c r="G121" s="52"/>
    </row>
    <row r="122" spans="1:7" ht="36" customHeight="1" thickBot="1">
      <c r="A122" s="752"/>
      <c r="B122" s="687"/>
      <c r="C122" s="151"/>
      <c r="D122" s="20"/>
      <c r="E122" s="312"/>
      <c r="F122" s="13"/>
      <c r="G122" s="62"/>
    </row>
    <row r="123" spans="1:7" ht="36" customHeight="1">
      <c r="A123" s="750">
        <v>43586</v>
      </c>
      <c r="B123" s="685" t="s">
        <v>15</v>
      </c>
      <c r="C123" s="744" t="s">
        <v>797</v>
      </c>
      <c r="D123" s="745"/>
      <c r="E123" s="745"/>
      <c r="F123" s="746"/>
      <c r="G123" s="53" t="s">
        <v>799</v>
      </c>
    </row>
    <row r="124" spans="1:7" ht="36" customHeight="1">
      <c r="A124" s="751"/>
      <c r="B124" s="686"/>
      <c r="C124" s="747"/>
      <c r="D124" s="748"/>
      <c r="E124" s="748"/>
      <c r="F124" s="749"/>
      <c r="G124" s="54"/>
    </row>
    <row r="125" spans="1:7" ht="36" customHeight="1" thickBot="1">
      <c r="A125" s="751"/>
      <c r="B125" s="686"/>
      <c r="C125" s="332" t="s">
        <v>34</v>
      </c>
      <c r="D125" s="333" t="s">
        <v>834</v>
      </c>
      <c r="E125" s="273">
        <v>400</v>
      </c>
      <c r="F125" s="40" t="s">
        <v>835</v>
      </c>
      <c r="G125" s="52"/>
    </row>
    <row r="126" spans="1:7" ht="36" customHeight="1">
      <c r="A126" s="750">
        <v>43587</v>
      </c>
      <c r="B126" s="685" t="s">
        <v>17</v>
      </c>
      <c r="C126" s="306"/>
      <c r="D126" s="162"/>
      <c r="E126" s="253"/>
      <c r="F126" s="39"/>
      <c r="G126" s="53" t="s">
        <v>789</v>
      </c>
    </row>
    <row r="127" spans="1:7" ht="36" customHeight="1">
      <c r="A127" s="751"/>
      <c r="B127" s="686"/>
      <c r="C127" s="307"/>
      <c r="D127" s="25"/>
      <c r="E127" s="255"/>
      <c r="F127" s="41"/>
      <c r="G127" s="54" t="s">
        <v>795</v>
      </c>
    </row>
    <row r="128" spans="1:7" ht="36" customHeight="1" thickBot="1">
      <c r="A128" s="751"/>
      <c r="B128" s="686"/>
      <c r="C128" s="228"/>
      <c r="D128" s="309"/>
      <c r="E128" s="273"/>
      <c r="F128" s="40"/>
      <c r="G128" s="52"/>
    </row>
    <row r="129" spans="1:7" ht="36" customHeight="1">
      <c r="A129" s="750">
        <v>43588</v>
      </c>
      <c r="B129" s="685" t="s">
        <v>18</v>
      </c>
      <c r="C129" s="744" t="s">
        <v>796</v>
      </c>
      <c r="D129" s="745"/>
      <c r="E129" s="745"/>
      <c r="F129" s="746"/>
      <c r="G129" s="53" t="s">
        <v>798</v>
      </c>
    </row>
    <row r="130" spans="1:7" ht="36" customHeight="1">
      <c r="A130" s="751"/>
      <c r="B130" s="686"/>
      <c r="C130" s="747"/>
      <c r="D130" s="748"/>
      <c r="E130" s="748"/>
      <c r="F130" s="749"/>
      <c r="G130" s="54"/>
    </row>
    <row r="131" spans="1:7" ht="36" customHeight="1" thickBot="1">
      <c r="A131" s="751"/>
      <c r="B131" s="686"/>
      <c r="C131" s="747"/>
      <c r="D131" s="748"/>
      <c r="E131" s="748"/>
      <c r="F131" s="749"/>
      <c r="G131" s="54"/>
    </row>
    <row r="132" spans="1:7" ht="36" customHeight="1" thickBot="1">
      <c r="A132" s="752"/>
      <c r="B132" s="687"/>
      <c r="C132" s="334"/>
      <c r="D132" s="335"/>
      <c r="E132" s="335"/>
      <c r="F132" s="335"/>
      <c r="G132" s="58"/>
    </row>
  </sheetData>
  <mergeCells count="80">
    <mergeCell ref="A84:A88"/>
    <mergeCell ref="B84:B88"/>
    <mergeCell ref="C79:C80"/>
    <mergeCell ref="A79:A82"/>
    <mergeCell ref="B79:B82"/>
    <mergeCell ref="C84:C85"/>
    <mergeCell ref="C86:C87"/>
    <mergeCell ref="C76:D76"/>
    <mergeCell ref="C77:D77"/>
    <mergeCell ref="A74:A78"/>
    <mergeCell ref="B74:B78"/>
    <mergeCell ref="A83:G83"/>
    <mergeCell ref="A39:A42"/>
    <mergeCell ref="B39:B42"/>
    <mergeCell ref="C39:C40"/>
    <mergeCell ref="C43:C44"/>
    <mergeCell ref="A43:A46"/>
    <mergeCell ref="B43:B46"/>
    <mergeCell ref="A47:A50"/>
    <mergeCell ref="B47:B50"/>
    <mergeCell ref="C47:C48"/>
    <mergeCell ref="C52:C53"/>
    <mergeCell ref="C67:C70"/>
    <mergeCell ref="C59:C60"/>
    <mergeCell ref="A67:A73"/>
    <mergeCell ref="B67:B73"/>
    <mergeCell ref="A58:G58"/>
    <mergeCell ref="A59:A62"/>
    <mergeCell ref="B59:B62"/>
    <mergeCell ref="A63:A66"/>
    <mergeCell ref="B63:B66"/>
    <mergeCell ref="A51:A57"/>
    <mergeCell ref="B51:B57"/>
    <mergeCell ref="C34:C36"/>
    <mergeCell ref="A25:A30"/>
    <mergeCell ref="B25:B30"/>
    <mergeCell ref="A22:A24"/>
    <mergeCell ref="B22:B24"/>
    <mergeCell ref="C26:C27"/>
    <mergeCell ref="C32:C33"/>
    <mergeCell ref="A31:G31"/>
    <mergeCell ref="A32:A38"/>
    <mergeCell ref="B32:B38"/>
    <mergeCell ref="C7:C8"/>
    <mergeCell ref="A1:G1"/>
    <mergeCell ref="A2:A10"/>
    <mergeCell ref="B2:B10"/>
    <mergeCell ref="A16:A21"/>
    <mergeCell ref="B16:B21"/>
    <mergeCell ref="C2:C6"/>
    <mergeCell ref="A11:A15"/>
    <mergeCell ref="B11:B15"/>
    <mergeCell ref="C18:C20"/>
    <mergeCell ref="C16:C17"/>
    <mergeCell ref="C89:C91"/>
    <mergeCell ref="A107:A110"/>
    <mergeCell ref="B107:B110"/>
    <mergeCell ref="A94:A98"/>
    <mergeCell ref="B94:B98"/>
    <mergeCell ref="A99:A106"/>
    <mergeCell ref="B99:B106"/>
    <mergeCell ref="A89:A93"/>
    <mergeCell ref="B89:B93"/>
    <mergeCell ref="C94:C95"/>
    <mergeCell ref="C100:C104"/>
    <mergeCell ref="A111:G111"/>
    <mergeCell ref="A112:A117"/>
    <mergeCell ref="B112:B117"/>
    <mergeCell ref="A118:A122"/>
    <mergeCell ref="B118:B122"/>
    <mergeCell ref="C113:C115"/>
    <mergeCell ref="C119:C121"/>
    <mergeCell ref="C129:F131"/>
    <mergeCell ref="C123:F124"/>
    <mergeCell ref="A123:A125"/>
    <mergeCell ref="B123:B125"/>
    <mergeCell ref="A126:A128"/>
    <mergeCell ref="B126:B128"/>
    <mergeCell ref="A129:A132"/>
    <mergeCell ref="B129:B132"/>
  </mergeCells>
  <phoneticPr fontId="1" type="noConversion"/>
  <printOptions horizontalCentered="1" verticalCentered="1"/>
  <pageMargins left="0.15748031496062992" right="0.15748031496062992" top="0.15748031496062992" bottom="0.15748031496062992" header="0.11811023622047245" footer="0.31496062992125984"/>
  <pageSetup paperSize="9" scale="70" fitToHeight="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7"/>
  <sheetViews>
    <sheetView view="pageBreakPreview" topLeftCell="A100" zoomScale="71" zoomScaleNormal="87" zoomScaleSheetLayoutView="71" zoomScalePageLayoutView="75" workbookViewId="0">
      <selection activeCell="E105" sqref="E105"/>
    </sheetView>
  </sheetViews>
  <sheetFormatPr defaultRowHeight="36" customHeight="1"/>
  <cols>
    <col min="1" max="1" width="12.5" style="260" customWidth="1"/>
    <col min="2" max="2" width="8.5" style="261" customWidth="1"/>
    <col min="3" max="3" width="17.875" style="317" customWidth="1"/>
    <col min="4" max="4" width="22.5" style="37" customWidth="1"/>
    <col min="5" max="5" width="15.375" style="262" customWidth="1"/>
    <col min="6" max="6" width="25.625" style="262" customWidth="1"/>
    <col min="7" max="7" width="28.125" style="263" customWidth="1"/>
    <col min="8" max="8" width="42.5" style="252" customWidth="1"/>
    <col min="9" max="16384" width="9" style="37"/>
  </cols>
  <sheetData>
    <row r="1" spans="1:7" s="252" customFormat="1" ht="122.25" customHeight="1" thickBot="1">
      <c r="A1" s="753" t="s">
        <v>0</v>
      </c>
      <c r="B1" s="754"/>
      <c r="C1" s="755"/>
      <c r="D1" s="755"/>
      <c r="E1" s="755"/>
      <c r="F1" s="755"/>
      <c r="G1" s="756"/>
    </row>
    <row r="2" spans="1:7" s="252" customFormat="1" ht="36" customHeight="1">
      <c r="A2" s="750">
        <v>43591</v>
      </c>
      <c r="B2" s="685" t="s">
        <v>792</v>
      </c>
      <c r="C2" s="771" t="s">
        <v>794</v>
      </c>
      <c r="D2" s="772"/>
      <c r="E2" s="772"/>
      <c r="F2" s="772"/>
      <c r="G2" s="773"/>
    </row>
    <row r="3" spans="1:7" s="252" customFormat="1" ht="36" customHeight="1">
      <c r="A3" s="751"/>
      <c r="B3" s="686"/>
      <c r="C3" s="774"/>
      <c r="D3" s="775"/>
      <c r="E3" s="775"/>
      <c r="F3" s="775"/>
      <c r="G3" s="776"/>
    </row>
    <row r="4" spans="1:7" s="252" customFormat="1" ht="36" customHeight="1" thickBot="1">
      <c r="A4" s="751"/>
      <c r="B4" s="686"/>
      <c r="C4" s="774"/>
      <c r="D4" s="775"/>
      <c r="E4" s="775"/>
      <c r="F4" s="775"/>
      <c r="G4" s="776"/>
    </row>
    <row r="5" spans="1:7" ht="36" customHeight="1">
      <c r="A5" s="750">
        <v>43592</v>
      </c>
      <c r="B5" s="685" t="s">
        <v>16</v>
      </c>
      <c r="C5" s="330" t="s">
        <v>251</v>
      </c>
      <c r="D5" s="162" t="s">
        <v>22</v>
      </c>
      <c r="E5" s="253" t="s">
        <v>252</v>
      </c>
      <c r="F5" s="39"/>
      <c r="G5" s="7" t="s">
        <v>837</v>
      </c>
    </row>
    <row r="6" spans="1:7" ht="36" customHeight="1">
      <c r="A6" s="751"/>
      <c r="B6" s="686"/>
      <c r="C6" s="779" t="s">
        <v>831</v>
      </c>
      <c r="D6" s="780"/>
      <c r="E6" s="780"/>
      <c r="F6" s="780"/>
      <c r="G6" s="781"/>
    </row>
    <row r="7" spans="1:7" ht="36" customHeight="1">
      <c r="A7" s="751"/>
      <c r="B7" s="686"/>
      <c r="C7" s="779" t="s">
        <v>129</v>
      </c>
      <c r="D7" s="336" t="s">
        <v>21</v>
      </c>
      <c r="E7" s="254">
        <v>50</v>
      </c>
      <c r="F7" s="336"/>
      <c r="G7" s="337"/>
    </row>
    <row r="8" spans="1:7" ht="36" customHeight="1">
      <c r="A8" s="751"/>
      <c r="B8" s="686"/>
      <c r="C8" s="779"/>
      <c r="D8" s="336" t="s">
        <v>220</v>
      </c>
      <c r="E8" s="254">
        <v>100</v>
      </c>
      <c r="F8" s="336"/>
      <c r="G8" s="337"/>
    </row>
    <row r="9" spans="1:7" ht="36" customHeight="1" thickBot="1">
      <c r="A9" s="751"/>
      <c r="B9" s="686"/>
      <c r="C9" s="779"/>
      <c r="D9" s="163" t="s">
        <v>42</v>
      </c>
      <c r="E9" s="254">
        <v>100</v>
      </c>
      <c r="F9" s="35"/>
      <c r="G9" s="51"/>
    </row>
    <row r="10" spans="1:7" ht="36" customHeight="1" thickBot="1">
      <c r="A10" s="752"/>
      <c r="B10" s="687"/>
      <c r="C10" s="240" t="s">
        <v>512</v>
      </c>
      <c r="D10" s="241" t="s">
        <v>820</v>
      </c>
      <c r="E10" s="242" t="s">
        <v>821</v>
      </c>
      <c r="F10" s="777" t="s">
        <v>832</v>
      </c>
      <c r="G10" s="778"/>
    </row>
    <row r="11" spans="1:7" ht="36" customHeight="1">
      <c r="A11" s="750">
        <v>43593</v>
      </c>
      <c r="B11" s="685" t="s">
        <v>15</v>
      </c>
      <c r="C11" s="704" t="s">
        <v>808</v>
      </c>
      <c r="D11" s="162" t="s">
        <v>809</v>
      </c>
      <c r="E11" s="253">
        <v>346</v>
      </c>
      <c r="F11" s="39"/>
      <c r="G11" s="53" t="s">
        <v>848</v>
      </c>
    </row>
    <row r="12" spans="1:7" ht="36" customHeight="1">
      <c r="A12" s="751"/>
      <c r="B12" s="686"/>
      <c r="C12" s="701"/>
      <c r="D12" s="163" t="s">
        <v>810</v>
      </c>
      <c r="E12" s="254">
        <v>2</v>
      </c>
      <c r="F12" s="35"/>
      <c r="G12" s="51" t="s">
        <v>849</v>
      </c>
    </row>
    <row r="13" spans="1:7" ht="36" customHeight="1">
      <c r="A13" s="751"/>
      <c r="B13" s="686"/>
      <c r="C13" s="701" t="s">
        <v>583</v>
      </c>
      <c r="D13" s="163" t="s">
        <v>27</v>
      </c>
      <c r="E13" s="254">
        <v>50</v>
      </c>
      <c r="F13" s="35" t="s">
        <v>592</v>
      </c>
      <c r="G13" s="51"/>
    </row>
    <row r="14" spans="1:7" ht="36" customHeight="1" thickBot="1">
      <c r="A14" s="751"/>
      <c r="B14" s="686"/>
      <c r="C14" s="723"/>
      <c r="D14" s="338" t="s">
        <v>28</v>
      </c>
      <c r="E14" s="273">
        <v>50</v>
      </c>
      <c r="F14" s="40"/>
      <c r="G14" s="52"/>
    </row>
    <row r="15" spans="1:7" ht="36" customHeight="1" thickBot="1">
      <c r="A15" s="752"/>
      <c r="B15" s="687"/>
      <c r="C15" s="166" t="s">
        <v>811</v>
      </c>
      <c r="D15" s="16" t="s">
        <v>812</v>
      </c>
      <c r="E15" s="316" t="s">
        <v>813</v>
      </c>
      <c r="F15" s="14" t="s">
        <v>814</v>
      </c>
      <c r="G15" s="60"/>
    </row>
    <row r="16" spans="1:7" ht="36" customHeight="1">
      <c r="A16" s="750">
        <v>43594</v>
      </c>
      <c r="B16" s="685" t="s">
        <v>17</v>
      </c>
      <c r="C16" s="704" t="s">
        <v>826</v>
      </c>
      <c r="D16" s="162" t="s">
        <v>827</v>
      </c>
      <c r="E16" s="253">
        <v>150</v>
      </c>
      <c r="F16" s="39" t="s">
        <v>833</v>
      </c>
      <c r="G16" s="53"/>
    </row>
    <row r="17" spans="1:7" ht="36" customHeight="1">
      <c r="A17" s="751"/>
      <c r="B17" s="686"/>
      <c r="C17" s="701"/>
      <c r="D17" s="163" t="s">
        <v>828</v>
      </c>
      <c r="E17" s="254">
        <v>30</v>
      </c>
      <c r="F17" s="35"/>
      <c r="G17" s="51"/>
    </row>
    <row r="18" spans="1:7" ht="36" customHeight="1">
      <c r="A18" s="751"/>
      <c r="B18" s="686"/>
      <c r="C18" s="701"/>
      <c r="D18" s="163" t="s">
        <v>829</v>
      </c>
      <c r="E18" s="254">
        <v>10</v>
      </c>
      <c r="F18" s="35"/>
      <c r="G18" s="51"/>
    </row>
    <row r="19" spans="1:7" ht="36" customHeight="1">
      <c r="A19" s="751"/>
      <c r="B19" s="686"/>
      <c r="C19" s="701"/>
      <c r="D19" s="163" t="s">
        <v>824</v>
      </c>
      <c r="E19" s="254" t="s">
        <v>830</v>
      </c>
      <c r="F19" s="35"/>
      <c r="G19" s="51"/>
    </row>
    <row r="20" spans="1:7" ht="36" customHeight="1">
      <c r="A20" s="751"/>
      <c r="B20" s="686"/>
      <c r="C20" s="701" t="s">
        <v>65</v>
      </c>
      <c r="D20" s="163" t="s">
        <v>66</v>
      </c>
      <c r="E20" s="254">
        <v>150</v>
      </c>
      <c r="F20" s="35" t="s">
        <v>857</v>
      </c>
      <c r="G20" s="51"/>
    </row>
    <row r="21" spans="1:7" ht="36" customHeight="1">
      <c r="A21" s="751"/>
      <c r="B21" s="686"/>
      <c r="C21" s="701"/>
      <c r="D21" s="163" t="s">
        <v>28</v>
      </c>
      <c r="E21" s="254">
        <v>10</v>
      </c>
      <c r="F21" s="35"/>
      <c r="G21" s="51"/>
    </row>
    <row r="22" spans="1:7" ht="36" customHeight="1" thickBot="1">
      <c r="A22" s="751"/>
      <c r="B22" s="686"/>
      <c r="C22" s="723"/>
      <c r="D22" s="339" t="s">
        <v>855</v>
      </c>
      <c r="E22" s="273" t="s">
        <v>856</v>
      </c>
      <c r="F22" s="40"/>
      <c r="G22" s="52"/>
    </row>
    <row r="23" spans="1:7" ht="36" customHeight="1" thickBot="1">
      <c r="A23" s="752"/>
      <c r="B23" s="687"/>
      <c r="C23" s="151"/>
      <c r="D23" s="20"/>
      <c r="E23" s="312"/>
      <c r="F23" s="13"/>
      <c r="G23" s="62"/>
    </row>
    <row r="24" spans="1:7" ht="36" customHeight="1">
      <c r="A24" s="750">
        <v>43595</v>
      </c>
      <c r="B24" s="685" t="s">
        <v>18</v>
      </c>
      <c r="C24" s="331" t="s">
        <v>823</v>
      </c>
      <c r="D24" s="25" t="s">
        <v>822</v>
      </c>
      <c r="E24" s="255" t="s">
        <v>825</v>
      </c>
      <c r="F24" s="41"/>
      <c r="G24" s="54"/>
    </row>
    <row r="25" spans="1:7" ht="36" customHeight="1">
      <c r="A25" s="751"/>
      <c r="B25" s="686"/>
      <c r="C25" s="706" t="s">
        <v>838</v>
      </c>
      <c r="D25" s="25" t="s">
        <v>839</v>
      </c>
      <c r="E25" s="255">
        <v>50</v>
      </c>
      <c r="F25" s="41" t="s">
        <v>842</v>
      </c>
      <c r="G25" s="54"/>
    </row>
    <row r="26" spans="1:7" ht="36" customHeight="1">
      <c r="A26" s="751"/>
      <c r="B26" s="686"/>
      <c r="C26" s="703"/>
      <c r="D26" s="25" t="s">
        <v>840</v>
      </c>
      <c r="E26" s="255" t="s">
        <v>841</v>
      </c>
      <c r="F26" s="41"/>
      <c r="G26" s="54"/>
    </row>
    <row r="27" spans="1:7" ht="36" customHeight="1" thickBot="1">
      <c r="A27" s="751"/>
      <c r="B27" s="686"/>
      <c r="C27" s="325"/>
      <c r="D27" s="25"/>
      <c r="E27" s="255"/>
      <c r="F27" s="41"/>
      <c r="G27" s="54"/>
    </row>
    <row r="28" spans="1:7" ht="36" customHeight="1" thickBot="1">
      <c r="A28" s="752"/>
      <c r="B28" s="687"/>
      <c r="C28" s="47" t="s">
        <v>507</v>
      </c>
      <c r="D28" s="27" t="s">
        <v>815</v>
      </c>
      <c r="E28" s="22" t="s">
        <v>816</v>
      </c>
      <c r="F28" s="22" t="s">
        <v>814</v>
      </c>
      <c r="G28" s="58"/>
    </row>
    <row r="29" spans="1:7" ht="105" customHeight="1" thickBot="1">
      <c r="A29" s="753" t="s">
        <v>0</v>
      </c>
      <c r="B29" s="754"/>
      <c r="C29" s="755"/>
      <c r="D29" s="755"/>
      <c r="E29" s="755"/>
      <c r="F29" s="755"/>
      <c r="G29" s="756"/>
    </row>
    <row r="30" spans="1:7" ht="36" customHeight="1">
      <c r="A30" s="750">
        <v>43598</v>
      </c>
      <c r="B30" s="685" t="s">
        <v>792</v>
      </c>
      <c r="C30" s="704" t="s">
        <v>7</v>
      </c>
      <c r="D30" s="162" t="s">
        <v>846</v>
      </c>
      <c r="E30" s="253">
        <v>50</v>
      </c>
      <c r="F30" s="39" t="s">
        <v>850</v>
      </c>
      <c r="G30" s="53"/>
    </row>
    <row r="31" spans="1:7" ht="36" customHeight="1">
      <c r="A31" s="751"/>
      <c r="B31" s="686"/>
      <c r="C31" s="701"/>
      <c r="D31" s="163" t="s">
        <v>847</v>
      </c>
      <c r="E31" s="254">
        <v>64</v>
      </c>
      <c r="F31" s="35" t="s">
        <v>851</v>
      </c>
      <c r="G31" s="51"/>
    </row>
    <row r="32" spans="1:7" ht="36" customHeight="1">
      <c r="A32" s="751"/>
      <c r="B32" s="686"/>
      <c r="C32" s="701"/>
      <c r="D32" s="163" t="s">
        <v>836</v>
      </c>
      <c r="E32" s="254">
        <v>64</v>
      </c>
      <c r="F32" s="35" t="s">
        <v>852</v>
      </c>
      <c r="G32" s="51"/>
    </row>
    <row r="33" spans="1:7" ht="36" customHeight="1">
      <c r="A33" s="751"/>
      <c r="B33" s="686"/>
      <c r="C33" s="701"/>
      <c r="D33" s="163" t="s">
        <v>853</v>
      </c>
      <c r="E33" s="254">
        <v>1</v>
      </c>
      <c r="F33" s="35" t="s">
        <v>854</v>
      </c>
      <c r="G33" s="51"/>
    </row>
    <row r="34" spans="1:7" ht="36" customHeight="1">
      <c r="A34" s="751"/>
      <c r="B34" s="686"/>
      <c r="C34" s="701"/>
      <c r="D34" s="163" t="s">
        <v>42</v>
      </c>
      <c r="E34" s="254">
        <v>150</v>
      </c>
      <c r="F34" s="35" t="s">
        <v>793</v>
      </c>
      <c r="G34" s="51"/>
    </row>
    <row r="35" spans="1:7" ht="36" customHeight="1">
      <c r="A35" s="751"/>
      <c r="B35" s="686"/>
      <c r="C35" s="341" t="s">
        <v>234</v>
      </c>
      <c r="D35" s="163" t="s">
        <v>22</v>
      </c>
      <c r="E35" s="254" t="s">
        <v>111</v>
      </c>
      <c r="F35" s="35"/>
      <c r="G35" s="51"/>
    </row>
    <row r="36" spans="1:7" ht="36" customHeight="1" thickBot="1">
      <c r="A36" s="751"/>
      <c r="B36" s="686"/>
      <c r="C36" s="342"/>
      <c r="D36" s="343"/>
      <c r="E36" s="273"/>
      <c r="F36" s="40"/>
      <c r="G36" s="52"/>
    </row>
    <row r="37" spans="1:7" ht="36" customHeight="1" thickBot="1">
      <c r="A37" s="752"/>
      <c r="B37" s="687"/>
      <c r="C37" s="166"/>
      <c r="D37" s="16"/>
      <c r="E37" s="316"/>
      <c r="F37" s="14"/>
      <c r="G37" s="60"/>
    </row>
    <row r="38" spans="1:7" ht="36" customHeight="1">
      <c r="A38" s="750">
        <v>43599</v>
      </c>
      <c r="B38" s="685" t="s">
        <v>16</v>
      </c>
      <c r="C38" s="704" t="s">
        <v>843</v>
      </c>
      <c r="D38" s="162" t="s">
        <v>844</v>
      </c>
      <c r="E38" s="253">
        <v>429</v>
      </c>
      <c r="F38" s="39" t="s">
        <v>883</v>
      </c>
      <c r="G38" s="53"/>
    </row>
    <row r="39" spans="1:7" ht="36" customHeight="1">
      <c r="A39" s="751"/>
      <c r="B39" s="686"/>
      <c r="C39" s="701"/>
      <c r="D39" s="163" t="s">
        <v>845</v>
      </c>
      <c r="E39" s="254">
        <v>1</v>
      </c>
      <c r="F39" s="35"/>
      <c r="G39" s="51"/>
    </row>
    <row r="40" spans="1:7" ht="36" customHeight="1">
      <c r="A40" s="751"/>
      <c r="B40" s="686"/>
      <c r="C40" s="358" t="s">
        <v>887</v>
      </c>
      <c r="D40" s="163" t="s">
        <v>22</v>
      </c>
      <c r="E40" s="254" t="s">
        <v>8</v>
      </c>
      <c r="F40" s="35" t="s">
        <v>857</v>
      </c>
      <c r="G40" s="51"/>
    </row>
    <row r="41" spans="1:7" ht="36" customHeight="1">
      <c r="A41" s="751"/>
      <c r="B41" s="686"/>
      <c r="C41" s="358" t="s">
        <v>63</v>
      </c>
      <c r="D41" s="163" t="s">
        <v>35</v>
      </c>
      <c r="E41" s="254">
        <v>80</v>
      </c>
      <c r="F41" s="35" t="s">
        <v>888</v>
      </c>
      <c r="G41" s="51"/>
    </row>
    <row r="42" spans="1:7" ht="36" customHeight="1" thickBot="1">
      <c r="A42" s="751"/>
      <c r="B42" s="686"/>
      <c r="C42" s="359" t="s">
        <v>890</v>
      </c>
      <c r="D42" s="360" t="s">
        <v>891</v>
      </c>
      <c r="E42" s="273" t="s">
        <v>892</v>
      </c>
      <c r="F42" s="40"/>
      <c r="G42" s="52"/>
    </row>
    <row r="43" spans="1:7" ht="36" customHeight="1" thickBot="1">
      <c r="A43" s="752"/>
      <c r="B43" s="687"/>
      <c r="C43" s="282" t="s">
        <v>262</v>
      </c>
      <c r="D43" s="283" t="s">
        <v>881</v>
      </c>
      <c r="E43" s="284" t="s">
        <v>882</v>
      </c>
      <c r="F43" s="14" t="s">
        <v>84</v>
      </c>
      <c r="G43" s="285"/>
    </row>
    <row r="44" spans="1:7" ht="36" customHeight="1">
      <c r="A44" s="750">
        <v>43600</v>
      </c>
      <c r="B44" s="685" t="s">
        <v>15</v>
      </c>
      <c r="C44" s="704" t="s">
        <v>481</v>
      </c>
      <c r="D44" s="162" t="s">
        <v>35</v>
      </c>
      <c r="E44" s="253">
        <v>200</v>
      </c>
      <c r="F44" s="39"/>
      <c r="G44" s="53" t="s">
        <v>898</v>
      </c>
    </row>
    <row r="45" spans="1:7" ht="36" customHeight="1">
      <c r="A45" s="751"/>
      <c r="B45" s="686"/>
      <c r="C45" s="701"/>
      <c r="D45" s="163" t="s">
        <v>483</v>
      </c>
      <c r="E45" s="254" t="s">
        <v>111</v>
      </c>
      <c r="F45" s="35"/>
      <c r="G45" s="51"/>
    </row>
    <row r="46" spans="1:7" ht="36" customHeight="1">
      <c r="A46" s="751"/>
      <c r="B46" s="686"/>
      <c r="C46" s="357" t="s">
        <v>4</v>
      </c>
      <c r="D46" s="25" t="s">
        <v>22</v>
      </c>
      <c r="E46" s="255" t="s">
        <v>91</v>
      </c>
      <c r="F46" s="41" t="s">
        <v>893</v>
      </c>
      <c r="G46" s="54"/>
    </row>
    <row r="47" spans="1:7" ht="36" customHeight="1">
      <c r="A47" s="751"/>
      <c r="B47" s="686"/>
      <c r="C47" s="363" t="s">
        <v>224</v>
      </c>
      <c r="D47" s="25" t="s">
        <v>585</v>
      </c>
      <c r="E47" s="255">
        <v>200</v>
      </c>
      <c r="F47" s="41"/>
      <c r="G47" s="54"/>
    </row>
    <row r="48" spans="1:7" ht="36" customHeight="1" thickBot="1">
      <c r="A48" s="751"/>
      <c r="B48" s="686"/>
      <c r="C48" s="363" t="s">
        <v>695</v>
      </c>
      <c r="D48" s="25" t="s">
        <v>22</v>
      </c>
      <c r="E48" s="255" t="s">
        <v>103</v>
      </c>
      <c r="F48" s="41"/>
      <c r="G48" s="51"/>
    </row>
    <row r="49" spans="1:7" ht="36" customHeight="1">
      <c r="A49" s="750">
        <v>43601</v>
      </c>
      <c r="B49" s="685" t="s">
        <v>17</v>
      </c>
      <c r="C49" s="704" t="s">
        <v>7</v>
      </c>
      <c r="D49" s="162" t="s">
        <v>360</v>
      </c>
      <c r="E49" s="253">
        <v>64</v>
      </c>
      <c r="F49" s="39"/>
      <c r="G49" s="53"/>
    </row>
    <row r="50" spans="1:7" ht="36" customHeight="1">
      <c r="A50" s="751"/>
      <c r="B50" s="686"/>
      <c r="C50" s="701"/>
      <c r="D50" s="163" t="s">
        <v>52</v>
      </c>
      <c r="E50" s="254">
        <v>64</v>
      </c>
      <c r="F50" s="35"/>
      <c r="G50" s="51"/>
    </row>
    <row r="51" spans="1:7" ht="36" customHeight="1">
      <c r="A51" s="751"/>
      <c r="B51" s="686"/>
      <c r="C51" s="701"/>
      <c r="D51" s="163" t="s">
        <v>21</v>
      </c>
      <c r="E51" s="254">
        <v>50</v>
      </c>
      <c r="F51" s="35"/>
      <c r="G51" s="51"/>
    </row>
    <row r="52" spans="1:7" ht="36" customHeight="1">
      <c r="A52" s="751"/>
      <c r="B52" s="686"/>
      <c r="C52" s="701"/>
      <c r="D52" s="163" t="s">
        <v>28</v>
      </c>
      <c r="E52" s="254">
        <v>64</v>
      </c>
      <c r="F52" s="35"/>
      <c r="G52" s="51"/>
    </row>
    <row r="53" spans="1:7" ht="36" customHeight="1">
      <c r="A53" s="751"/>
      <c r="B53" s="686"/>
      <c r="C53" s="366" t="s">
        <v>906</v>
      </c>
      <c r="D53" s="25" t="s">
        <v>907</v>
      </c>
      <c r="E53" s="255">
        <v>100</v>
      </c>
      <c r="F53" s="41"/>
      <c r="G53" s="54"/>
    </row>
    <row r="54" spans="1:7" ht="36" customHeight="1" thickBot="1">
      <c r="A54" s="751"/>
      <c r="B54" s="686"/>
      <c r="C54" s="353"/>
      <c r="D54" s="326"/>
      <c r="E54" s="273"/>
      <c r="F54" s="40"/>
      <c r="G54" s="52"/>
    </row>
    <row r="55" spans="1:7" ht="36" customHeight="1" thickBot="1">
      <c r="A55" s="752"/>
      <c r="B55" s="687"/>
      <c r="C55" s="48"/>
      <c r="D55" s="33"/>
      <c r="E55" s="323"/>
      <c r="F55" s="34"/>
      <c r="G55" s="61"/>
    </row>
    <row r="56" spans="1:7" ht="36" customHeight="1">
      <c r="A56" s="750">
        <v>43602</v>
      </c>
      <c r="B56" s="685" t="s">
        <v>18</v>
      </c>
      <c r="C56" s="362"/>
      <c r="D56" s="162"/>
      <c r="E56" s="253"/>
      <c r="F56" s="39" t="s">
        <v>904</v>
      </c>
      <c r="G56" s="53" t="s">
        <v>922</v>
      </c>
    </row>
    <row r="57" spans="1:7" ht="36" customHeight="1">
      <c r="A57" s="751"/>
      <c r="B57" s="686"/>
      <c r="C57" s="361"/>
      <c r="D57" s="163"/>
      <c r="E57" s="254"/>
      <c r="F57" s="35"/>
      <c r="G57" s="51"/>
    </row>
    <row r="58" spans="1:7" ht="36" customHeight="1" thickBot="1">
      <c r="A58" s="751"/>
      <c r="B58" s="686"/>
      <c r="C58" s="364"/>
      <c r="D58" s="365"/>
      <c r="E58" s="273"/>
      <c r="F58" s="40"/>
      <c r="G58" s="52"/>
    </row>
    <row r="59" spans="1:7" ht="36" customHeight="1" thickBot="1">
      <c r="A59" s="752"/>
      <c r="B59" s="687"/>
      <c r="C59" s="151" t="s">
        <v>918</v>
      </c>
      <c r="D59" s="20" t="s">
        <v>919</v>
      </c>
      <c r="E59" s="312" t="s">
        <v>920</v>
      </c>
      <c r="F59" s="34" t="s">
        <v>921</v>
      </c>
      <c r="G59" s="62"/>
    </row>
    <row r="60" spans="1:7" ht="93" customHeight="1" thickBot="1">
      <c r="A60" s="753" t="s">
        <v>0</v>
      </c>
      <c r="B60" s="754"/>
      <c r="C60" s="755"/>
      <c r="D60" s="755"/>
      <c r="E60" s="755"/>
      <c r="F60" s="755"/>
      <c r="G60" s="756"/>
    </row>
    <row r="61" spans="1:7" ht="36" customHeight="1">
      <c r="A61" s="750">
        <v>43605</v>
      </c>
      <c r="B61" s="685" t="s">
        <v>862</v>
      </c>
      <c r="C61" s="704" t="s">
        <v>908</v>
      </c>
      <c r="D61" s="162" t="s">
        <v>909</v>
      </c>
      <c r="E61" s="253">
        <v>157</v>
      </c>
      <c r="F61" s="39" t="s">
        <v>911</v>
      </c>
      <c r="G61" s="53" t="s">
        <v>940</v>
      </c>
    </row>
    <row r="62" spans="1:7" ht="36" customHeight="1">
      <c r="A62" s="751"/>
      <c r="B62" s="686"/>
      <c r="C62" s="701"/>
      <c r="D62" s="163" t="s">
        <v>910</v>
      </c>
      <c r="E62" s="254">
        <v>3</v>
      </c>
      <c r="F62" s="35"/>
      <c r="G62" s="51"/>
    </row>
    <row r="63" spans="1:7" ht="36" customHeight="1" thickBot="1">
      <c r="A63" s="751"/>
      <c r="B63" s="686"/>
      <c r="C63" s="296" t="s">
        <v>937</v>
      </c>
      <c r="D63" s="297" t="s">
        <v>938</v>
      </c>
      <c r="E63" s="298" t="s">
        <v>948</v>
      </c>
      <c r="F63" s="769" t="s">
        <v>939</v>
      </c>
      <c r="G63" s="770"/>
    </row>
    <row r="64" spans="1:7" ht="36" customHeight="1" thickBot="1">
      <c r="A64" s="752"/>
      <c r="B64" s="687"/>
      <c r="C64" s="151" t="s">
        <v>912</v>
      </c>
      <c r="D64" s="20" t="s">
        <v>913</v>
      </c>
      <c r="E64" s="312" t="s">
        <v>914</v>
      </c>
      <c r="F64" s="22" t="s">
        <v>84</v>
      </c>
      <c r="G64" s="62"/>
    </row>
    <row r="65" spans="1:7" ht="36" customHeight="1" thickBot="1">
      <c r="A65" s="750">
        <v>43606</v>
      </c>
      <c r="B65" s="685" t="s">
        <v>16</v>
      </c>
      <c r="C65" s="367" t="s">
        <v>3</v>
      </c>
      <c r="D65" s="163" t="s">
        <v>942</v>
      </c>
      <c r="E65" s="254">
        <v>243</v>
      </c>
      <c r="F65" s="42"/>
      <c r="G65" s="53" t="s">
        <v>949</v>
      </c>
    </row>
    <row r="66" spans="1:7" ht="36" customHeight="1">
      <c r="A66" s="751"/>
      <c r="B66" s="686"/>
      <c r="C66" s="706" t="s">
        <v>941</v>
      </c>
      <c r="D66" s="163" t="s">
        <v>903</v>
      </c>
      <c r="E66" s="254">
        <v>150</v>
      </c>
      <c r="F66" s="42" t="s">
        <v>604</v>
      </c>
      <c r="G66" s="53"/>
    </row>
    <row r="67" spans="1:7" ht="36" customHeight="1" thickBot="1">
      <c r="A67" s="751"/>
      <c r="B67" s="686"/>
      <c r="C67" s="703"/>
      <c r="D67" s="163" t="s">
        <v>947</v>
      </c>
      <c r="E67" s="254">
        <v>100</v>
      </c>
      <c r="F67" s="35" t="s">
        <v>604</v>
      </c>
      <c r="G67" s="55"/>
    </row>
    <row r="68" spans="1:7" ht="36" customHeight="1" thickBot="1">
      <c r="A68" s="752"/>
      <c r="B68" s="687"/>
      <c r="C68" s="48"/>
      <c r="D68" s="33"/>
      <c r="E68" s="323"/>
      <c r="F68" s="34"/>
      <c r="G68" s="61"/>
    </row>
    <row r="69" spans="1:7" ht="36" customHeight="1">
      <c r="A69" s="750">
        <v>43607</v>
      </c>
      <c r="B69" s="685" t="s">
        <v>15</v>
      </c>
      <c r="C69" s="702" t="s">
        <v>895</v>
      </c>
      <c r="D69" s="162" t="s">
        <v>896</v>
      </c>
      <c r="E69" s="253">
        <v>150</v>
      </c>
      <c r="F69" s="39" t="s">
        <v>889</v>
      </c>
      <c r="G69" s="53" t="s">
        <v>960</v>
      </c>
    </row>
    <row r="70" spans="1:7" ht="36" customHeight="1">
      <c r="A70" s="751"/>
      <c r="B70" s="686"/>
      <c r="C70" s="705"/>
      <c r="D70" s="163" t="s">
        <v>897</v>
      </c>
      <c r="E70" s="254">
        <v>50</v>
      </c>
      <c r="F70" s="35"/>
      <c r="G70" s="51"/>
    </row>
    <row r="71" spans="1:7" ht="36" customHeight="1">
      <c r="A71" s="751"/>
      <c r="B71" s="686"/>
      <c r="C71" s="705"/>
      <c r="D71" s="163" t="s">
        <v>894</v>
      </c>
      <c r="E71" s="254">
        <v>50</v>
      </c>
      <c r="F71" s="35"/>
      <c r="G71" s="51"/>
    </row>
    <row r="72" spans="1:7" ht="36" customHeight="1">
      <c r="A72" s="751"/>
      <c r="B72" s="686"/>
      <c r="C72" s="703"/>
      <c r="D72" s="163" t="s">
        <v>934</v>
      </c>
      <c r="E72" s="254" t="s">
        <v>935</v>
      </c>
      <c r="F72" s="35" t="s">
        <v>936</v>
      </c>
      <c r="G72" s="51"/>
    </row>
    <row r="73" spans="1:7" ht="36" customHeight="1">
      <c r="A73" s="751"/>
      <c r="B73" s="686"/>
      <c r="C73" s="361" t="s">
        <v>200</v>
      </c>
      <c r="D73" s="163" t="s">
        <v>905</v>
      </c>
      <c r="E73" s="254">
        <v>50</v>
      </c>
      <c r="F73" s="35" t="s">
        <v>962</v>
      </c>
      <c r="G73" s="51"/>
    </row>
    <row r="74" spans="1:7" ht="36" customHeight="1" thickBot="1">
      <c r="A74" s="751"/>
      <c r="B74" s="686"/>
      <c r="C74" s="364"/>
      <c r="D74" s="365"/>
      <c r="E74" s="273"/>
      <c r="F74" s="40"/>
      <c r="G74" s="52"/>
    </row>
    <row r="75" spans="1:7" ht="36" customHeight="1" thickBot="1">
      <c r="A75" s="752"/>
      <c r="B75" s="687"/>
      <c r="C75" s="47"/>
      <c r="D75" s="27"/>
      <c r="E75" s="301"/>
      <c r="F75" s="22"/>
      <c r="G75" s="58"/>
    </row>
    <row r="76" spans="1:7" ht="36" customHeight="1">
      <c r="A76" s="750">
        <v>43608</v>
      </c>
      <c r="B76" s="685" t="s">
        <v>17</v>
      </c>
      <c r="C76" s="702" t="s">
        <v>65</v>
      </c>
      <c r="D76" s="25" t="s">
        <v>957</v>
      </c>
      <c r="E76" s="255" t="s">
        <v>944</v>
      </c>
      <c r="F76" s="41"/>
      <c r="G76" s="53" t="s">
        <v>863</v>
      </c>
    </row>
    <row r="77" spans="1:7" ht="36" customHeight="1">
      <c r="A77" s="751"/>
      <c r="B77" s="686"/>
      <c r="C77" s="703"/>
      <c r="D77" s="25" t="s">
        <v>945</v>
      </c>
      <c r="E77" s="255" t="s">
        <v>946</v>
      </c>
      <c r="F77" s="41"/>
      <c r="G77" s="51"/>
    </row>
    <row r="78" spans="1:7" ht="36" customHeight="1">
      <c r="A78" s="751"/>
      <c r="B78" s="686"/>
      <c r="C78" s="706" t="s">
        <v>968</v>
      </c>
      <c r="D78" s="25" t="s">
        <v>969</v>
      </c>
      <c r="E78" s="255">
        <v>51</v>
      </c>
      <c r="F78" s="767"/>
      <c r="G78" s="54"/>
    </row>
    <row r="79" spans="1:7" ht="36" customHeight="1">
      <c r="A79" s="751"/>
      <c r="B79" s="686"/>
      <c r="C79" s="703"/>
      <c r="D79" s="25" t="s">
        <v>970</v>
      </c>
      <c r="E79" s="255">
        <v>51</v>
      </c>
      <c r="F79" s="768"/>
      <c r="G79" s="54"/>
    </row>
    <row r="80" spans="1:7" ht="36" customHeight="1">
      <c r="A80" s="751"/>
      <c r="B80" s="686"/>
      <c r="C80" s="380" t="s">
        <v>961</v>
      </c>
      <c r="D80" s="163" t="s">
        <v>399</v>
      </c>
      <c r="E80" s="254">
        <v>100</v>
      </c>
      <c r="F80" s="35" t="s">
        <v>971</v>
      </c>
      <c r="G80" s="54"/>
    </row>
    <row r="81" spans="1:7" ht="43.5" customHeight="1">
      <c r="A81" s="751"/>
      <c r="B81" s="686"/>
      <c r="C81" s="705" t="s">
        <v>224</v>
      </c>
      <c r="D81" s="31" t="s">
        <v>956</v>
      </c>
      <c r="E81" s="382">
        <v>50</v>
      </c>
      <c r="F81" s="56"/>
      <c r="G81" s="54"/>
    </row>
    <row r="82" spans="1:7" ht="43.5" customHeight="1">
      <c r="A82" s="751"/>
      <c r="B82" s="686"/>
      <c r="C82" s="705"/>
      <c r="D82" s="163" t="s">
        <v>958</v>
      </c>
      <c r="E82" s="254">
        <v>25</v>
      </c>
      <c r="F82" s="35"/>
      <c r="G82" s="51"/>
    </row>
    <row r="83" spans="1:7" ht="43.5" customHeight="1" thickBot="1">
      <c r="A83" s="751"/>
      <c r="B83" s="686"/>
      <c r="C83" s="708"/>
      <c r="D83" s="375" t="s">
        <v>959</v>
      </c>
      <c r="E83" s="376">
        <v>25</v>
      </c>
      <c r="F83" s="377"/>
      <c r="G83" s="378"/>
    </row>
    <row r="84" spans="1:7" ht="36" customHeight="1" thickBot="1">
      <c r="A84" s="752"/>
      <c r="B84" s="687"/>
      <c r="C84" s="47"/>
      <c r="D84" s="27"/>
      <c r="E84" s="301"/>
      <c r="F84" s="22"/>
      <c r="G84" s="58"/>
    </row>
    <row r="85" spans="1:7" ht="36" customHeight="1">
      <c r="A85" s="750">
        <v>43609</v>
      </c>
      <c r="B85" s="685" t="s">
        <v>18</v>
      </c>
      <c r="C85" s="702" t="s">
        <v>923</v>
      </c>
      <c r="D85" s="162" t="s">
        <v>924</v>
      </c>
      <c r="E85" s="253" t="s">
        <v>977</v>
      </c>
      <c r="F85" s="390" t="s">
        <v>933</v>
      </c>
      <c r="G85" s="389"/>
    </row>
    <row r="86" spans="1:7" ht="36" customHeight="1">
      <c r="A86" s="751"/>
      <c r="B86" s="686"/>
      <c r="C86" s="703"/>
      <c r="D86" s="25" t="s">
        <v>925</v>
      </c>
      <c r="E86" s="255" t="s">
        <v>926</v>
      </c>
      <c r="F86" s="41"/>
      <c r="G86" s="51"/>
    </row>
    <row r="87" spans="1:7" ht="36" customHeight="1" thickBot="1">
      <c r="A87" s="751"/>
      <c r="B87" s="686"/>
      <c r="C87" s="368"/>
      <c r="D87" s="340"/>
      <c r="E87" s="273"/>
      <c r="F87" s="40"/>
      <c r="G87" s="52"/>
    </row>
    <row r="88" spans="1:7" ht="36" customHeight="1" thickBot="1">
      <c r="A88" s="752"/>
      <c r="B88" s="687"/>
      <c r="C88" s="47" t="s">
        <v>915</v>
      </c>
      <c r="D88" s="27" t="s">
        <v>916</v>
      </c>
      <c r="E88" s="301" t="s">
        <v>917</v>
      </c>
      <c r="F88" s="22" t="s">
        <v>84</v>
      </c>
      <c r="G88" s="58"/>
    </row>
    <row r="89" spans="1:7" ht="96" customHeight="1" thickBot="1">
      <c r="A89" s="763" t="s">
        <v>0</v>
      </c>
      <c r="B89" s="755"/>
      <c r="C89" s="755"/>
      <c r="D89" s="755"/>
      <c r="E89" s="755"/>
      <c r="F89" s="755"/>
      <c r="G89" s="756"/>
    </row>
    <row r="90" spans="1:7" ht="36" customHeight="1">
      <c r="A90" s="750">
        <v>43612</v>
      </c>
      <c r="B90" s="685" t="s">
        <v>943</v>
      </c>
      <c r="C90" s="702" t="s">
        <v>7</v>
      </c>
      <c r="D90" s="370" t="s">
        <v>927</v>
      </c>
      <c r="E90" s="371" t="s">
        <v>963</v>
      </c>
      <c r="F90" s="372" t="s">
        <v>967</v>
      </c>
      <c r="G90" s="53"/>
    </row>
    <row r="91" spans="1:7" ht="36" customHeight="1">
      <c r="A91" s="751"/>
      <c r="B91" s="686"/>
      <c r="C91" s="705"/>
      <c r="D91" s="25" t="s">
        <v>929</v>
      </c>
      <c r="E91" s="255" t="s">
        <v>930</v>
      </c>
      <c r="F91" s="41" t="s">
        <v>928</v>
      </c>
      <c r="G91" s="51" t="s">
        <v>978</v>
      </c>
    </row>
    <row r="92" spans="1:7" ht="36" customHeight="1">
      <c r="A92" s="751"/>
      <c r="B92" s="686"/>
      <c r="C92" s="705"/>
      <c r="D92" s="25" t="s">
        <v>931</v>
      </c>
      <c r="E92" s="255">
        <v>50</v>
      </c>
      <c r="F92" s="41" t="s">
        <v>932</v>
      </c>
      <c r="G92" s="54"/>
    </row>
    <row r="93" spans="1:7" ht="36" customHeight="1">
      <c r="A93" s="751"/>
      <c r="B93" s="686"/>
      <c r="C93" s="705"/>
      <c r="D93" s="25" t="s">
        <v>964</v>
      </c>
      <c r="E93" s="255" t="s">
        <v>965</v>
      </c>
      <c r="F93" s="41" t="s">
        <v>966</v>
      </c>
      <c r="G93" s="54"/>
    </row>
    <row r="94" spans="1:7" ht="36" customHeight="1">
      <c r="A94" s="751"/>
      <c r="B94" s="686"/>
      <c r="C94" s="703"/>
      <c r="D94" s="25" t="s">
        <v>974</v>
      </c>
      <c r="E94" s="255" t="s">
        <v>975</v>
      </c>
      <c r="F94" s="41" t="s">
        <v>976</v>
      </c>
      <c r="G94" s="54"/>
    </row>
    <row r="95" spans="1:7" ht="36" customHeight="1">
      <c r="A95" s="751"/>
      <c r="B95" s="686"/>
      <c r="C95" s="379" t="s">
        <v>952</v>
      </c>
      <c r="D95" s="163" t="s">
        <v>953</v>
      </c>
      <c r="E95" s="254" t="s">
        <v>954</v>
      </c>
      <c r="F95" s="35" t="s">
        <v>955</v>
      </c>
      <c r="G95" s="51"/>
    </row>
    <row r="96" spans="1:7" ht="36" customHeight="1" thickBot="1">
      <c r="A96" s="752"/>
      <c r="B96" s="687"/>
      <c r="C96" s="151"/>
      <c r="D96" s="20"/>
      <c r="E96" s="312"/>
      <c r="F96" s="13"/>
      <c r="G96" s="62"/>
    </row>
    <row r="97" spans="1:7" ht="36" customHeight="1">
      <c r="A97" s="750">
        <v>43613</v>
      </c>
      <c r="B97" s="685" t="s">
        <v>16</v>
      </c>
      <c r="C97" s="381"/>
      <c r="D97" s="25"/>
      <c r="E97" s="255"/>
      <c r="F97" s="41"/>
      <c r="G97" s="53" t="s">
        <v>981</v>
      </c>
    </row>
    <row r="98" spans="1:7" ht="36" customHeight="1">
      <c r="A98" s="751"/>
      <c r="B98" s="686"/>
      <c r="C98" s="373"/>
      <c r="D98" s="25"/>
      <c r="E98" s="255"/>
      <c r="F98" s="41"/>
      <c r="G98" s="51"/>
    </row>
    <row r="99" spans="1:7" ht="36" customHeight="1">
      <c r="A99" s="751"/>
      <c r="B99" s="686"/>
      <c r="C99" s="383"/>
      <c r="D99" s="163"/>
      <c r="E99" s="254"/>
      <c r="F99" s="35"/>
      <c r="G99" s="51"/>
    </row>
    <row r="100" spans="1:7" ht="36" customHeight="1" thickBot="1">
      <c r="A100" s="752"/>
      <c r="B100" s="687"/>
      <c r="C100" s="385" t="s">
        <v>255</v>
      </c>
      <c r="D100" s="386" t="s">
        <v>20</v>
      </c>
      <c r="E100" s="387" t="s">
        <v>980</v>
      </c>
      <c r="F100" s="388" t="s">
        <v>84</v>
      </c>
      <c r="G100" s="62"/>
    </row>
    <row r="101" spans="1:7" ht="36" customHeight="1">
      <c r="A101" s="750">
        <v>43614</v>
      </c>
      <c r="B101" s="685" t="s">
        <v>15</v>
      </c>
      <c r="C101" s="413"/>
      <c r="D101" s="414"/>
      <c r="E101" s="382"/>
      <c r="F101" s="384"/>
      <c r="G101" s="53" t="s">
        <v>982</v>
      </c>
    </row>
    <row r="102" spans="1:7" ht="36" customHeight="1">
      <c r="A102" s="751"/>
      <c r="B102" s="686"/>
      <c r="C102" s="784" t="s">
        <v>997</v>
      </c>
      <c r="D102" s="415" t="s">
        <v>998</v>
      </c>
      <c r="E102" s="254" t="s">
        <v>999</v>
      </c>
      <c r="F102" s="416" t="s">
        <v>1004</v>
      </c>
      <c r="G102" s="55"/>
    </row>
    <row r="103" spans="1:7" ht="36" customHeight="1">
      <c r="A103" s="751"/>
      <c r="B103" s="686"/>
      <c r="C103" s="785"/>
      <c r="D103" s="415" t="s">
        <v>1000</v>
      </c>
      <c r="E103" s="254" t="s">
        <v>1001</v>
      </c>
      <c r="F103" s="416"/>
      <c r="G103" s="55"/>
    </row>
    <row r="104" spans="1:7" ht="36" customHeight="1">
      <c r="A104" s="751"/>
      <c r="B104" s="686"/>
      <c r="C104" s="785"/>
      <c r="D104" s="415" t="s">
        <v>1002</v>
      </c>
      <c r="E104" s="254" t="s">
        <v>1001</v>
      </c>
      <c r="F104" s="35"/>
      <c r="G104" s="51"/>
    </row>
    <row r="105" spans="1:7" ht="36" customHeight="1">
      <c r="A105" s="751"/>
      <c r="B105" s="686"/>
      <c r="C105" s="786"/>
      <c r="D105" s="415" t="s">
        <v>1003</v>
      </c>
      <c r="E105" s="254" t="s">
        <v>1001</v>
      </c>
      <c r="F105" s="35"/>
      <c r="G105" s="51"/>
    </row>
    <row r="106" spans="1:7" ht="36" customHeight="1" thickBot="1">
      <c r="A106" s="751"/>
      <c r="B106" s="686"/>
      <c r="C106" s="421" t="s">
        <v>937</v>
      </c>
      <c r="D106" s="422" t="s">
        <v>938</v>
      </c>
      <c r="E106" s="423" t="s">
        <v>948</v>
      </c>
      <c r="F106" s="782" t="s">
        <v>1016</v>
      </c>
      <c r="G106" s="783"/>
    </row>
    <row r="107" spans="1:7" ht="36" customHeight="1" thickBot="1">
      <c r="A107" s="752"/>
      <c r="B107" s="687"/>
      <c r="C107" s="47"/>
      <c r="D107" s="27"/>
      <c r="E107" s="301"/>
      <c r="F107" s="22"/>
      <c r="G107" s="58"/>
    </row>
    <row r="108" spans="1:7" ht="36" customHeight="1">
      <c r="A108" s="750">
        <v>43615</v>
      </c>
      <c r="B108" s="685" t="s">
        <v>17</v>
      </c>
      <c r="C108" s="420" t="s">
        <v>1010</v>
      </c>
      <c r="D108" s="25" t="s">
        <v>1011</v>
      </c>
      <c r="E108" s="255" t="s">
        <v>1012</v>
      </c>
      <c r="F108" s="41"/>
      <c r="G108" s="53"/>
    </row>
    <row r="109" spans="1:7" ht="36" customHeight="1">
      <c r="A109" s="751"/>
      <c r="B109" s="686"/>
      <c r="C109" s="379" t="s">
        <v>1014</v>
      </c>
      <c r="D109" s="25" t="s">
        <v>1011</v>
      </c>
      <c r="E109" s="255" t="s">
        <v>1015</v>
      </c>
      <c r="F109" s="41"/>
      <c r="G109" s="51"/>
    </row>
    <row r="110" spans="1:7" ht="36" customHeight="1">
      <c r="A110" s="751"/>
      <c r="B110" s="686"/>
      <c r="C110" s="706" t="s">
        <v>583</v>
      </c>
      <c r="D110" s="25" t="s">
        <v>28</v>
      </c>
      <c r="E110" s="255">
        <v>50</v>
      </c>
      <c r="F110" s="41" t="s">
        <v>1026</v>
      </c>
      <c r="G110" s="54"/>
    </row>
    <row r="111" spans="1:7" ht="36" customHeight="1">
      <c r="A111" s="751"/>
      <c r="B111" s="686"/>
      <c r="C111" s="705"/>
      <c r="D111" s="25" t="s">
        <v>27</v>
      </c>
      <c r="E111" s="255">
        <v>50</v>
      </c>
      <c r="F111" s="41"/>
      <c r="G111" s="54"/>
    </row>
    <row r="112" spans="1:7" ht="36" customHeight="1" thickBot="1">
      <c r="A112" s="751"/>
      <c r="B112" s="686"/>
      <c r="C112" s="703"/>
      <c r="D112" s="25" t="s">
        <v>1024</v>
      </c>
      <c r="E112" s="255" t="s">
        <v>1025</v>
      </c>
      <c r="F112" s="40"/>
      <c r="G112" s="52"/>
    </row>
    <row r="113" spans="1:7" ht="36" customHeight="1" thickBot="1">
      <c r="A113" s="752"/>
      <c r="B113" s="687"/>
      <c r="C113" s="47"/>
      <c r="D113" s="27"/>
      <c r="E113" s="301"/>
      <c r="F113" s="22"/>
      <c r="G113" s="58"/>
    </row>
    <row r="114" spans="1:7" ht="36" customHeight="1">
      <c r="A114" s="750">
        <v>43616</v>
      </c>
      <c r="B114" s="685" t="s">
        <v>18</v>
      </c>
      <c r="C114" s="702" t="s">
        <v>979</v>
      </c>
      <c r="D114" s="162" t="s">
        <v>5</v>
      </c>
      <c r="E114" s="255">
        <v>154</v>
      </c>
      <c r="F114" s="41"/>
      <c r="G114" s="53"/>
    </row>
    <row r="115" spans="1:7" ht="36" customHeight="1">
      <c r="A115" s="751"/>
      <c r="B115" s="686"/>
      <c r="C115" s="703"/>
      <c r="D115" s="25" t="s">
        <v>6</v>
      </c>
      <c r="E115" s="255">
        <v>251</v>
      </c>
      <c r="F115" s="41"/>
      <c r="G115" s="51"/>
    </row>
    <row r="116" spans="1:7" ht="36" customHeight="1" thickBot="1">
      <c r="A116" s="751"/>
      <c r="B116" s="686"/>
      <c r="C116" s="374"/>
      <c r="D116" s="369"/>
      <c r="E116" s="273"/>
      <c r="F116" s="40"/>
      <c r="G116" s="52"/>
    </row>
    <row r="117" spans="1:7" ht="36" customHeight="1" thickBot="1">
      <c r="A117" s="752"/>
      <c r="B117" s="687"/>
      <c r="C117" s="47"/>
      <c r="D117" s="27"/>
      <c r="E117" s="301"/>
      <c r="F117" s="22"/>
      <c r="G117" s="58"/>
    </row>
  </sheetData>
  <mergeCells count="71">
    <mergeCell ref="C114:C115"/>
    <mergeCell ref="A114:A117"/>
    <mergeCell ref="B114:B117"/>
    <mergeCell ref="A101:A107"/>
    <mergeCell ref="B101:B107"/>
    <mergeCell ref="C110:C112"/>
    <mergeCell ref="B108:B113"/>
    <mergeCell ref="F106:G106"/>
    <mergeCell ref="C90:C94"/>
    <mergeCell ref="A85:A88"/>
    <mergeCell ref="B85:B88"/>
    <mergeCell ref="C102:C105"/>
    <mergeCell ref="A97:A100"/>
    <mergeCell ref="B97:B100"/>
    <mergeCell ref="B16:B23"/>
    <mergeCell ref="C20:C22"/>
    <mergeCell ref="B56:B59"/>
    <mergeCell ref="B49:B55"/>
    <mergeCell ref="A49:A55"/>
    <mergeCell ref="A56:A59"/>
    <mergeCell ref="B38:B43"/>
    <mergeCell ref="A44:A48"/>
    <mergeCell ref="B44:B48"/>
    <mergeCell ref="A76:A84"/>
    <mergeCell ref="A108:A113"/>
    <mergeCell ref="C7:C9"/>
    <mergeCell ref="C11:C12"/>
    <mergeCell ref="C13:C14"/>
    <mergeCell ref="C69:C72"/>
    <mergeCell ref="C38:C39"/>
    <mergeCell ref="C44:C45"/>
    <mergeCell ref="C66:C67"/>
    <mergeCell ref="C61:C62"/>
    <mergeCell ref="C49:C52"/>
    <mergeCell ref="A60:G60"/>
    <mergeCell ref="B5:B10"/>
    <mergeCell ref="A38:A43"/>
    <mergeCell ref="B11:B15"/>
    <mergeCell ref="A16:A23"/>
    <mergeCell ref="A1:G1"/>
    <mergeCell ref="A24:A28"/>
    <mergeCell ref="B24:B28"/>
    <mergeCell ref="A29:G29"/>
    <mergeCell ref="A30:A37"/>
    <mergeCell ref="B30:B37"/>
    <mergeCell ref="C2:G4"/>
    <mergeCell ref="A2:A4"/>
    <mergeCell ref="B2:B4"/>
    <mergeCell ref="F10:G10"/>
    <mergeCell ref="C16:C19"/>
    <mergeCell ref="C6:G6"/>
    <mergeCell ref="C25:C26"/>
    <mergeCell ref="C30:C34"/>
    <mergeCell ref="A5:A10"/>
    <mergeCell ref="A11:A15"/>
    <mergeCell ref="F78:F79"/>
    <mergeCell ref="F63:G63"/>
    <mergeCell ref="C85:C86"/>
    <mergeCell ref="A89:G89"/>
    <mergeCell ref="A90:A96"/>
    <mergeCell ref="B90:B96"/>
    <mergeCell ref="A61:A64"/>
    <mergeCell ref="B61:B64"/>
    <mergeCell ref="A65:A68"/>
    <mergeCell ref="B65:B68"/>
    <mergeCell ref="B69:B75"/>
    <mergeCell ref="A69:A75"/>
    <mergeCell ref="C76:C77"/>
    <mergeCell ref="C81:C83"/>
    <mergeCell ref="C78:C79"/>
    <mergeCell ref="B76:B84"/>
  </mergeCells>
  <phoneticPr fontId="1" type="noConversion"/>
  <printOptions horizontalCentered="1" verticalCentered="1"/>
  <pageMargins left="0.15748031496062992" right="0.15748031496062992" top="0.15748031496062992" bottom="0.15748031496062992" header="0.11811023622047245" footer="0.31496062992125984"/>
  <pageSetup paperSize="9" scale="68" fitToHeight="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view="pageBreakPreview" topLeftCell="A85" zoomScale="71" zoomScaleNormal="87" zoomScaleSheetLayoutView="71" zoomScalePageLayoutView="75" workbookViewId="0">
      <selection activeCell="F18" sqref="F18"/>
    </sheetView>
  </sheetViews>
  <sheetFormatPr defaultRowHeight="36" customHeight="1"/>
  <cols>
    <col min="1" max="1" width="12.5" style="260" customWidth="1"/>
    <col min="2" max="2" width="8.5" style="261" customWidth="1"/>
    <col min="3" max="3" width="17.875" style="317" customWidth="1"/>
    <col min="4" max="4" width="22.5" style="37" customWidth="1"/>
    <col min="5" max="5" width="15.375" style="262" customWidth="1"/>
    <col min="6" max="6" width="25.625" style="262" customWidth="1"/>
    <col min="7" max="7" width="28.125" style="263" customWidth="1"/>
    <col min="8" max="8" width="42.5" style="252" customWidth="1"/>
    <col min="9" max="16384" width="9" style="37"/>
  </cols>
  <sheetData>
    <row r="1" spans="1:7" s="252" customFormat="1" ht="105" customHeight="1" thickBot="1">
      <c r="A1" s="753" t="s">
        <v>0</v>
      </c>
      <c r="B1" s="754"/>
      <c r="C1" s="755"/>
      <c r="D1" s="755"/>
      <c r="E1" s="755"/>
      <c r="F1" s="755"/>
      <c r="G1" s="756"/>
    </row>
    <row r="2" spans="1:7" s="252" customFormat="1" ht="36" customHeight="1">
      <c r="A2" s="750">
        <v>43619</v>
      </c>
      <c r="B2" s="685" t="s">
        <v>2</v>
      </c>
      <c r="C2" s="702" t="s">
        <v>899</v>
      </c>
      <c r="D2" s="162" t="s">
        <v>900</v>
      </c>
      <c r="E2" s="253">
        <v>100</v>
      </c>
      <c r="F2" s="39"/>
      <c r="G2" s="53"/>
    </row>
    <row r="3" spans="1:7" s="252" customFormat="1" ht="36" customHeight="1">
      <c r="A3" s="751"/>
      <c r="B3" s="686"/>
      <c r="C3" s="705"/>
      <c r="D3" s="18" t="s">
        <v>901</v>
      </c>
      <c r="E3" s="290">
        <v>102</v>
      </c>
      <c r="F3" s="42" t="s">
        <v>1021</v>
      </c>
      <c r="G3" s="55"/>
    </row>
    <row r="4" spans="1:7" s="252" customFormat="1" ht="36" customHeight="1">
      <c r="A4" s="751"/>
      <c r="B4" s="686"/>
      <c r="C4" s="703"/>
      <c r="D4" s="163" t="s">
        <v>902</v>
      </c>
      <c r="E4" s="254">
        <v>102</v>
      </c>
      <c r="F4" s="35" t="s">
        <v>1022</v>
      </c>
      <c r="G4" s="51"/>
    </row>
    <row r="5" spans="1:7" s="252" customFormat="1" ht="36" customHeight="1" thickBot="1">
      <c r="A5" s="751"/>
      <c r="B5" s="686"/>
      <c r="C5" s="364" t="s">
        <v>1018</v>
      </c>
      <c r="D5" s="365" t="s">
        <v>1019</v>
      </c>
      <c r="E5" s="273">
        <v>50</v>
      </c>
      <c r="F5" s="424" t="s">
        <v>1020</v>
      </c>
      <c r="G5" s="52"/>
    </row>
    <row r="6" spans="1:7" s="252" customFormat="1" ht="36" customHeight="1" thickBot="1">
      <c r="A6" s="752"/>
      <c r="B6" s="687"/>
      <c r="C6" s="166"/>
      <c r="D6" s="16"/>
      <c r="E6" s="316"/>
      <c r="F6" s="14"/>
      <c r="G6" s="60"/>
    </row>
    <row r="7" spans="1:7" ht="36" customHeight="1">
      <c r="A7" s="750">
        <v>43620</v>
      </c>
      <c r="B7" s="685" t="s">
        <v>16</v>
      </c>
      <c r="C7" s="704" t="s">
        <v>88</v>
      </c>
      <c r="D7" s="162" t="s">
        <v>1030</v>
      </c>
      <c r="E7" s="253">
        <v>200</v>
      </c>
      <c r="F7" s="39" t="s">
        <v>1020</v>
      </c>
      <c r="G7" s="53" t="s">
        <v>1017</v>
      </c>
    </row>
    <row r="8" spans="1:7" ht="36" customHeight="1">
      <c r="A8" s="751"/>
      <c r="B8" s="686"/>
      <c r="C8" s="701"/>
      <c r="D8" s="163" t="s">
        <v>1031</v>
      </c>
      <c r="E8" s="254">
        <v>20</v>
      </c>
      <c r="F8" s="35"/>
      <c r="G8" s="51"/>
    </row>
    <row r="9" spans="1:7" ht="36" customHeight="1">
      <c r="A9" s="751"/>
      <c r="B9" s="686"/>
      <c r="C9" s="701"/>
      <c r="D9" s="163" t="s">
        <v>1032</v>
      </c>
      <c r="E9" s="254" t="s">
        <v>1033</v>
      </c>
      <c r="F9" s="35"/>
      <c r="G9" s="51"/>
    </row>
    <row r="10" spans="1:7" ht="36" customHeight="1">
      <c r="A10" s="751"/>
      <c r="B10" s="686"/>
      <c r="C10" s="433" t="s">
        <v>1027</v>
      </c>
      <c r="D10" s="163" t="s">
        <v>1028</v>
      </c>
      <c r="E10" s="254">
        <v>50</v>
      </c>
      <c r="F10" s="35" t="s">
        <v>1029</v>
      </c>
      <c r="G10" s="51"/>
    </row>
    <row r="11" spans="1:7" ht="36" customHeight="1">
      <c r="A11" s="751"/>
      <c r="B11" s="686"/>
      <c r="C11" s="701" t="s">
        <v>1050</v>
      </c>
      <c r="D11" s="163" t="s">
        <v>1059</v>
      </c>
      <c r="E11" s="254" t="s">
        <v>1060</v>
      </c>
      <c r="F11" s="35"/>
      <c r="G11" s="51"/>
    </row>
    <row r="12" spans="1:7" ht="36" customHeight="1">
      <c r="A12" s="751"/>
      <c r="B12" s="686"/>
      <c r="C12" s="701"/>
      <c r="D12" s="163" t="s">
        <v>1061</v>
      </c>
      <c r="E12" s="254" t="s">
        <v>1060</v>
      </c>
      <c r="F12" s="35"/>
      <c r="G12" s="51"/>
    </row>
    <row r="13" spans="1:7" ht="36" customHeight="1" thickBot="1">
      <c r="A13" s="751"/>
      <c r="B13" s="686"/>
      <c r="C13" s="723"/>
      <c r="D13" s="434" t="s">
        <v>1062</v>
      </c>
      <c r="E13" s="273">
        <v>20</v>
      </c>
      <c r="F13" s="40"/>
      <c r="G13" s="52"/>
    </row>
    <row r="14" spans="1:7" ht="36" customHeight="1" thickBot="1">
      <c r="A14" s="752"/>
      <c r="B14" s="687"/>
      <c r="C14" s="282" t="s">
        <v>262</v>
      </c>
      <c r="D14" s="283" t="s">
        <v>20</v>
      </c>
      <c r="E14" s="284" t="s">
        <v>882</v>
      </c>
      <c r="F14" s="14" t="s">
        <v>84</v>
      </c>
      <c r="G14" s="60"/>
    </row>
    <row r="15" spans="1:7" ht="36" customHeight="1">
      <c r="A15" s="750">
        <v>43621</v>
      </c>
      <c r="B15" s="685" t="s">
        <v>15</v>
      </c>
      <c r="C15" s="426" t="s">
        <v>1049</v>
      </c>
      <c r="D15" s="162" t="s">
        <v>1055</v>
      </c>
      <c r="E15" s="253">
        <v>384</v>
      </c>
      <c r="F15" s="39" t="s">
        <v>1053</v>
      </c>
      <c r="G15" s="53" t="s">
        <v>1036</v>
      </c>
    </row>
    <row r="16" spans="1:7" ht="36" customHeight="1">
      <c r="A16" s="751"/>
      <c r="B16" s="686"/>
      <c r="C16" s="788" t="s">
        <v>1054</v>
      </c>
      <c r="D16" s="789"/>
      <c r="E16" s="789"/>
      <c r="F16" s="789"/>
      <c r="G16" s="790"/>
    </row>
    <row r="17" spans="1:7" ht="36" customHeight="1" thickBot="1">
      <c r="A17" s="751"/>
      <c r="B17" s="686"/>
      <c r="C17" s="427" t="s">
        <v>1042</v>
      </c>
      <c r="D17" s="428" t="s">
        <v>1043</v>
      </c>
      <c r="E17" s="273">
        <v>50</v>
      </c>
      <c r="F17" s="40"/>
      <c r="G17" s="52"/>
    </row>
    <row r="18" spans="1:7" ht="36" customHeight="1" thickBot="1">
      <c r="A18" s="752"/>
      <c r="B18" s="687"/>
      <c r="C18" s="166"/>
      <c r="D18" s="16"/>
      <c r="E18" s="316"/>
      <c r="F18" s="14"/>
      <c r="G18" s="60"/>
    </row>
    <row r="19" spans="1:7" ht="36" customHeight="1">
      <c r="A19" s="750">
        <v>43622</v>
      </c>
      <c r="B19" s="685" t="s">
        <v>17</v>
      </c>
      <c r="C19" s="791" t="s">
        <v>1037</v>
      </c>
      <c r="D19" s="792"/>
      <c r="E19" s="792"/>
      <c r="F19" s="792"/>
      <c r="G19" s="793"/>
    </row>
    <row r="20" spans="1:7" ht="36" customHeight="1" thickBot="1">
      <c r="A20" s="752"/>
      <c r="B20" s="687"/>
      <c r="C20" s="794"/>
      <c r="D20" s="795"/>
      <c r="E20" s="795"/>
      <c r="F20" s="795"/>
      <c r="G20" s="796"/>
    </row>
    <row r="21" spans="1:7" ht="36" customHeight="1">
      <c r="A21" s="750">
        <v>43623</v>
      </c>
      <c r="B21" s="685" t="s">
        <v>18</v>
      </c>
      <c r="C21" s="435" t="s">
        <v>3</v>
      </c>
      <c r="D21" s="162" t="s">
        <v>5</v>
      </c>
      <c r="E21" s="253">
        <v>208</v>
      </c>
      <c r="F21" s="39"/>
      <c r="G21" s="53"/>
    </row>
    <row r="22" spans="1:7" ht="36" customHeight="1">
      <c r="A22" s="751"/>
      <c r="B22" s="686"/>
      <c r="C22" s="706" t="s">
        <v>7</v>
      </c>
      <c r="D22" s="163" t="s">
        <v>1065</v>
      </c>
      <c r="E22" s="254">
        <v>128</v>
      </c>
      <c r="F22" s="35" t="s">
        <v>1064</v>
      </c>
      <c r="G22" s="51"/>
    </row>
    <row r="23" spans="1:7" ht="36" customHeight="1">
      <c r="A23" s="751"/>
      <c r="B23" s="686"/>
      <c r="C23" s="705"/>
      <c r="D23" s="163" t="s">
        <v>1023</v>
      </c>
      <c r="E23" s="254">
        <v>100</v>
      </c>
      <c r="F23" s="35" t="s">
        <v>1063</v>
      </c>
      <c r="G23" s="51"/>
    </row>
    <row r="24" spans="1:7" ht="36" customHeight="1">
      <c r="A24" s="751"/>
      <c r="B24" s="686"/>
      <c r="C24" s="705"/>
      <c r="D24" s="163" t="s">
        <v>1051</v>
      </c>
      <c r="E24" s="254">
        <v>64</v>
      </c>
      <c r="F24" s="35"/>
      <c r="G24" s="51"/>
    </row>
    <row r="25" spans="1:7" ht="36" customHeight="1">
      <c r="A25" s="751"/>
      <c r="B25" s="686"/>
      <c r="C25" s="705"/>
      <c r="D25" s="163" t="s">
        <v>1052</v>
      </c>
      <c r="E25" s="254" t="s">
        <v>1068</v>
      </c>
      <c r="F25" s="35"/>
      <c r="G25" s="51"/>
    </row>
    <row r="26" spans="1:7" ht="36" customHeight="1">
      <c r="A26" s="751"/>
      <c r="B26" s="686"/>
      <c r="C26" s="703"/>
      <c r="D26" s="25" t="s">
        <v>1078</v>
      </c>
      <c r="E26" s="255" t="s">
        <v>1079</v>
      </c>
      <c r="F26" s="41"/>
      <c r="G26" s="54"/>
    </row>
    <row r="27" spans="1:7" ht="36" customHeight="1" thickBot="1">
      <c r="A27" s="751"/>
      <c r="B27" s="686"/>
      <c r="C27" s="427" t="s">
        <v>1038</v>
      </c>
      <c r="D27" s="428" t="s">
        <v>1039</v>
      </c>
      <c r="E27" s="273" t="s">
        <v>1040</v>
      </c>
      <c r="F27" s="40" t="s">
        <v>1041</v>
      </c>
      <c r="G27" s="52"/>
    </row>
    <row r="28" spans="1:7" ht="36" customHeight="1">
      <c r="A28" s="751"/>
      <c r="B28" s="686"/>
      <c r="C28" s="429" t="s">
        <v>296</v>
      </c>
      <c r="D28" s="430" t="s">
        <v>300</v>
      </c>
      <c r="E28" s="431" t="s">
        <v>1045</v>
      </c>
      <c r="F28" s="431" t="s">
        <v>1047</v>
      </c>
      <c r="G28" s="432"/>
    </row>
    <row r="29" spans="1:7" ht="36" customHeight="1" thickBot="1">
      <c r="A29" s="752"/>
      <c r="B29" s="687"/>
      <c r="C29" s="151" t="s">
        <v>296</v>
      </c>
      <c r="D29" s="20" t="s">
        <v>300</v>
      </c>
      <c r="E29" s="13" t="s">
        <v>1046</v>
      </c>
      <c r="F29" s="13" t="s">
        <v>1048</v>
      </c>
      <c r="G29" s="62"/>
    </row>
    <row r="30" spans="1:7" s="252" customFormat="1" ht="105" customHeight="1" thickBot="1">
      <c r="A30" s="753" t="s">
        <v>0</v>
      </c>
      <c r="B30" s="754"/>
      <c r="C30" s="754"/>
      <c r="D30" s="754"/>
      <c r="E30" s="754"/>
      <c r="F30" s="754"/>
      <c r="G30" s="787"/>
    </row>
    <row r="31" spans="1:7" ht="36" customHeight="1">
      <c r="A31" s="751">
        <v>43626</v>
      </c>
      <c r="B31" s="686" t="s">
        <v>1044</v>
      </c>
      <c r="C31" s="440" t="s">
        <v>1034</v>
      </c>
      <c r="D31" s="163" t="s">
        <v>35</v>
      </c>
      <c r="E31" s="254">
        <v>80</v>
      </c>
      <c r="F31" s="35" t="s">
        <v>1035</v>
      </c>
      <c r="G31" s="55"/>
    </row>
    <row r="32" spans="1:7" ht="36" customHeight="1" thickBot="1">
      <c r="A32" s="751"/>
      <c r="B32" s="686"/>
      <c r="C32" s="439" t="s">
        <v>9</v>
      </c>
      <c r="D32" s="441" t="s">
        <v>157</v>
      </c>
      <c r="E32" s="254">
        <v>50</v>
      </c>
      <c r="F32" s="442" t="s">
        <v>1069</v>
      </c>
      <c r="G32" s="51"/>
    </row>
    <row r="33" spans="1:7" ht="36" customHeight="1" thickBot="1">
      <c r="A33" s="752"/>
      <c r="B33" s="687"/>
      <c r="C33" s="47" t="s">
        <v>1073</v>
      </c>
      <c r="D33" s="27" t="s">
        <v>1074</v>
      </c>
      <c r="E33" s="22" t="s">
        <v>1075</v>
      </c>
      <c r="F33" s="22" t="s">
        <v>1076</v>
      </c>
      <c r="G33" s="58"/>
    </row>
    <row r="34" spans="1:7" ht="36" customHeight="1" thickBot="1">
      <c r="A34" s="750">
        <v>43627</v>
      </c>
      <c r="B34" s="685" t="s">
        <v>16</v>
      </c>
      <c r="C34" s="444" t="s">
        <v>1080</v>
      </c>
      <c r="D34" s="18" t="s">
        <v>1081</v>
      </c>
      <c r="E34" s="382">
        <v>300</v>
      </c>
      <c r="F34" s="42"/>
      <c r="G34" s="55"/>
    </row>
    <row r="35" spans="1:7" ht="36" customHeight="1" thickBot="1">
      <c r="A35" s="752"/>
      <c r="B35" s="687"/>
      <c r="C35" s="47"/>
      <c r="D35" s="27"/>
      <c r="E35" s="22"/>
      <c r="F35" s="22"/>
      <c r="G35" s="58"/>
    </row>
    <row r="36" spans="1:7" ht="36" customHeight="1">
      <c r="A36" s="750">
        <v>43628</v>
      </c>
      <c r="B36" s="685" t="s">
        <v>15</v>
      </c>
      <c r="C36" s="436" t="s">
        <v>1071</v>
      </c>
      <c r="D36" s="18" t="s">
        <v>1072</v>
      </c>
      <c r="E36" s="382">
        <v>239</v>
      </c>
      <c r="F36" s="42"/>
      <c r="G36" s="55"/>
    </row>
    <row r="37" spans="1:7" ht="36" customHeight="1">
      <c r="A37" s="751"/>
      <c r="B37" s="686"/>
      <c r="C37" s="797" t="s">
        <v>1086</v>
      </c>
      <c r="D37" s="163" t="s">
        <v>1087</v>
      </c>
      <c r="E37" s="254" t="s">
        <v>1088</v>
      </c>
      <c r="F37" s="35"/>
      <c r="G37" s="51"/>
    </row>
    <row r="38" spans="1:7" ht="36" customHeight="1" thickBot="1">
      <c r="A38" s="751"/>
      <c r="B38" s="686"/>
      <c r="C38" s="684"/>
      <c r="D38" s="441" t="s">
        <v>1089</v>
      </c>
      <c r="E38" s="442" t="s">
        <v>1090</v>
      </c>
      <c r="F38" s="443"/>
      <c r="G38" s="378"/>
    </row>
    <row r="39" spans="1:7" ht="36" customHeight="1" thickBot="1">
      <c r="A39" s="752"/>
      <c r="B39" s="687"/>
      <c r="C39" s="47"/>
      <c r="D39" s="27"/>
      <c r="E39" s="22"/>
      <c r="F39" s="22"/>
      <c r="G39" s="58"/>
    </row>
    <row r="40" spans="1:7" ht="36" customHeight="1">
      <c r="A40" s="750">
        <v>43629</v>
      </c>
      <c r="B40" s="685" t="s">
        <v>17</v>
      </c>
      <c r="C40" s="705" t="s">
        <v>129</v>
      </c>
      <c r="D40" s="18" t="s">
        <v>130</v>
      </c>
      <c r="E40" s="382">
        <v>200</v>
      </c>
      <c r="F40" s="42"/>
      <c r="G40" s="55"/>
    </row>
    <row r="41" spans="1:7" ht="36" customHeight="1">
      <c r="A41" s="751"/>
      <c r="B41" s="686"/>
      <c r="C41" s="705"/>
      <c r="D41" s="25" t="s">
        <v>372</v>
      </c>
      <c r="E41" s="255">
        <v>100</v>
      </c>
      <c r="F41" s="42"/>
      <c r="G41" s="55"/>
    </row>
    <row r="42" spans="1:7" ht="36" customHeight="1">
      <c r="A42" s="751"/>
      <c r="B42" s="686"/>
      <c r="C42" s="703"/>
      <c r="D42" s="25" t="s">
        <v>1082</v>
      </c>
      <c r="E42" s="255" t="s">
        <v>1083</v>
      </c>
      <c r="F42" s="42"/>
      <c r="G42" s="55"/>
    </row>
    <row r="43" spans="1:7" ht="36" customHeight="1">
      <c r="A43" s="751"/>
      <c r="B43" s="686"/>
      <c r="C43" s="706" t="s">
        <v>1066</v>
      </c>
      <c r="D43" s="163" t="s">
        <v>1067</v>
      </c>
      <c r="E43" s="254">
        <v>100</v>
      </c>
      <c r="F43" s="42"/>
      <c r="G43" s="55"/>
    </row>
    <row r="44" spans="1:7" ht="36" customHeight="1" thickBot="1">
      <c r="A44" s="751"/>
      <c r="B44" s="686"/>
      <c r="C44" s="708"/>
      <c r="D44" s="375" t="s">
        <v>1032</v>
      </c>
      <c r="E44" s="376" t="s">
        <v>1091</v>
      </c>
      <c r="F44" s="35"/>
      <c r="G44" s="51"/>
    </row>
    <row r="45" spans="1:7" ht="36" customHeight="1" thickBot="1">
      <c r="A45" s="752"/>
      <c r="B45" s="687"/>
      <c r="C45" s="47"/>
      <c r="D45" s="27"/>
      <c r="E45" s="22"/>
      <c r="F45" s="22"/>
      <c r="G45" s="58"/>
    </row>
    <row r="46" spans="1:7" ht="36" customHeight="1">
      <c r="A46" s="750">
        <v>43630</v>
      </c>
      <c r="B46" s="685" t="s">
        <v>18</v>
      </c>
      <c r="C46" s="705" t="s">
        <v>1056</v>
      </c>
      <c r="D46" s="18" t="s">
        <v>1057</v>
      </c>
      <c r="E46" s="382">
        <v>429</v>
      </c>
      <c r="F46" s="42"/>
      <c r="G46" s="55"/>
    </row>
    <row r="47" spans="1:7" ht="36" customHeight="1">
      <c r="A47" s="751"/>
      <c r="B47" s="686"/>
      <c r="C47" s="703"/>
      <c r="D47" s="25" t="s">
        <v>1058</v>
      </c>
      <c r="E47" s="255">
        <v>2</v>
      </c>
      <c r="F47" s="35"/>
      <c r="G47" s="51"/>
    </row>
    <row r="48" spans="1:7" ht="36" customHeight="1">
      <c r="A48" s="751"/>
      <c r="B48" s="686"/>
      <c r="C48" s="447" t="s">
        <v>1093</v>
      </c>
      <c r="D48" s="25" t="s">
        <v>1094</v>
      </c>
      <c r="E48" s="255">
        <v>100</v>
      </c>
      <c r="F48" s="41"/>
      <c r="G48" s="54"/>
    </row>
    <row r="49" spans="1:7" ht="36" customHeight="1" thickBot="1">
      <c r="A49" s="751"/>
      <c r="B49" s="686"/>
      <c r="C49" s="445" t="s">
        <v>1092</v>
      </c>
      <c r="D49" s="446" t="s">
        <v>1089</v>
      </c>
      <c r="E49" s="273" t="s">
        <v>1088</v>
      </c>
      <c r="F49" s="40"/>
      <c r="G49" s="52"/>
    </row>
    <row r="50" spans="1:7" ht="36" customHeight="1" thickBot="1">
      <c r="A50" s="751"/>
      <c r="B50" s="686"/>
      <c r="C50" s="296" t="s">
        <v>937</v>
      </c>
      <c r="D50" s="297" t="s">
        <v>1077</v>
      </c>
      <c r="E50" s="298" t="s">
        <v>948</v>
      </c>
      <c r="F50" s="769" t="s">
        <v>939</v>
      </c>
      <c r="G50" s="770"/>
    </row>
    <row r="51" spans="1:7" ht="36" customHeight="1" thickBot="1">
      <c r="A51" s="752"/>
      <c r="B51" s="687"/>
      <c r="C51" s="47"/>
      <c r="D51" s="27"/>
      <c r="E51" s="22"/>
      <c r="F51" s="22"/>
      <c r="G51" s="58"/>
    </row>
    <row r="52" spans="1:7" s="252" customFormat="1" ht="105" customHeight="1" thickBot="1">
      <c r="A52" s="753" t="s">
        <v>0</v>
      </c>
      <c r="B52" s="754"/>
      <c r="C52" s="754"/>
      <c r="D52" s="754"/>
      <c r="E52" s="754"/>
      <c r="F52" s="754"/>
      <c r="G52" s="787"/>
    </row>
    <row r="53" spans="1:7" ht="36" customHeight="1">
      <c r="A53" s="751">
        <v>43633</v>
      </c>
      <c r="B53" s="686" t="s">
        <v>1106</v>
      </c>
      <c r="C53" s="450" t="s">
        <v>1095</v>
      </c>
      <c r="D53" s="162" t="s">
        <v>1096</v>
      </c>
      <c r="E53" s="253" t="s">
        <v>1097</v>
      </c>
      <c r="F53" s="39"/>
      <c r="G53" s="53"/>
    </row>
    <row r="54" spans="1:7" ht="36" customHeight="1">
      <c r="A54" s="751"/>
      <c r="B54" s="686"/>
      <c r="C54" s="705" t="s">
        <v>695</v>
      </c>
      <c r="D54" s="18" t="s">
        <v>1108</v>
      </c>
      <c r="E54" s="290" t="s">
        <v>1107</v>
      </c>
      <c r="F54" s="42"/>
      <c r="G54" s="55"/>
    </row>
    <row r="55" spans="1:7" ht="36" customHeight="1" thickBot="1">
      <c r="A55" s="751"/>
      <c r="B55" s="686"/>
      <c r="C55" s="708"/>
      <c r="D55" s="18" t="s">
        <v>1032</v>
      </c>
      <c r="E55" s="382" t="s">
        <v>103</v>
      </c>
      <c r="F55" s="443"/>
      <c r="G55" s="378"/>
    </row>
    <row r="56" spans="1:7" ht="36" customHeight="1" thickBot="1">
      <c r="A56" s="752"/>
      <c r="B56" s="687"/>
      <c r="C56" s="47"/>
      <c r="D56" s="27"/>
      <c r="E56" s="22"/>
      <c r="F56" s="22"/>
      <c r="G56" s="58"/>
    </row>
    <row r="57" spans="1:7" ht="36" customHeight="1">
      <c r="A57" s="750">
        <v>43634</v>
      </c>
      <c r="B57" s="685" t="s">
        <v>16</v>
      </c>
      <c r="C57" s="702" t="s">
        <v>1109</v>
      </c>
      <c r="D57" s="31" t="s">
        <v>1110</v>
      </c>
      <c r="E57" s="382" t="s">
        <v>1111</v>
      </c>
      <c r="F57" s="56"/>
      <c r="G57" s="57"/>
    </row>
    <row r="58" spans="1:7" ht="36" customHeight="1">
      <c r="A58" s="751"/>
      <c r="B58" s="686"/>
      <c r="C58" s="705"/>
      <c r="D58" s="163" t="s">
        <v>1112</v>
      </c>
      <c r="E58" s="254" t="s">
        <v>1113</v>
      </c>
      <c r="F58" s="35"/>
      <c r="G58" s="51"/>
    </row>
    <row r="59" spans="1:7" ht="36" customHeight="1">
      <c r="A59" s="751"/>
      <c r="B59" s="686"/>
      <c r="C59" s="705"/>
      <c r="D59" s="163" t="s">
        <v>1114</v>
      </c>
      <c r="E59" s="254" t="s">
        <v>393</v>
      </c>
      <c r="F59" s="35"/>
      <c r="G59" s="51"/>
    </row>
    <row r="60" spans="1:7" ht="36" customHeight="1">
      <c r="A60" s="751"/>
      <c r="B60" s="686"/>
      <c r="C60" s="703"/>
      <c r="D60" s="163" t="s">
        <v>1115</v>
      </c>
      <c r="E60" s="382" t="s">
        <v>393</v>
      </c>
      <c r="F60" s="56"/>
      <c r="G60" s="57"/>
    </row>
    <row r="61" spans="1:7" ht="36" customHeight="1">
      <c r="A61" s="751"/>
      <c r="B61" s="686"/>
      <c r="C61" s="705" t="s">
        <v>583</v>
      </c>
      <c r="D61" s="25" t="s">
        <v>28</v>
      </c>
      <c r="E61" s="255">
        <v>100</v>
      </c>
      <c r="F61" s="41"/>
      <c r="G61" s="54"/>
    </row>
    <row r="62" spans="1:7" ht="36" customHeight="1" thickBot="1">
      <c r="A62" s="751"/>
      <c r="B62" s="686"/>
      <c r="C62" s="703"/>
      <c r="D62" s="25" t="s">
        <v>1032</v>
      </c>
      <c r="E62" s="255" t="s">
        <v>1098</v>
      </c>
      <c r="F62" s="41"/>
      <c r="G62" s="54"/>
    </row>
    <row r="63" spans="1:7" ht="36" customHeight="1" thickBot="1">
      <c r="A63" s="752"/>
      <c r="B63" s="687"/>
      <c r="C63" s="47"/>
      <c r="D63" s="27"/>
      <c r="E63" s="22"/>
      <c r="F63" s="22"/>
      <c r="G63" s="58"/>
    </row>
    <row r="64" spans="1:7" ht="36" customHeight="1">
      <c r="A64" s="750">
        <v>43635</v>
      </c>
      <c r="B64" s="685" t="s">
        <v>15</v>
      </c>
      <c r="C64" s="705" t="s">
        <v>3</v>
      </c>
      <c r="D64" s="18" t="s">
        <v>5</v>
      </c>
      <c r="E64" s="382">
        <f>40+47</f>
        <v>87</v>
      </c>
      <c r="F64" s="42"/>
      <c r="G64" s="55"/>
    </row>
    <row r="65" spans="1:7" ht="36" customHeight="1">
      <c r="A65" s="751"/>
      <c r="B65" s="686"/>
      <c r="C65" s="703"/>
      <c r="D65" s="25" t="s">
        <v>1099</v>
      </c>
      <c r="E65" s="255">
        <v>210</v>
      </c>
      <c r="F65" s="35"/>
      <c r="G65" s="51"/>
    </row>
    <row r="66" spans="1:7" ht="36" customHeight="1">
      <c r="A66" s="751"/>
      <c r="B66" s="686"/>
      <c r="C66" s="706" t="s">
        <v>224</v>
      </c>
      <c r="D66" s="163" t="s">
        <v>31</v>
      </c>
      <c r="E66" s="254">
        <v>100</v>
      </c>
      <c r="F66" s="35"/>
      <c r="G66" s="51"/>
    </row>
    <row r="67" spans="1:7" ht="36" customHeight="1" thickBot="1">
      <c r="A67" s="751"/>
      <c r="B67" s="686"/>
      <c r="C67" s="703"/>
      <c r="D67" s="163" t="s">
        <v>1118</v>
      </c>
      <c r="E67" s="254">
        <v>30</v>
      </c>
      <c r="F67" s="35"/>
      <c r="G67" s="51"/>
    </row>
    <row r="68" spans="1:7" ht="36" customHeight="1" thickBot="1">
      <c r="A68" s="752"/>
      <c r="B68" s="687"/>
      <c r="C68" s="47"/>
      <c r="D68" s="27"/>
      <c r="E68" s="22"/>
      <c r="F68" s="22"/>
      <c r="G68" s="58"/>
    </row>
    <row r="69" spans="1:7" ht="36" customHeight="1">
      <c r="A69" s="751">
        <v>43636</v>
      </c>
      <c r="B69" s="686" t="s">
        <v>1119</v>
      </c>
      <c r="C69" s="448" t="s">
        <v>1101</v>
      </c>
      <c r="D69" s="25" t="s">
        <v>1102</v>
      </c>
      <c r="E69" s="255">
        <v>100</v>
      </c>
      <c r="F69" s="41"/>
      <c r="G69" s="51"/>
    </row>
    <row r="70" spans="1:7" ht="36" customHeight="1" thickBot="1">
      <c r="A70" s="751"/>
      <c r="B70" s="686"/>
      <c r="C70" s="451" t="s">
        <v>9</v>
      </c>
      <c r="D70" s="452" t="s">
        <v>1116</v>
      </c>
      <c r="E70" s="254">
        <v>50</v>
      </c>
      <c r="F70" s="35"/>
      <c r="G70" s="51"/>
    </row>
    <row r="71" spans="1:7" ht="36" customHeight="1" thickBot="1">
      <c r="A71" s="752"/>
      <c r="B71" s="687"/>
      <c r="C71" s="47"/>
      <c r="D71" s="27"/>
      <c r="E71" s="22"/>
      <c r="F71" s="22"/>
      <c r="G71" s="58"/>
    </row>
    <row r="72" spans="1:7" ht="36" customHeight="1">
      <c r="A72" s="750">
        <v>43637</v>
      </c>
      <c r="B72" s="685" t="s">
        <v>18</v>
      </c>
      <c r="C72" s="705" t="s">
        <v>1084</v>
      </c>
      <c r="D72" s="18" t="s">
        <v>1085</v>
      </c>
      <c r="E72" s="382">
        <v>485</v>
      </c>
      <c r="F72" s="42"/>
      <c r="G72" s="55"/>
    </row>
    <row r="73" spans="1:7" ht="36" customHeight="1">
      <c r="A73" s="751"/>
      <c r="B73" s="686"/>
      <c r="C73" s="705"/>
      <c r="D73" s="25" t="s">
        <v>6</v>
      </c>
      <c r="E73" s="255">
        <v>2</v>
      </c>
      <c r="F73" s="42"/>
      <c r="G73" s="55"/>
    </row>
    <row r="74" spans="1:7" ht="36" customHeight="1" thickBot="1">
      <c r="A74" s="751"/>
      <c r="B74" s="686"/>
      <c r="C74" s="703"/>
      <c r="D74" s="25" t="s">
        <v>1120</v>
      </c>
      <c r="E74" s="255" t="s">
        <v>1121</v>
      </c>
      <c r="F74" s="35"/>
      <c r="G74" s="51"/>
    </row>
    <row r="75" spans="1:7" ht="36" customHeight="1" thickBot="1">
      <c r="A75" s="752"/>
      <c r="B75" s="687"/>
      <c r="C75" s="47"/>
      <c r="D75" s="27"/>
      <c r="E75" s="22"/>
      <c r="F75" s="22"/>
      <c r="G75" s="58"/>
    </row>
    <row r="76" spans="1:7" s="252" customFormat="1" ht="105" customHeight="1" thickBot="1">
      <c r="A76" s="753" t="s">
        <v>0</v>
      </c>
      <c r="B76" s="754"/>
      <c r="C76" s="754"/>
      <c r="D76" s="754"/>
      <c r="E76" s="754"/>
      <c r="F76" s="754"/>
      <c r="G76" s="787"/>
    </row>
    <row r="77" spans="1:7" ht="36" customHeight="1">
      <c r="A77" s="750">
        <v>43640</v>
      </c>
      <c r="B77" s="685" t="s">
        <v>1070</v>
      </c>
      <c r="C77" s="705"/>
      <c r="D77" s="18"/>
      <c r="E77" s="382"/>
      <c r="F77" s="42"/>
      <c r="G77" s="55"/>
    </row>
    <row r="78" spans="1:7" ht="36" customHeight="1">
      <c r="A78" s="751"/>
      <c r="B78" s="686"/>
      <c r="C78" s="703"/>
      <c r="D78" s="25"/>
      <c r="E78" s="255"/>
      <c r="F78" s="35"/>
      <c r="G78" s="51"/>
    </row>
    <row r="79" spans="1:7" ht="36" customHeight="1" thickBot="1">
      <c r="A79" s="751"/>
      <c r="B79" s="686"/>
      <c r="C79" s="437"/>
      <c r="D79" s="438"/>
      <c r="E79" s="273"/>
      <c r="F79" s="40"/>
      <c r="G79" s="52"/>
    </row>
    <row r="80" spans="1:7" ht="36" customHeight="1" thickBot="1">
      <c r="A80" s="752"/>
      <c r="B80" s="687"/>
      <c r="C80" s="47"/>
      <c r="D80" s="27"/>
      <c r="E80" s="22"/>
      <c r="F80" s="22"/>
      <c r="G80" s="58"/>
    </row>
    <row r="81" spans="1:7" ht="36" customHeight="1">
      <c r="A81" s="750">
        <v>43641</v>
      </c>
      <c r="B81" s="685" t="s">
        <v>16</v>
      </c>
      <c r="C81" s="702" t="s">
        <v>1124</v>
      </c>
      <c r="D81" s="18" t="s">
        <v>1125</v>
      </c>
      <c r="E81" s="253">
        <v>150</v>
      </c>
      <c r="F81" s="42"/>
      <c r="G81" s="55"/>
    </row>
    <row r="82" spans="1:7" ht="36" customHeight="1">
      <c r="A82" s="751"/>
      <c r="B82" s="686"/>
      <c r="C82" s="703"/>
      <c r="D82" s="31" t="s">
        <v>1126</v>
      </c>
      <c r="E82" s="382" t="s">
        <v>103</v>
      </c>
      <c r="F82" s="42"/>
      <c r="G82" s="55"/>
    </row>
    <row r="83" spans="1:7" ht="36" customHeight="1" thickBot="1">
      <c r="A83" s="751"/>
      <c r="B83" s="686"/>
      <c r="C83" s="503" t="s">
        <v>136</v>
      </c>
      <c r="D83" s="25" t="s">
        <v>29</v>
      </c>
      <c r="E83" s="255">
        <v>100</v>
      </c>
      <c r="F83" s="56"/>
      <c r="G83" s="57"/>
    </row>
    <row r="84" spans="1:7" ht="36" customHeight="1" thickBot="1">
      <c r="A84" s="752"/>
      <c r="B84" s="687"/>
      <c r="C84" s="47"/>
      <c r="D84" s="27"/>
      <c r="E84" s="22"/>
      <c r="F84" s="22"/>
      <c r="G84" s="58"/>
    </row>
    <row r="85" spans="1:7" ht="36" customHeight="1" thickBot="1">
      <c r="A85" s="750">
        <v>43642</v>
      </c>
      <c r="B85" s="685" t="s">
        <v>15</v>
      </c>
      <c r="C85" s="454" t="s">
        <v>1103</v>
      </c>
      <c r="D85" s="18" t="s">
        <v>1104</v>
      </c>
      <c r="E85" s="382">
        <v>568</v>
      </c>
      <c r="F85" s="42"/>
      <c r="G85" s="55"/>
    </row>
    <row r="86" spans="1:7" ht="36" customHeight="1" thickBot="1">
      <c r="A86" s="752"/>
      <c r="B86" s="687"/>
      <c r="C86" s="47"/>
      <c r="D86" s="27"/>
      <c r="E86" s="22"/>
      <c r="F86" s="22"/>
      <c r="G86" s="58"/>
    </row>
    <row r="87" spans="1:7" ht="36" customHeight="1">
      <c r="A87" s="751">
        <v>43643</v>
      </c>
      <c r="B87" s="686" t="s">
        <v>1130</v>
      </c>
      <c r="C87" s="455" t="s">
        <v>1127</v>
      </c>
      <c r="D87" s="453" t="s">
        <v>1128</v>
      </c>
      <c r="E87" s="254">
        <v>100</v>
      </c>
      <c r="F87" s="41" t="s">
        <v>1138</v>
      </c>
      <c r="G87" s="54"/>
    </row>
    <row r="88" spans="1:7" ht="36" customHeight="1">
      <c r="A88" s="751"/>
      <c r="B88" s="686"/>
      <c r="C88" s="705" t="s">
        <v>151</v>
      </c>
      <c r="D88" s="18" t="s">
        <v>152</v>
      </c>
      <c r="E88" s="290">
        <v>100</v>
      </c>
      <c r="F88" s="41"/>
      <c r="G88" s="54"/>
    </row>
    <row r="89" spans="1:7" ht="36" customHeight="1">
      <c r="A89" s="751"/>
      <c r="B89" s="686"/>
      <c r="C89" s="705"/>
      <c r="D89" s="31" t="s">
        <v>1123</v>
      </c>
      <c r="E89" s="382">
        <v>5</v>
      </c>
      <c r="F89" s="41"/>
      <c r="G89" s="54"/>
    </row>
    <row r="90" spans="1:7" ht="36" customHeight="1" thickBot="1">
      <c r="A90" s="751"/>
      <c r="B90" s="686"/>
      <c r="C90" s="705"/>
      <c r="D90" s="25" t="s">
        <v>1032</v>
      </c>
      <c r="E90" s="255" t="s">
        <v>119</v>
      </c>
      <c r="F90" s="41"/>
      <c r="G90" s="54"/>
    </row>
    <row r="91" spans="1:7" ht="36" customHeight="1" thickBot="1">
      <c r="A91" s="752"/>
      <c r="B91" s="687"/>
      <c r="C91" s="47"/>
      <c r="D91" s="27"/>
      <c r="E91" s="22"/>
      <c r="F91" s="22"/>
      <c r="G91" s="58"/>
    </row>
    <row r="92" spans="1:7" ht="36" customHeight="1">
      <c r="A92" s="750">
        <v>43644</v>
      </c>
      <c r="B92" s="685" t="s">
        <v>18</v>
      </c>
      <c r="C92" s="705" t="s">
        <v>1105</v>
      </c>
      <c r="D92" s="18" t="s">
        <v>1104</v>
      </c>
      <c r="E92" s="382">
        <v>390</v>
      </c>
      <c r="F92" s="42"/>
      <c r="G92" s="55"/>
    </row>
    <row r="93" spans="1:7" ht="36" customHeight="1">
      <c r="A93" s="751"/>
      <c r="B93" s="686"/>
      <c r="C93" s="705"/>
      <c r="D93" s="163" t="s">
        <v>6</v>
      </c>
      <c r="E93" s="254">
        <v>134</v>
      </c>
      <c r="F93" s="42"/>
      <c r="G93" s="55"/>
    </row>
    <row r="94" spans="1:7" ht="36" customHeight="1">
      <c r="A94" s="751"/>
      <c r="B94" s="686"/>
      <c r="C94" s="703"/>
      <c r="D94" s="163" t="s">
        <v>1145</v>
      </c>
      <c r="E94" s="254" t="s">
        <v>1146</v>
      </c>
      <c r="F94" s="35"/>
      <c r="G94" s="51"/>
    </row>
    <row r="95" spans="1:7" ht="36" customHeight="1">
      <c r="A95" s="751"/>
      <c r="B95" s="686"/>
      <c r="C95" s="458" t="s">
        <v>1137</v>
      </c>
      <c r="D95" s="163" t="s">
        <v>1117</v>
      </c>
      <c r="E95" s="255">
        <v>50</v>
      </c>
      <c r="F95" s="35"/>
      <c r="G95" s="51"/>
    </row>
    <row r="96" spans="1:7" ht="36" customHeight="1">
      <c r="A96" s="751"/>
      <c r="B96" s="686"/>
      <c r="C96" s="706" t="s">
        <v>4</v>
      </c>
      <c r="D96" s="163" t="s">
        <v>1100</v>
      </c>
      <c r="E96" s="254">
        <v>50</v>
      </c>
      <c r="F96" s="35"/>
      <c r="G96" s="51"/>
    </row>
    <row r="97" spans="1:7" ht="36" customHeight="1">
      <c r="A97" s="751"/>
      <c r="B97" s="686"/>
      <c r="C97" s="703"/>
      <c r="D97" s="163" t="s">
        <v>698</v>
      </c>
      <c r="E97" s="254" t="s">
        <v>91</v>
      </c>
      <c r="F97" s="35"/>
      <c r="G97" s="51"/>
    </row>
    <row r="98" spans="1:7" ht="36" customHeight="1">
      <c r="A98" s="751"/>
      <c r="B98" s="686"/>
      <c r="C98" s="705" t="s">
        <v>1140</v>
      </c>
      <c r="D98" s="163" t="s">
        <v>1141</v>
      </c>
      <c r="E98" s="254" t="s">
        <v>1143</v>
      </c>
      <c r="F98" s="35"/>
      <c r="G98" s="51"/>
    </row>
    <row r="99" spans="1:7" ht="36" customHeight="1" thickBot="1">
      <c r="A99" s="751"/>
      <c r="B99" s="686"/>
      <c r="C99" s="708"/>
      <c r="D99" s="31" t="s">
        <v>1142</v>
      </c>
      <c r="E99" s="382" t="s">
        <v>1144</v>
      </c>
      <c r="F99" s="56"/>
      <c r="G99" s="57"/>
    </row>
    <row r="100" spans="1:7" ht="36" customHeight="1" thickBot="1">
      <c r="A100" s="752"/>
      <c r="B100" s="687"/>
      <c r="C100" s="47"/>
      <c r="D100" s="27"/>
      <c r="E100" s="22"/>
      <c r="F100" s="22"/>
      <c r="G100" s="58"/>
    </row>
  </sheetData>
  <mergeCells count="67">
    <mergeCell ref="C37:C38"/>
    <mergeCell ref="A36:A39"/>
    <mergeCell ref="C40:C42"/>
    <mergeCell ref="C43:C44"/>
    <mergeCell ref="A46:A51"/>
    <mergeCell ref="B36:B39"/>
    <mergeCell ref="A40:A45"/>
    <mergeCell ref="B40:B45"/>
    <mergeCell ref="A15:A18"/>
    <mergeCell ref="B15:B18"/>
    <mergeCell ref="A19:A20"/>
    <mergeCell ref="B19:B20"/>
    <mergeCell ref="C7:C9"/>
    <mergeCell ref="C16:G16"/>
    <mergeCell ref="C19:G20"/>
    <mergeCell ref="A1:G1"/>
    <mergeCell ref="A2:A6"/>
    <mergeCell ref="B2:B6"/>
    <mergeCell ref="C2:C4"/>
    <mergeCell ref="A7:A14"/>
    <mergeCell ref="B7:B14"/>
    <mergeCell ref="C11:C13"/>
    <mergeCell ref="A34:A35"/>
    <mergeCell ref="B34:B35"/>
    <mergeCell ref="C22:C26"/>
    <mergeCell ref="A21:A29"/>
    <mergeCell ref="B21:B29"/>
    <mergeCell ref="A31:A33"/>
    <mergeCell ref="B31:B33"/>
    <mergeCell ref="A30:G30"/>
    <mergeCell ref="A92:A100"/>
    <mergeCell ref="B92:B100"/>
    <mergeCell ref="C92:C94"/>
    <mergeCell ref="A81:A84"/>
    <mergeCell ref="B81:B84"/>
    <mergeCell ref="A85:A86"/>
    <mergeCell ref="B85:B86"/>
    <mergeCell ref="A87:A91"/>
    <mergeCell ref="B87:B91"/>
    <mergeCell ref="C88:C90"/>
    <mergeCell ref="C81:C82"/>
    <mergeCell ref="C98:C99"/>
    <mergeCell ref="C96:C97"/>
    <mergeCell ref="F50:G50"/>
    <mergeCell ref="A76:G76"/>
    <mergeCell ref="B46:B51"/>
    <mergeCell ref="C46:C47"/>
    <mergeCell ref="A52:G52"/>
    <mergeCell ref="A64:A68"/>
    <mergeCell ref="B64:B68"/>
    <mergeCell ref="C64:C65"/>
    <mergeCell ref="C61:C62"/>
    <mergeCell ref="C66:C67"/>
    <mergeCell ref="A57:A63"/>
    <mergeCell ref="B57:B63"/>
    <mergeCell ref="C54:C55"/>
    <mergeCell ref="C57:C60"/>
    <mergeCell ref="A53:A56"/>
    <mergeCell ref="B53:B56"/>
    <mergeCell ref="A77:A80"/>
    <mergeCell ref="B77:B80"/>
    <mergeCell ref="C77:C78"/>
    <mergeCell ref="B69:B71"/>
    <mergeCell ref="B72:B75"/>
    <mergeCell ref="C72:C74"/>
    <mergeCell ref="A69:A71"/>
    <mergeCell ref="A72:A75"/>
  </mergeCells>
  <phoneticPr fontId="1" type="noConversion"/>
  <printOptions horizontalCentered="1" verticalCentered="1"/>
  <pageMargins left="0.15748031496062992" right="0.15748031496062992" top="0.15748031496062992" bottom="0.15748031496062992" header="0.11811023622047245" footer="0.31496062992125984"/>
  <pageSetup paperSize="9" scale="70" fitToHeight="5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9"/>
  <sheetViews>
    <sheetView view="pageBreakPreview" topLeftCell="A115" zoomScale="71" zoomScaleNormal="87" zoomScaleSheetLayoutView="71" zoomScalePageLayoutView="75" workbookViewId="0">
      <selection activeCell="E137" sqref="E137"/>
    </sheetView>
  </sheetViews>
  <sheetFormatPr defaultRowHeight="36" customHeight="1"/>
  <cols>
    <col min="1" max="1" width="12.5" style="260" customWidth="1"/>
    <col min="2" max="2" width="8.5" style="261" customWidth="1"/>
    <col min="3" max="3" width="17.875" style="317" customWidth="1"/>
    <col min="4" max="4" width="22.5" style="37" customWidth="1"/>
    <col min="5" max="5" width="15.375" style="262" customWidth="1"/>
    <col min="6" max="6" width="25.625" style="262" customWidth="1"/>
    <col min="7" max="7" width="28.125" style="263" customWidth="1"/>
    <col min="8" max="8" width="42.5" style="252" customWidth="1"/>
    <col min="9" max="16384" width="9" style="37"/>
  </cols>
  <sheetData>
    <row r="1" spans="1:7" s="252" customFormat="1" ht="105" customHeight="1" thickBot="1">
      <c r="A1" s="753" t="s">
        <v>0</v>
      </c>
      <c r="B1" s="754"/>
      <c r="C1" s="754"/>
      <c r="D1" s="754"/>
      <c r="E1" s="754"/>
      <c r="F1" s="754"/>
      <c r="G1" s="787"/>
    </row>
    <row r="2" spans="1:7" s="252" customFormat="1" ht="36" customHeight="1">
      <c r="A2" s="751">
        <v>43647</v>
      </c>
      <c r="B2" s="686" t="s">
        <v>2</v>
      </c>
      <c r="C2" s="705" t="s">
        <v>7</v>
      </c>
      <c r="D2" s="18" t="s">
        <v>1147</v>
      </c>
      <c r="E2" s="290">
        <v>64</v>
      </c>
      <c r="F2" s="42"/>
      <c r="G2" s="55"/>
    </row>
    <row r="3" spans="1:7" s="252" customFormat="1" ht="36" customHeight="1">
      <c r="A3" s="751"/>
      <c r="B3" s="686"/>
      <c r="C3" s="705"/>
      <c r="D3" s="18" t="s">
        <v>1148</v>
      </c>
      <c r="E3" s="290">
        <v>50</v>
      </c>
      <c r="F3" s="42"/>
      <c r="G3" s="55"/>
    </row>
    <row r="4" spans="1:7" s="252" customFormat="1" ht="36" customHeight="1">
      <c r="A4" s="751"/>
      <c r="B4" s="686"/>
      <c r="C4" s="705"/>
      <c r="D4" s="453" t="s">
        <v>28</v>
      </c>
      <c r="E4" s="254">
        <v>64</v>
      </c>
      <c r="F4" s="42"/>
      <c r="G4" s="55"/>
    </row>
    <row r="5" spans="1:7" s="252" customFormat="1" ht="36" customHeight="1">
      <c r="A5" s="751"/>
      <c r="B5" s="686"/>
      <c r="C5" s="703"/>
      <c r="D5" s="453" t="s">
        <v>85</v>
      </c>
      <c r="E5" s="254">
        <v>50</v>
      </c>
      <c r="F5" s="35"/>
      <c r="G5" s="51"/>
    </row>
    <row r="6" spans="1:7" s="252" customFormat="1" ht="36" customHeight="1" thickBot="1">
      <c r="A6" s="751"/>
      <c r="B6" s="686"/>
      <c r="C6" s="461" t="s">
        <v>1129</v>
      </c>
      <c r="D6" s="462" t="s">
        <v>1139</v>
      </c>
      <c r="E6" s="273">
        <v>384</v>
      </c>
      <c r="F6" s="40"/>
      <c r="G6" s="470"/>
    </row>
    <row r="7" spans="1:7" s="252" customFormat="1" ht="36" customHeight="1" thickBot="1">
      <c r="A7" s="752"/>
      <c r="B7" s="687"/>
      <c r="C7" s="151"/>
      <c r="D7" s="20"/>
      <c r="E7" s="312"/>
      <c r="F7" s="13"/>
      <c r="G7" s="62"/>
    </row>
    <row r="8" spans="1:7" ht="36" customHeight="1">
      <c r="A8" s="751">
        <v>43648</v>
      </c>
      <c r="B8" s="686" t="s">
        <v>1136</v>
      </c>
      <c r="C8" s="460" t="s">
        <v>1134</v>
      </c>
      <c r="D8" s="18" t="s">
        <v>1135</v>
      </c>
      <c r="E8" s="290" t="s">
        <v>111</v>
      </c>
      <c r="F8" s="42"/>
      <c r="G8" s="55"/>
    </row>
    <row r="9" spans="1:7" ht="36" customHeight="1">
      <c r="A9" s="751"/>
      <c r="B9" s="686"/>
      <c r="C9" s="458" t="s">
        <v>9</v>
      </c>
      <c r="D9" s="459" t="s">
        <v>157</v>
      </c>
      <c r="E9" s="457">
        <v>50</v>
      </c>
      <c r="F9" s="35"/>
      <c r="G9" s="51"/>
    </row>
    <row r="10" spans="1:7" ht="36" customHeight="1">
      <c r="A10" s="751"/>
      <c r="B10" s="686"/>
      <c r="C10" s="706" t="s">
        <v>1162</v>
      </c>
      <c r="D10" s="469" t="s">
        <v>1163</v>
      </c>
      <c r="E10" s="471">
        <v>50</v>
      </c>
      <c r="F10" s="41"/>
      <c r="G10" s="54"/>
    </row>
    <row r="11" spans="1:7" ht="36" customHeight="1" thickBot="1">
      <c r="A11" s="751"/>
      <c r="B11" s="686"/>
      <c r="C11" s="708"/>
      <c r="D11" s="449" t="s">
        <v>1164</v>
      </c>
      <c r="E11" s="273">
        <v>50</v>
      </c>
      <c r="F11" s="40"/>
      <c r="G11" s="52"/>
    </row>
    <row r="12" spans="1:7" ht="36" customHeight="1" thickBot="1">
      <c r="A12" s="752"/>
      <c r="B12" s="687"/>
      <c r="C12" s="282"/>
      <c r="D12" s="283"/>
      <c r="E12" s="284"/>
      <c r="F12" s="14"/>
      <c r="G12" s="60"/>
    </row>
    <row r="13" spans="1:7" ht="36" customHeight="1">
      <c r="A13" s="750">
        <v>43649</v>
      </c>
      <c r="B13" s="685" t="s">
        <v>15</v>
      </c>
      <c r="C13" s="473" t="s">
        <v>1103</v>
      </c>
      <c r="D13" s="162" t="s">
        <v>1104</v>
      </c>
      <c r="E13" s="253">
        <v>486</v>
      </c>
      <c r="F13" s="39"/>
      <c r="G13" s="53"/>
    </row>
    <row r="14" spans="1:7" ht="36" customHeight="1">
      <c r="A14" s="751"/>
      <c r="B14" s="686"/>
      <c r="C14" s="706" t="s">
        <v>34</v>
      </c>
      <c r="D14" s="452" t="s">
        <v>1149</v>
      </c>
      <c r="E14" s="254">
        <v>50</v>
      </c>
      <c r="F14" s="465"/>
      <c r="G14" s="466"/>
    </row>
    <row r="15" spans="1:7" ht="36" customHeight="1" thickBot="1">
      <c r="A15" s="751"/>
      <c r="B15" s="686"/>
      <c r="C15" s="708"/>
      <c r="D15" s="441" t="s">
        <v>1167</v>
      </c>
      <c r="E15" s="273">
        <v>50</v>
      </c>
      <c r="F15" s="40"/>
      <c r="G15" s="52"/>
    </row>
    <row r="16" spans="1:7" ht="36" customHeight="1" thickBot="1">
      <c r="A16" s="752"/>
      <c r="B16" s="687"/>
      <c r="C16" s="151"/>
      <c r="D16" s="20"/>
      <c r="E16" s="312"/>
      <c r="F16" s="14"/>
      <c r="G16" s="60"/>
    </row>
    <row r="17" spans="1:7" s="252" customFormat="1" ht="36" customHeight="1">
      <c r="A17" s="750">
        <v>43650</v>
      </c>
      <c r="B17" s="712" t="s">
        <v>776</v>
      </c>
      <c r="C17" s="383" t="s">
        <v>1014</v>
      </c>
      <c r="D17" s="18" t="s">
        <v>1011</v>
      </c>
      <c r="E17" s="382" t="s">
        <v>111</v>
      </c>
      <c r="F17" s="39"/>
      <c r="G17" s="53" t="s">
        <v>1153</v>
      </c>
    </row>
    <row r="18" spans="1:7" s="252" customFormat="1" ht="36" customHeight="1">
      <c r="A18" s="751"/>
      <c r="B18" s="798"/>
      <c r="C18" s="379" t="s">
        <v>1150</v>
      </c>
      <c r="D18" s="18" t="s">
        <v>1151</v>
      </c>
      <c r="E18" s="254" t="s">
        <v>1152</v>
      </c>
      <c r="F18" s="42"/>
      <c r="G18" s="55"/>
    </row>
    <row r="19" spans="1:7" s="252" customFormat="1" ht="36" customHeight="1">
      <c r="A19" s="751"/>
      <c r="B19" s="798"/>
      <c r="C19" s="472" t="s">
        <v>1177</v>
      </c>
      <c r="D19" s="453" t="s">
        <v>1154</v>
      </c>
      <c r="E19" s="254">
        <v>169</v>
      </c>
      <c r="F19" s="42"/>
      <c r="G19" s="55"/>
    </row>
    <row r="20" spans="1:7" s="252" customFormat="1" ht="36" customHeight="1" thickBot="1">
      <c r="A20" s="752"/>
      <c r="B20" s="713"/>
      <c r="C20" s="151"/>
      <c r="D20" s="20"/>
      <c r="E20" s="13"/>
      <c r="F20" s="13"/>
      <c r="G20" s="62"/>
    </row>
    <row r="21" spans="1:7" s="252" customFormat="1" ht="36" customHeight="1">
      <c r="A21" s="750">
        <v>43651</v>
      </c>
      <c r="B21" s="712" t="s">
        <v>396</v>
      </c>
      <c r="C21" s="467" t="s">
        <v>1155</v>
      </c>
      <c r="D21" s="18" t="s">
        <v>1156</v>
      </c>
      <c r="E21" s="290">
        <v>438</v>
      </c>
      <c r="F21" s="42"/>
      <c r="G21" s="55"/>
    </row>
    <row r="22" spans="1:7" s="252" customFormat="1" ht="36" customHeight="1" thickBot="1">
      <c r="A22" s="751"/>
      <c r="B22" s="798"/>
      <c r="C22" s="468" t="s">
        <v>1165</v>
      </c>
      <c r="D22" s="449" t="s">
        <v>1166</v>
      </c>
      <c r="E22" s="273">
        <v>100</v>
      </c>
      <c r="F22" s="40"/>
      <c r="G22" s="52"/>
    </row>
    <row r="23" spans="1:7" s="252" customFormat="1" ht="36" customHeight="1" thickBot="1">
      <c r="A23" s="752"/>
      <c r="B23" s="713"/>
      <c r="C23" s="151"/>
      <c r="D23" s="20"/>
      <c r="E23" s="13"/>
      <c r="F23" s="13"/>
      <c r="G23" s="62"/>
    </row>
    <row r="24" spans="1:7" s="252" customFormat="1" ht="81" customHeight="1" thickBot="1">
      <c r="A24" s="753" t="s">
        <v>0</v>
      </c>
      <c r="B24" s="754"/>
      <c r="C24" s="754"/>
      <c r="D24" s="754"/>
      <c r="E24" s="754"/>
      <c r="F24" s="754"/>
      <c r="G24" s="787"/>
    </row>
    <row r="25" spans="1:7" s="252" customFormat="1" ht="30.75" customHeight="1">
      <c r="A25" s="751">
        <v>43654</v>
      </c>
      <c r="B25" s="686" t="s">
        <v>1044</v>
      </c>
      <c r="C25" s="480" t="s">
        <v>71</v>
      </c>
      <c r="D25" s="481" t="s">
        <v>99</v>
      </c>
      <c r="E25" s="254">
        <v>87</v>
      </c>
      <c r="F25" s="42"/>
      <c r="G25" s="55"/>
    </row>
    <row r="26" spans="1:7" s="252" customFormat="1" ht="30.75" customHeight="1">
      <c r="A26" s="751"/>
      <c r="B26" s="686"/>
      <c r="C26" s="705" t="s">
        <v>7</v>
      </c>
      <c r="D26" s="18" t="s">
        <v>1168</v>
      </c>
      <c r="E26" s="382">
        <v>30</v>
      </c>
      <c r="F26" s="42"/>
      <c r="G26" s="55"/>
    </row>
    <row r="27" spans="1:7" s="252" customFormat="1" ht="30.75" customHeight="1">
      <c r="A27" s="751"/>
      <c r="B27" s="686"/>
      <c r="C27" s="705"/>
      <c r="D27" s="25" t="s">
        <v>153</v>
      </c>
      <c r="E27" s="255">
        <v>64</v>
      </c>
      <c r="F27" s="42"/>
      <c r="G27" s="55"/>
    </row>
    <row r="28" spans="1:7" s="252" customFormat="1" ht="30.75" customHeight="1">
      <c r="A28" s="751"/>
      <c r="B28" s="686"/>
      <c r="C28" s="705"/>
      <c r="D28" s="25" t="s">
        <v>1169</v>
      </c>
      <c r="E28" s="255">
        <v>30</v>
      </c>
      <c r="F28" s="42"/>
      <c r="G28" s="55"/>
    </row>
    <row r="29" spans="1:7" s="252" customFormat="1" ht="30.75" customHeight="1">
      <c r="A29" s="751"/>
      <c r="B29" s="686"/>
      <c r="C29" s="703"/>
      <c r="D29" s="163" t="s">
        <v>1170</v>
      </c>
      <c r="E29" s="255" t="s">
        <v>1171</v>
      </c>
      <c r="F29" s="42"/>
      <c r="G29" s="55"/>
    </row>
    <row r="30" spans="1:7" s="252" customFormat="1" ht="30.75" customHeight="1">
      <c r="A30" s="751"/>
      <c r="B30" s="686"/>
      <c r="C30" s="706" t="s">
        <v>1182</v>
      </c>
      <c r="D30" s="31" t="s">
        <v>1183</v>
      </c>
      <c r="E30" s="254">
        <v>100</v>
      </c>
      <c r="F30" s="56"/>
      <c r="G30" s="55"/>
    </row>
    <row r="31" spans="1:7" s="252" customFormat="1" ht="30.75" customHeight="1" thickBot="1">
      <c r="A31" s="751"/>
      <c r="B31" s="686"/>
      <c r="C31" s="703"/>
      <c r="D31" s="163" t="s">
        <v>1184</v>
      </c>
      <c r="E31" s="254">
        <v>50</v>
      </c>
      <c r="F31" s="35"/>
      <c r="G31" s="55"/>
    </row>
    <row r="32" spans="1:7" s="252" customFormat="1" ht="30.75" customHeight="1" thickBot="1">
      <c r="A32" s="752"/>
      <c r="B32" s="687"/>
      <c r="C32" s="47"/>
      <c r="D32" s="27"/>
      <c r="E32" s="22"/>
      <c r="F32" s="22"/>
      <c r="G32" s="58"/>
    </row>
    <row r="33" spans="1:7" s="252" customFormat="1" ht="30.75" customHeight="1">
      <c r="A33" s="750">
        <v>43655</v>
      </c>
      <c r="B33" s="712" t="s">
        <v>16</v>
      </c>
      <c r="C33" s="682" t="s">
        <v>1172</v>
      </c>
      <c r="D33" s="163" t="s">
        <v>1173</v>
      </c>
      <c r="E33" s="254" t="s">
        <v>1181</v>
      </c>
      <c r="F33" s="35"/>
      <c r="G33" s="51"/>
    </row>
    <row r="34" spans="1:7" s="252" customFormat="1" ht="30.75" customHeight="1">
      <c r="A34" s="751"/>
      <c r="B34" s="798"/>
      <c r="C34" s="683"/>
      <c r="D34" s="31" t="s">
        <v>1174</v>
      </c>
      <c r="E34" s="254" t="s">
        <v>43</v>
      </c>
      <c r="F34" s="35"/>
      <c r="G34" s="51"/>
    </row>
    <row r="35" spans="1:7" s="252" customFormat="1" ht="30.75" customHeight="1">
      <c r="A35" s="751"/>
      <c r="B35" s="798"/>
      <c r="C35" s="451" t="s">
        <v>1180</v>
      </c>
      <c r="D35" s="163" t="s">
        <v>1178</v>
      </c>
      <c r="E35" s="478" t="s">
        <v>1179</v>
      </c>
      <c r="F35" s="479"/>
      <c r="G35" s="51"/>
    </row>
    <row r="36" spans="1:7" s="252" customFormat="1" ht="30.75" customHeight="1" thickBot="1">
      <c r="A36" s="751"/>
      <c r="B36" s="798"/>
      <c r="C36" s="474" t="s">
        <v>376</v>
      </c>
      <c r="D36" s="163" t="s">
        <v>1032</v>
      </c>
      <c r="E36" s="254" t="s">
        <v>70</v>
      </c>
      <c r="F36" s="477" t="s">
        <v>1188</v>
      </c>
      <c r="G36" s="55"/>
    </row>
    <row r="37" spans="1:7" s="252" customFormat="1" ht="30.75" customHeight="1">
      <c r="A37" s="750">
        <v>43656</v>
      </c>
      <c r="B37" s="712" t="s">
        <v>1185</v>
      </c>
      <c r="C37" s="682" t="s">
        <v>1158</v>
      </c>
      <c r="D37" s="162" t="s">
        <v>1159</v>
      </c>
      <c r="E37" s="253">
        <v>130</v>
      </c>
      <c r="F37" s="39" t="s">
        <v>1210</v>
      </c>
      <c r="G37" s="53"/>
    </row>
    <row r="38" spans="1:7" s="252" customFormat="1" ht="30.75" customHeight="1">
      <c r="A38" s="751"/>
      <c r="B38" s="798"/>
      <c r="C38" s="683"/>
      <c r="D38" s="31" t="s">
        <v>1160</v>
      </c>
      <c r="E38" s="382">
        <v>20</v>
      </c>
      <c r="F38" s="56"/>
      <c r="G38" s="57"/>
    </row>
    <row r="39" spans="1:7" s="252" customFormat="1" ht="30.75" customHeight="1">
      <c r="A39" s="751"/>
      <c r="B39" s="798"/>
      <c r="C39" s="683"/>
      <c r="D39" s="163" t="s">
        <v>1161</v>
      </c>
      <c r="E39" s="254">
        <v>10</v>
      </c>
      <c r="F39" s="35"/>
      <c r="G39" s="51"/>
    </row>
    <row r="40" spans="1:7" s="252" customFormat="1" ht="30.75" customHeight="1">
      <c r="A40" s="751"/>
      <c r="B40" s="798"/>
      <c r="C40" s="801"/>
      <c r="D40" s="453" t="s">
        <v>1096</v>
      </c>
      <c r="E40" s="478" t="s">
        <v>103</v>
      </c>
      <c r="F40" s="42"/>
      <c r="G40" s="55"/>
    </row>
    <row r="41" spans="1:7" s="252" customFormat="1" ht="30.75" customHeight="1">
      <c r="A41" s="751"/>
      <c r="B41" s="798"/>
      <c r="C41" s="797" t="s">
        <v>1189</v>
      </c>
      <c r="D41" s="452" t="s">
        <v>1190</v>
      </c>
      <c r="E41" s="478" t="s">
        <v>206</v>
      </c>
      <c r="F41" s="35"/>
      <c r="G41" s="51"/>
    </row>
    <row r="42" spans="1:7" s="252" customFormat="1" ht="30.75" customHeight="1">
      <c r="A42" s="751"/>
      <c r="B42" s="798"/>
      <c r="C42" s="683"/>
      <c r="D42" s="452" t="s">
        <v>1205</v>
      </c>
      <c r="E42" s="476" t="s">
        <v>206</v>
      </c>
      <c r="F42" s="42"/>
      <c r="G42" s="55"/>
    </row>
    <row r="43" spans="1:7" s="252" customFormat="1" ht="30.75" customHeight="1">
      <c r="A43" s="751"/>
      <c r="B43" s="798"/>
      <c r="C43" s="683"/>
      <c r="D43" s="452" t="s">
        <v>1211</v>
      </c>
      <c r="E43" s="254">
        <v>30</v>
      </c>
      <c r="F43" s="35"/>
      <c r="G43" s="51"/>
    </row>
    <row r="44" spans="1:7" s="252" customFormat="1" ht="30.75" customHeight="1">
      <c r="A44" s="751"/>
      <c r="B44" s="798"/>
      <c r="C44" s="801"/>
      <c r="D44" s="453" t="s">
        <v>1212</v>
      </c>
      <c r="E44" s="290">
        <v>20</v>
      </c>
      <c r="F44" s="42"/>
      <c r="G44" s="55"/>
    </row>
    <row r="45" spans="1:7" s="252" customFormat="1" ht="30.75" customHeight="1" thickBot="1">
      <c r="A45" s="751"/>
      <c r="B45" s="798"/>
      <c r="C45" s="482" t="s">
        <v>1186</v>
      </c>
      <c r="D45" s="441" t="s">
        <v>1187</v>
      </c>
      <c r="E45" s="290" t="s">
        <v>1204</v>
      </c>
      <c r="F45" s="443"/>
      <c r="G45" s="378"/>
    </row>
    <row r="46" spans="1:7" s="252" customFormat="1" ht="30.75" customHeight="1" thickBot="1">
      <c r="A46" s="752"/>
      <c r="B46" s="713"/>
      <c r="C46" s="47"/>
      <c r="D46" s="27"/>
      <c r="E46" s="22"/>
      <c r="F46" s="22"/>
      <c r="G46" s="58"/>
    </row>
    <row r="47" spans="1:7" s="252" customFormat="1" ht="30.75" customHeight="1">
      <c r="A47" s="750">
        <v>43657</v>
      </c>
      <c r="B47" s="712" t="s">
        <v>17</v>
      </c>
      <c r="C47" s="491" t="s">
        <v>1195</v>
      </c>
      <c r="D47" s="370" t="s">
        <v>21</v>
      </c>
      <c r="E47" s="382" t="s">
        <v>1197</v>
      </c>
      <c r="F47" s="42"/>
      <c r="G47" s="55"/>
    </row>
    <row r="48" spans="1:7" s="252" customFormat="1" ht="30.75" customHeight="1">
      <c r="A48" s="751"/>
      <c r="B48" s="798"/>
      <c r="C48" s="802" t="s">
        <v>1196</v>
      </c>
      <c r="D48" s="163" t="s">
        <v>1198</v>
      </c>
      <c r="E48" s="255" t="s">
        <v>1206</v>
      </c>
      <c r="F48" s="42"/>
      <c r="G48" s="55"/>
    </row>
    <row r="49" spans="1:7" s="252" customFormat="1" ht="30.75" customHeight="1">
      <c r="A49" s="751"/>
      <c r="B49" s="798"/>
      <c r="C49" s="803"/>
      <c r="D49" s="163" t="s">
        <v>698</v>
      </c>
      <c r="E49" s="255" t="s">
        <v>1199</v>
      </c>
      <c r="F49" s="42"/>
      <c r="G49" s="55"/>
    </row>
    <row r="50" spans="1:7" s="252" customFormat="1" ht="30.75" customHeight="1">
      <c r="A50" s="751"/>
      <c r="B50" s="798"/>
      <c r="C50" s="492" t="s">
        <v>1209</v>
      </c>
      <c r="D50" s="483" t="s">
        <v>1207</v>
      </c>
      <c r="E50" s="255" t="s">
        <v>1208</v>
      </c>
      <c r="F50" s="42"/>
      <c r="G50" s="55"/>
    </row>
    <row r="51" spans="1:7" s="252" customFormat="1" ht="30.75" customHeight="1">
      <c r="A51" s="751"/>
      <c r="B51" s="798"/>
      <c r="C51" s="799" t="s">
        <v>1200</v>
      </c>
      <c r="D51" s="163" t="s">
        <v>1201</v>
      </c>
      <c r="E51" s="254" t="s">
        <v>1202</v>
      </c>
      <c r="F51" s="42"/>
      <c r="G51" s="55"/>
    </row>
    <row r="52" spans="1:7" s="252" customFormat="1" ht="30.75" customHeight="1" thickBot="1">
      <c r="A52" s="751"/>
      <c r="B52" s="798"/>
      <c r="C52" s="800"/>
      <c r="D52" s="163" t="s">
        <v>698</v>
      </c>
      <c r="E52" s="376" t="s">
        <v>1203</v>
      </c>
      <c r="F52" s="35"/>
      <c r="G52" s="51"/>
    </row>
    <row r="53" spans="1:7" s="252" customFormat="1" ht="30.75" customHeight="1" thickBot="1">
      <c r="A53" s="752"/>
      <c r="B53" s="713"/>
      <c r="C53" s="493"/>
      <c r="D53" s="27"/>
      <c r="E53" s="22"/>
      <c r="F53" s="22"/>
      <c r="G53" s="58"/>
    </row>
    <row r="54" spans="1:7" s="252" customFormat="1" ht="30.75" customHeight="1">
      <c r="A54" s="750">
        <v>43658</v>
      </c>
      <c r="B54" s="685" t="s">
        <v>18</v>
      </c>
      <c r="C54" s="705" t="s">
        <v>1131</v>
      </c>
      <c r="D54" s="18" t="s">
        <v>1132</v>
      </c>
      <c r="E54" s="382">
        <v>406</v>
      </c>
      <c r="F54" s="42"/>
      <c r="G54" s="55"/>
    </row>
    <row r="55" spans="1:7" s="252" customFormat="1" ht="30.75" customHeight="1">
      <c r="A55" s="751"/>
      <c r="B55" s="686"/>
      <c r="C55" s="703"/>
      <c r="D55" s="490" t="s">
        <v>1133</v>
      </c>
      <c r="E55" s="254">
        <v>1</v>
      </c>
      <c r="F55" s="35"/>
      <c r="G55" s="51"/>
    </row>
    <row r="56" spans="1:7" s="252" customFormat="1" ht="30.75" customHeight="1" thickBot="1">
      <c r="A56" s="751"/>
      <c r="B56" s="686"/>
      <c r="C56" s="495" t="s">
        <v>204</v>
      </c>
      <c r="D56" s="31" t="s">
        <v>1218</v>
      </c>
      <c r="E56" s="475" t="s">
        <v>1219</v>
      </c>
      <c r="F56" s="40"/>
      <c r="G56" s="52"/>
    </row>
    <row r="57" spans="1:7" s="252" customFormat="1" ht="30.75" customHeight="1" thickBot="1">
      <c r="A57" s="752"/>
      <c r="B57" s="687"/>
      <c r="C57" s="47" t="s">
        <v>507</v>
      </c>
      <c r="D57" s="27" t="s">
        <v>815</v>
      </c>
      <c r="E57" s="22" t="s">
        <v>816</v>
      </c>
      <c r="F57" s="22" t="s">
        <v>125</v>
      </c>
      <c r="G57" s="58"/>
    </row>
    <row r="58" spans="1:7" s="252" customFormat="1" ht="105" customHeight="1" thickBot="1">
      <c r="A58" s="753" t="s">
        <v>0</v>
      </c>
      <c r="B58" s="754"/>
      <c r="C58" s="754"/>
      <c r="D58" s="754"/>
      <c r="E58" s="754"/>
      <c r="F58" s="754"/>
      <c r="G58" s="787"/>
    </row>
    <row r="59" spans="1:7" s="252" customFormat="1" ht="36" customHeight="1" thickBot="1">
      <c r="A59" s="750">
        <v>43661</v>
      </c>
      <c r="B59" s="685" t="s">
        <v>1044</v>
      </c>
      <c r="C59" s="500" t="s">
        <v>1155</v>
      </c>
      <c r="D59" s="162" t="s">
        <v>1157</v>
      </c>
      <c r="E59" s="371">
        <v>514</v>
      </c>
      <c r="F59" s="42"/>
      <c r="G59" s="55"/>
    </row>
    <row r="60" spans="1:7" s="252" customFormat="1" ht="36" customHeight="1" thickBot="1">
      <c r="A60" s="752"/>
      <c r="B60" s="687"/>
      <c r="C60" s="47"/>
      <c r="D60" s="27"/>
      <c r="E60" s="22"/>
      <c r="F60" s="22"/>
      <c r="G60" s="58"/>
    </row>
    <row r="61" spans="1:7" s="252" customFormat="1" ht="36" customHeight="1">
      <c r="A61" s="751">
        <v>43662</v>
      </c>
      <c r="B61" s="686" t="s">
        <v>1226</v>
      </c>
      <c r="C61" s="702" t="s">
        <v>1080</v>
      </c>
      <c r="D61" s="490" t="s">
        <v>21</v>
      </c>
      <c r="E61" s="254">
        <v>300</v>
      </c>
      <c r="F61" s="39"/>
      <c r="G61" s="53"/>
    </row>
    <row r="62" spans="1:7" s="252" customFormat="1" ht="36" customHeight="1" thickBot="1">
      <c r="A62" s="751"/>
      <c r="B62" s="686"/>
      <c r="C62" s="708"/>
      <c r="D62" s="31" t="s">
        <v>1228</v>
      </c>
      <c r="E62" s="382" t="s">
        <v>1227</v>
      </c>
      <c r="F62" s="56"/>
      <c r="G62" s="57"/>
    </row>
    <row r="63" spans="1:7" s="252" customFormat="1" ht="36" customHeight="1" thickBot="1">
      <c r="A63" s="752"/>
      <c r="B63" s="687"/>
      <c r="C63" s="47"/>
      <c r="D63" s="27"/>
      <c r="E63" s="22"/>
      <c r="F63" s="22"/>
      <c r="G63" s="58"/>
    </row>
    <row r="64" spans="1:7" s="252" customFormat="1" ht="36" customHeight="1">
      <c r="A64" s="750">
        <v>43663</v>
      </c>
      <c r="B64" s="685" t="s">
        <v>15</v>
      </c>
      <c r="C64" s="705" t="s">
        <v>3</v>
      </c>
      <c r="D64" s="18" t="s">
        <v>5</v>
      </c>
      <c r="E64" s="382">
        <v>220</v>
      </c>
      <c r="F64" s="42"/>
      <c r="G64" s="55"/>
    </row>
    <row r="65" spans="1:7" s="252" customFormat="1" ht="36" customHeight="1">
      <c r="A65" s="751"/>
      <c r="B65" s="686"/>
      <c r="C65" s="703"/>
      <c r="D65" s="25" t="s">
        <v>1122</v>
      </c>
      <c r="E65" s="255">
        <v>1</v>
      </c>
      <c r="F65" s="35"/>
      <c r="G65" s="51"/>
    </row>
    <row r="66" spans="1:7" s="252" customFormat="1" ht="36" customHeight="1">
      <c r="A66" s="751"/>
      <c r="B66" s="686"/>
      <c r="C66" s="502" t="s">
        <v>1233</v>
      </c>
      <c r="D66" s="25" t="s">
        <v>1220</v>
      </c>
      <c r="E66" s="255">
        <v>100</v>
      </c>
      <c r="F66" s="35"/>
      <c r="G66" s="51"/>
    </row>
    <row r="67" spans="1:7" s="252" customFormat="1" ht="36" customHeight="1" thickBot="1">
      <c r="A67" s="751"/>
      <c r="B67" s="686"/>
      <c r="C67" s="496" t="s">
        <v>1224</v>
      </c>
      <c r="D67" s="25" t="s">
        <v>1225</v>
      </c>
      <c r="E67" s="255">
        <v>80</v>
      </c>
      <c r="F67" s="41"/>
      <c r="G67" s="54"/>
    </row>
    <row r="68" spans="1:7" s="252" customFormat="1" ht="36" customHeight="1" thickBot="1">
      <c r="A68" s="752"/>
      <c r="B68" s="687"/>
      <c r="C68" s="256" t="s">
        <v>262</v>
      </c>
      <c r="D68" s="257" t="s">
        <v>20</v>
      </c>
      <c r="E68" s="258" t="s">
        <v>1221</v>
      </c>
      <c r="F68" s="22" t="s">
        <v>1222</v>
      </c>
      <c r="G68" s="58"/>
    </row>
    <row r="69" spans="1:7" s="252" customFormat="1" ht="36" customHeight="1">
      <c r="A69" s="750">
        <v>43664</v>
      </c>
      <c r="B69" s="685" t="s">
        <v>17</v>
      </c>
      <c r="C69" s="705" t="s">
        <v>7</v>
      </c>
      <c r="D69" s="162" t="s">
        <v>1217</v>
      </c>
      <c r="E69" s="253">
        <v>118</v>
      </c>
      <c r="F69" s="42"/>
      <c r="G69" s="55"/>
    </row>
    <row r="70" spans="1:7" s="252" customFormat="1" ht="36" customHeight="1">
      <c r="A70" s="751"/>
      <c r="B70" s="686"/>
      <c r="C70" s="705"/>
      <c r="D70" s="490" t="s">
        <v>21</v>
      </c>
      <c r="E70" s="254">
        <v>100</v>
      </c>
      <c r="F70" s="42"/>
      <c r="G70" s="55"/>
    </row>
    <row r="71" spans="1:7" s="252" customFormat="1" ht="36" customHeight="1">
      <c r="A71" s="751"/>
      <c r="B71" s="686"/>
      <c r="C71" s="705"/>
      <c r="D71" s="490" t="s">
        <v>1234</v>
      </c>
      <c r="E71" s="254">
        <v>64</v>
      </c>
      <c r="F71" s="42"/>
      <c r="G71" s="55"/>
    </row>
    <row r="72" spans="1:7" s="252" customFormat="1" ht="36" customHeight="1">
      <c r="A72" s="751"/>
      <c r="B72" s="686"/>
      <c r="C72" s="705"/>
      <c r="D72" s="490" t="s">
        <v>1232</v>
      </c>
      <c r="E72" s="254">
        <v>50</v>
      </c>
      <c r="F72" s="42"/>
      <c r="G72" s="55"/>
    </row>
    <row r="73" spans="1:7" s="252" customFormat="1" ht="36" customHeight="1">
      <c r="A73" s="751"/>
      <c r="B73" s="686"/>
      <c r="C73" s="703"/>
      <c r="D73" s="490" t="s">
        <v>1235</v>
      </c>
      <c r="E73" s="254" t="s">
        <v>119</v>
      </c>
      <c r="F73" s="35"/>
      <c r="G73" s="51"/>
    </row>
    <row r="74" spans="1:7" s="252" customFormat="1" ht="36" customHeight="1">
      <c r="A74" s="751"/>
      <c r="B74" s="686"/>
      <c r="C74" s="705" t="s">
        <v>200</v>
      </c>
      <c r="D74" s="31" t="s">
        <v>89</v>
      </c>
      <c r="E74" s="382">
        <v>50</v>
      </c>
      <c r="F74" s="35"/>
      <c r="G74" s="51"/>
    </row>
    <row r="75" spans="1:7" s="252" customFormat="1" ht="36" customHeight="1" thickBot="1">
      <c r="A75" s="751"/>
      <c r="B75" s="686"/>
      <c r="C75" s="703"/>
      <c r="D75" s="490" t="s">
        <v>26</v>
      </c>
      <c r="E75" s="254">
        <v>20</v>
      </c>
      <c r="F75" s="35"/>
      <c r="G75" s="51"/>
    </row>
    <row r="76" spans="1:7" s="252" customFormat="1" ht="36" customHeight="1" thickBot="1">
      <c r="A76" s="752"/>
      <c r="B76" s="687"/>
      <c r="C76" s="47" t="s">
        <v>293</v>
      </c>
      <c r="D76" s="27" t="s">
        <v>20</v>
      </c>
      <c r="E76" s="22" t="s">
        <v>1223</v>
      </c>
      <c r="F76" s="22" t="s">
        <v>84</v>
      </c>
      <c r="G76" s="58"/>
    </row>
    <row r="77" spans="1:7" s="252" customFormat="1" ht="36" customHeight="1">
      <c r="A77" s="750">
        <v>43665</v>
      </c>
      <c r="B77" s="685" t="s">
        <v>18</v>
      </c>
      <c r="C77" s="501" t="s">
        <v>1191</v>
      </c>
      <c r="D77" s="18" t="s">
        <v>1192</v>
      </c>
      <c r="E77" s="382">
        <v>512</v>
      </c>
      <c r="F77" s="42"/>
      <c r="G77" s="55"/>
    </row>
    <row r="78" spans="1:7" s="252" customFormat="1" ht="36" customHeight="1">
      <c r="A78" s="751"/>
      <c r="B78" s="686"/>
      <c r="C78" s="494" t="s">
        <v>1229</v>
      </c>
      <c r="D78" s="25" t="s">
        <v>1230</v>
      </c>
      <c r="E78" s="255">
        <v>200</v>
      </c>
      <c r="F78" s="41"/>
      <c r="G78" s="54" t="s">
        <v>1231</v>
      </c>
    </row>
    <row r="79" spans="1:7" s="252" customFormat="1" ht="36" customHeight="1">
      <c r="A79" s="751"/>
      <c r="B79" s="686"/>
      <c r="C79" s="497"/>
      <c r="D79" s="498"/>
      <c r="E79" s="479"/>
      <c r="F79" s="479"/>
      <c r="G79" s="499"/>
    </row>
    <row r="80" spans="1:7" s="252" customFormat="1" ht="36" customHeight="1" thickBot="1">
      <c r="A80" s="752"/>
      <c r="B80" s="687"/>
      <c r="C80" s="151"/>
      <c r="D80" s="20"/>
      <c r="E80" s="13"/>
      <c r="F80" s="13"/>
      <c r="G80" s="62"/>
    </row>
    <row r="81" spans="1:8" s="252" customFormat="1" ht="105" customHeight="1" thickBot="1">
      <c r="A81" s="753" t="s">
        <v>0</v>
      </c>
      <c r="B81" s="754"/>
      <c r="C81" s="754"/>
      <c r="D81" s="754"/>
      <c r="E81" s="754"/>
      <c r="F81" s="754"/>
      <c r="G81" s="787"/>
    </row>
    <row r="82" spans="1:8" s="252" customFormat="1" ht="36" customHeight="1">
      <c r="A82" s="750">
        <v>43668</v>
      </c>
      <c r="B82" s="685" t="s">
        <v>2</v>
      </c>
      <c r="C82" s="702" t="s">
        <v>1180</v>
      </c>
      <c r="D82" s="162" t="s">
        <v>1241</v>
      </c>
      <c r="E82" s="253">
        <v>100</v>
      </c>
      <c r="F82" s="42"/>
      <c r="G82" s="55"/>
    </row>
    <row r="83" spans="1:8" s="252" customFormat="1" ht="36" customHeight="1">
      <c r="A83" s="751"/>
      <c r="B83" s="686"/>
      <c r="C83" s="705"/>
      <c r="D83" s="490" t="s">
        <v>1244</v>
      </c>
      <c r="E83" s="254">
        <v>100</v>
      </c>
      <c r="F83" s="42"/>
      <c r="G83" s="55"/>
    </row>
    <row r="84" spans="1:8" s="252" customFormat="1" ht="36" customHeight="1">
      <c r="A84" s="751"/>
      <c r="B84" s="686"/>
      <c r="C84" s="703"/>
      <c r="D84" s="490" t="s">
        <v>1243</v>
      </c>
      <c r="E84" s="254" t="s">
        <v>1256</v>
      </c>
      <c r="F84" s="35"/>
      <c r="G84" s="506" t="s">
        <v>1257</v>
      </c>
    </row>
    <row r="85" spans="1:8" s="252" customFormat="1" ht="36" customHeight="1">
      <c r="A85" s="751"/>
      <c r="B85" s="686"/>
      <c r="C85" s="705" t="s">
        <v>65</v>
      </c>
      <c r="D85" s="18" t="s">
        <v>66</v>
      </c>
      <c r="E85" s="290">
        <v>100</v>
      </c>
      <c r="F85" s="35"/>
      <c r="G85" s="51"/>
    </row>
    <row r="86" spans="1:8" s="252" customFormat="1" ht="36" customHeight="1">
      <c r="A86" s="751"/>
      <c r="B86" s="686"/>
      <c r="C86" s="705"/>
      <c r="D86" s="31" t="s">
        <v>28</v>
      </c>
      <c r="E86" s="382">
        <v>10</v>
      </c>
      <c r="F86" s="56"/>
      <c r="G86" s="57"/>
    </row>
    <row r="87" spans="1:8" s="252" customFormat="1" ht="36" customHeight="1" thickBot="1">
      <c r="A87" s="751"/>
      <c r="B87" s="686"/>
      <c r="C87" s="703"/>
      <c r="D87" s="490" t="s">
        <v>1096</v>
      </c>
      <c r="E87" s="254" t="s">
        <v>70</v>
      </c>
      <c r="F87" s="56"/>
      <c r="G87" s="57"/>
    </row>
    <row r="88" spans="1:8" s="252" customFormat="1" ht="36" customHeight="1" thickBot="1">
      <c r="A88" s="752"/>
      <c r="B88" s="687"/>
      <c r="C88" s="47" t="s">
        <v>1245</v>
      </c>
      <c r="D88" s="27" t="s">
        <v>1246</v>
      </c>
      <c r="E88" s="22" t="s">
        <v>1247</v>
      </c>
      <c r="F88" s="22" t="s">
        <v>1249</v>
      </c>
      <c r="G88" s="58"/>
    </row>
    <row r="89" spans="1:8" s="252" customFormat="1" ht="36" customHeight="1">
      <c r="A89" s="751">
        <v>43669</v>
      </c>
      <c r="B89" s="686" t="s">
        <v>1260</v>
      </c>
      <c r="C89" s="504" t="s">
        <v>224</v>
      </c>
      <c r="D89" s="490" t="s">
        <v>31</v>
      </c>
      <c r="E89" s="254">
        <v>100</v>
      </c>
      <c r="F89" s="41"/>
      <c r="G89" s="54"/>
    </row>
    <row r="90" spans="1:8" s="252" customFormat="1" ht="36" customHeight="1">
      <c r="A90" s="751"/>
      <c r="B90" s="686"/>
      <c r="C90" s="705" t="s">
        <v>1238</v>
      </c>
      <c r="D90" s="31" t="s">
        <v>1239</v>
      </c>
      <c r="E90" s="382">
        <v>100</v>
      </c>
      <c r="F90" s="41"/>
      <c r="G90" s="54" t="s">
        <v>1242</v>
      </c>
    </row>
    <row r="91" spans="1:8" s="252" customFormat="1" ht="36" customHeight="1">
      <c r="A91" s="751"/>
      <c r="B91" s="686"/>
      <c r="C91" s="705"/>
      <c r="D91" s="452" t="s">
        <v>1240</v>
      </c>
      <c r="E91" s="254">
        <v>50</v>
      </c>
      <c r="F91" s="479"/>
      <c r="G91" s="51"/>
    </row>
    <row r="92" spans="1:8" s="252" customFormat="1" ht="36" customHeight="1" thickBot="1">
      <c r="A92" s="751"/>
      <c r="B92" s="686"/>
      <c r="C92" s="708"/>
      <c r="D92" s="441" t="s">
        <v>1241</v>
      </c>
      <c r="E92" s="376">
        <v>50</v>
      </c>
      <c r="F92" s="443"/>
      <c r="G92" s="378"/>
    </row>
    <row r="93" spans="1:8" s="252" customFormat="1" ht="36" customHeight="1" thickBot="1">
      <c r="A93" s="752"/>
      <c r="B93" s="687"/>
      <c r="C93" s="47"/>
      <c r="D93" s="27"/>
      <c r="E93" s="22"/>
      <c r="F93" s="22"/>
      <c r="G93" s="58"/>
    </row>
    <row r="94" spans="1:8" s="252" customFormat="1" ht="36" customHeight="1" thickBot="1">
      <c r="A94" s="750">
        <v>43670</v>
      </c>
      <c r="B94" s="685" t="s">
        <v>15</v>
      </c>
      <c r="C94" s="505" t="s">
        <v>1191</v>
      </c>
      <c r="D94" s="162" t="s">
        <v>1192</v>
      </c>
      <c r="E94" s="253">
        <v>498</v>
      </c>
      <c r="F94" s="39"/>
      <c r="G94" s="55"/>
    </row>
    <row r="95" spans="1:8" s="252" customFormat="1" ht="36" customHeight="1" thickBot="1">
      <c r="A95" s="752"/>
      <c r="B95" s="687"/>
      <c r="C95" s="47"/>
      <c r="D95" s="27"/>
      <c r="E95" s="22"/>
      <c r="F95" s="22"/>
      <c r="G95" s="58"/>
    </row>
    <row r="96" spans="1:8" s="252" customFormat="1" ht="36" customHeight="1">
      <c r="A96" s="750">
        <v>43671</v>
      </c>
      <c r="B96" s="685" t="s">
        <v>17</v>
      </c>
      <c r="C96" s="702" t="s">
        <v>204</v>
      </c>
      <c r="D96" s="162" t="s">
        <v>1112</v>
      </c>
      <c r="E96" s="371" t="s">
        <v>8</v>
      </c>
      <c r="F96" s="39"/>
      <c r="G96" s="53"/>
      <c r="H96" s="252" t="s">
        <v>1264</v>
      </c>
    </row>
    <row r="97" spans="1:7" s="252" customFormat="1" ht="36" customHeight="1">
      <c r="A97" s="751"/>
      <c r="B97" s="686"/>
      <c r="C97" s="705"/>
      <c r="D97" s="490" t="s">
        <v>1078</v>
      </c>
      <c r="E97" s="254" t="s">
        <v>393</v>
      </c>
      <c r="F97" s="35"/>
      <c r="G97" s="51"/>
    </row>
    <row r="98" spans="1:7" s="252" customFormat="1" ht="36" customHeight="1">
      <c r="A98" s="751"/>
      <c r="B98" s="686"/>
      <c r="C98" s="703"/>
      <c r="D98" s="18" t="s">
        <v>1175</v>
      </c>
      <c r="E98" s="476" t="s">
        <v>1176</v>
      </c>
      <c r="F98" s="35"/>
      <c r="G98" s="51"/>
    </row>
    <row r="99" spans="1:7" s="252" customFormat="1" ht="36" customHeight="1">
      <c r="A99" s="751"/>
      <c r="B99" s="686"/>
      <c r="C99" s="706" t="s">
        <v>7</v>
      </c>
      <c r="D99" s="25" t="s">
        <v>1065</v>
      </c>
      <c r="E99" s="254">
        <v>64</v>
      </c>
      <c r="F99" s="35"/>
      <c r="G99" s="51"/>
    </row>
    <row r="100" spans="1:7" s="252" customFormat="1" ht="36" customHeight="1">
      <c r="A100" s="751"/>
      <c r="B100" s="686"/>
      <c r="C100" s="705"/>
      <c r="D100" s="25" t="s">
        <v>1262</v>
      </c>
      <c r="E100" s="382">
        <v>64</v>
      </c>
      <c r="F100" s="56"/>
      <c r="G100" s="57"/>
    </row>
    <row r="101" spans="1:7" s="252" customFormat="1" ht="36" customHeight="1">
      <c r="A101" s="751"/>
      <c r="B101" s="686"/>
      <c r="C101" s="705"/>
      <c r="D101" s="490" t="s">
        <v>42</v>
      </c>
      <c r="E101" s="254">
        <v>100</v>
      </c>
      <c r="F101" s="35"/>
      <c r="G101" s="51"/>
    </row>
    <row r="102" spans="1:7" s="252" customFormat="1" ht="36" customHeight="1" thickBot="1">
      <c r="A102" s="751"/>
      <c r="B102" s="686"/>
      <c r="C102" s="703"/>
      <c r="D102" s="453" t="s">
        <v>21</v>
      </c>
      <c r="E102" s="254">
        <v>50</v>
      </c>
      <c r="F102" s="476"/>
      <c r="G102" s="508"/>
    </row>
    <row r="103" spans="1:7" s="252" customFormat="1" ht="36" customHeight="1" thickBot="1">
      <c r="A103" s="752"/>
      <c r="B103" s="687"/>
      <c r="C103" s="256" t="s">
        <v>684</v>
      </c>
      <c r="D103" s="257" t="s">
        <v>685</v>
      </c>
      <c r="E103" s="258" t="s">
        <v>686</v>
      </c>
      <c r="F103" s="22" t="s">
        <v>1250</v>
      </c>
      <c r="G103" s="58"/>
    </row>
    <row r="104" spans="1:7" s="252" customFormat="1" ht="36" customHeight="1">
      <c r="A104" s="750">
        <v>43672</v>
      </c>
      <c r="B104" s="685" t="s">
        <v>18</v>
      </c>
      <c r="C104" s="705" t="s">
        <v>1191</v>
      </c>
      <c r="D104" s="18" t="s">
        <v>1193</v>
      </c>
      <c r="E104" s="382">
        <v>206</v>
      </c>
      <c r="F104" s="42"/>
      <c r="G104" s="55"/>
    </row>
    <row r="105" spans="1:7" s="252" customFormat="1" ht="36" customHeight="1" thickBot="1">
      <c r="A105" s="751"/>
      <c r="B105" s="686"/>
      <c r="C105" s="703"/>
      <c r="D105" s="25" t="s">
        <v>1194</v>
      </c>
      <c r="E105" s="255">
        <v>225</v>
      </c>
      <c r="F105" s="35"/>
      <c r="G105" s="51"/>
    </row>
    <row r="106" spans="1:7" s="252" customFormat="1" ht="36" customHeight="1" thickBot="1">
      <c r="A106" s="752"/>
      <c r="B106" s="687"/>
      <c r="C106" s="47" t="s">
        <v>1248</v>
      </c>
      <c r="D106" s="27" t="s">
        <v>569</v>
      </c>
      <c r="E106" s="22" t="s">
        <v>506</v>
      </c>
      <c r="F106" s="22" t="s">
        <v>126</v>
      </c>
      <c r="G106" s="58"/>
    </row>
    <row r="107" spans="1:7" ht="105" customHeight="1" thickBot="1">
      <c r="A107" s="753" t="s">
        <v>0</v>
      </c>
      <c r="B107" s="754"/>
      <c r="C107" s="754"/>
      <c r="D107" s="754"/>
      <c r="E107" s="754"/>
      <c r="F107" s="754"/>
      <c r="G107" s="787"/>
    </row>
    <row r="108" spans="1:7" ht="36" customHeight="1">
      <c r="A108" s="750">
        <v>43675</v>
      </c>
      <c r="B108" s="685" t="s">
        <v>2</v>
      </c>
      <c r="C108" s="702" t="s">
        <v>3</v>
      </c>
      <c r="D108" s="162" t="s">
        <v>5</v>
      </c>
      <c r="E108" s="371">
        <v>147</v>
      </c>
      <c r="F108" s="39"/>
      <c r="G108" s="55"/>
    </row>
    <row r="109" spans="1:7" ht="36" customHeight="1">
      <c r="A109" s="751"/>
      <c r="B109" s="686"/>
      <c r="C109" s="705"/>
      <c r="D109" s="25" t="s">
        <v>6</v>
      </c>
      <c r="E109" s="255">
        <v>344</v>
      </c>
      <c r="F109" s="42"/>
      <c r="G109" s="55"/>
    </row>
    <row r="110" spans="1:7" ht="36" customHeight="1">
      <c r="A110" s="751"/>
      <c r="B110" s="686"/>
      <c r="C110" s="703"/>
      <c r="D110" s="490" t="s">
        <v>1259</v>
      </c>
      <c r="E110" s="254" t="s">
        <v>1258</v>
      </c>
      <c r="F110" s="35"/>
      <c r="G110" s="51"/>
    </row>
    <row r="111" spans="1:7" ht="36" customHeight="1">
      <c r="A111" s="751"/>
      <c r="B111" s="686"/>
      <c r="C111" s="511" t="s">
        <v>224</v>
      </c>
      <c r="D111" s="490" t="s">
        <v>1271</v>
      </c>
      <c r="E111" s="254">
        <v>100</v>
      </c>
      <c r="F111" s="477"/>
      <c r="G111" s="55"/>
    </row>
    <row r="112" spans="1:7" s="252" customFormat="1" ht="36" customHeight="1">
      <c r="A112" s="751"/>
      <c r="B112" s="686"/>
      <c r="C112" s="706" t="s">
        <v>1180</v>
      </c>
      <c r="D112" s="490" t="s">
        <v>1096</v>
      </c>
      <c r="E112" s="254" t="s">
        <v>650</v>
      </c>
      <c r="F112" s="35"/>
      <c r="G112" s="513" t="s">
        <v>1276</v>
      </c>
    </row>
    <row r="113" spans="1:7" ht="36" customHeight="1">
      <c r="A113" s="751"/>
      <c r="B113" s="686"/>
      <c r="C113" s="705"/>
      <c r="D113" s="490" t="s">
        <v>1277</v>
      </c>
      <c r="E113" s="254" t="s">
        <v>1278</v>
      </c>
      <c r="F113" s="477"/>
      <c r="G113" s="55"/>
    </row>
    <row r="114" spans="1:7" ht="36" customHeight="1">
      <c r="A114" s="751"/>
      <c r="B114" s="686"/>
      <c r="C114" s="705"/>
      <c r="D114" s="490" t="s">
        <v>1279</v>
      </c>
      <c r="E114" s="254" t="s">
        <v>1280</v>
      </c>
      <c r="F114" s="477"/>
      <c r="G114" s="55"/>
    </row>
    <row r="115" spans="1:7" ht="36" customHeight="1">
      <c r="A115" s="751"/>
      <c r="B115" s="686"/>
      <c r="C115" s="703"/>
      <c r="D115" s="490" t="s">
        <v>1281</v>
      </c>
      <c r="E115" s="254" t="s">
        <v>111</v>
      </c>
      <c r="F115" s="477"/>
      <c r="G115" s="55"/>
    </row>
    <row r="116" spans="1:7" ht="36" customHeight="1" thickBot="1">
      <c r="A116" s="751"/>
      <c r="B116" s="686"/>
      <c r="C116" s="510" t="s">
        <v>624</v>
      </c>
      <c r="D116" s="490" t="s">
        <v>1011</v>
      </c>
      <c r="E116" s="254" t="s">
        <v>111</v>
      </c>
      <c r="F116" s="42" t="s">
        <v>1269</v>
      </c>
      <c r="G116" s="55"/>
    </row>
    <row r="117" spans="1:7" ht="36" customHeight="1" thickBot="1">
      <c r="A117" s="752"/>
      <c r="B117" s="687"/>
      <c r="C117" s="47" t="s">
        <v>1251</v>
      </c>
      <c r="D117" s="27" t="s">
        <v>1252</v>
      </c>
      <c r="E117" s="22" t="s">
        <v>1253</v>
      </c>
      <c r="F117" s="22" t="s">
        <v>1250</v>
      </c>
      <c r="G117" s="58"/>
    </row>
    <row r="118" spans="1:7" s="252" customFormat="1" ht="36" customHeight="1">
      <c r="A118" s="750">
        <v>43676</v>
      </c>
      <c r="B118" s="712" t="s">
        <v>16</v>
      </c>
      <c r="C118" s="702" t="s">
        <v>3</v>
      </c>
      <c r="D118" s="162" t="s">
        <v>5</v>
      </c>
      <c r="E118" s="371">
        <v>98</v>
      </c>
      <c r="F118" s="39"/>
      <c r="G118" s="53"/>
    </row>
    <row r="119" spans="1:7" s="252" customFormat="1" ht="36" customHeight="1">
      <c r="A119" s="751"/>
      <c r="B119" s="798"/>
      <c r="C119" s="703"/>
      <c r="D119" s="490" t="s">
        <v>6</v>
      </c>
      <c r="E119" s="254">
        <v>79</v>
      </c>
      <c r="F119" s="35"/>
      <c r="G119" s="51"/>
    </row>
    <row r="120" spans="1:7" ht="36" customHeight="1">
      <c r="A120" s="751"/>
      <c r="B120" s="798"/>
      <c r="C120" s="705" t="s">
        <v>216</v>
      </c>
      <c r="D120" s="18" t="s">
        <v>28</v>
      </c>
      <c r="E120" s="382">
        <v>50</v>
      </c>
      <c r="F120" s="42"/>
      <c r="G120" s="55"/>
    </row>
    <row r="121" spans="1:7" ht="36" customHeight="1">
      <c r="A121" s="751"/>
      <c r="B121" s="798"/>
      <c r="C121" s="703"/>
      <c r="D121" s="18" t="s">
        <v>1263</v>
      </c>
      <c r="E121" s="254">
        <v>50</v>
      </c>
      <c r="F121" s="35"/>
      <c r="G121" s="51"/>
    </row>
    <row r="122" spans="1:7" ht="36" customHeight="1">
      <c r="A122" s="751"/>
      <c r="B122" s="798"/>
      <c r="C122" s="507" t="s">
        <v>1265</v>
      </c>
      <c r="D122" s="18" t="s">
        <v>1266</v>
      </c>
      <c r="E122" s="254">
        <v>100</v>
      </c>
      <c r="F122" s="35"/>
      <c r="G122" s="51"/>
    </row>
    <row r="123" spans="1:7" s="252" customFormat="1" ht="36" customHeight="1">
      <c r="A123" s="751"/>
      <c r="B123" s="798"/>
      <c r="C123" s="706" t="s">
        <v>7</v>
      </c>
      <c r="D123" s="18" t="s">
        <v>437</v>
      </c>
      <c r="E123" s="254">
        <v>20</v>
      </c>
      <c r="F123" s="35"/>
      <c r="G123" s="51"/>
    </row>
    <row r="124" spans="1:7" s="252" customFormat="1" ht="36" customHeight="1">
      <c r="A124" s="751"/>
      <c r="B124" s="798"/>
      <c r="C124" s="705"/>
      <c r="D124" s="18" t="s">
        <v>1272</v>
      </c>
      <c r="E124" s="254">
        <v>30</v>
      </c>
      <c r="F124" s="35"/>
      <c r="G124" s="51"/>
    </row>
    <row r="125" spans="1:7" s="252" customFormat="1" ht="36" customHeight="1">
      <c r="A125" s="751"/>
      <c r="B125" s="798"/>
      <c r="C125" s="705"/>
      <c r="D125" s="18" t="s">
        <v>1273</v>
      </c>
      <c r="E125" s="254">
        <v>50</v>
      </c>
      <c r="F125" s="35"/>
      <c r="G125" s="51"/>
    </row>
    <row r="126" spans="1:7" s="252" customFormat="1" ht="36" customHeight="1">
      <c r="A126" s="751"/>
      <c r="B126" s="798"/>
      <c r="C126" s="705"/>
      <c r="D126" s="18" t="s">
        <v>1274</v>
      </c>
      <c r="E126" s="254">
        <v>65</v>
      </c>
      <c r="F126" s="35"/>
      <c r="G126" s="51"/>
    </row>
    <row r="127" spans="1:7" s="252" customFormat="1" ht="36" customHeight="1">
      <c r="A127" s="751"/>
      <c r="B127" s="798"/>
      <c r="C127" s="703"/>
      <c r="D127" s="18" t="s">
        <v>1275</v>
      </c>
      <c r="E127" s="254">
        <v>50</v>
      </c>
      <c r="F127" s="35"/>
      <c r="G127" s="51"/>
    </row>
    <row r="128" spans="1:7" ht="36" customHeight="1" thickBot="1">
      <c r="A128" s="751"/>
      <c r="B128" s="798"/>
      <c r="C128" s="385" t="s">
        <v>255</v>
      </c>
      <c r="D128" s="386" t="s">
        <v>20</v>
      </c>
      <c r="E128" s="387" t="s">
        <v>123</v>
      </c>
      <c r="F128" s="388" t="s">
        <v>1293</v>
      </c>
      <c r="G128" s="62"/>
    </row>
    <row r="129" spans="1:7" ht="36" customHeight="1" thickBot="1">
      <c r="A129" s="752"/>
      <c r="B129" s="713"/>
      <c r="C129" s="256" t="s">
        <v>33</v>
      </c>
      <c r="D129" s="257" t="s">
        <v>1270</v>
      </c>
      <c r="E129" s="258" t="s">
        <v>1254</v>
      </c>
      <c r="F129" s="22" t="s">
        <v>1255</v>
      </c>
      <c r="G129" s="58"/>
    </row>
  </sheetData>
  <mergeCells count="75">
    <mergeCell ref="A104:A106"/>
    <mergeCell ref="B104:B106"/>
    <mergeCell ref="A81:G81"/>
    <mergeCell ref="A82:A88"/>
    <mergeCell ref="B82:B88"/>
    <mergeCell ref="C99:C102"/>
    <mergeCell ref="A94:A95"/>
    <mergeCell ref="B94:B95"/>
    <mergeCell ref="A96:A103"/>
    <mergeCell ref="B96:B103"/>
    <mergeCell ref="C96:C98"/>
    <mergeCell ref="C123:C127"/>
    <mergeCell ref="C118:C119"/>
    <mergeCell ref="C104:C105"/>
    <mergeCell ref="C112:C115"/>
    <mergeCell ref="B59:B60"/>
    <mergeCell ref="B64:B68"/>
    <mergeCell ref="B118:B129"/>
    <mergeCell ref="A107:G107"/>
    <mergeCell ref="A108:A117"/>
    <mergeCell ref="B108:B117"/>
    <mergeCell ref="C108:C110"/>
    <mergeCell ref="C120:C121"/>
    <mergeCell ref="A118:A129"/>
    <mergeCell ref="C74:C75"/>
    <mergeCell ref="A59:A60"/>
    <mergeCell ref="A64:A68"/>
    <mergeCell ref="C14:C15"/>
    <mergeCell ref="A17:A20"/>
    <mergeCell ref="B17:B20"/>
    <mergeCell ref="A21:A23"/>
    <mergeCell ref="B21:B23"/>
    <mergeCell ref="C30:C31"/>
    <mergeCell ref="C26:C29"/>
    <mergeCell ref="C37:C40"/>
    <mergeCell ref="C48:C49"/>
    <mergeCell ref="A1:G1"/>
    <mergeCell ref="A2:A7"/>
    <mergeCell ref="B2:B7"/>
    <mergeCell ref="C2:C5"/>
    <mergeCell ref="A8:A12"/>
    <mergeCell ref="B8:B12"/>
    <mergeCell ref="C10:C11"/>
    <mergeCell ref="A24:G24"/>
    <mergeCell ref="A25:A32"/>
    <mergeCell ref="B25:B32"/>
    <mergeCell ref="A13:A16"/>
    <mergeCell ref="B13:B16"/>
    <mergeCell ref="B33:B36"/>
    <mergeCell ref="A33:A36"/>
    <mergeCell ref="B54:B57"/>
    <mergeCell ref="C54:C55"/>
    <mergeCell ref="C51:C52"/>
    <mergeCell ref="C41:C44"/>
    <mergeCell ref="C33:C34"/>
    <mergeCell ref="B37:B46"/>
    <mergeCell ref="A58:G58"/>
    <mergeCell ref="A47:A53"/>
    <mergeCell ref="B47:B53"/>
    <mergeCell ref="A54:A57"/>
    <mergeCell ref="A37:A46"/>
    <mergeCell ref="A61:A63"/>
    <mergeCell ref="B61:B63"/>
    <mergeCell ref="C61:C62"/>
    <mergeCell ref="A89:A93"/>
    <mergeCell ref="B89:B93"/>
    <mergeCell ref="C90:C92"/>
    <mergeCell ref="C85:C87"/>
    <mergeCell ref="C64:C65"/>
    <mergeCell ref="C82:C84"/>
    <mergeCell ref="A77:A80"/>
    <mergeCell ref="A69:A76"/>
    <mergeCell ref="B69:B76"/>
    <mergeCell ref="C69:C73"/>
    <mergeCell ref="B77:B80"/>
  </mergeCells>
  <phoneticPr fontId="1" type="noConversion"/>
  <printOptions horizontalCentered="1" verticalCentered="1"/>
  <pageMargins left="0.15748031496062992" right="0.15748031496062992" top="0.15748031496062992" bottom="0.15748031496062992" header="0.11811023622047245" footer="0.31496062992125984"/>
  <pageSetup paperSize="9" scale="70" fitToHeight="5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view="pageBreakPreview" zoomScale="71" zoomScaleNormal="87" zoomScaleSheetLayoutView="71" zoomScalePageLayoutView="75" workbookViewId="0">
      <selection activeCell="F6" sqref="F6"/>
    </sheetView>
  </sheetViews>
  <sheetFormatPr defaultRowHeight="36" customHeight="1"/>
  <cols>
    <col min="1" max="1" width="12.5" style="260" customWidth="1"/>
    <col min="2" max="2" width="8.5" style="261" customWidth="1"/>
    <col min="3" max="3" width="17.875" style="317" customWidth="1"/>
    <col min="4" max="4" width="22.5" style="37" customWidth="1"/>
    <col min="5" max="5" width="15.375" style="262" customWidth="1"/>
    <col min="6" max="6" width="25.625" style="262" customWidth="1"/>
    <col min="7" max="7" width="28.125" style="263" customWidth="1"/>
    <col min="8" max="8" width="42.5" style="252" customWidth="1"/>
    <col min="9" max="16384" width="9" style="37"/>
  </cols>
  <sheetData>
    <row r="1" spans="1:7" s="252" customFormat="1" ht="105" customHeight="1" thickBot="1">
      <c r="A1" s="753" t="s">
        <v>0</v>
      </c>
      <c r="B1" s="754"/>
      <c r="C1" s="754"/>
      <c r="D1" s="754"/>
      <c r="E1" s="754"/>
      <c r="F1" s="754"/>
      <c r="G1" s="787"/>
    </row>
    <row r="2" spans="1:7" s="252" customFormat="1" ht="36" customHeight="1" thickBot="1">
      <c r="A2" s="751">
        <v>43682</v>
      </c>
      <c r="B2" s="686" t="s">
        <v>2</v>
      </c>
      <c r="C2" s="515" t="s">
        <v>3</v>
      </c>
      <c r="D2" s="516" t="s">
        <v>5</v>
      </c>
      <c r="E2" s="517">
        <v>512</v>
      </c>
      <c r="F2" s="518"/>
      <c r="G2" s="519"/>
    </row>
    <row r="3" spans="1:7" s="252" customFormat="1" ht="36" customHeight="1" thickBot="1">
      <c r="A3" s="752"/>
      <c r="B3" s="687"/>
      <c r="C3" s="151"/>
      <c r="D3" s="20"/>
      <c r="E3" s="312"/>
      <c r="F3" s="13"/>
      <c r="G3" s="62"/>
    </row>
    <row r="4" spans="1:7" s="252" customFormat="1" ht="36" customHeight="1">
      <c r="A4" s="751">
        <v>44049</v>
      </c>
      <c r="B4" s="686" t="s">
        <v>2069</v>
      </c>
      <c r="C4" s="706" t="s">
        <v>1304</v>
      </c>
      <c r="D4" s="489" t="s">
        <v>1305</v>
      </c>
      <c r="E4" s="471">
        <v>60</v>
      </c>
      <c r="F4" s="41"/>
      <c r="G4" s="54" t="s">
        <v>1313</v>
      </c>
    </row>
    <row r="5" spans="1:7" s="252" customFormat="1" ht="36" customHeight="1">
      <c r="A5" s="751"/>
      <c r="B5" s="686"/>
      <c r="C5" s="705"/>
      <c r="D5" s="514" t="s">
        <v>1309</v>
      </c>
      <c r="E5" s="471" t="s">
        <v>1310</v>
      </c>
      <c r="F5" s="41"/>
      <c r="G5" s="54"/>
    </row>
    <row r="6" spans="1:7" s="252" customFormat="1" ht="36" customHeight="1" thickBot="1">
      <c r="A6" s="751"/>
      <c r="B6" s="686"/>
      <c r="C6" s="708"/>
      <c r="D6" s="488" t="s">
        <v>1311</v>
      </c>
      <c r="E6" s="273" t="s">
        <v>1312</v>
      </c>
      <c r="F6" s="40"/>
      <c r="G6" s="52"/>
    </row>
    <row r="7" spans="1:7" s="252" customFormat="1" ht="36" customHeight="1" thickBot="1">
      <c r="A7" s="752"/>
      <c r="B7" s="687"/>
      <c r="C7" s="256"/>
      <c r="D7" s="257"/>
      <c r="E7" s="258"/>
      <c r="F7" s="14"/>
      <c r="G7" s="60"/>
    </row>
    <row r="8" spans="1:7" s="252" customFormat="1" ht="36" customHeight="1">
      <c r="A8" s="750">
        <v>43684</v>
      </c>
      <c r="B8" s="685" t="s">
        <v>15</v>
      </c>
      <c r="C8" s="705" t="s">
        <v>3</v>
      </c>
      <c r="D8" s="18" t="s">
        <v>5</v>
      </c>
      <c r="E8" s="382">
        <v>506</v>
      </c>
      <c r="F8" s="39"/>
      <c r="G8" s="53"/>
    </row>
    <row r="9" spans="1:7" s="252" customFormat="1" ht="36" customHeight="1">
      <c r="A9" s="751"/>
      <c r="B9" s="686"/>
      <c r="C9" s="703"/>
      <c r="D9" s="490" t="s">
        <v>6</v>
      </c>
      <c r="E9" s="254">
        <v>2</v>
      </c>
      <c r="F9" s="465"/>
      <c r="G9" s="466"/>
    </row>
    <row r="10" spans="1:7" s="252" customFormat="1" ht="36" customHeight="1">
      <c r="A10" s="751"/>
      <c r="B10" s="686"/>
      <c r="C10" s="520" t="s">
        <v>204</v>
      </c>
      <c r="D10" s="521" t="s">
        <v>1135</v>
      </c>
      <c r="E10" s="509" t="s">
        <v>103</v>
      </c>
      <c r="F10" s="35"/>
      <c r="G10" s="51"/>
    </row>
    <row r="11" spans="1:7" ht="36" customHeight="1" thickBot="1">
      <c r="A11" s="752"/>
      <c r="B11" s="687"/>
      <c r="C11" s="385" t="s">
        <v>255</v>
      </c>
      <c r="D11" s="386" t="s">
        <v>20</v>
      </c>
      <c r="E11" s="387" t="s">
        <v>980</v>
      </c>
      <c r="F11" s="388" t="s">
        <v>1294</v>
      </c>
      <c r="G11" s="62"/>
    </row>
    <row r="12" spans="1:7" s="252" customFormat="1" ht="36" customHeight="1">
      <c r="A12" s="750">
        <v>43685</v>
      </c>
      <c r="B12" s="712" t="s">
        <v>776</v>
      </c>
      <c r="C12" s="512" t="s">
        <v>1295</v>
      </c>
      <c r="D12" s="18" t="s">
        <v>1296</v>
      </c>
      <c r="E12" s="382" t="s">
        <v>1297</v>
      </c>
      <c r="F12" s="39"/>
      <c r="G12" s="53"/>
    </row>
    <row r="13" spans="1:7" s="252" customFormat="1" ht="36" customHeight="1">
      <c r="A13" s="751"/>
      <c r="B13" s="798"/>
      <c r="C13" s="706" t="s">
        <v>1298</v>
      </c>
      <c r="D13" s="18" t="s">
        <v>1299</v>
      </c>
      <c r="E13" s="254">
        <v>180</v>
      </c>
      <c r="F13" s="42"/>
      <c r="G13" s="55"/>
    </row>
    <row r="14" spans="1:7" s="252" customFormat="1" ht="36" customHeight="1">
      <c r="A14" s="751"/>
      <c r="B14" s="798"/>
      <c r="C14" s="705"/>
      <c r="D14" s="18" t="s">
        <v>1300</v>
      </c>
      <c r="E14" s="254">
        <v>30</v>
      </c>
      <c r="F14" s="42"/>
      <c r="G14" s="55"/>
    </row>
    <row r="15" spans="1:7" s="252" customFormat="1" ht="36" customHeight="1">
      <c r="A15" s="751"/>
      <c r="B15" s="798"/>
      <c r="C15" s="705"/>
      <c r="D15" s="18" t="s">
        <v>1301</v>
      </c>
      <c r="E15" s="254">
        <v>10</v>
      </c>
      <c r="F15" s="42"/>
      <c r="G15" s="55"/>
    </row>
    <row r="16" spans="1:7" s="252" customFormat="1" ht="36" customHeight="1">
      <c r="A16" s="751"/>
      <c r="B16" s="798"/>
      <c r="C16" s="703"/>
      <c r="D16" s="18" t="s">
        <v>1302</v>
      </c>
      <c r="E16" s="254" t="s">
        <v>1303</v>
      </c>
      <c r="F16" s="42"/>
      <c r="G16" s="55"/>
    </row>
    <row r="17" spans="1:7" s="252" customFormat="1" ht="36" customHeight="1">
      <c r="A17" s="751"/>
      <c r="B17" s="798"/>
      <c r="C17" s="706" t="s">
        <v>1314</v>
      </c>
      <c r="D17" s="18" t="s">
        <v>1315</v>
      </c>
      <c r="E17" s="254">
        <v>100</v>
      </c>
      <c r="F17" s="42"/>
      <c r="G17" s="55"/>
    </row>
    <row r="18" spans="1:7" s="252" customFormat="1" ht="36" customHeight="1">
      <c r="A18" s="751"/>
      <c r="B18" s="798"/>
      <c r="C18" s="705"/>
      <c r="D18" s="18" t="s">
        <v>1316</v>
      </c>
      <c r="E18" s="254">
        <v>50</v>
      </c>
      <c r="F18" s="42"/>
      <c r="G18" s="55"/>
    </row>
    <row r="19" spans="1:7" s="252" customFormat="1" ht="36" customHeight="1">
      <c r="A19" s="751"/>
      <c r="B19" s="798"/>
      <c r="C19" s="705"/>
      <c r="D19" s="18" t="s">
        <v>1317</v>
      </c>
      <c r="E19" s="254">
        <v>64</v>
      </c>
      <c r="F19" s="42"/>
      <c r="G19" s="55"/>
    </row>
    <row r="20" spans="1:7" s="252" customFormat="1" ht="36" customHeight="1">
      <c r="A20" s="751"/>
      <c r="B20" s="798"/>
      <c r="C20" s="705"/>
      <c r="D20" s="18" t="s">
        <v>1318</v>
      </c>
      <c r="E20" s="254">
        <v>64</v>
      </c>
      <c r="F20" s="42"/>
      <c r="G20" s="55"/>
    </row>
    <row r="21" spans="1:7" s="252" customFormat="1" ht="36" customHeight="1" thickBot="1">
      <c r="A21" s="751"/>
      <c r="B21" s="798"/>
      <c r="C21" s="703"/>
      <c r="D21" s="18" t="s">
        <v>1319</v>
      </c>
      <c r="E21" s="254" t="s">
        <v>1320</v>
      </c>
      <c r="F21" s="42"/>
      <c r="G21" s="55"/>
    </row>
    <row r="22" spans="1:7" s="252" customFormat="1" ht="36" customHeight="1" thickBot="1">
      <c r="A22" s="752"/>
      <c r="B22" s="713"/>
      <c r="C22" s="256" t="s">
        <v>262</v>
      </c>
      <c r="D22" s="257" t="s">
        <v>20</v>
      </c>
      <c r="E22" s="258" t="s">
        <v>980</v>
      </c>
      <c r="F22" s="22" t="s">
        <v>1294</v>
      </c>
      <c r="G22" s="58"/>
    </row>
    <row r="23" spans="1:7" s="252" customFormat="1" ht="36" customHeight="1">
      <c r="A23" s="750">
        <v>43686</v>
      </c>
      <c r="B23" s="712" t="s">
        <v>396</v>
      </c>
      <c r="C23" s="485" t="s">
        <v>1282</v>
      </c>
      <c r="D23" s="18" t="s">
        <v>1283</v>
      </c>
      <c r="E23" s="290">
        <v>154</v>
      </c>
      <c r="F23" s="42"/>
      <c r="G23" s="55"/>
    </row>
    <row r="24" spans="1:7" s="252" customFormat="1" ht="36" customHeight="1">
      <c r="A24" s="751"/>
      <c r="B24" s="798"/>
      <c r="C24" s="706" t="s">
        <v>1284</v>
      </c>
      <c r="D24" s="31" t="s">
        <v>1285</v>
      </c>
      <c r="E24" s="382" t="s">
        <v>1286</v>
      </c>
      <c r="F24" s="56" t="s">
        <v>1306</v>
      </c>
      <c r="G24" s="57"/>
    </row>
    <row r="25" spans="1:7" s="252" customFormat="1" ht="36" customHeight="1">
      <c r="A25" s="751"/>
      <c r="B25" s="798"/>
      <c r="C25" s="705"/>
      <c r="D25" s="490" t="s">
        <v>1287</v>
      </c>
      <c r="E25" s="254" t="s">
        <v>1288</v>
      </c>
      <c r="F25" s="35"/>
      <c r="G25" s="51"/>
    </row>
    <row r="26" spans="1:7" s="252" customFormat="1" ht="36" customHeight="1">
      <c r="A26" s="751"/>
      <c r="B26" s="798"/>
      <c r="C26" s="705"/>
      <c r="D26" s="490" t="s">
        <v>1289</v>
      </c>
      <c r="E26" s="254" t="s">
        <v>1290</v>
      </c>
      <c r="F26" s="35"/>
      <c r="G26" s="51"/>
    </row>
    <row r="27" spans="1:7" s="252" customFormat="1" ht="36" customHeight="1">
      <c r="A27" s="751"/>
      <c r="B27" s="798"/>
      <c r="C27" s="703"/>
      <c r="D27" s="31" t="s">
        <v>1291</v>
      </c>
      <c r="E27" s="382" t="s">
        <v>1292</v>
      </c>
      <c r="F27" s="56"/>
      <c r="G27" s="57"/>
    </row>
    <row r="28" spans="1:7" s="252" customFormat="1" ht="36" customHeight="1" thickBot="1">
      <c r="A28" s="751"/>
      <c r="B28" s="798"/>
      <c r="C28" s="486"/>
      <c r="D28" s="488"/>
      <c r="E28" s="273"/>
      <c r="F28" s="40"/>
      <c r="G28" s="52"/>
    </row>
    <row r="29" spans="1:7" s="252" customFormat="1" ht="36" customHeight="1" thickBot="1">
      <c r="A29" s="752"/>
      <c r="B29" s="713"/>
      <c r="C29" s="151"/>
      <c r="D29" s="20"/>
      <c r="E29" s="13"/>
      <c r="F29" s="13"/>
      <c r="G29" s="62"/>
    </row>
    <row r="30" spans="1:7" s="252" customFormat="1" ht="104.25" customHeight="1" thickBot="1">
      <c r="A30" s="753" t="s">
        <v>0</v>
      </c>
      <c r="B30" s="754"/>
      <c r="C30" s="754"/>
      <c r="D30" s="754"/>
      <c r="E30" s="754"/>
      <c r="F30" s="754"/>
      <c r="G30" s="787"/>
    </row>
    <row r="31" spans="1:7" s="252" customFormat="1" ht="30.75" customHeight="1">
      <c r="A31" s="751">
        <v>43689</v>
      </c>
      <c r="B31" s="686" t="s">
        <v>1213</v>
      </c>
      <c r="C31" s="682" t="s">
        <v>1236</v>
      </c>
      <c r="D31" s="481" t="s">
        <v>1237</v>
      </c>
      <c r="E31" s="253">
        <v>143</v>
      </c>
      <c r="F31" s="39"/>
      <c r="G31" s="53"/>
    </row>
    <row r="32" spans="1:7" s="252" customFormat="1" ht="30.75" customHeight="1">
      <c r="A32" s="751"/>
      <c r="B32" s="686"/>
      <c r="C32" s="801"/>
      <c r="D32" s="18" t="s">
        <v>1268</v>
      </c>
      <c r="E32" s="382">
        <v>140</v>
      </c>
      <c r="F32" s="42"/>
      <c r="G32" s="55"/>
    </row>
    <row r="33" spans="1:7" s="252" customFormat="1" ht="30.75" customHeight="1">
      <c r="A33" s="751"/>
      <c r="B33" s="686"/>
      <c r="C33" s="706" t="s">
        <v>1324</v>
      </c>
      <c r="D33" s="25" t="s">
        <v>1325</v>
      </c>
      <c r="E33" s="255" t="s">
        <v>1326</v>
      </c>
      <c r="F33" s="42"/>
      <c r="G33" s="55"/>
    </row>
    <row r="34" spans="1:7" s="252" customFormat="1" ht="30.75" customHeight="1">
      <c r="A34" s="751"/>
      <c r="B34" s="686"/>
      <c r="C34" s="705"/>
      <c r="D34" s="25" t="s">
        <v>1327</v>
      </c>
      <c r="E34" s="255" t="s">
        <v>1328</v>
      </c>
      <c r="F34" s="42"/>
      <c r="G34" s="55"/>
    </row>
    <row r="35" spans="1:7" s="252" customFormat="1" ht="30.75" customHeight="1">
      <c r="A35" s="751"/>
      <c r="B35" s="686"/>
      <c r="C35" s="705"/>
      <c r="D35" s="490" t="s">
        <v>1329</v>
      </c>
      <c r="E35" s="255">
        <v>100</v>
      </c>
      <c r="F35" s="42"/>
      <c r="G35" s="55"/>
    </row>
    <row r="36" spans="1:7" s="252" customFormat="1" ht="30.75" customHeight="1" thickBot="1">
      <c r="A36" s="751"/>
      <c r="B36" s="686"/>
      <c r="C36" s="703"/>
      <c r="D36" s="490" t="s">
        <v>1330</v>
      </c>
      <c r="E36" s="254">
        <v>30</v>
      </c>
      <c r="F36" s="35"/>
      <c r="G36" s="55"/>
    </row>
    <row r="37" spans="1:7" s="252" customFormat="1" ht="30.75" customHeight="1" thickBot="1">
      <c r="A37" s="752"/>
      <c r="B37" s="687"/>
      <c r="C37" s="47"/>
      <c r="D37" s="27"/>
      <c r="E37" s="22"/>
      <c r="F37" s="22"/>
      <c r="G37" s="58"/>
    </row>
    <row r="38" spans="1:7" s="252" customFormat="1" ht="30.75" customHeight="1">
      <c r="A38" s="750">
        <v>43690</v>
      </c>
      <c r="B38" s="712" t="s">
        <v>1214</v>
      </c>
      <c r="C38" s="682" t="s">
        <v>1321</v>
      </c>
      <c r="D38" s="162" t="s">
        <v>1322</v>
      </c>
      <c r="E38" s="254">
        <v>35</v>
      </c>
      <c r="F38" s="35"/>
      <c r="G38" s="51"/>
    </row>
    <row r="39" spans="1:7" s="252" customFormat="1" ht="30.75" customHeight="1">
      <c r="A39" s="751"/>
      <c r="B39" s="798"/>
      <c r="C39" s="801"/>
      <c r="D39" s="18" t="s">
        <v>1323</v>
      </c>
      <c r="E39" s="254">
        <v>195</v>
      </c>
      <c r="F39" s="35"/>
      <c r="G39" s="51"/>
    </row>
    <row r="40" spans="1:7" s="252" customFormat="1" ht="30.75" customHeight="1" thickBot="1">
      <c r="A40" s="751"/>
      <c r="B40" s="798"/>
      <c r="C40" s="522" t="s">
        <v>1332</v>
      </c>
      <c r="D40" s="31" t="s">
        <v>1331</v>
      </c>
      <c r="E40" s="254">
        <v>384</v>
      </c>
      <c r="F40" s="35"/>
      <c r="G40" s="51"/>
    </row>
    <row r="41" spans="1:7" s="252" customFormat="1" ht="30.75" customHeight="1" thickBot="1">
      <c r="A41" s="751"/>
      <c r="B41" s="798"/>
      <c r="C41" s="47"/>
      <c r="D41" s="27"/>
      <c r="E41" s="22"/>
      <c r="F41" s="22"/>
      <c r="G41" s="58"/>
    </row>
    <row r="42" spans="1:7" s="252" customFormat="1" ht="30" customHeight="1">
      <c r="A42" s="750">
        <v>43691</v>
      </c>
      <c r="B42" s="712" t="s">
        <v>1215</v>
      </c>
      <c r="C42" s="682" t="s">
        <v>1335</v>
      </c>
      <c r="D42" s="162" t="s">
        <v>1337</v>
      </c>
      <c r="E42" s="253">
        <v>100</v>
      </c>
      <c r="F42" s="39"/>
      <c r="G42" s="53"/>
    </row>
    <row r="43" spans="1:7" s="252" customFormat="1" ht="30" customHeight="1">
      <c r="A43" s="751"/>
      <c r="B43" s="798"/>
      <c r="C43" s="801"/>
      <c r="D43" s="490" t="s">
        <v>1336</v>
      </c>
      <c r="E43" s="254" t="s">
        <v>1338</v>
      </c>
      <c r="F43" s="35"/>
      <c r="G43" s="51"/>
    </row>
    <row r="44" spans="1:7" s="252" customFormat="1" ht="30" customHeight="1">
      <c r="A44" s="751"/>
      <c r="B44" s="798"/>
      <c r="C44" s="527" t="s">
        <v>32</v>
      </c>
      <c r="D44" s="490" t="s">
        <v>27</v>
      </c>
      <c r="E44" s="254">
        <v>100</v>
      </c>
      <c r="F44" s="529"/>
      <c r="G44" s="530" t="s">
        <v>1354</v>
      </c>
    </row>
    <row r="45" spans="1:7" s="252" customFormat="1" ht="30" customHeight="1">
      <c r="A45" s="751"/>
      <c r="B45" s="798"/>
      <c r="C45" s="451" t="s">
        <v>1355</v>
      </c>
      <c r="D45" s="453" t="s">
        <v>1356</v>
      </c>
      <c r="E45" s="254">
        <v>80</v>
      </c>
      <c r="F45" s="42"/>
      <c r="G45" s="531" t="s">
        <v>1354</v>
      </c>
    </row>
    <row r="46" spans="1:7" s="252" customFormat="1" ht="30" customHeight="1">
      <c r="A46" s="751"/>
      <c r="B46" s="798"/>
      <c r="C46" s="797" t="s">
        <v>1346</v>
      </c>
      <c r="D46" s="452" t="s">
        <v>1362</v>
      </c>
      <c r="E46" s="254">
        <v>72</v>
      </c>
      <c r="F46" s="35"/>
      <c r="G46" s="513"/>
    </row>
    <row r="47" spans="1:7" s="252" customFormat="1" ht="30" customHeight="1" thickBot="1">
      <c r="A47" s="751"/>
      <c r="B47" s="798"/>
      <c r="C47" s="684"/>
      <c r="D47" s="441" t="s">
        <v>1347</v>
      </c>
      <c r="E47" s="290">
        <v>100</v>
      </c>
      <c r="F47" s="443"/>
      <c r="G47" s="378"/>
    </row>
    <row r="48" spans="1:7" s="252" customFormat="1" ht="30" customHeight="1" thickBot="1">
      <c r="A48" s="752"/>
      <c r="B48" s="713"/>
      <c r="C48" s="47" t="s">
        <v>352</v>
      </c>
      <c r="D48" s="27" t="s">
        <v>1333</v>
      </c>
      <c r="E48" s="22" t="s">
        <v>1334</v>
      </c>
      <c r="F48" s="22"/>
      <c r="G48" s="58"/>
    </row>
    <row r="49" spans="1:7" s="252" customFormat="1" ht="41.25" customHeight="1">
      <c r="A49" s="750">
        <v>43692</v>
      </c>
      <c r="B49" s="712" t="s">
        <v>17</v>
      </c>
      <c r="C49" s="804" t="s">
        <v>1216</v>
      </c>
      <c r="D49" s="805"/>
      <c r="E49" s="805"/>
      <c r="F49" s="805"/>
      <c r="G49" s="806"/>
    </row>
    <row r="50" spans="1:7" s="252" customFormat="1" ht="41.25" customHeight="1" thickBot="1">
      <c r="A50" s="752"/>
      <c r="B50" s="713"/>
      <c r="C50" s="807"/>
      <c r="D50" s="808"/>
      <c r="E50" s="808"/>
      <c r="F50" s="808"/>
      <c r="G50" s="809"/>
    </row>
    <row r="51" spans="1:7" s="252" customFormat="1" ht="30" customHeight="1">
      <c r="A51" s="750">
        <v>43693</v>
      </c>
      <c r="B51" s="685" t="s">
        <v>18</v>
      </c>
      <c r="C51" s="797" t="s">
        <v>695</v>
      </c>
      <c r="D51" s="452" t="s">
        <v>1135</v>
      </c>
      <c r="E51" s="478" t="s">
        <v>8</v>
      </c>
      <c r="F51" s="35"/>
      <c r="G51" s="51" t="s">
        <v>1379</v>
      </c>
    </row>
    <row r="52" spans="1:7" s="252" customFormat="1" ht="30" customHeight="1">
      <c r="A52" s="751"/>
      <c r="B52" s="686"/>
      <c r="C52" s="801"/>
      <c r="D52" s="453" t="s">
        <v>1096</v>
      </c>
      <c r="E52" s="290" t="s">
        <v>91</v>
      </c>
      <c r="F52" s="42"/>
      <c r="G52" s="55"/>
    </row>
    <row r="53" spans="1:7" s="252" customFormat="1" ht="30.75" customHeight="1">
      <c r="A53" s="751"/>
      <c r="B53" s="686"/>
      <c r="C53" s="527" t="s">
        <v>1357</v>
      </c>
      <c r="D53" s="490" t="s">
        <v>1358</v>
      </c>
      <c r="E53" s="254">
        <v>50</v>
      </c>
      <c r="F53" s="41"/>
      <c r="G53" s="54"/>
    </row>
    <row r="54" spans="1:7" s="252" customFormat="1" ht="30.75" customHeight="1" thickBot="1">
      <c r="A54" s="751"/>
      <c r="B54" s="686"/>
      <c r="C54" s="374" t="s">
        <v>1363</v>
      </c>
      <c r="D54" s="31" t="s">
        <v>1364</v>
      </c>
      <c r="E54" s="254">
        <v>30</v>
      </c>
      <c r="F54" s="40"/>
      <c r="G54" s="52"/>
    </row>
    <row r="55" spans="1:7" s="252" customFormat="1" ht="30.75" customHeight="1" thickBot="1">
      <c r="A55" s="752"/>
      <c r="B55" s="687"/>
      <c r="C55" s="47"/>
      <c r="D55" s="27"/>
      <c r="E55" s="22"/>
      <c r="F55" s="22"/>
      <c r="G55" s="58"/>
    </row>
    <row r="56" spans="1:7" s="252" customFormat="1" ht="105" customHeight="1" thickBot="1">
      <c r="A56" s="753" t="s">
        <v>0</v>
      </c>
      <c r="B56" s="754"/>
      <c r="C56" s="754"/>
      <c r="D56" s="754"/>
      <c r="E56" s="754"/>
      <c r="F56" s="754"/>
      <c r="G56" s="787"/>
    </row>
    <row r="57" spans="1:7" s="252" customFormat="1" ht="36" customHeight="1">
      <c r="A57" s="750">
        <v>43696</v>
      </c>
      <c r="B57" s="685" t="s">
        <v>1044</v>
      </c>
      <c r="C57" s="533" t="s">
        <v>1307</v>
      </c>
      <c r="D57" s="162" t="s">
        <v>1308</v>
      </c>
      <c r="E57" s="371">
        <v>517</v>
      </c>
      <c r="F57" s="42"/>
      <c r="G57" s="55" t="s">
        <v>1380</v>
      </c>
    </row>
    <row r="58" spans="1:7" s="252" customFormat="1" ht="36" customHeight="1" thickBot="1">
      <c r="A58" s="751"/>
      <c r="B58" s="686"/>
      <c r="C58" s="484" t="s">
        <v>1348</v>
      </c>
      <c r="D58" s="490" t="s">
        <v>1349</v>
      </c>
      <c r="E58" s="254" t="s">
        <v>1350</v>
      </c>
      <c r="F58" s="35" t="s">
        <v>1351</v>
      </c>
      <c r="G58" s="51" t="s">
        <v>1384</v>
      </c>
    </row>
    <row r="59" spans="1:7" s="252" customFormat="1" ht="36" customHeight="1" thickBot="1">
      <c r="A59" s="752"/>
      <c r="B59" s="687"/>
      <c r="C59" s="47" t="s">
        <v>1372</v>
      </c>
      <c r="D59" s="27" t="s">
        <v>1373</v>
      </c>
      <c r="E59" s="22" t="s">
        <v>1374</v>
      </c>
      <c r="F59" s="22" t="s">
        <v>1375</v>
      </c>
      <c r="G59" s="58"/>
    </row>
    <row r="60" spans="1:7" s="252" customFormat="1" ht="36" customHeight="1">
      <c r="A60" s="750">
        <v>43697</v>
      </c>
      <c r="B60" s="685" t="s">
        <v>16</v>
      </c>
      <c r="C60" s="528" t="s">
        <v>1359</v>
      </c>
      <c r="D60" s="162" t="s">
        <v>1360</v>
      </c>
      <c r="E60" s="253">
        <v>80</v>
      </c>
      <c r="F60" s="42"/>
      <c r="G60" s="55" t="s">
        <v>1403</v>
      </c>
    </row>
    <row r="61" spans="1:7" s="252" customFormat="1" ht="36" customHeight="1">
      <c r="A61" s="751"/>
      <c r="B61" s="686"/>
      <c r="C61" s="705" t="s">
        <v>1365</v>
      </c>
      <c r="D61" s="18" t="s">
        <v>1366</v>
      </c>
      <c r="E61" s="254" t="s">
        <v>1367</v>
      </c>
      <c r="F61" s="42"/>
      <c r="G61" s="55"/>
    </row>
    <row r="62" spans="1:7" s="252" customFormat="1" ht="36" customHeight="1">
      <c r="A62" s="751"/>
      <c r="B62" s="686"/>
      <c r="C62" s="705"/>
      <c r="D62" s="31" t="s">
        <v>1368</v>
      </c>
      <c r="E62" s="382" t="s">
        <v>1369</v>
      </c>
      <c r="F62" s="42"/>
      <c r="G62" s="55"/>
    </row>
    <row r="63" spans="1:7" s="252" customFormat="1" ht="36" customHeight="1">
      <c r="A63" s="751"/>
      <c r="B63" s="686"/>
      <c r="C63" s="703"/>
      <c r="D63" s="25" t="s">
        <v>1370</v>
      </c>
      <c r="E63" s="255" t="s">
        <v>1371</v>
      </c>
      <c r="F63" s="35"/>
      <c r="G63" s="51"/>
    </row>
    <row r="64" spans="1:7" s="252" customFormat="1" ht="36" customHeight="1">
      <c r="A64" s="751"/>
      <c r="B64" s="686"/>
      <c r="C64" s="706" t="s">
        <v>7</v>
      </c>
      <c r="D64" s="25" t="s">
        <v>1381</v>
      </c>
      <c r="E64" s="255">
        <v>64</v>
      </c>
      <c r="F64" s="41" t="s">
        <v>1306</v>
      </c>
      <c r="G64" s="54"/>
    </row>
    <row r="65" spans="1:7" s="252" customFormat="1" ht="36" customHeight="1">
      <c r="A65" s="751"/>
      <c r="B65" s="686"/>
      <c r="C65" s="705"/>
      <c r="D65" s="25" t="s">
        <v>1382</v>
      </c>
      <c r="E65" s="255">
        <v>110</v>
      </c>
      <c r="F65" s="41"/>
      <c r="G65" s="54"/>
    </row>
    <row r="66" spans="1:7" s="252" customFormat="1" ht="36" customHeight="1" thickBot="1">
      <c r="A66" s="751"/>
      <c r="B66" s="686"/>
      <c r="C66" s="708"/>
      <c r="D66" s="25" t="s">
        <v>1383</v>
      </c>
      <c r="E66" s="255">
        <v>64</v>
      </c>
      <c r="F66" s="41"/>
      <c r="G66" s="54"/>
    </row>
    <row r="67" spans="1:7" s="252" customFormat="1" ht="36" customHeight="1" thickBot="1">
      <c r="A67" s="752"/>
      <c r="B67" s="687"/>
      <c r="C67" s="47" t="s">
        <v>1376</v>
      </c>
      <c r="D67" s="27" t="s">
        <v>1377</v>
      </c>
      <c r="E67" s="22" t="s">
        <v>1378</v>
      </c>
      <c r="F67" s="22" t="s">
        <v>126</v>
      </c>
      <c r="G67" s="58"/>
    </row>
    <row r="68" spans="1:7" ht="30.75" customHeight="1">
      <c r="A68" s="751">
        <v>43698</v>
      </c>
      <c r="B68" s="686" t="s">
        <v>1392</v>
      </c>
      <c r="C68" s="527" t="s">
        <v>1361</v>
      </c>
      <c r="D68" s="490" t="s">
        <v>1362</v>
      </c>
      <c r="E68" s="254">
        <v>300</v>
      </c>
      <c r="F68" s="479"/>
      <c r="G68" s="51"/>
    </row>
    <row r="69" spans="1:7" ht="30.75" customHeight="1">
      <c r="A69" s="751"/>
      <c r="B69" s="686"/>
      <c r="C69" s="706" t="s">
        <v>1396</v>
      </c>
      <c r="D69" s="25" t="s">
        <v>1397</v>
      </c>
      <c r="E69" s="255" t="s">
        <v>111</v>
      </c>
      <c r="F69" s="537" t="s">
        <v>1398</v>
      </c>
      <c r="G69" s="57" t="s">
        <v>1400</v>
      </c>
    </row>
    <row r="70" spans="1:7" ht="30.75" customHeight="1">
      <c r="A70" s="751"/>
      <c r="B70" s="686"/>
      <c r="C70" s="703"/>
      <c r="D70" s="25" t="s">
        <v>1397</v>
      </c>
      <c r="E70" s="255" t="s">
        <v>111</v>
      </c>
      <c r="F70" s="538" t="s">
        <v>1399</v>
      </c>
      <c r="G70" s="51"/>
    </row>
    <row r="71" spans="1:7" s="252" customFormat="1" ht="36" customHeight="1" thickBot="1">
      <c r="A71" s="751"/>
      <c r="B71" s="686"/>
      <c r="C71" s="536" t="s">
        <v>1352</v>
      </c>
      <c r="D71" s="25" t="s">
        <v>1353</v>
      </c>
      <c r="E71" s="255">
        <v>105</v>
      </c>
      <c r="F71" s="41" t="s">
        <v>1351</v>
      </c>
      <c r="G71" s="378"/>
    </row>
    <row r="72" spans="1:7" s="252" customFormat="1" ht="36" customHeight="1" thickBot="1">
      <c r="A72" s="752"/>
      <c r="B72" s="687"/>
      <c r="C72" s="47"/>
      <c r="D72" s="27"/>
      <c r="E72" s="22"/>
      <c r="F72" s="22"/>
      <c r="G72" s="58"/>
    </row>
    <row r="73" spans="1:7" s="252" customFormat="1" ht="36" customHeight="1" thickBot="1">
      <c r="A73" s="750">
        <v>43699</v>
      </c>
      <c r="B73" s="685" t="s">
        <v>17</v>
      </c>
      <c r="C73" s="534" t="s">
        <v>1321</v>
      </c>
      <c r="D73" s="162" t="s">
        <v>1322</v>
      </c>
      <c r="E73" s="253">
        <v>543</v>
      </c>
      <c r="F73" s="39"/>
      <c r="G73" s="53"/>
    </row>
    <row r="74" spans="1:7" s="252" customFormat="1" ht="36" customHeight="1" thickBot="1">
      <c r="A74" s="752"/>
      <c r="B74" s="687"/>
      <c r="C74" s="47"/>
      <c r="D74" s="27"/>
      <c r="E74" s="22"/>
      <c r="F74" s="22"/>
      <c r="G74" s="58"/>
    </row>
    <row r="75" spans="1:7" s="252" customFormat="1" ht="36" customHeight="1">
      <c r="A75" s="751">
        <v>43700</v>
      </c>
      <c r="B75" s="686" t="s">
        <v>1402</v>
      </c>
      <c r="C75" s="532" t="s">
        <v>1385</v>
      </c>
      <c r="D75" s="490" t="s">
        <v>1386</v>
      </c>
      <c r="E75" s="254" t="s">
        <v>1387</v>
      </c>
      <c r="F75" s="35" t="s">
        <v>1388</v>
      </c>
      <c r="G75" s="51" t="s">
        <v>1389</v>
      </c>
    </row>
    <row r="76" spans="1:7" s="252" customFormat="1" ht="36" customHeight="1">
      <c r="A76" s="751"/>
      <c r="B76" s="686"/>
      <c r="C76" s="539" t="s">
        <v>1405</v>
      </c>
      <c r="D76" s="490" t="s">
        <v>1406</v>
      </c>
      <c r="E76" s="254">
        <v>100</v>
      </c>
      <c r="F76" s="35" t="s">
        <v>1407</v>
      </c>
      <c r="G76" s="51"/>
    </row>
    <row r="77" spans="1:7" s="252" customFormat="1" ht="30" customHeight="1" thickBot="1">
      <c r="A77" s="751"/>
      <c r="B77" s="686"/>
      <c r="C77" s="535" t="s">
        <v>381</v>
      </c>
      <c r="D77" s="453" t="s">
        <v>1261</v>
      </c>
      <c r="E77" s="476" t="s">
        <v>111</v>
      </c>
      <c r="F77" s="42"/>
      <c r="G77" s="531" t="s">
        <v>1267</v>
      </c>
    </row>
    <row r="78" spans="1:7" s="252" customFormat="1" ht="36" customHeight="1" thickBot="1">
      <c r="A78" s="752"/>
      <c r="B78" s="687"/>
      <c r="C78" s="47"/>
      <c r="D78" s="27"/>
      <c r="E78" s="22"/>
      <c r="F78" s="22"/>
      <c r="G78" s="58"/>
    </row>
    <row r="79" spans="1:7" s="252" customFormat="1" ht="105" customHeight="1" thickBot="1">
      <c r="A79" s="753" t="s">
        <v>0</v>
      </c>
      <c r="B79" s="754"/>
      <c r="C79" s="754"/>
      <c r="D79" s="754"/>
      <c r="E79" s="754"/>
      <c r="F79" s="754"/>
      <c r="G79" s="787"/>
    </row>
    <row r="80" spans="1:7" s="252" customFormat="1" ht="36" customHeight="1">
      <c r="A80" s="750">
        <v>43703</v>
      </c>
      <c r="B80" s="685" t="s">
        <v>2</v>
      </c>
      <c r="C80" s="705" t="s">
        <v>1390</v>
      </c>
      <c r="D80" s="18" t="s">
        <v>1391</v>
      </c>
      <c r="E80" s="382">
        <v>224</v>
      </c>
      <c r="F80" s="42"/>
      <c r="G80" s="55"/>
    </row>
    <row r="81" spans="1:7" s="252" customFormat="1" ht="36" customHeight="1" thickBot="1">
      <c r="A81" s="751"/>
      <c r="B81" s="686"/>
      <c r="C81" s="703"/>
      <c r="D81" s="25" t="s">
        <v>1401</v>
      </c>
      <c r="E81" s="255">
        <v>259</v>
      </c>
      <c r="F81" s="35"/>
      <c r="G81" s="51"/>
    </row>
    <row r="82" spans="1:7" s="252" customFormat="1" ht="36" customHeight="1" thickBot="1">
      <c r="A82" s="752"/>
      <c r="B82" s="687"/>
      <c r="C82" s="47"/>
      <c r="D82" s="27"/>
      <c r="E82" s="22"/>
      <c r="F82" s="22"/>
      <c r="G82" s="58"/>
    </row>
    <row r="83" spans="1:7" s="252" customFormat="1" ht="36" customHeight="1">
      <c r="A83" s="750">
        <v>43704</v>
      </c>
      <c r="B83" s="685" t="s">
        <v>16</v>
      </c>
      <c r="C83" s="705" t="s">
        <v>1339</v>
      </c>
      <c r="D83" s="18" t="s">
        <v>1340</v>
      </c>
      <c r="E83" s="382">
        <v>261</v>
      </c>
      <c r="F83" s="42"/>
      <c r="G83" s="55"/>
    </row>
    <row r="84" spans="1:7" s="252" customFormat="1" ht="36" customHeight="1">
      <c r="A84" s="751"/>
      <c r="B84" s="686"/>
      <c r="C84" s="703"/>
      <c r="D84" s="490" t="s">
        <v>1341</v>
      </c>
      <c r="E84" s="254">
        <v>1</v>
      </c>
      <c r="F84" s="35"/>
      <c r="G84" s="51"/>
    </row>
    <row r="85" spans="1:7" s="252" customFormat="1" ht="36" customHeight="1">
      <c r="A85" s="751"/>
      <c r="B85" s="686"/>
      <c r="C85" s="705" t="s">
        <v>1414</v>
      </c>
      <c r="D85" s="18" t="s">
        <v>1415</v>
      </c>
      <c r="E85" s="382">
        <v>150</v>
      </c>
      <c r="F85" s="42"/>
      <c r="G85" s="55"/>
    </row>
    <row r="86" spans="1:7" s="252" customFormat="1" ht="36" customHeight="1">
      <c r="A86" s="751"/>
      <c r="B86" s="686"/>
      <c r="C86" s="703"/>
      <c r="D86" s="25" t="s">
        <v>1416</v>
      </c>
      <c r="E86" s="255" t="s">
        <v>91</v>
      </c>
      <c r="F86" s="35"/>
      <c r="G86" s="51"/>
    </row>
    <row r="87" spans="1:7" s="252" customFormat="1" ht="36" customHeight="1" thickBot="1">
      <c r="A87" s="751"/>
      <c r="B87" s="686"/>
      <c r="C87" s="539" t="s">
        <v>1393</v>
      </c>
      <c r="D87" s="490" t="s">
        <v>1394</v>
      </c>
      <c r="E87" s="254" t="s">
        <v>1395</v>
      </c>
      <c r="F87" s="35"/>
      <c r="G87" s="513" t="s">
        <v>1435</v>
      </c>
    </row>
    <row r="88" spans="1:7" s="252" customFormat="1" ht="36" customHeight="1" thickBot="1">
      <c r="A88" s="752"/>
      <c r="B88" s="687"/>
      <c r="C88" s="385" t="s">
        <v>255</v>
      </c>
      <c r="D88" s="386" t="s">
        <v>20</v>
      </c>
      <c r="E88" s="387" t="s">
        <v>980</v>
      </c>
      <c r="F88" s="388" t="s">
        <v>84</v>
      </c>
      <c r="G88" s="58"/>
    </row>
    <row r="89" spans="1:7" s="252" customFormat="1" ht="36" customHeight="1">
      <c r="A89" s="750">
        <v>43705</v>
      </c>
      <c r="B89" s="685" t="s">
        <v>15</v>
      </c>
      <c r="C89" s="543" t="s">
        <v>1342</v>
      </c>
      <c r="D89" s="18" t="s">
        <v>1340</v>
      </c>
      <c r="E89" s="382">
        <v>261</v>
      </c>
      <c r="F89" s="42"/>
      <c r="G89" s="55"/>
    </row>
    <row r="90" spans="1:7" s="252" customFormat="1" ht="36" customHeight="1">
      <c r="A90" s="751"/>
      <c r="B90" s="686"/>
      <c r="C90" s="706" t="s">
        <v>65</v>
      </c>
      <c r="D90" s="490" t="s">
        <v>1421</v>
      </c>
      <c r="E90" s="254">
        <v>100</v>
      </c>
      <c r="F90" s="35" t="s">
        <v>1306</v>
      </c>
      <c r="G90" s="51"/>
    </row>
    <row r="91" spans="1:7" s="252" customFormat="1" ht="36" customHeight="1" thickBot="1">
      <c r="A91" s="751"/>
      <c r="B91" s="686"/>
      <c r="C91" s="703"/>
      <c r="D91" s="490" t="s">
        <v>1422</v>
      </c>
      <c r="E91" s="254" t="s">
        <v>70</v>
      </c>
      <c r="F91" s="35"/>
      <c r="G91" s="51"/>
    </row>
    <row r="92" spans="1:7" s="252" customFormat="1" ht="36" customHeight="1" thickBot="1">
      <c r="A92" s="752"/>
      <c r="B92" s="687"/>
      <c r="C92" s="47"/>
      <c r="D92" s="27"/>
      <c r="E92" s="22"/>
      <c r="F92" s="22"/>
      <c r="G92" s="58"/>
    </row>
    <row r="93" spans="1:7" s="252" customFormat="1" ht="36" customHeight="1">
      <c r="A93" s="750">
        <v>43706</v>
      </c>
      <c r="B93" s="685" t="s">
        <v>17</v>
      </c>
      <c r="C93" s="542" t="s">
        <v>1423</v>
      </c>
      <c r="D93" s="18" t="s">
        <v>1424</v>
      </c>
      <c r="E93" s="253">
        <v>100</v>
      </c>
      <c r="F93" s="39"/>
      <c r="G93" s="53"/>
    </row>
    <row r="94" spans="1:7" s="252" customFormat="1" ht="36" customHeight="1">
      <c r="A94" s="751"/>
      <c r="B94" s="686"/>
      <c r="C94" s="544" t="s">
        <v>34</v>
      </c>
      <c r="D94" s="18" t="s">
        <v>1439</v>
      </c>
      <c r="E94" s="382">
        <v>50</v>
      </c>
      <c r="F94" s="56"/>
      <c r="G94" s="545" t="s">
        <v>1440</v>
      </c>
    </row>
    <row r="95" spans="1:7" s="252" customFormat="1" ht="36" customHeight="1">
      <c r="A95" s="751"/>
      <c r="B95" s="686"/>
      <c r="C95" s="797" t="s">
        <v>695</v>
      </c>
      <c r="D95" s="490" t="s">
        <v>1135</v>
      </c>
      <c r="E95" s="254" t="s">
        <v>8</v>
      </c>
      <c r="F95" s="35"/>
      <c r="G95" s="513" t="s">
        <v>1437</v>
      </c>
    </row>
    <row r="96" spans="1:7" s="252" customFormat="1" ht="36" customHeight="1" thickBot="1">
      <c r="A96" s="751"/>
      <c r="B96" s="686"/>
      <c r="C96" s="684"/>
      <c r="D96" s="441" t="s">
        <v>1096</v>
      </c>
      <c r="E96" s="442" t="s">
        <v>8</v>
      </c>
      <c r="F96" s="442"/>
      <c r="G96" s="378"/>
    </row>
    <row r="97" spans="1:7" s="252" customFormat="1" ht="36" customHeight="1" thickBot="1">
      <c r="A97" s="752"/>
      <c r="B97" s="687"/>
      <c r="C97" s="47" t="s">
        <v>1417</v>
      </c>
      <c r="D97" s="27" t="s">
        <v>1420</v>
      </c>
      <c r="E97" s="22" t="s">
        <v>1418</v>
      </c>
      <c r="F97" s="22" t="s">
        <v>1419</v>
      </c>
      <c r="G97" s="58"/>
    </row>
    <row r="98" spans="1:7" s="252" customFormat="1" ht="36" customHeight="1">
      <c r="A98" s="750">
        <v>43707</v>
      </c>
      <c r="B98" s="685" t="s">
        <v>18</v>
      </c>
      <c r="C98" s="702" t="s">
        <v>4</v>
      </c>
      <c r="D98" s="18" t="s">
        <v>1436</v>
      </c>
      <c r="E98" s="382" t="s">
        <v>91</v>
      </c>
      <c r="F98" s="42"/>
      <c r="G98" s="531"/>
    </row>
    <row r="99" spans="1:7" s="252" customFormat="1" ht="36" customHeight="1">
      <c r="A99" s="751"/>
      <c r="B99" s="686"/>
      <c r="C99" s="703"/>
      <c r="D99" s="25" t="s">
        <v>1458</v>
      </c>
      <c r="E99" s="255">
        <v>20</v>
      </c>
      <c r="F99" s="35"/>
      <c r="G99" s="51"/>
    </row>
    <row r="100" spans="1:7" s="252" customFormat="1" ht="36" customHeight="1" thickBot="1">
      <c r="A100" s="751"/>
      <c r="B100" s="686"/>
      <c r="C100" s="487"/>
      <c r="D100" s="488"/>
      <c r="E100" s="273"/>
      <c r="F100" s="40"/>
      <c r="G100" s="52"/>
    </row>
    <row r="101" spans="1:7" s="252" customFormat="1" ht="36" customHeight="1" thickBot="1">
      <c r="A101" s="752"/>
      <c r="B101" s="687"/>
      <c r="C101" s="47"/>
      <c r="D101" s="27"/>
      <c r="E101" s="22"/>
      <c r="F101" s="22"/>
      <c r="G101" s="58"/>
    </row>
  </sheetData>
  <mergeCells count="65">
    <mergeCell ref="A1:G1"/>
    <mergeCell ref="A2:A3"/>
    <mergeCell ref="B2:B3"/>
    <mergeCell ref="A4:A7"/>
    <mergeCell ref="B4:B7"/>
    <mergeCell ref="C4:C6"/>
    <mergeCell ref="C8:C9"/>
    <mergeCell ref="A30:G30"/>
    <mergeCell ref="A31:A37"/>
    <mergeCell ref="B31:B37"/>
    <mergeCell ref="C31:C32"/>
    <mergeCell ref="C24:C27"/>
    <mergeCell ref="C33:C36"/>
    <mergeCell ref="C17:C21"/>
    <mergeCell ref="C13:C16"/>
    <mergeCell ref="A8:A11"/>
    <mergeCell ref="B8:B11"/>
    <mergeCell ref="A12:A22"/>
    <mergeCell ref="B12:B22"/>
    <mergeCell ref="A23:A29"/>
    <mergeCell ref="B23:B29"/>
    <mergeCell ref="C42:C43"/>
    <mergeCell ref="C46:C47"/>
    <mergeCell ref="A38:A41"/>
    <mergeCell ref="B38:B41"/>
    <mergeCell ref="C38:C39"/>
    <mergeCell ref="C49:G50"/>
    <mergeCell ref="A51:A55"/>
    <mergeCell ref="B51:B55"/>
    <mergeCell ref="C51:C52"/>
    <mergeCell ref="A56:G56"/>
    <mergeCell ref="A57:A59"/>
    <mergeCell ref="B57:B59"/>
    <mergeCell ref="A42:A48"/>
    <mergeCell ref="B42:B48"/>
    <mergeCell ref="A49:A50"/>
    <mergeCell ref="B49:B50"/>
    <mergeCell ref="A80:A82"/>
    <mergeCell ref="B80:B82"/>
    <mergeCell ref="C80:C81"/>
    <mergeCell ref="C83:C84"/>
    <mergeCell ref="A73:A74"/>
    <mergeCell ref="B73:B74"/>
    <mergeCell ref="A75:A78"/>
    <mergeCell ref="A83:A88"/>
    <mergeCell ref="B83:B88"/>
    <mergeCell ref="B75:B78"/>
    <mergeCell ref="A79:G79"/>
    <mergeCell ref="C85:C86"/>
    <mergeCell ref="A60:A67"/>
    <mergeCell ref="B60:B67"/>
    <mergeCell ref="A68:A72"/>
    <mergeCell ref="B68:B72"/>
    <mergeCell ref="C61:C63"/>
    <mergeCell ref="C64:C66"/>
    <mergeCell ref="C69:C70"/>
    <mergeCell ref="C98:C99"/>
    <mergeCell ref="A98:A101"/>
    <mergeCell ref="B98:B101"/>
    <mergeCell ref="A89:A92"/>
    <mergeCell ref="B89:B92"/>
    <mergeCell ref="A93:A97"/>
    <mergeCell ref="B93:B97"/>
    <mergeCell ref="C90:C91"/>
    <mergeCell ref="C95:C96"/>
  </mergeCells>
  <phoneticPr fontId="1" type="noConversion"/>
  <printOptions horizontalCentered="1" verticalCentered="1"/>
  <pageMargins left="0.15748031496062992" right="0.15748031496062992" top="0.15748031496062992" bottom="0.15748031496062992" header="0.11811023622047245" footer="0.31496062992125984"/>
  <pageSetup paperSize="9" scale="70" fitToHeight="5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view="pageBreakPreview" zoomScale="71" zoomScaleNormal="87" zoomScaleSheetLayoutView="71" zoomScalePageLayoutView="75" workbookViewId="0">
      <selection activeCell="C32" sqref="C32:C34"/>
    </sheetView>
  </sheetViews>
  <sheetFormatPr defaultRowHeight="36" customHeight="1"/>
  <cols>
    <col min="1" max="1" width="12.5" style="260" customWidth="1"/>
    <col min="2" max="2" width="8.5" style="261" customWidth="1"/>
    <col min="3" max="3" width="17.875" style="317" customWidth="1"/>
    <col min="4" max="4" width="22.5" style="37" customWidth="1"/>
    <col min="5" max="5" width="15.375" style="262" customWidth="1"/>
    <col min="6" max="6" width="25.625" style="262" customWidth="1"/>
    <col min="7" max="7" width="28.125" style="263" customWidth="1"/>
    <col min="8" max="8" width="42.5" style="252" customWidth="1"/>
    <col min="9" max="16384" width="9" style="37"/>
  </cols>
  <sheetData>
    <row r="1" spans="1:7" s="252" customFormat="1" ht="105" customHeight="1" thickBot="1">
      <c r="A1" s="753" t="s">
        <v>0</v>
      </c>
      <c r="B1" s="754"/>
      <c r="C1" s="754"/>
      <c r="D1" s="754"/>
      <c r="E1" s="754"/>
      <c r="F1" s="754"/>
      <c r="G1" s="787"/>
    </row>
    <row r="2" spans="1:7" s="252" customFormat="1" ht="36" customHeight="1">
      <c r="A2" s="751">
        <v>43710</v>
      </c>
      <c r="B2" s="686" t="s">
        <v>2</v>
      </c>
      <c r="C2" s="702" t="s">
        <v>1447</v>
      </c>
      <c r="D2" s="162" t="s">
        <v>1448</v>
      </c>
      <c r="E2" s="253" t="s">
        <v>1449</v>
      </c>
      <c r="F2" s="39" t="s">
        <v>1459</v>
      </c>
      <c r="G2" s="53" t="s">
        <v>592</v>
      </c>
    </row>
    <row r="3" spans="1:7" s="252" customFormat="1" ht="36" customHeight="1">
      <c r="A3" s="751"/>
      <c r="B3" s="686"/>
      <c r="C3" s="705"/>
      <c r="D3" s="31" t="s">
        <v>1460</v>
      </c>
      <c r="E3" s="382" t="s">
        <v>1461</v>
      </c>
      <c r="F3" s="56"/>
      <c r="G3" s="57"/>
    </row>
    <row r="4" spans="1:7" s="252" customFormat="1" ht="36" customHeight="1">
      <c r="A4" s="751"/>
      <c r="B4" s="686"/>
      <c r="C4" s="705"/>
      <c r="D4" s="490" t="s">
        <v>1450</v>
      </c>
      <c r="E4" s="254" t="s">
        <v>1451</v>
      </c>
      <c r="F4" s="35"/>
      <c r="G4" s="51"/>
    </row>
    <row r="5" spans="1:7" s="252" customFormat="1" ht="36" customHeight="1">
      <c r="A5" s="751"/>
      <c r="B5" s="686"/>
      <c r="C5" s="703"/>
      <c r="D5" s="31" t="s">
        <v>1452</v>
      </c>
      <c r="E5" s="382" t="s">
        <v>1453</v>
      </c>
      <c r="F5" s="56"/>
      <c r="G5" s="57"/>
    </row>
    <row r="6" spans="1:7" s="252" customFormat="1" ht="36" customHeight="1">
      <c r="A6" s="751"/>
      <c r="B6" s="686"/>
      <c r="C6" s="706" t="s">
        <v>1042</v>
      </c>
      <c r="D6" s="490" t="s">
        <v>1187</v>
      </c>
      <c r="E6" s="254">
        <v>100</v>
      </c>
      <c r="F6" s="465"/>
      <c r="G6" s="546"/>
    </row>
    <row r="7" spans="1:7" s="252" customFormat="1" ht="36" customHeight="1">
      <c r="A7" s="751"/>
      <c r="B7" s="686"/>
      <c r="C7" s="703"/>
      <c r="D7" s="490" t="s">
        <v>1434</v>
      </c>
      <c r="E7" s="254">
        <v>50</v>
      </c>
      <c r="F7" s="35"/>
      <c r="G7" s="51"/>
    </row>
    <row r="8" spans="1:7" s="252" customFormat="1" ht="36" customHeight="1">
      <c r="A8" s="751"/>
      <c r="B8" s="686"/>
      <c r="C8" s="705" t="s">
        <v>1441</v>
      </c>
      <c r="D8" s="18" t="s">
        <v>1438</v>
      </c>
      <c r="E8" s="290">
        <v>200</v>
      </c>
      <c r="F8" s="42" t="s">
        <v>1466</v>
      </c>
      <c r="G8" s="55"/>
    </row>
    <row r="9" spans="1:7" s="252" customFormat="1" ht="36" customHeight="1">
      <c r="A9" s="751"/>
      <c r="B9" s="686"/>
      <c r="C9" s="705"/>
      <c r="D9" s="490" t="s">
        <v>23</v>
      </c>
      <c r="E9" s="254">
        <v>30</v>
      </c>
      <c r="F9" s="35"/>
      <c r="G9" s="51"/>
    </row>
    <row r="10" spans="1:7" s="252" customFormat="1" ht="36" customHeight="1" thickBot="1">
      <c r="A10" s="751"/>
      <c r="B10" s="686"/>
      <c r="C10" s="708"/>
      <c r="D10" s="375">
        <v>0</v>
      </c>
      <c r="E10" s="376" t="s">
        <v>1454</v>
      </c>
      <c r="F10" s="377"/>
      <c r="G10" s="378"/>
    </row>
    <row r="11" spans="1:7" s="252" customFormat="1" ht="36" customHeight="1" thickBot="1">
      <c r="A11" s="752"/>
      <c r="B11" s="687"/>
      <c r="C11" s="151"/>
      <c r="D11" s="20"/>
      <c r="E11" s="312"/>
      <c r="F11" s="13"/>
      <c r="G11" s="62"/>
    </row>
    <row r="12" spans="1:7" s="252" customFormat="1" ht="36" customHeight="1" thickBot="1">
      <c r="A12" s="751">
        <v>43711</v>
      </c>
      <c r="B12" s="686" t="s">
        <v>1343</v>
      </c>
      <c r="C12" s="547" t="s">
        <v>1339</v>
      </c>
      <c r="D12" s="526" t="s">
        <v>1344</v>
      </c>
      <c r="E12" s="471">
        <v>566</v>
      </c>
      <c r="F12" s="41"/>
      <c r="G12" s="54"/>
    </row>
    <row r="13" spans="1:7" s="252" customFormat="1" ht="36" customHeight="1" thickBot="1">
      <c r="A13" s="752"/>
      <c r="B13" s="687"/>
      <c r="C13" s="256"/>
      <c r="D13" s="257"/>
      <c r="E13" s="258"/>
      <c r="F13" s="22"/>
      <c r="G13" s="58"/>
    </row>
    <row r="14" spans="1:7" s="252" customFormat="1" ht="36" customHeight="1">
      <c r="A14" s="751">
        <v>43712</v>
      </c>
      <c r="B14" s="686" t="s">
        <v>1404</v>
      </c>
      <c r="C14" s="702" t="s">
        <v>98</v>
      </c>
      <c r="D14" s="490" t="s">
        <v>1408</v>
      </c>
      <c r="E14" s="254">
        <v>495</v>
      </c>
      <c r="F14" s="540"/>
      <c r="G14" s="541"/>
    </row>
    <row r="15" spans="1:7" s="252" customFormat="1" ht="36" customHeight="1">
      <c r="A15" s="751"/>
      <c r="B15" s="686"/>
      <c r="C15" s="705"/>
      <c r="D15" s="18" t="s">
        <v>1409</v>
      </c>
      <c r="E15" s="509">
        <v>3</v>
      </c>
      <c r="F15" s="465"/>
      <c r="G15" s="466"/>
    </row>
    <row r="16" spans="1:7" s="252" customFormat="1" ht="36" customHeight="1">
      <c r="A16" s="751"/>
      <c r="B16" s="686"/>
      <c r="C16" s="703"/>
      <c r="D16" s="18" t="s">
        <v>1410</v>
      </c>
      <c r="E16" s="509" t="s">
        <v>1411</v>
      </c>
      <c r="F16" s="529"/>
      <c r="G16" s="548"/>
    </row>
    <row r="17" spans="1:7" s="252" customFormat="1" ht="36" customHeight="1" thickBot="1">
      <c r="A17" s="752"/>
      <c r="B17" s="687"/>
      <c r="C17" s="278"/>
      <c r="D17" s="279"/>
      <c r="E17" s="280"/>
      <c r="F17" s="13"/>
      <c r="G17" s="62"/>
    </row>
    <row r="18" spans="1:7" s="252" customFormat="1" ht="36" customHeight="1">
      <c r="A18" s="750">
        <v>43713</v>
      </c>
      <c r="B18" s="712" t="s">
        <v>776</v>
      </c>
      <c r="C18" s="702" t="s">
        <v>1425</v>
      </c>
      <c r="D18" s="18" t="s">
        <v>1426</v>
      </c>
      <c r="E18" s="382">
        <v>64</v>
      </c>
      <c r="F18" s="39"/>
      <c r="G18" s="53"/>
    </row>
    <row r="19" spans="1:7" s="252" customFormat="1" ht="36" customHeight="1">
      <c r="A19" s="751"/>
      <c r="B19" s="798"/>
      <c r="C19" s="705"/>
      <c r="D19" s="18" t="s">
        <v>1427</v>
      </c>
      <c r="E19" s="254">
        <v>50</v>
      </c>
      <c r="F19" s="42"/>
      <c r="G19" s="55"/>
    </row>
    <row r="20" spans="1:7" s="252" customFormat="1" ht="36" customHeight="1">
      <c r="A20" s="751"/>
      <c r="B20" s="798"/>
      <c r="C20" s="703"/>
      <c r="D20" s="18" t="s">
        <v>1428</v>
      </c>
      <c r="E20" s="254">
        <v>64</v>
      </c>
      <c r="F20" s="42"/>
      <c r="G20" s="55"/>
    </row>
    <row r="21" spans="1:7" s="252" customFormat="1" ht="36" customHeight="1">
      <c r="A21" s="751"/>
      <c r="B21" s="798"/>
      <c r="C21" s="550" t="s">
        <v>216</v>
      </c>
      <c r="D21" s="18" t="s">
        <v>217</v>
      </c>
      <c r="E21" s="254">
        <v>150</v>
      </c>
      <c r="F21" s="42" t="s">
        <v>1465</v>
      </c>
      <c r="G21" s="55"/>
    </row>
    <row r="22" spans="1:7" s="252" customFormat="1" ht="36" customHeight="1">
      <c r="A22" s="751"/>
      <c r="B22" s="798"/>
      <c r="C22" s="549" t="s">
        <v>1455</v>
      </c>
      <c r="D22" s="18" t="s">
        <v>1456</v>
      </c>
      <c r="E22" s="254">
        <v>100</v>
      </c>
      <c r="F22" s="42"/>
      <c r="G22" s="531" t="s">
        <v>1457</v>
      </c>
    </row>
    <row r="23" spans="1:7" s="252" customFormat="1" ht="36" customHeight="1">
      <c r="A23" s="751"/>
      <c r="B23" s="798"/>
      <c r="C23" s="706" t="s">
        <v>1467</v>
      </c>
      <c r="D23" s="18" t="s">
        <v>1468</v>
      </c>
      <c r="E23" s="254" t="s">
        <v>1469</v>
      </c>
      <c r="F23" s="42"/>
      <c r="G23" s="531" t="s">
        <v>592</v>
      </c>
    </row>
    <row r="24" spans="1:7" s="252" customFormat="1" ht="36" customHeight="1" thickBot="1">
      <c r="A24" s="751"/>
      <c r="B24" s="798"/>
      <c r="C24" s="708"/>
      <c r="D24" s="18" t="s">
        <v>1470</v>
      </c>
      <c r="E24" s="254" t="s">
        <v>1471</v>
      </c>
      <c r="F24" s="42"/>
      <c r="G24" s="55"/>
    </row>
    <row r="25" spans="1:7" s="252" customFormat="1" ht="36" customHeight="1" thickBot="1">
      <c r="A25" s="752"/>
      <c r="B25" s="713"/>
      <c r="C25" s="256" t="s">
        <v>1442</v>
      </c>
      <c r="D25" s="257" t="s">
        <v>1444</v>
      </c>
      <c r="E25" s="258" t="s">
        <v>1443</v>
      </c>
      <c r="F25" s="22" t="s">
        <v>1445</v>
      </c>
      <c r="G25" s="58"/>
    </row>
    <row r="26" spans="1:7" s="252" customFormat="1" ht="36" customHeight="1">
      <c r="A26" s="750">
        <v>43714</v>
      </c>
      <c r="B26" s="712" t="s">
        <v>396</v>
      </c>
      <c r="C26" s="702" t="s">
        <v>98</v>
      </c>
      <c r="D26" s="18" t="s">
        <v>1412</v>
      </c>
      <c r="E26" s="290">
        <v>272</v>
      </c>
      <c r="F26" s="42"/>
      <c r="G26" s="55"/>
    </row>
    <row r="27" spans="1:7" s="252" customFormat="1" ht="36" customHeight="1">
      <c r="A27" s="751"/>
      <c r="B27" s="798"/>
      <c r="C27" s="703"/>
      <c r="D27" s="490" t="s">
        <v>1429</v>
      </c>
      <c r="E27" s="254">
        <v>129</v>
      </c>
      <c r="F27" s="35"/>
      <c r="G27" s="51"/>
    </row>
    <row r="28" spans="1:7" s="252" customFormat="1" ht="36" customHeight="1" thickBot="1">
      <c r="A28" s="752"/>
      <c r="B28" s="713"/>
      <c r="C28" s="151"/>
      <c r="D28" s="20"/>
      <c r="E28" s="13"/>
      <c r="F28" s="13"/>
      <c r="G28" s="62"/>
    </row>
    <row r="29" spans="1:7" s="252" customFormat="1" ht="104.25" customHeight="1" thickBot="1">
      <c r="A29" s="753" t="s">
        <v>0</v>
      </c>
      <c r="B29" s="754"/>
      <c r="C29" s="754"/>
      <c r="D29" s="754"/>
      <c r="E29" s="754"/>
      <c r="F29" s="754"/>
      <c r="G29" s="787"/>
    </row>
    <row r="30" spans="1:7" s="252" customFormat="1" ht="30.75" customHeight="1" thickBot="1">
      <c r="A30" s="751">
        <v>43717</v>
      </c>
      <c r="B30" s="686" t="s">
        <v>1480</v>
      </c>
      <c r="C30" s="480" t="s">
        <v>204</v>
      </c>
      <c r="D30" s="481" t="s">
        <v>1484</v>
      </c>
      <c r="E30" s="253" t="s">
        <v>103</v>
      </c>
      <c r="F30" s="552"/>
      <c r="G30" s="53"/>
    </row>
    <row r="31" spans="1:7" s="252" customFormat="1" ht="30.75" customHeight="1" thickBot="1">
      <c r="A31" s="752"/>
      <c r="B31" s="687"/>
      <c r="C31" s="47"/>
      <c r="D31" s="27"/>
      <c r="E31" s="22"/>
      <c r="F31" s="22"/>
      <c r="G31" s="58"/>
    </row>
    <row r="32" spans="1:7" s="252" customFormat="1" ht="30.75" customHeight="1">
      <c r="A32" s="750">
        <v>43718</v>
      </c>
      <c r="B32" s="712" t="s">
        <v>1136</v>
      </c>
      <c r="C32" s="682" t="s">
        <v>98</v>
      </c>
      <c r="D32" s="162" t="s">
        <v>1412</v>
      </c>
      <c r="E32" s="254">
        <v>73</v>
      </c>
      <c r="F32" s="35"/>
      <c r="G32" s="51"/>
    </row>
    <row r="33" spans="1:7" s="252" customFormat="1" ht="30.75" customHeight="1">
      <c r="A33" s="751"/>
      <c r="B33" s="798"/>
      <c r="C33" s="683"/>
      <c r="D33" s="18" t="s">
        <v>6</v>
      </c>
      <c r="E33" s="254">
        <v>82</v>
      </c>
      <c r="F33" s="35"/>
      <c r="G33" s="51"/>
    </row>
    <row r="34" spans="1:7" s="252" customFormat="1" ht="30.75" customHeight="1">
      <c r="A34" s="751"/>
      <c r="B34" s="798"/>
      <c r="C34" s="801"/>
      <c r="D34" s="18" t="s">
        <v>1120</v>
      </c>
      <c r="E34" s="254" t="s">
        <v>1413</v>
      </c>
      <c r="F34" s="35"/>
      <c r="G34" s="51"/>
    </row>
    <row r="35" spans="1:7" s="252" customFormat="1" ht="30.75" customHeight="1">
      <c r="A35" s="751"/>
      <c r="B35" s="798"/>
      <c r="C35" s="451" t="s">
        <v>1485</v>
      </c>
      <c r="D35" s="490" t="s">
        <v>1486</v>
      </c>
      <c r="E35" s="254">
        <v>50</v>
      </c>
      <c r="F35" s="35"/>
      <c r="G35" s="51"/>
    </row>
    <row r="36" spans="1:7" s="252" customFormat="1" ht="30.75" customHeight="1" thickBot="1">
      <c r="A36" s="751"/>
      <c r="B36" s="798"/>
      <c r="C36" s="553" t="s">
        <v>1472</v>
      </c>
      <c r="D36" s="31" t="s">
        <v>1096</v>
      </c>
      <c r="E36" s="254" t="s">
        <v>252</v>
      </c>
      <c r="F36" s="35"/>
      <c r="G36" s="51" t="s">
        <v>1488</v>
      </c>
    </row>
    <row r="37" spans="1:7" s="252" customFormat="1" ht="30.75" customHeight="1" thickBot="1">
      <c r="A37" s="752"/>
      <c r="B37" s="713"/>
      <c r="C37" s="47" t="s">
        <v>1473</v>
      </c>
      <c r="D37" s="27" t="s">
        <v>1475</v>
      </c>
      <c r="E37" s="22" t="s">
        <v>1474</v>
      </c>
      <c r="F37" s="22" t="s">
        <v>84</v>
      </c>
      <c r="G37" s="58"/>
    </row>
    <row r="38" spans="1:7" s="252" customFormat="1" ht="30.75" customHeight="1" thickBot="1">
      <c r="A38" s="751">
        <v>43719</v>
      </c>
      <c r="B38" s="798" t="s">
        <v>1479</v>
      </c>
      <c r="C38" s="551" t="s">
        <v>1481</v>
      </c>
      <c r="D38" s="453" t="s">
        <v>1483</v>
      </c>
      <c r="E38" s="290">
        <v>512</v>
      </c>
      <c r="F38" s="42"/>
      <c r="G38" s="55"/>
    </row>
    <row r="39" spans="1:7" s="252" customFormat="1" ht="30.75" customHeight="1" thickBot="1">
      <c r="A39" s="752"/>
      <c r="B39" s="713"/>
      <c r="C39" s="47" t="s">
        <v>1478</v>
      </c>
      <c r="D39" s="257" t="s">
        <v>1444</v>
      </c>
      <c r="E39" s="22" t="s">
        <v>1477</v>
      </c>
      <c r="F39" s="22" t="s">
        <v>1476</v>
      </c>
      <c r="G39" s="58"/>
    </row>
    <row r="40" spans="1:7" s="252" customFormat="1" ht="41.25" customHeight="1">
      <c r="A40" s="750">
        <v>43720</v>
      </c>
      <c r="B40" s="712" t="s">
        <v>17</v>
      </c>
      <c r="C40" s="804" t="s">
        <v>1345</v>
      </c>
      <c r="D40" s="805"/>
      <c r="E40" s="805"/>
      <c r="F40" s="805"/>
      <c r="G40" s="806"/>
    </row>
    <row r="41" spans="1:7" s="252" customFormat="1" ht="41.25" customHeight="1" thickBot="1">
      <c r="A41" s="752"/>
      <c r="B41" s="713"/>
      <c r="C41" s="810"/>
      <c r="D41" s="811"/>
      <c r="E41" s="811"/>
      <c r="F41" s="811"/>
      <c r="G41" s="812"/>
    </row>
    <row r="42" spans="1:7" s="252" customFormat="1" ht="41.25" customHeight="1">
      <c r="A42" s="750">
        <v>43721</v>
      </c>
      <c r="B42" s="685" t="s">
        <v>18</v>
      </c>
      <c r="C42" s="810"/>
      <c r="D42" s="811"/>
      <c r="E42" s="811"/>
      <c r="F42" s="811"/>
      <c r="G42" s="812"/>
    </row>
    <row r="43" spans="1:7" s="252" customFormat="1" ht="41.25" customHeight="1" thickBot="1">
      <c r="A43" s="751"/>
      <c r="B43" s="686"/>
      <c r="C43" s="810"/>
      <c r="D43" s="811"/>
      <c r="E43" s="811"/>
      <c r="F43" s="811"/>
      <c r="G43" s="812"/>
    </row>
    <row r="44" spans="1:7" s="252" customFormat="1" ht="105" customHeight="1" thickBot="1">
      <c r="A44" s="753" t="s">
        <v>0</v>
      </c>
      <c r="B44" s="754"/>
      <c r="C44" s="754"/>
      <c r="D44" s="754"/>
      <c r="E44" s="754"/>
      <c r="F44" s="754"/>
      <c r="G44" s="787"/>
    </row>
    <row r="45" spans="1:7" s="252" customFormat="1" ht="36" customHeight="1">
      <c r="A45" s="750">
        <v>43724</v>
      </c>
      <c r="B45" s="685" t="s">
        <v>1044</v>
      </c>
      <c r="C45" s="813" t="s">
        <v>1446</v>
      </c>
      <c r="D45" s="814"/>
      <c r="E45" s="814"/>
      <c r="F45" s="814"/>
      <c r="G45" s="815"/>
    </row>
    <row r="46" spans="1:7" s="252" customFormat="1" ht="36" customHeight="1" thickBot="1">
      <c r="A46" s="751"/>
      <c r="B46" s="686"/>
      <c r="C46" s="816"/>
      <c r="D46" s="817"/>
      <c r="E46" s="817"/>
      <c r="F46" s="817"/>
      <c r="G46" s="818"/>
    </row>
    <row r="47" spans="1:7" s="252" customFormat="1" ht="36" customHeight="1">
      <c r="A47" s="750">
        <v>43725</v>
      </c>
      <c r="B47" s="685" t="s">
        <v>16</v>
      </c>
      <c r="C47" s="705" t="s">
        <v>1430</v>
      </c>
      <c r="D47" s="31" t="s">
        <v>1431</v>
      </c>
      <c r="E47" s="382">
        <v>504</v>
      </c>
      <c r="F47" s="42"/>
      <c r="G47" s="55"/>
    </row>
    <row r="48" spans="1:7" s="252" customFormat="1" ht="36" customHeight="1" thickBot="1">
      <c r="A48" s="751"/>
      <c r="B48" s="686"/>
      <c r="C48" s="703"/>
      <c r="D48" s="490" t="s">
        <v>1429</v>
      </c>
      <c r="E48" s="254"/>
      <c r="F48" s="35"/>
      <c r="G48" s="51"/>
    </row>
    <row r="49" spans="1:7" s="252" customFormat="1" ht="36" customHeight="1" thickBot="1">
      <c r="A49" s="752"/>
      <c r="B49" s="687"/>
      <c r="C49" s="47"/>
      <c r="D49" s="27"/>
      <c r="E49" s="22"/>
      <c r="F49" s="22"/>
      <c r="G49" s="58"/>
    </row>
    <row r="50" spans="1:7" s="252" customFormat="1" ht="36" customHeight="1">
      <c r="A50" s="750">
        <v>43726</v>
      </c>
      <c r="B50" s="685" t="s">
        <v>15</v>
      </c>
      <c r="C50" s="702" t="s">
        <v>3</v>
      </c>
      <c r="D50" s="370" t="s">
        <v>5</v>
      </c>
      <c r="E50" s="371">
        <v>29</v>
      </c>
      <c r="F50" s="39"/>
      <c r="G50" s="55"/>
    </row>
    <row r="51" spans="1:7" s="252" customFormat="1" ht="36" customHeight="1">
      <c r="A51" s="751"/>
      <c r="B51" s="686"/>
      <c r="C51" s="703"/>
      <c r="D51" s="490" t="s">
        <v>6</v>
      </c>
      <c r="E51" s="254">
        <v>131</v>
      </c>
      <c r="F51" s="35"/>
      <c r="G51" s="51"/>
    </row>
    <row r="52" spans="1:7" s="252" customFormat="1" ht="36" customHeight="1">
      <c r="A52" s="751"/>
      <c r="B52" s="686"/>
      <c r="C52" s="556" t="s">
        <v>1504</v>
      </c>
      <c r="D52" s="490" t="s">
        <v>1505</v>
      </c>
      <c r="E52" s="254">
        <v>100</v>
      </c>
      <c r="F52" s="35"/>
      <c r="G52" s="55"/>
    </row>
    <row r="53" spans="1:7" s="252" customFormat="1" ht="36" customHeight="1" thickBot="1">
      <c r="A53" s="751"/>
      <c r="B53" s="686"/>
      <c r="C53" s="555"/>
      <c r="D53" s="441"/>
      <c r="E53" s="442"/>
      <c r="F53" s="442"/>
      <c r="G53" s="378"/>
    </row>
    <row r="54" spans="1:7" s="252" customFormat="1" ht="36" customHeight="1" thickBot="1">
      <c r="A54" s="752"/>
      <c r="B54" s="687"/>
      <c r="C54" s="47"/>
      <c r="D54" s="27"/>
      <c r="E54" s="22"/>
      <c r="F54" s="22"/>
      <c r="G54" s="58"/>
    </row>
    <row r="55" spans="1:7" s="252" customFormat="1" ht="36" customHeight="1">
      <c r="A55" s="750">
        <v>43727</v>
      </c>
      <c r="B55" s="685" t="s">
        <v>17</v>
      </c>
      <c r="C55" s="705" t="s">
        <v>1489</v>
      </c>
      <c r="D55" s="18" t="s">
        <v>1490</v>
      </c>
      <c r="E55" s="253" t="s">
        <v>1491</v>
      </c>
      <c r="F55" s="42"/>
      <c r="G55" s="55"/>
    </row>
    <row r="56" spans="1:7" s="252" customFormat="1" ht="36" customHeight="1">
      <c r="A56" s="751"/>
      <c r="B56" s="686"/>
      <c r="C56" s="705"/>
      <c r="D56" s="31" t="s">
        <v>1492</v>
      </c>
      <c r="E56" s="382" t="s">
        <v>1493</v>
      </c>
      <c r="F56" s="42"/>
      <c r="G56" s="55"/>
    </row>
    <row r="57" spans="1:7" s="252" customFormat="1" ht="36" customHeight="1">
      <c r="A57" s="751"/>
      <c r="B57" s="686"/>
      <c r="C57" s="703"/>
      <c r="D57" s="490" t="s">
        <v>1494</v>
      </c>
      <c r="E57" s="254" t="s">
        <v>1495</v>
      </c>
      <c r="F57" s="35"/>
      <c r="G57" s="51"/>
    </row>
    <row r="58" spans="1:7" s="252" customFormat="1" ht="36" customHeight="1">
      <c r="A58" s="751"/>
      <c r="B58" s="686"/>
      <c r="C58" s="566" t="s">
        <v>1508</v>
      </c>
      <c r="D58" s="490" t="s">
        <v>1509</v>
      </c>
      <c r="E58" s="254">
        <v>384</v>
      </c>
      <c r="F58" s="35"/>
      <c r="G58" s="51"/>
    </row>
    <row r="59" spans="1:7" s="252" customFormat="1" ht="36" customHeight="1">
      <c r="A59" s="751"/>
      <c r="B59" s="686"/>
      <c r="C59" s="565" t="s">
        <v>1516</v>
      </c>
      <c r="D59" s="490" t="s">
        <v>35</v>
      </c>
      <c r="E59" s="254">
        <v>50</v>
      </c>
      <c r="F59" s="42"/>
      <c r="G59" s="55" t="s">
        <v>1520</v>
      </c>
    </row>
    <row r="60" spans="1:7" s="252" customFormat="1" ht="36" customHeight="1" thickBot="1">
      <c r="A60" s="751"/>
      <c r="B60" s="686"/>
      <c r="C60" s="557" t="s">
        <v>1042</v>
      </c>
      <c r="D60" s="375" t="s">
        <v>1496</v>
      </c>
      <c r="E60" s="376">
        <v>150</v>
      </c>
      <c r="F60" s="377"/>
      <c r="G60" s="378"/>
    </row>
    <row r="61" spans="1:7" s="252" customFormat="1" ht="36" customHeight="1" thickBot="1">
      <c r="A61" s="752"/>
      <c r="B61" s="687"/>
      <c r="C61" s="47" t="s">
        <v>1497</v>
      </c>
      <c r="D61" s="27" t="s">
        <v>1501</v>
      </c>
      <c r="E61" s="22" t="s">
        <v>1498</v>
      </c>
      <c r="F61" s="22" t="s">
        <v>1500</v>
      </c>
      <c r="G61" s="58" t="s">
        <v>1499</v>
      </c>
    </row>
    <row r="62" spans="1:7" s="252" customFormat="1" ht="36" customHeight="1">
      <c r="A62" s="750">
        <v>43728</v>
      </c>
      <c r="B62" s="685" t="s">
        <v>18</v>
      </c>
      <c r="C62" s="702" t="s">
        <v>1432</v>
      </c>
      <c r="D62" s="162" t="s">
        <v>1433</v>
      </c>
      <c r="E62" s="371">
        <v>204</v>
      </c>
      <c r="F62" s="39"/>
      <c r="G62" s="55"/>
    </row>
    <row r="63" spans="1:7" s="252" customFormat="1" ht="36" customHeight="1">
      <c r="A63" s="751"/>
      <c r="B63" s="686"/>
      <c r="C63" s="703"/>
      <c r="D63" s="490"/>
      <c r="E63" s="254"/>
      <c r="F63" s="35"/>
      <c r="G63" s="51"/>
    </row>
    <row r="64" spans="1:7" s="252" customFormat="1" ht="36" customHeight="1">
      <c r="A64" s="751"/>
      <c r="B64" s="686"/>
      <c r="C64" s="706" t="s">
        <v>7</v>
      </c>
      <c r="D64" s="490" t="s">
        <v>1065</v>
      </c>
      <c r="E64" s="255">
        <f>64+64</f>
        <v>128</v>
      </c>
      <c r="F64" s="35"/>
      <c r="G64" s="51"/>
    </row>
    <row r="65" spans="1:7" s="252" customFormat="1" ht="36" customHeight="1">
      <c r="A65" s="751"/>
      <c r="B65" s="686"/>
      <c r="C65" s="705"/>
      <c r="D65" s="25" t="s">
        <v>21</v>
      </c>
      <c r="E65" s="255">
        <v>50</v>
      </c>
      <c r="F65" s="35"/>
      <c r="G65" s="51"/>
    </row>
    <row r="66" spans="1:7" s="252" customFormat="1" ht="36" customHeight="1">
      <c r="A66" s="751"/>
      <c r="B66" s="686"/>
      <c r="C66" s="705"/>
      <c r="D66" s="25" t="s">
        <v>1503</v>
      </c>
      <c r="E66" s="255">
        <v>64</v>
      </c>
      <c r="F66" s="35"/>
      <c r="G66" s="51"/>
    </row>
    <row r="67" spans="1:7" s="252" customFormat="1" ht="36" customHeight="1">
      <c r="A67" s="751"/>
      <c r="B67" s="686"/>
      <c r="C67" s="705"/>
      <c r="D67" s="25" t="s">
        <v>1502</v>
      </c>
      <c r="E67" s="255">
        <v>30</v>
      </c>
      <c r="F67" s="35"/>
      <c r="G67" s="51"/>
    </row>
    <row r="68" spans="1:7" s="252" customFormat="1" ht="36" customHeight="1">
      <c r="A68" s="751"/>
      <c r="B68" s="686"/>
      <c r="C68" s="705"/>
      <c r="D68" s="25" t="s">
        <v>1517</v>
      </c>
      <c r="E68" s="255">
        <v>50</v>
      </c>
      <c r="F68" s="35"/>
      <c r="G68" s="51"/>
    </row>
    <row r="69" spans="1:7" s="252" customFormat="1" ht="36" customHeight="1">
      <c r="A69" s="751"/>
      <c r="B69" s="686"/>
      <c r="C69" s="703"/>
      <c r="D69" s="490" t="s">
        <v>1487</v>
      </c>
      <c r="E69" s="254">
        <v>50</v>
      </c>
      <c r="F69" s="35"/>
      <c r="G69" s="51"/>
    </row>
    <row r="70" spans="1:7" s="252" customFormat="1" ht="36" customHeight="1" thickBot="1">
      <c r="A70" s="751"/>
      <c r="B70" s="686"/>
      <c r="C70" s="554" t="s">
        <v>1506</v>
      </c>
      <c r="D70" s="375" t="s">
        <v>1507</v>
      </c>
      <c r="E70" s="376">
        <v>101</v>
      </c>
      <c r="F70" s="377"/>
      <c r="G70" s="378"/>
    </row>
    <row r="71" spans="1:7" s="252" customFormat="1" ht="36" customHeight="1" thickBot="1">
      <c r="A71" s="751"/>
      <c r="B71" s="686"/>
      <c r="C71" s="558"/>
      <c r="D71" s="559"/>
      <c r="E71" s="560"/>
      <c r="F71" s="560"/>
      <c r="G71" s="378"/>
    </row>
    <row r="72" spans="1:7" s="252" customFormat="1" ht="36" customHeight="1" thickBot="1">
      <c r="A72" s="752"/>
      <c r="B72" s="687"/>
      <c r="C72" s="47"/>
      <c r="D72" s="27"/>
      <c r="E72" s="22"/>
      <c r="F72" s="22"/>
      <c r="G72" s="58"/>
    </row>
    <row r="73" spans="1:7" s="252" customFormat="1" ht="105" customHeight="1" thickBot="1">
      <c r="A73" s="753" t="s">
        <v>0</v>
      </c>
      <c r="B73" s="754"/>
      <c r="C73" s="754"/>
      <c r="D73" s="754"/>
      <c r="E73" s="754"/>
      <c r="F73" s="754"/>
      <c r="G73" s="787"/>
    </row>
    <row r="74" spans="1:7" s="252" customFormat="1" ht="36" customHeight="1">
      <c r="A74" s="750">
        <v>43731</v>
      </c>
      <c r="B74" s="685" t="s">
        <v>2</v>
      </c>
      <c r="C74" s="567" t="s">
        <v>1481</v>
      </c>
      <c r="D74" s="18" t="s">
        <v>1482</v>
      </c>
      <c r="E74" s="253">
        <v>246</v>
      </c>
      <c r="F74" s="42"/>
      <c r="G74" s="55"/>
    </row>
    <row r="75" spans="1:7" s="252" customFormat="1" ht="36" customHeight="1">
      <c r="A75" s="751"/>
      <c r="B75" s="686"/>
      <c r="C75" s="706" t="s">
        <v>1535</v>
      </c>
      <c r="D75" s="18" t="s">
        <v>1536</v>
      </c>
      <c r="E75" s="290">
        <v>80</v>
      </c>
      <c r="F75" s="42"/>
      <c r="G75" s="55"/>
    </row>
    <row r="76" spans="1:7" s="252" customFormat="1" ht="36" customHeight="1">
      <c r="A76" s="751"/>
      <c r="B76" s="686"/>
      <c r="C76" s="703"/>
      <c r="D76" s="31" t="s">
        <v>1537</v>
      </c>
      <c r="E76" s="382">
        <v>20</v>
      </c>
      <c r="F76" s="56"/>
      <c r="G76" s="57"/>
    </row>
    <row r="77" spans="1:7" s="252" customFormat="1" ht="36" customHeight="1" thickBot="1">
      <c r="A77" s="751"/>
      <c r="B77" s="686"/>
      <c r="C77" s="568" t="s">
        <v>1513</v>
      </c>
      <c r="D77" s="525" t="s">
        <v>1514</v>
      </c>
      <c r="E77" s="273" t="s">
        <v>252</v>
      </c>
      <c r="F77" s="40"/>
      <c r="G77" s="52" t="s">
        <v>1515</v>
      </c>
    </row>
    <row r="78" spans="1:7" s="252" customFormat="1" ht="36" customHeight="1" thickBot="1">
      <c r="A78" s="752"/>
      <c r="B78" s="687"/>
      <c r="C78" s="47"/>
      <c r="D78" s="27"/>
      <c r="E78" s="22"/>
      <c r="F78" s="22"/>
      <c r="G78" s="58"/>
    </row>
    <row r="79" spans="1:7" s="252" customFormat="1" ht="36" customHeight="1">
      <c r="A79" s="750">
        <v>43732</v>
      </c>
      <c r="B79" s="685" t="s">
        <v>16</v>
      </c>
      <c r="C79" s="705" t="s">
        <v>1462</v>
      </c>
      <c r="D79" s="18" t="s">
        <v>1463</v>
      </c>
      <c r="E79" s="382">
        <v>478</v>
      </c>
      <c r="F79" s="42"/>
      <c r="G79" s="55"/>
    </row>
    <row r="80" spans="1:7" s="252" customFormat="1" ht="36" customHeight="1" thickBot="1">
      <c r="A80" s="751"/>
      <c r="B80" s="686"/>
      <c r="C80" s="703"/>
      <c r="D80" s="25" t="s">
        <v>1464</v>
      </c>
      <c r="E80" s="255"/>
      <c r="F80" s="35"/>
      <c r="G80" s="51"/>
    </row>
    <row r="81" spans="1:7" s="252" customFormat="1" ht="36" customHeight="1" thickBot="1">
      <c r="A81" s="752"/>
      <c r="B81" s="687"/>
      <c r="C81" s="47"/>
      <c r="D81" s="27"/>
      <c r="E81" s="22"/>
      <c r="F81" s="22"/>
      <c r="G81" s="58"/>
    </row>
    <row r="82" spans="1:7" s="252" customFormat="1" ht="36" customHeight="1">
      <c r="A82" s="750">
        <v>43733</v>
      </c>
      <c r="B82" s="685" t="s">
        <v>15</v>
      </c>
      <c r="C82" s="702" t="s">
        <v>34</v>
      </c>
      <c r="D82" s="370" t="s">
        <v>1510</v>
      </c>
      <c r="E82" s="371">
        <v>50</v>
      </c>
      <c r="F82" s="372"/>
      <c r="G82" s="239"/>
    </row>
    <row r="83" spans="1:7" s="252" customFormat="1" ht="36" customHeight="1">
      <c r="A83" s="751"/>
      <c r="B83" s="686"/>
      <c r="C83" s="705"/>
      <c r="D83" s="25" t="s">
        <v>1511</v>
      </c>
      <c r="E83" s="255">
        <v>50</v>
      </c>
      <c r="F83" s="41"/>
      <c r="G83" s="54"/>
    </row>
    <row r="84" spans="1:7" s="252" customFormat="1" ht="36" customHeight="1">
      <c r="A84" s="751"/>
      <c r="B84" s="686"/>
      <c r="C84" s="705"/>
      <c r="D84" s="25" t="s">
        <v>437</v>
      </c>
      <c r="E84" s="255">
        <v>50</v>
      </c>
      <c r="F84" s="41"/>
      <c r="G84" s="54"/>
    </row>
    <row r="85" spans="1:7" s="252" customFormat="1" ht="36" customHeight="1">
      <c r="A85" s="751"/>
      <c r="B85" s="686"/>
      <c r="C85" s="703"/>
      <c r="D85" s="490" t="s">
        <v>1512</v>
      </c>
      <c r="E85" s="254">
        <v>50</v>
      </c>
      <c r="F85" s="35"/>
      <c r="G85" s="51"/>
    </row>
    <row r="86" spans="1:7" s="252" customFormat="1" ht="36" customHeight="1">
      <c r="A86" s="751"/>
      <c r="B86" s="686"/>
      <c r="C86" s="706" t="s">
        <v>1014</v>
      </c>
      <c r="D86" s="31" t="s">
        <v>1518</v>
      </c>
      <c r="E86" s="255" t="s">
        <v>749</v>
      </c>
      <c r="F86" s="41"/>
      <c r="G86" s="54"/>
    </row>
    <row r="87" spans="1:7" s="252" customFormat="1" ht="36" customHeight="1">
      <c r="A87" s="751"/>
      <c r="B87" s="686"/>
      <c r="C87" s="703"/>
      <c r="D87" s="490" t="s">
        <v>1519</v>
      </c>
      <c r="E87" s="254" t="s">
        <v>749</v>
      </c>
      <c r="F87" s="35"/>
      <c r="G87" s="51"/>
    </row>
    <row r="88" spans="1:7" s="252" customFormat="1" ht="36" customHeight="1">
      <c r="A88" s="751"/>
      <c r="B88" s="686"/>
      <c r="C88" s="706" t="s">
        <v>65</v>
      </c>
      <c r="D88" s="490" t="s">
        <v>66</v>
      </c>
      <c r="E88" s="254">
        <v>100</v>
      </c>
      <c r="F88" s="41"/>
      <c r="G88" s="54"/>
    </row>
    <row r="89" spans="1:7" s="252" customFormat="1" ht="36" customHeight="1" thickBot="1">
      <c r="A89" s="751"/>
      <c r="B89" s="686"/>
      <c r="C89" s="703"/>
      <c r="D89" s="31" t="s">
        <v>1096</v>
      </c>
      <c r="E89" s="382" t="s">
        <v>70</v>
      </c>
      <c r="F89" s="41"/>
      <c r="G89" s="54"/>
    </row>
    <row r="90" spans="1:7" s="252" customFormat="1" ht="36" customHeight="1" thickBot="1">
      <c r="A90" s="752"/>
      <c r="B90" s="687"/>
      <c r="C90" s="47" t="s">
        <v>299</v>
      </c>
      <c r="D90" s="27" t="s">
        <v>1501</v>
      </c>
      <c r="E90" s="22" t="s">
        <v>1498</v>
      </c>
      <c r="F90" s="22" t="s">
        <v>687</v>
      </c>
      <c r="G90" s="58" t="s">
        <v>1499</v>
      </c>
    </row>
    <row r="91" spans="1:7" s="252" customFormat="1" ht="36" customHeight="1">
      <c r="A91" s="750">
        <v>43734</v>
      </c>
      <c r="B91" s="685" t="s">
        <v>17</v>
      </c>
      <c r="C91" s="705" t="s">
        <v>54</v>
      </c>
      <c r="D91" s="18" t="s">
        <v>5</v>
      </c>
      <c r="E91" s="382">
        <v>449</v>
      </c>
      <c r="F91" s="42"/>
      <c r="G91" s="55"/>
    </row>
    <row r="92" spans="1:7" s="252" customFormat="1" ht="36" customHeight="1">
      <c r="A92" s="751"/>
      <c r="B92" s="686"/>
      <c r="C92" s="703"/>
      <c r="D92" s="25" t="s">
        <v>100</v>
      </c>
      <c r="E92" s="255">
        <v>31</v>
      </c>
      <c r="F92" s="35"/>
      <c r="G92" s="51"/>
    </row>
    <row r="93" spans="1:7" s="252" customFormat="1" ht="36" customHeight="1">
      <c r="A93" s="751"/>
      <c r="B93" s="686"/>
      <c r="C93" s="706" t="s">
        <v>1539</v>
      </c>
      <c r="D93" s="490" t="s">
        <v>1540</v>
      </c>
      <c r="E93" s="254">
        <v>200</v>
      </c>
      <c r="F93" s="41"/>
      <c r="G93" s="54" t="s">
        <v>1546</v>
      </c>
    </row>
    <row r="94" spans="1:7" s="252" customFormat="1" ht="36" customHeight="1" thickBot="1">
      <c r="A94" s="751"/>
      <c r="B94" s="686"/>
      <c r="C94" s="708"/>
      <c r="D94" s="31" t="s">
        <v>1541</v>
      </c>
      <c r="E94" s="382">
        <v>20</v>
      </c>
      <c r="F94" s="41"/>
      <c r="G94" s="54"/>
    </row>
    <row r="95" spans="1:7" s="252" customFormat="1" ht="36" customHeight="1" thickBot="1">
      <c r="A95" s="752"/>
      <c r="B95" s="687"/>
      <c r="C95" s="47"/>
      <c r="D95" s="27"/>
      <c r="E95" s="22"/>
      <c r="F95" s="22"/>
      <c r="G95" s="58"/>
    </row>
    <row r="96" spans="1:7" s="252" customFormat="1" ht="36" customHeight="1">
      <c r="A96" s="750">
        <v>43735</v>
      </c>
      <c r="B96" s="685" t="s">
        <v>18</v>
      </c>
      <c r="C96" s="702" t="s">
        <v>1528</v>
      </c>
      <c r="D96" s="18" t="s">
        <v>1532</v>
      </c>
      <c r="E96" s="253">
        <v>50</v>
      </c>
      <c r="F96" s="42" t="s">
        <v>1531</v>
      </c>
      <c r="G96" s="55" t="s">
        <v>1566</v>
      </c>
    </row>
    <row r="97" spans="1:7" s="252" customFormat="1" ht="36" customHeight="1">
      <c r="A97" s="751"/>
      <c r="B97" s="686"/>
      <c r="C97" s="705"/>
      <c r="D97" s="31" t="s">
        <v>1530</v>
      </c>
      <c r="E97" s="382">
        <v>240</v>
      </c>
      <c r="F97" s="42" t="s">
        <v>1529</v>
      </c>
      <c r="G97" s="55" t="s">
        <v>1568</v>
      </c>
    </row>
    <row r="98" spans="1:7" s="252" customFormat="1" ht="36" customHeight="1">
      <c r="A98" s="751"/>
      <c r="B98" s="686"/>
      <c r="C98" s="703"/>
      <c r="D98" s="25" t="s">
        <v>1533</v>
      </c>
      <c r="E98" s="255" t="s">
        <v>1534</v>
      </c>
      <c r="F98" s="35"/>
      <c r="G98" s="51" t="s">
        <v>1567</v>
      </c>
    </row>
    <row r="99" spans="1:7" s="252" customFormat="1" ht="36" customHeight="1" thickBot="1">
      <c r="A99" s="751"/>
      <c r="B99" s="686"/>
      <c r="C99" s="524" t="s">
        <v>1547</v>
      </c>
      <c r="D99" s="525" t="s">
        <v>1548</v>
      </c>
      <c r="E99" s="273">
        <v>300</v>
      </c>
      <c r="F99" s="40"/>
      <c r="G99" s="52"/>
    </row>
    <row r="100" spans="1:7" s="252" customFormat="1" ht="36" customHeight="1" thickBot="1">
      <c r="A100" s="752"/>
      <c r="B100" s="687"/>
      <c r="C100" s="47" t="s">
        <v>1521</v>
      </c>
      <c r="D100" s="27" t="s">
        <v>1523</v>
      </c>
      <c r="E100" s="22" t="s">
        <v>1522</v>
      </c>
      <c r="F100" s="22" t="s">
        <v>687</v>
      </c>
      <c r="G100" s="58"/>
    </row>
  </sheetData>
  <mergeCells count="67">
    <mergeCell ref="A91:A95"/>
    <mergeCell ref="B91:B95"/>
    <mergeCell ref="C91:C92"/>
    <mergeCell ref="A96:A100"/>
    <mergeCell ref="B96:B100"/>
    <mergeCell ref="C96:C98"/>
    <mergeCell ref="C93:C94"/>
    <mergeCell ref="A79:A81"/>
    <mergeCell ref="B79:B81"/>
    <mergeCell ref="C79:C80"/>
    <mergeCell ref="A82:A90"/>
    <mergeCell ref="B82:B90"/>
    <mergeCell ref="C82:C85"/>
    <mergeCell ref="C88:C89"/>
    <mergeCell ref="C86:C87"/>
    <mergeCell ref="A62:A72"/>
    <mergeCell ref="B62:B72"/>
    <mergeCell ref="C62:C63"/>
    <mergeCell ref="A73:G73"/>
    <mergeCell ref="A74:A78"/>
    <mergeCell ref="B74:B78"/>
    <mergeCell ref="C64:C69"/>
    <mergeCell ref="C75:C76"/>
    <mergeCell ref="A50:A54"/>
    <mergeCell ref="B50:B54"/>
    <mergeCell ref="A55:A61"/>
    <mergeCell ref="B55:B61"/>
    <mergeCell ref="C55:C57"/>
    <mergeCell ref="C50:C51"/>
    <mergeCell ref="A44:G44"/>
    <mergeCell ref="A45:A46"/>
    <mergeCell ref="B45:B46"/>
    <mergeCell ref="A47:A49"/>
    <mergeCell ref="B47:B49"/>
    <mergeCell ref="C47:C48"/>
    <mergeCell ref="C45:G46"/>
    <mergeCell ref="A40:A41"/>
    <mergeCell ref="B40:B41"/>
    <mergeCell ref="A42:A43"/>
    <mergeCell ref="B42:B43"/>
    <mergeCell ref="C40:G43"/>
    <mergeCell ref="A32:A37"/>
    <mergeCell ref="B32:B37"/>
    <mergeCell ref="C32:C34"/>
    <mergeCell ref="A38:A39"/>
    <mergeCell ref="B38:B39"/>
    <mergeCell ref="A26:A28"/>
    <mergeCell ref="B26:B28"/>
    <mergeCell ref="A29:G29"/>
    <mergeCell ref="A30:A31"/>
    <mergeCell ref="B30:B31"/>
    <mergeCell ref="C26:C27"/>
    <mergeCell ref="A14:A17"/>
    <mergeCell ref="B14:B17"/>
    <mergeCell ref="A18:A25"/>
    <mergeCell ref="B18:B25"/>
    <mergeCell ref="C14:C16"/>
    <mergeCell ref="C18:C20"/>
    <mergeCell ref="C23:C24"/>
    <mergeCell ref="A1:G1"/>
    <mergeCell ref="A2:A11"/>
    <mergeCell ref="B2:B11"/>
    <mergeCell ref="A12:A13"/>
    <mergeCell ref="B12:B13"/>
    <mergeCell ref="C8:C10"/>
    <mergeCell ref="C2:C5"/>
    <mergeCell ref="C6:C7"/>
  </mergeCells>
  <phoneticPr fontId="1" type="noConversion"/>
  <printOptions horizontalCentered="1" verticalCentered="1"/>
  <pageMargins left="0.15748031496062992" right="0.15748031496062992" top="0.15748031496062992" bottom="0.15748031496062992" header="0.11811023622047245" footer="0.31496062992125984"/>
  <pageSetup paperSize="9" scale="70" fitToHeight="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view="pageBreakPreview" topLeftCell="A70" zoomScale="71" zoomScaleNormal="87" zoomScaleSheetLayoutView="71" zoomScalePageLayoutView="75" workbookViewId="0">
      <selection activeCell="E81" sqref="E81:E82"/>
    </sheetView>
  </sheetViews>
  <sheetFormatPr defaultRowHeight="36" customHeight="1"/>
  <cols>
    <col min="1" max="1" width="12.5" style="260" customWidth="1"/>
    <col min="2" max="2" width="8.5" style="261" customWidth="1"/>
    <col min="3" max="3" width="17.875" style="317" customWidth="1"/>
    <col min="4" max="4" width="22.5" style="37" customWidth="1"/>
    <col min="5" max="5" width="15.375" style="262" customWidth="1"/>
    <col min="6" max="6" width="25.625" style="262" customWidth="1"/>
    <col min="7" max="7" width="28.125" style="263" customWidth="1"/>
    <col min="8" max="8" width="42.5" style="252" customWidth="1"/>
    <col min="9" max="16384" width="9" style="37"/>
  </cols>
  <sheetData>
    <row r="1" spans="1:7" s="252" customFormat="1" ht="105" customHeight="1" thickBot="1">
      <c r="A1" s="753" t="s">
        <v>0</v>
      </c>
      <c r="B1" s="754"/>
      <c r="C1" s="754"/>
      <c r="D1" s="754"/>
      <c r="E1" s="754"/>
      <c r="F1" s="754"/>
      <c r="G1" s="787"/>
    </row>
    <row r="2" spans="1:7" ht="36" customHeight="1">
      <c r="A2" s="750">
        <v>43738</v>
      </c>
      <c r="B2" s="685" t="s">
        <v>2</v>
      </c>
      <c r="C2" s="705" t="s">
        <v>1553</v>
      </c>
      <c r="D2" s="18" t="s">
        <v>1554</v>
      </c>
      <c r="E2" s="382">
        <v>50</v>
      </c>
      <c r="F2" s="42"/>
      <c r="G2" s="55"/>
    </row>
    <row r="3" spans="1:7" ht="36" customHeight="1">
      <c r="A3" s="751"/>
      <c r="B3" s="686"/>
      <c r="C3" s="703"/>
      <c r="D3" s="25" t="s">
        <v>1555</v>
      </c>
      <c r="E3" s="255" t="s">
        <v>1556</v>
      </c>
      <c r="F3" s="35"/>
      <c r="G3" s="51"/>
    </row>
    <row r="4" spans="1:7" ht="36" customHeight="1" thickBot="1">
      <c r="A4" s="751"/>
      <c r="B4" s="686"/>
      <c r="C4" s="571" t="s">
        <v>1569</v>
      </c>
      <c r="D4" s="25" t="s">
        <v>1570</v>
      </c>
      <c r="E4" s="255">
        <v>100</v>
      </c>
      <c r="F4" s="41"/>
      <c r="G4" s="54"/>
    </row>
    <row r="5" spans="1:7" ht="36" customHeight="1" thickBot="1">
      <c r="A5" s="752"/>
      <c r="B5" s="687"/>
      <c r="C5" s="47"/>
      <c r="D5" s="27"/>
      <c r="E5" s="22"/>
      <c r="F5" s="22"/>
      <c r="G5" s="58"/>
    </row>
    <row r="6" spans="1:7" s="252" customFormat="1" ht="36" customHeight="1">
      <c r="A6" s="751">
        <v>43739</v>
      </c>
      <c r="B6" s="686" t="s">
        <v>1136</v>
      </c>
      <c r="C6" s="702" t="s">
        <v>1524</v>
      </c>
      <c r="D6" s="162" t="s">
        <v>1525</v>
      </c>
      <c r="E6" s="253">
        <v>144</v>
      </c>
      <c r="F6" s="39"/>
      <c r="G6" s="53"/>
    </row>
    <row r="7" spans="1:7" s="252" customFormat="1" ht="36" customHeight="1">
      <c r="A7" s="751"/>
      <c r="B7" s="686"/>
      <c r="C7" s="703"/>
      <c r="D7" s="18" t="s">
        <v>1527</v>
      </c>
      <c r="E7" s="290">
        <v>42</v>
      </c>
      <c r="F7" s="42"/>
      <c r="G7" s="55"/>
    </row>
    <row r="8" spans="1:7" s="252" customFormat="1" ht="36" customHeight="1" thickBot="1">
      <c r="A8" s="751"/>
      <c r="B8" s="686"/>
      <c r="C8" s="576" t="s">
        <v>63</v>
      </c>
      <c r="D8" s="577" t="s">
        <v>35</v>
      </c>
      <c r="E8" s="273">
        <v>80</v>
      </c>
      <c r="F8" s="377" t="s">
        <v>1465</v>
      </c>
      <c r="G8" s="378"/>
    </row>
    <row r="9" spans="1:7" s="252" customFormat="1" ht="36" customHeight="1" thickBot="1">
      <c r="A9" s="752"/>
      <c r="B9" s="687"/>
      <c r="C9" s="256" t="s">
        <v>912</v>
      </c>
      <c r="D9" s="257" t="s">
        <v>1523</v>
      </c>
      <c r="E9" s="258" t="s">
        <v>1565</v>
      </c>
      <c r="F9" s="22" t="s">
        <v>84</v>
      </c>
      <c r="G9" s="58"/>
    </row>
    <row r="10" spans="1:7" s="252" customFormat="1" ht="36" customHeight="1">
      <c r="A10" s="751">
        <v>43740</v>
      </c>
      <c r="B10" s="686" t="s">
        <v>1185</v>
      </c>
      <c r="C10" s="702" t="s">
        <v>1557</v>
      </c>
      <c r="D10" s="582" t="s">
        <v>1558</v>
      </c>
      <c r="E10" s="583">
        <v>60</v>
      </c>
      <c r="F10" s="372" t="s">
        <v>1561</v>
      </c>
      <c r="G10" s="239"/>
    </row>
    <row r="11" spans="1:7" s="252" customFormat="1" ht="36" customHeight="1">
      <c r="A11" s="751"/>
      <c r="B11" s="686"/>
      <c r="C11" s="705"/>
      <c r="D11" s="578" t="s">
        <v>1559</v>
      </c>
      <c r="E11" s="457">
        <v>10</v>
      </c>
      <c r="F11" s="35"/>
      <c r="G11" s="51"/>
    </row>
    <row r="12" spans="1:7" s="252" customFormat="1" ht="36" customHeight="1">
      <c r="A12" s="751"/>
      <c r="B12" s="686"/>
      <c r="C12" s="703"/>
      <c r="D12" s="579" t="s">
        <v>1555</v>
      </c>
      <c r="E12" s="509" t="s">
        <v>1560</v>
      </c>
      <c r="F12" s="42"/>
      <c r="G12" s="55"/>
    </row>
    <row r="13" spans="1:7" s="252" customFormat="1" ht="36" customHeight="1">
      <c r="A13" s="751"/>
      <c r="B13" s="686"/>
      <c r="C13" s="706" t="s">
        <v>1585</v>
      </c>
      <c r="D13" s="581" t="s">
        <v>1586</v>
      </c>
      <c r="E13" s="457">
        <v>50</v>
      </c>
      <c r="F13" s="35"/>
      <c r="G13" s="51"/>
    </row>
    <row r="14" spans="1:7" s="252" customFormat="1" ht="36" customHeight="1" thickBot="1">
      <c r="A14" s="751"/>
      <c r="B14" s="686"/>
      <c r="C14" s="708"/>
      <c r="D14" s="116" t="s">
        <v>1587</v>
      </c>
      <c r="E14" s="574" t="s">
        <v>1588</v>
      </c>
      <c r="F14" s="56"/>
      <c r="G14" s="57"/>
    </row>
    <row r="15" spans="1:7" s="252" customFormat="1" ht="36" customHeight="1" thickBot="1">
      <c r="A15" s="752"/>
      <c r="B15" s="687"/>
      <c r="C15" s="256"/>
      <c r="D15" s="257"/>
      <c r="E15" s="258"/>
      <c r="F15" s="22"/>
      <c r="G15" s="58"/>
    </row>
    <row r="16" spans="1:7" s="252" customFormat="1" ht="36" customHeight="1">
      <c r="A16" s="751">
        <v>43741</v>
      </c>
      <c r="B16" s="686" t="s">
        <v>776</v>
      </c>
      <c r="C16" s="791" t="s">
        <v>1562</v>
      </c>
      <c r="D16" s="792"/>
      <c r="E16" s="792"/>
      <c r="F16" s="792"/>
      <c r="G16" s="793"/>
    </row>
    <row r="17" spans="1:7" s="252" customFormat="1" ht="36" customHeight="1" thickBot="1">
      <c r="A17" s="752"/>
      <c r="B17" s="687"/>
      <c r="C17" s="819"/>
      <c r="D17" s="820"/>
      <c r="E17" s="820"/>
      <c r="F17" s="820"/>
      <c r="G17" s="821"/>
    </row>
    <row r="18" spans="1:7" s="252" customFormat="1" ht="36" customHeight="1">
      <c r="A18" s="750">
        <v>43742</v>
      </c>
      <c r="B18" s="712" t="s">
        <v>396</v>
      </c>
      <c r="C18" s="584" t="s">
        <v>1589</v>
      </c>
      <c r="D18" s="18" t="s">
        <v>1590</v>
      </c>
      <c r="E18" s="253">
        <v>193</v>
      </c>
      <c r="F18" s="39"/>
      <c r="G18" s="53"/>
    </row>
    <row r="19" spans="1:7" s="252" customFormat="1" ht="36" customHeight="1">
      <c r="A19" s="751"/>
      <c r="B19" s="798"/>
      <c r="C19" s="706" t="s">
        <v>7</v>
      </c>
      <c r="D19" s="18" t="s">
        <v>28</v>
      </c>
      <c r="E19" s="290">
        <v>128</v>
      </c>
      <c r="F19" s="42"/>
      <c r="G19" s="55"/>
    </row>
    <row r="20" spans="1:7" s="252" customFormat="1" ht="36" customHeight="1">
      <c r="A20" s="751"/>
      <c r="B20" s="798"/>
      <c r="C20" s="705"/>
      <c r="D20" s="18" t="s">
        <v>1574</v>
      </c>
      <c r="E20" s="382">
        <v>40</v>
      </c>
      <c r="F20" s="42"/>
      <c r="G20" s="55"/>
    </row>
    <row r="21" spans="1:7" s="252" customFormat="1" ht="36" customHeight="1">
      <c r="A21" s="751"/>
      <c r="B21" s="798"/>
      <c r="C21" s="705"/>
      <c r="D21" s="18" t="s">
        <v>1575</v>
      </c>
      <c r="E21" s="254">
        <v>64</v>
      </c>
      <c r="F21" s="42"/>
      <c r="G21" s="55"/>
    </row>
    <row r="22" spans="1:7" s="252" customFormat="1" ht="36" customHeight="1">
      <c r="A22" s="751"/>
      <c r="B22" s="798"/>
      <c r="C22" s="705"/>
      <c r="D22" s="18" t="s">
        <v>1599</v>
      </c>
      <c r="E22" s="254" t="s">
        <v>1600</v>
      </c>
      <c r="F22" s="42"/>
      <c r="G22" s="55"/>
    </row>
    <row r="23" spans="1:7" s="252" customFormat="1" ht="36" customHeight="1">
      <c r="A23" s="751"/>
      <c r="B23" s="798"/>
      <c r="C23" s="705"/>
      <c r="D23" s="18" t="s">
        <v>1602</v>
      </c>
      <c r="E23" s="254" t="s">
        <v>1604</v>
      </c>
      <c r="F23" s="42"/>
      <c r="G23" s="55"/>
    </row>
    <row r="24" spans="1:7" s="252" customFormat="1" ht="36" customHeight="1">
      <c r="A24" s="751"/>
      <c r="B24" s="798"/>
      <c r="C24" s="703"/>
      <c r="D24" s="18" t="s">
        <v>1603</v>
      </c>
      <c r="E24" s="254" t="s">
        <v>1601</v>
      </c>
      <c r="F24" s="42"/>
      <c r="G24" s="55"/>
    </row>
    <row r="25" spans="1:7" s="252" customFormat="1" ht="36" customHeight="1">
      <c r="A25" s="751"/>
      <c r="B25" s="798"/>
      <c r="C25" s="580" t="s">
        <v>1582</v>
      </c>
      <c r="D25" s="18" t="s">
        <v>1583</v>
      </c>
      <c r="E25" s="254">
        <v>50</v>
      </c>
      <c r="F25" s="42" t="s">
        <v>1584</v>
      </c>
      <c r="G25" s="55" t="s">
        <v>1598</v>
      </c>
    </row>
    <row r="26" spans="1:7" s="252" customFormat="1" ht="36" customHeight="1" thickBot="1">
      <c r="A26" s="751"/>
      <c r="B26" s="798"/>
      <c r="C26" s="563" t="s">
        <v>1572</v>
      </c>
      <c r="D26" s="490" t="s">
        <v>1573</v>
      </c>
      <c r="E26" s="254">
        <v>150</v>
      </c>
      <c r="F26" s="42"/>
      <c r="G26" s="55" t="s">
        <v>1598</v>
      </c>
    </row>
    <row r="27" spans="1:7" s="252" customFormat="1" ht="36" customHeight="1" thickBot="1">
      <c r="A27" s="752"/>
      <c r="B27" s="713"/>
      <c r="C27" s="256"/>
      <c r="D27" s="257"/>
      <c r="E27" s="258"/>
      <c r="F27" s="22"/>
      <c r="G27" s="58"/>
    </row>
    <row r="28" spans="1:7" s="252" customFormat="1" ht="104.25" customHeight="1" thickBot="1">
      <c r="A28" s="753" t="s">
        <v>1606</v>
      </c>
      <c r="B28" s="754"/>
      <c r="C28" s="754"/>
      <c r="D28" s="754"/>
      <c r="E28" s="754"/>
      <c r="F28" s="754"/>
      <c r="G28" s="787"/>
    </row>
    <row r="29" spans="1:7" s="252" customFormat="1" ht="36" customHeight="1" thickBot="1">
      <c r="A29" s="751">
        <v>43745</v>
      </c>
      <c r="B29" s="686" t="s">
        <v>2</v>
      </c>
      <c r="C29" s="480" t="s">
        <v>1542</v>
      </c>
      <c r="D29" s="481" t="s">
        <v>1543</v>
      </c>
      <c r="E29" s="253">
        <v>514</v>
      </c>
      <c r="F29" s="552"/>
      <c r="G29" s="53"/>
    </row>
    <row r="30" spans="1:7" s="252" customFormat="1" ht="36" customHeight="1" thickBot="1">
      <c r="A30" s="752"/>
      <c r="B30" s="687"/>
      <c r="C30" s="47"/>
      <c r="D30" s="27"/>
      <c r="E30" s="22"/>
      <c r="F30" s="22"/>
      <c r="G30" s="58"/>
    </row>
    <row r="31" spans="1:7" s="252" customFormat="1" ht="33.75" customHeight="1">
      <c r="A31" s="750">
        <v>43746</v>
      </c>
      <c r="B31" s="712" t="s">
        <v>1136</v>
      </c>
      <c r="C31" s="682" t="s">
        <v>1610</v>
      </c>
      <c r="D31" s="370" t="s">
        <v>1611</v>
      </c>
      <c r="E31" s="254">
        <v>100</v>
      </c>
      <c r="F31" s="35"/>
      <c r="G31" s="51"/>
    </row>
    <row r="32" spans="1:7" s="252" customFormat="1" ht="33.75" customHeight="1">
      <c r="A32" s="751"/>
      <c r="B32" s="798"/>
      <c r="C32" s="801"/>
      <c r="D32" s="490" t="s">
        <v>1612</v>
      </c>
      <c r="E32" s="254">
        <v>50</v>
      </c>
      <c r="F32" s="35"/>
      <c r="G32" s="54"/>
    </row>
    <row r="33" spans="1:7" s="252" customFormat="1" ht="33.75" customHeight="1">
      <c r="A33" s="751"/>
      <c r="B33" s="798"/>
      <c r="C33" s="591" t="s">
        <v>65</v>
      </c>
      <c r="D33" s="18" t="s">
        <v>66</v>
      </c>
      <c r="E33" s="254">
        <v>100</v>
      </c>
      <c r="F33" s="35" t="s">
        <v>1465</v>
      </c>
      <c r="G33" s="54"/>
    </row>
    <row r="34" spans="1:7" ht="33.75" customHeight="1">
      <c r="A34" s="751"/>
      <c r="B34" s="798"/>
      <c r="C34" s="575" t="s">
        <v>177</v>
      </c>
      <c r="D34" s="490" t="s">
        <v>1626</v>
      </c>
      <c r="E34" s="254">
        <v>100</v>
      </c>
      <c r="F34" s="465"/>
      <c r="G34" s="54"/>
    </row>
    <row r="35" spans="1:7" s="252" customFormat="1" ht="33.75" customHeight="1" thickBot="1">
      <c r="A35" s="751"/>
      <c r="B35" s="798"/>
      <c r="C35" s="561" t="s">
        <v>1607</v>
      </c>
      <c r="D35" s="31" t="s">
        <v>1608</v>
      </c>
      <c r="E35" s="254">
        <v>200</v>
      </c>
      <c r="F35" s="35"/>
      <c r="G35" s="51" t="s">
        <v>1609</v>
      </c>
    </row>
    <row r="36" spans="1:7" s="252" customFormat="1" ht="33.75" customHeight="1" thickBot="1">
      <c r="A36" s="752"/>
      <c r="B36" s="713"/>
      <c r="C36" s="47" t="s">
        <v>1595</v>
      </c>
      <c r="D36" s="257" t="s">
        <v>1597</v>
      </c>
      <c r="E36" s="22" t="s">
        <v>1596</v>
      </c>
      <c r="F36" s="22" t="s">
        <v>687</v>
      </c>
      <c r="G36" s="58"/>
    </row>
    <row r="37" spans="1:7" s="252" customFormat="1" ht="36" customHeight="1">
      <c r="A37" s="750">
        <v>43747</v>
      </c>
      <c r="B37" s="712" t="s">
        <v>1563</v>
      </c>
      <c r="C37" s="791" t="s">
        <v>1564</v>
      </c>
      <c r="D37" s="792"/>
      <c r="E37" s="792"/>
      <c r="F37" s="792"/>
      <c r="G37" s="793"/>
    </row>
    <row r="38" spans="1:7" s="252" customFormat="1" ht="36" customHeight="1" thickBot="1">
      <c r="A38" s="752"/>
      <c r="B38" s="713"/>
      <c r="C38" s="819"/>
      <c r="D38" s="820"/>
      <c r="E38" s="820"/>
      <c r="F38" s="820"/>
      <c r="G38" s="821"/>
    </row>
    <row r="39" spans="1:7" s="252" customFormat="1" ht="34.5" customHeight="1">
      <c r="A39" s="750">
        <v>43748</v>
      </c>
      <c r="B39" s="712" t="s">
        <v>17</v>
      </c>
      <c r="C39" s="682" t="s">
        <v>1544</v>
      </c>
      <c r="D39" s="481" t="s">
        <v>1545</v>
      </c>
      <c r="E39" s="253">
        <v>100</v>
      </c>
      <c r="F39" s="39"/>
      <c r="G39" s="53"/>
    </row>
    <row r="40" spans="1:7" s="252" customFormat="1" ht="34.5" customHeight="1">
      <c r="A40" s="751"/>
      <c r="B40" s="798"/>
      <c r="C40" s="801"/>
      <c r="D40" s="453" t="s">
        <v>6</v>
      </c>
      <c r="E40" s="290">
        <v>42</v>
      </c>
      <c r="F40" s="42"/>
      <c r="G40" s="55"/>
    </row>
    <row r="41" spans="1:7" s="252" customFormat="1" ht="34.5" customHeight="1">
      <c r="A41" s="751"/>
      <c r="B41" s="798"/>
      <c r="C41" s="593" t="s">
        <v>1625</v>
      </c>
      <c r="D41" s="452" t="s">
        <v>1624</v>
      </c>
      <c r="E41" s="254">
        <v>100</v>
      </c>
      <c r="F41" s="35"/>
      <c r="G41" s="51" t="s">
        <v>1631</v>
      </c>
    </row>
    <row r="42" spans="1:7" s="252" customFormat="1" ht="34.5" customHeight="1">
      <c r="A42" s="751"/>
      <c r="B42" s="798"/>
      <c r="C42" s="593" t="s">
        <v>1629</v>
      </c>
      <c r="D42" s="452" t="s">
        <v>1630</v>
      </c>
      <c r="E42" s="254">
        <v>100</v>
      </c>
      <c r="F42" s="35"/>
      <c r="G42" s="51" t="s">
        <v>1631</v>
      </c>
    </row>
    <row r="43" spans="1:7" s="252" customFormat="1" ht="34.5" customHeight="1">
      <c r="A43" s="751"/>
      <c r="B43" s="798"/>
      <c r="C43" s="451" t="s">
        <v>224</v>
      </c>
      <c r="D43" s="452" t="s">
        <v>31</v>
      </c>
      <c r="E43" s="254">
        <v>100</v>
      </c>
      <c r="F43" s="416"/>
      <c r="G43" s="499" t="s">
        <v>1632</v>
      </c>
    </row>
    <row r="44" spans="1:7" s="252" customFormat="1" ht="34.5" customHeight="1" thickBot="1">
      <c r="A44" s="751"/>
      <c r="B44" s="798"/>
      <c r="C44" s="592" t="s">
        <v>1613</v>
      </c>
      <c r="D44" s="569" t="s">
        <v>1614</v>
      </c>
      <c r="E44" s="382" t="s">
        <v>1615</v>
      </c>
      <c r="F44" s="56"/>
      <c r="G44" s="57" t="s">
        <v>1631</v>
      </c>
    </row>
    <row r="45" spans="1:7" s="252" customFormat="1" ht="34.5" customHeight="1" thickBot="1">
      <c r="A45" s="752"/>
      <c r="B45" s="713"/>
      <c r="C45" s="47" t="s">
        <v>1591</v>
      </c>
      <c r="D45" s="257" t="s">
        <v>1594</v>
      </c>
      <c r="E45" s="22" t="s">
        <v>1592</v>
      </c>
      <c r="F45" s="22" t="s">
        <v>1593</v>
      </c>
      <c r="G45" s="58"/>
    </row>
    <row r="46" spans="1:7" s="252" customFormat="1" ht="34.5" customHeight="1">
      <c r="A46" s="750">
        <v>43749</v>
      </c>
      <c r="B46" s="712" t="s">
        <v>18</v>
      </c>
      <c r="C46" s="682" t="s">
        <v>1576</v>
      </c>
      <c r="D46" s="585" t="s">
        <v>1574</v>
      </c>
      <c r="E46" s="253">
        <v>170</v>
      </c>
      <c r="F46" s="570" t="s">
        <v>1717</v>
      </c>
      <c r="G46" s="586"/>
    </row>
    <row r="47" spans="1:7" s="252" customFormat="1" ht="34.5" customHeight="1">
      <c r="A47" s="751"/>
      <c r="B47" s="798"/>
      <c r="C47" s="683"/>
      <c r="D47" s="587" t="s">
        <v>1577</v>
      </c>
      <c r="E47" s="382">
        <v>20</v>
      </c>
      <c r="F47" s="479"/>
      <c r="G47" s="588"/>
    </row>
    <row r="48" spans="1:7" s="252" customFormat="1" ht="34.5" customHeight="1">
      <c r="A48" s="751"/>
      <c r="B48" s="798"/>
      <c r="C48" s="683"/>
      <c r="D48" s="589" t="s">
        <v>1578</v>
      </c>
      <c r="E48" s="254">
        <v>30</v>
      </c>
      <c r="F48" s="477"/>
      <c r="G48" s="590"/>
    </row>
    <row r="49" spans="1:7" s="252" customFormat="1" ht="34.5" customHeight="1">
      <c r="A49" s="751"/>
      <c r="B49" s="798"/>
      <c r="C49" s="801"/>
      <c r="D49" s="589" t="s">
        <v>1579</v>
      </c>
      <c r="E49" s="254" t="s">
        <v>1580</v>
      </c>
      <c r="F49" s="477"/>
      <c r="G49" s="590"/>
    </row>
    <row r="50" spans="1:7" ht="34.5" customHeight="1">
      <c r="A50" s="751"/>
      <c r="B50" s="798"/>
      <c r="C50" s="706" t="s">
        <v>204</v>
      </c>
      <c r="D50" s="490" t="s">
        <v>1114</v>
      </c>
      <c r="E50" s="254" t="s">
        <v>103</v>
      </c>
      <c r="F50" s="465" t="s">
        <v>1549</v>
      </c>
      <c r="G50" s="54"/>
    </row>
    <row r="51" spans="1:7" ht="34.5" customHeight="1">
      <c r="A51" s="751"/>
      <c r="B51" s="798"/>
      <c r="C51" s="703"/>
      <c r="D51" s="490" t="s">
        <v>1633</v>
      </c>
      <c r="E51" s="254" t="s">
        <v>103</v>
      </c>
      <c r="F51" s="529" t="s">
        <v>1634</v>
      </c>
      <c r="G51" s="51"/>
    </row>
    <row r="52" spans="1:7" s="252" customFormat="1" ht="34.5" customHeight="1">
      <c r="A52" s="751"/>
      <c r="B52" s="798"/>
      <c r="C52" s="705" t="s">
        <v>1027</v>
      </c>
      <c r="D52" s="18" t="s">
        <v>27</v>
      </c>
      <c r="E52" s="290">
        <v>120</v>
      </c>
      <c r="F52" s="42"/>
      <c r="G52" s="55"/>
    </row>
    <row r="53" spans="1:7" s="252" customFormat="1" ht="34.5" customHeight="1" thickBot="1">
      <c r="A53" s="751"/>
      <c r="B53" s="798"/>
      <c r="C53" s="703"/>
      <c r="D53" s="453" t="s">
        <v>31</v>
      </c>
      <c r="E53" s="254">
        <v>20</v>
      </c>
      <c r="F53" s="476"/>
      <c r="G53" s="55" t="s">
        <v>1636</v>
      </c>
    </row>
    <row r="54" spans="1:7" s="252" customFormat="1" ht="34.5" customHeight="1" thickBot="1">
      <c r="A54" s="752"/>
      <c r="B54" s="713"/>
      <c r="C54" s="47"/>
      <c r="D54" s="257"/>
      <c r="E54" s="22"/>
      <c r="F54" s="22"/>
      <c r="G54" s="58"/>
    </row>
    <row r="55" spans="1:7" s="252" customFormat="1" ht="105" customHeight="1" thickBot="1">
      <c r="A55" s="753" t="s">
        <v>0</v>
      </c>
      <c r="B55" s="754"/>
      <c r="C55" s="754"/>
      <c r="D55" s="754"/>
      <c r="E55" s="754"/>
      <c r="F55" s="754"/>
      <c r="G55" s="787"/>
    </row>
    <row r="56" spans="1:7" s="252" customFormat="1" ht="33.75" customHeight="1">
      <c r="A56" s="750">
        <v>43752</v>
      </c>
      <c r="B56" s="685" t="s">
        <v>1044</v>
      </c>
      <c r="C56" s="682" t="s">
        <v>3</v>
      </c>
      <c r="D56" s="481" t="s">
        <v>1551</v>
      </c>
      <c r="E56" s="253">
        <v>231</v>
      </c>
      <c r="F56" s="39"/>
      <c r="G56" s="53"/>
    </row>
    <row r="57" spans="1:7" s="252" customFormat="1" ht="33.75" customHeight="1" thickBot="1">
      <c r="A57" s="752"/>
      <c r="B57" s="687"/>
      <c r="C57" s="684"/>
      <c r="D57" s="609" t="s">
        <v>1571</v>
      </c>
      <c r="E57" s="273">
        <v>200</v>
      </c>
      <c r="F57" s="40"/>
      <c r="G57" s="52"/>
    </row>
    <row r="58" spans="1:7" s="252" customFormat="1" ht="33.75" customHeight="1">
      <c r="A58" s="751">
        <v>43753</v>
      </c>
      <c r="B58" s="686" t="s">
        <v>16</v>
      </c>
      <c r="C58" s="705" t="s">
        <v>7</v>
      </c>
      <c r="D58" s="31" t="s">
        <v>1616</v>
      </c>
      <c r="E58" s="382">
        <v>35</v>
      </c>
      <c r="F58" s="42"/>
      <c r="G58" s="55"/>
    </row>
    <row r="59" spans="1:7" s="252" customFormat="1" ht="33.75" customHeight="1">
      <c r="A59" s="751"/>
      <c r="B59" s="686"/>
      <c r="C59" s="705"/>
      <c r="D59" s="490" t="s">
        <v>1617</v>
      </c>
      <c r="E59" s="254">
        <v>80</v>
      </c>
      <c r="F59" s="42"/>
      <c r="G59" s="55"/>
    </row>
    <row r="60" spans="1:7" s="252" customFormat="1" ht="33.75" customHeight="1">
      <c r="A60" s="751"/>
      <c r="B60" s="686"/>
      <c r="C60" s="705"/>
      <c r="D60" s="490" t="s">
        <v>1618</v>
      </c>
      <c r="E60" s="254">
        <v>64</v>
      </c>
      <c r="F60" s="42"/>
      <c r="G60" s="55"/>
    </row>
    <row r="61" spans="1:7" s="252" customFormat="1" ht="33.75" customHeight="1">
      <c r="A61" s="751"/>
      <c r="B61" s="686"/>
      <c r="C61" s="705"/>
      <c r="D61" s="490" t="s">
        <v>1619</v>
      </c>
      <c r="E61" s="254">
        <v>40</v>
      </c>
      <c r="F61" s="42"/>
      <c r="G61" s="55"/>
    </row>
    <row r="62" spans="1:7" s="252" customFormat="1" ht="33.75" customHeight="1">
      <c r="A62" s="751"/>
      <c r="B62" s="686"/>
      <c r="C62" s="705"/>
      <c r="D62" s="490" t="s">
        <v>1644</v>
      </c>
      <c r="E62" s="254">
        <v>64</v>
      </c>
      <c r="F62" s="42"/>
      <c r="G62" s="55"/>
    </row>
    <row r="63" spans="1:7" s="252" customFormat="1" ht="33.75" customHeight="1">
      <c r="A63" s="751"/>
      <c r="B63" s="686"/>
      <c r="C63" s="705"/>
      <c r="D63" s="31" t="s">
        <v>1620</v>
      </c>
      <c r="E63" s="382" t="s">
        <v>1621</v>
      </c>
      <c r="F63" s="42"/>
      <c r="G63" s="55"/>
    </row>
    <row r="64" spans="1:7" s="252" customFormat="1" ht="33.75" customHeight="1">
      <c r="A64" s="751"/>
      <c r="B64" s="686"/>
      <c r="C64" s="703"/>
      <c r="D64" s="490" t="s">
        <v>1622</v>
      </c>
      <c r="E64" s="254" t="s">
        <v>1623</v>
      </c>
      <c r="F64" s="42"/>
      <c r="G64" s="55"/>
    </row>
    <row r="65" spans="1:7" s="252" customFormat="1" ht="33.75" customHeight="1">
      <c r="A65" s="751"/>
      <c r="B65" s="686"/>
      <c r="C65" s="600" t="s">
        <v>1651</v>
      </c>
      <c r="D65" s="490" t="s">
        <v>1652</v>
      </c>
      <c r="E65" s="254">
        <v>50</v>
      </c>
      <c r="F65" s="56"/>
      <c r="G65" s="57" t="s">
        <v>1658</v>
      </c>
    </row>
    <row r="66" spans="1:7" ht="33.75" customHeight="1">
      <c r="A66" s="751"/>
      <c r="B66" s="686"/>
      <c r="C66" s="706" t="s">
        <v>147</v>
      </c>
      <c r="D66" s="490" t="s">
        <v>1096</v>
      </c>
      <c r="E66" s="254" t="s">
        <v>8</v>
      </c>
      <c r="F66" s="465"/>
      <c r="G66" s="54"/>
    </row>
    <row r="67" spans="1:7" ht="33.75" customHeight="1" thickBot="1">
      <c r="A67" s="751"/>
      <c r="B67" s="686"/>
      <c r="C67" s="703"/>
      <c r="D67" s="490" t="s">
        <v>1605</v>
      </c>
      <c r="E67" s="254" t="s">
        <v>91</v>
      </c>
      <c r="F67" s="529"/>
      <c r="G67" s="51"/>
    </row>
    <row r="68" spans="1:7" s="252" customFormat="1" ht="33.75" customHeight="1" thickBot="1">
      <c r="A68" s="752"/>
      <c r="B68" s="687"/>
      <c r="C68" s="47" t="s">
        <v>1637</v>
      </c>
      <c r="D68" s="27" t="s">
        <v>1639</v>
      </c>
      <c r="E68" s="22" t="s">
        <v>1638</v>
      </c>
      <c r="F68" s="22" t="s">
        <v>1640</v>
      </c>
      <c r="G68" s="58"/>
    </row>
    <row r="69" spans="1:7" s="252" customFormat="1" ht="33.75" customHeight="1">
      <c r="A69" s="751">
        <v>43754</v>
      </c>
      <c r="B69" s="686" t="s">
        <v>1661</v>
      </c>
      <c r="C69" s="702" t="s">
        <v>9</v>
      </c>
      <c r="D69" s="490" t="s">
        <v>29</v>
      </c>
      <c r="E69" s="254">
        <v>30</v>
      </c>
      <c r="F69" s="42" t="s">
        <v>11</v>
      </c>
      <c r="G69" s="55"/>
    </row>
    <row r="70" spans="1:7" s="252" customFormat="1" ht="33.75" customHeight="1">
      <c r="A70" s="751"/>
      <c r="B70" s="686"/>
      <c r="C70" s="703"/>
      <c r="D70" s="490" t="s">
        <v>1096</v>
      </c>
      <c r="E70" s="254" t="s">
        <v>70</v>
      </c>
      <c r="F70" s="35" t="s">
        <v>378</v>
      </c>
      <c r="G70" s="51"/>
    </row>
    <row r="71" spans="1:7" s="252" customFormat="1" ht="33.75" customHeight="1">
      <c r="A71" s="751"/>
      <c r="B71" s="686"/>
      <c r="C71" s="706" t="s">
        <v>1669</v>
      </c>
      <c r="D71" s="31" t="s">
        <v>1670</v>
      </c>
      <c r="E71" s="382">
        <v>50</v>
      </c>
      <c r="F71" s="56"/>
      <c r="G71" s="57"/>
    </row>
    <row r="72" spans="1:7" s="252" customFormat="1" ht="33.75" customHeight="1">
      <c r="A72" s="751"/>
      <c r="B72" s="686"/>
      <c r="C72" s="703"/>
      <c r="D72" s="490" t="s">
        <v>1671</v>
      </c>
      <c r="E72" s="254">
        <v>50</v>
      </c>
      <c r="F72" s="35"/>
      <c r="G72" s="51"/>
    </row>
    <row r="73" spans="1:7" s="252" customFormat="1" ht="33.75" customHeight="1" thickBot="1">
      <c r="A73" s="751"/>
      <c r="B73" s="686"/>
      <c r="C73" s="562" t="s">
        <v>1667</v>
      </c>
      <c r="D73" s="441" t="s">
        <v>1668</v>
      </c>
      <c r="E73" s="254">
        <v>50</v>
      </c>
      <c r="F73" s="442"/>
      <c r="G73" s="378"/>
    </row>
    <row r="74" spans="1:7" s="252" customFormat="1" ht="33.75" customHeight="1" thickBot="1">
      <c r="A74" s="752"/>
      <c r="B74" s="687"/>
      <c r="C74" s="47"/>
      <c r="D74" s="27"/>
      <c r="E74" s="22"/>
      <c r="F74" s="22"/>
      <c r="G74" s="58"/>
    </row>
    <row r="75" spans="1:7" s="252" customFormat="1" ht="33.75" customHeight="1">
      <c r="A75" s="750">
        <v>43755</v>
      </c>
      <c r="B75" s="685" t="s">
        <v>17</v>
      </c>
      <c r="C75" s="702" t="s">
        <v>1653</v>
      </c>
      <c r="D75" s="18" t="s">
        <v>1654</v>
      </c>
      <c r="E75" s="253">
        <v>100</v>
      </c>
      <c r="F75" s="42" t="s">
        <v>1716</v>
      </c>
      <c r="G75" s="55"/>
    </row>
    <row r="76" spans="1:7" s="252" customFormat="1" ht="33.75" customHeight="1">
      <c r="A76" s="751"/>
      <c r="B76" s="686"/>
      <c r="C76" s="705"/>
      <c r="D76" s="490" t="s">
        <v>1655</v>
      </c>
      <c r="E76" s="254">
        <v>50</v>
      </c>
      <c r="F76" s="35"/>
      <c r="G76" s="51"/>
    </row>
    <row r="77" spans="1:7" s="252" customFormat="1" ht="33.75" customHeight="1">
      <c r="A77" s="751"/>
      <c r="B77" s="686"/>
      <c r="C77" s="703"/>
      <c r="D77" s="490" t="s">
        <v>1659</v>
      </c>
      <c r="E77" s="254">
        <v>41</v>
      </c>
      <c r="F77" s="35" t="s">
        <v>1660</v>
      </c>
      <c r="G77" s="51"/>
    </row>
    <row r="78" spans="1:7" s="252" customFormat="1" ht="33.75" customHeight="1">
      <c r="A78" s="751"/>
      <c r="B78" s="686"/>
      <c r="C78" s="607" t="s">
        <v>224</v>
      </c>
      <c r="D78" s="490" t="s">
        <v>31</v>
      </c>
      <c r="E78" s="254">
        <v>100</v>
      </c>
      <c r="F78" s="35"/>
      <c r="G78" s="51"/>
    </row>
    <row r="79" spans="1:7" s="252" customFormat="1" ht="33.75" customHeight="1" thickBot="1">
      <c r="A79" s="751"/>
      <c r="B79" s="686"/>
      <c r="C79" s="564" t="s">
        <v>1662</v>
      </c>
      <c r="D79" s="375" t="s">
        <v>1663</v>
      </c>
      <c r="E79" s="376" t="s">
        <v>1664</v>
      </c>
      <c r="F79" s="377"/>
      <c r="G79" s="378"/>
    </row>
    <row r="80" spans="1:7" s="252" customFormat="1" ht="33.75" customHeight="1" thickBot="1">
      <c r="A80" s="752"/>
      <c r="B80" s="687"/>
      <c r="C80" s="47"/>
      <c r="D80" s="27"/>
      <c r="E80" s="22"/>
      <c r="F80" s="22"/>
      <c r="G80" s="58"/>
    </row>
    <row r="81" spans="1:7" s="252" customFormat="1" ht="33.75" customHeight="1">
      <c r="A81" s="750">
        <v>43756</v>
      </c>
      <c r="B81" s="685" t="s">
        <v>18</v>
      </c>
      <c r="C81" s="702" t="s">
        <v>1524</v>
      </c>
      <c r="D81" s="162" t="s">
        <v>1526</v>
      </c>
      <c r="E81" s="371">
        <v>407</v>
      </c>
      <c r="F81" s="39"/>
      <c r="G81" s="55"/>
    </row>
    <row r="82" spans="1:7" s="252" customFormat="1" ht="33.75" customHeight="1">
      <c r="A82" s="751"/>
      <c r="B82" s="686"/>
      <c r="C82" s="703"/>
      <c r="D82" s="490" t="s">
        <v>1571</v>
      </c>
      <c r="E82" s="254">
        <v>100</v>
      </c>
      <c r="F82" s="35"/>
      <c r="G82" s="51"/>
    </row>
    <row r="83" spans="1:7" s="252" customFormat="1" ht="33.75" customHeight="1">
      <c r="A83" s="751"/>
      <c r="B83" s="686"/>
      <c r="C83" s="706" t="s">
        <v>1676</v>
      </c>
      <c r="D83" s="490" t="s">
        <v>1677</v>
      </c>
      <c r="E83" s="254" t="s">
        <v>103</v>
      </c>
      <c r="F83" s="35"/>
      <c r="G83" s="51" t="s">
        <v>1687</v>
      </c>
    </row>
    <row r="84" spans="1:7" s="252" customFormat="1" ht="33.75" customHeight="1" thickBot="1">
      <c r="A84" s="751"/>
      <c r="B84" s="686"/>
      <c r="C84" s="708"/>
      <c r="D84" s="375" t="s">
        <v>1678</v>
      </c>
      <c r="E84" s="376" t="s">
        <v>103</v>
      </c>
      <c r="F84" s="377"/>
      <c r="G84" s="378"/>
    </row>
    <row r="85" spans="1:7" s="252" customFormat="1" ht="33.75" customHeight="1" thickBot="1">
      <c r="A85" s="752"/>
      <c r="B85" s="687"/>
      <c r="C85" s="47" t="s">
        <v>1595</v>
      </c>
      <c r="D85" s="27" t="s">
        <v>1642</v>
      </c>
      <c r="E85" s="22" t="s">
        <v>1641</v>
      </c>
      <c r="F85" s="22" t="s">
        <v>1643</v>
      </c>
      <c r="G85" s="58"/>
    </row>
    <row r="86" spans="1:7" s="252" customFormat="1" ht="97.5" customHeight="1" thickBot="1">
      <c r="A86" s="753" t="s">
        <v>0</v>
      </c>
      <c r="B86" s="754"/>
      <c r="C86" s="754"/>
      <c r="D86" s="754"/>
      <c r="E86" s="754"/>
      <c r="F86" s="754"/>
      <c r="G86" s="787"/>
    </row>
    <row r="87" spans="1:7" s="252" customFormat="1" ht="30.75" customHeight="1">
      <c r="A87" s="750">
        <v>43759</v>
      </c>
      <c r="B87" s="685" t="s">
        <v>2</v>
      </c>
      <c r="C87" s="702" t="s">
        <v>1180</v>
      </c>
      <c r="D87" s="18" t="s">
        <v>42</v>
      </c>
      <c r="E87" s="290">
        <v>112</v>
      </c>
      <c r="F87" s="42" t="s">
        <v>1656</v>
      </c>
      <c r="G87" s="55"/>
    </row>
    <row r="88" spans="1:7" s="252" customFormat="1" ht="30.75" customHeight="1">
      <c r="A88" s="751"/>
      <c r="B88" s="686"/>
      <c r="C88" s="703"/>
      <c r="D88" s="490" t="s">
        <v>1170</v>
      </c>
      <c r="E88" s="254" t="s">
        <v>252</v>
      </c>
      <c r="F88" s="35"/>
      <c r="G88" s="51"/>
    </row>
    <row r="89" spans="1:7" s="252" customFormat="1" ht="30.75" customHeight="1" thickBot="1">
      <c r="A89" s="751"/>
      <c r="B89" s="686"/>
      <c r="C89" s="599" t="s">
        <v>1665</v>
      </c>
      <c r="D89" s="490" t="s">
        <v>1666</v>
      </c>
      <c r="E89" s="254">
        <v>384</v>
      </c>
      <c r="F89" s="35" t="s">
        <v>1672</v>
      </c>
      <c r="G89" s="51"/>
    </row>
    <row r="90" spans="1:7" s="252" customFormat="1" ht="30.75" customHeight="1" thickBot="1">
      <c r="A90" s="752"/>
      <c r="B90" s="687"/>
      <c r="C90" s="47"/>
      <c r="D90" s="27"/>
      <c r="E90" s="22"/>
      <c r="F90" s="22"/>
      <c r="G90" s="58"/>
    </row>
    <row r="91" spans="1:7" s="252" customFormat="1" ht="30.75" customHeight="1">
      <c r="A91" s="750">
        <v>43760</v>
      </c>
      <c r="B91" s="685" t="s">
        <v>16</v>
      </c>
      <c r="C91" s="702" t="s">
        <v>3</v>
      </c>
      <c r="D91" s="162" t="s">
        <v>1627</v>
      </c>
      <c r="E91" s="253">
        <v>188</v>
      </c>
      <c r="F91" s="39"/>
      <c r="G91" s="55"/>
    </row>
    <row r="92" spans="1:7" s="252" customFormat="1" ht="30.75" customHeight="1">
      <c r="A92" s="751"/>
      <c r="B92" s="686"/>
      <c r="C92" s="705"/>
      <c r="D92" s="18" t="s">
        <v>1628</v>
      </c>
      <c r="E92" s="382">
        <v>70</v>
      </c>
      <c r="F92" s="42"/>
      <c r="G92" s="55"/>
    </row>
    <row r="93" spans="1:7" s="252" customFormat="1" ht="30.75" customHeight="1">
      <c r="A93" s="751"/>
      <c r="B93" s="686"/>
      <c r="C93" s="703"/>
      <c r="D93" s="490" t="s">
        <v>1552</v>
      </c>
      <c r="E93" s="254" t="s">
        <v>1581</v>
      </c>
      <c r="F93" s="35"/>
      <c r="G93" s="51"/>
    </row>
    <row r="94" spans="1:7" s="252" customFormat="1" ht="30.75" customHeight="1">
      <c r="A94" s="751"/>
      <c r="B94" s="686"/>
      <c r="C94" s="705" t="s">
        <v>7</v>
      </c>
      <c r="D94" s="18" t="s">
        <v>1682</v>
      </c>
      <c r="E94" s="290">
        <v>49</v>
      </c>
      <c r="F94" s="42"/>
      <c r="G94" s="55"/>
    </row>
    <row r="95" spans="1:7" s="252" customFormat="1" ht="30.75" customHeight="1">
      <c r="A95" s="751"/>
      <c r="B95" s="686"/>
      <c r="C95" s="705"/>
      <c r="D95" s="490" t="s">
        <v>27</v>
      </c>
      <c r="E95" s="254">
        <v>128</v>
      </c>
      <c r="F95" s="35"/>
      <c r="G95" s="55"/>
    </row>
    <row r="96" spans="1:7" s="252" customFormat="1" ht="30.75" customHeight="1">
      <c r="A96" s="751"/>
      <c r="B96" s="686"/>
      <c r="C96" s="705"/>
      <c r="D96" s="31" t="s">
        <v>1699</v>
      </c>
      <c r="E96" s="382">
        <v>40</v>
      </c>
      <c r="F96" s="42"/>
      <c r="G96" s="55"/>
    </row>
    <row r="97" spans="1:7" s="252" customFormat="1" ht="30.75" customHeight="1" thickBot="1">
      <c r="A97" s="751"/>
      <c r="B97" s="686"/>
      <c r="C97" s="703"/>
      <c r="D97" s="490" t="s">
        <v>1683</v>
      </c>
      <c r="E97" s="254">
        <v>120</v>
      </c>
      <c r="F97" s="35"/>
      <c r="G97" s="51"/>
    </row>
    <row r="98" spans="1:7" s="252" customFormat="1" ht="30.75" customHeight="1" thickBot="1">
      <c r="A98" s="752"/>
      <c r="B98" s="687"/>
      <c r="C98" s="47"/>
      <c r="D98" s="27"/>
      <c r="E98" s="22"/>
      <c r="F98" s="22"/>
      <c r="G98" s="58"/>
    </row>
    <row r="99" spans="1:7" s="252" customFormat="1" ht="30.75" customHeight="1">
      <c r="A99" s="751">
        <v>43761</v>
      </c>
      <c r="B99" s="686" t="s">
        <v>1679</v>
      </c>
      <c r="C99" s="608" t="s">
        <v>1680</v>
      </c>
      <c r="D99" s="25" t="s">
        <v>1677</v>
      </c>
      <c r="E99" s="255" t="s">
        <v>1681</v>
      </c>
      <c r="F99" s="41"/>
      <c r="G99" s="54"/>
    </row>
    <row r="100" spans="1:7" s="252" customFormat="1" ht="30.75" customHeight="1">
      <c r="A100" s="751"/>
      <c r="B100" s="686"/>
      <c r="C100" s="611" t="s">
        <v>1688</v>
      </c>
      <c r="D100" s="490" t="s">
        <v>1689</v>
      </c>
      <c r="E100" s="254" t="s">
        <v>1690</v>
      </c>
      <c r="F100" s="35"/>
      <c r="G100" s="51"/>
    </row>
    <row r="101" spans="1:7" s="252" customFormat="1" ht="30.75" customHeight="1">
      <c r="A101" s="751"/>
      <c r="B101" s="686"/>
      <c r="C101" s="706" t="s">
        <v>1180</v>
      </c>
      <c r="D101" s="490" t="s">
        <v>1135</v>
      </c>
      <c r="E101" s="255" t="s">
        <v>1371</v>
      </c>
      <c r="F101" s="41" t="s">
        <v>1657</v>
      </c>
      <c r="G101" s="54"/>
    </row>
    <row r="102" spans="1:7" s="252" customFormat="1" ht="30.75" customHeight="1">
      <c r="A102" s="751"/>
      <c r="B102" s="686"/>
      <c r="C102" s="705"/>
      <c r="D102" s="490" t="s">
        <v>1112</v>
      </c>
      <c r="E102" s="255" t="s">
        <v>8</v>
      </c>
      <c r="F102" s="41"/>
      <c r="G102" s="54"/>
    </row>
    <row r="103" spans="1:7" s="252" customFormat="1" ht="30.75" customHeight="1">
      <c r="A103" s="751"/>
      <c r="B103" s="686"/>
      <c r="C103" s="703"/>
      <c r="D103" s="490" t="s">
        <v>1096</v>
      </c>
      <c r="E103" s="255" t="s">
        <v>1635</v>
      </c>
      <c r="F103" s="41"/>
      <c r="G103" s="54"/>
    </row>
    <row r="104" spans="1:7" s="252" customFormat="1" ht="30.75" customHeight="1">
      <c r="A104" s="751"/>
      <c r="B104" s="686"/>
      <c r="C104" s="706" t="s">
        <v>1694</v>
      </c>
      <c r="D104" s="31" t="s">
        <v>1695</v>
      </c>
      <c r="E104" s="255">
        <v>50</v>
      </c>
      <c r="F104" s="41"/>
      <c r="G104" s="54"/>
    </row>
    <row r="105" spans="1:7" s="252" customFormat="1" ht="30.75" customHeight="1" thickBot="1">
      <c r="A105" s="751"/>
      <c r="B105" s="686"/>
      <c r="C105" s="703"/>
      <c r="D105" s="490" t="s">
        <v>1693</v>
      </c>
      <c r="E105" s="254">
        <v>50</v>
      </c>
      <c r="F105" s="35"/>
      <c r="G105" s="51"/>
    </row>
    <row r="106" spans="1:7" s="252" customFormat="1" ht="30.75" customHeight="1" thickBot="1">
      <c r="A106" s="752"/>
      <c r="B106" s="687"/>
      <c r="C106" s="47"/>
      <c r="D106" s="27"/>
      <c r="E106" s="22"/>
      <c r="F106" s="22"/>
      <c r="G106" s="58"/>
    </row>
    <row r="107" spans="1:7" s="252" customFormat="1" ht="30.75" customHeight="1">
      <c r="A107" s="750">
        <v>43762</v>
      </c>
      <c r="B107" s="685" t="s">
        <v>17</v>
      </c>
      <c r="C107" s="702" t="s">
        <v>1700</v>
      </c>
      <c r="D107" s="162" t="s">
        <v>1702</v>
      </c>
      <c r="E107" s="253" t="s">
        <v>1701</v>
      </c>
      <c r="F107" s="42"/>
      <c r="G107" s="55"/>
    </row>
    <row r="108" spans="1:7" s="252" customFormat="1" ht="30.75" customHeight="1">
      <c r="A108" s="751"/>
      <c r="B108" s="686"/>
      <c r="C108" s="705"/>
      <c r="D108" s="31" t="s">
        <v>1703</v>
      </c>
      <c r="E108" s="382" t="s">
        <v>1704</v>
      </c>
      <c r="F108" s="42"/>
      <c r="G108" s="55"/>
    </row>
    <row r="109" spans="1:7" s="252" customFormat="1" ht="30.75" customHeight="1">
      <c r="A109" s="751"/>
      <c r="B109" s="686"/>
      <c r="C109" s="703"/>
      <c r="D109" s="25" t="s">
        <v>1705</v>
      </c>
      <c r="E109" s="255" t="s">
        <v>1706</v>
      </c>
      <c r="F109" s="35"/>
      <c r="G109" s="51"/>
    </row>
    <row r="110" spans="1:7" s="252" customFormat="1" ht="30.75" customHeight="1">
      <c r="A110" s="751"/>
      <c r="B110" s="686"/>
      <c r="C110" s="706" t="s">
        <v>65</v>
      </c>
      <c r="D110" s="490" t="s">
        <v>66</v>
      </c>
      <c r="E110" s="254">
        <v>50</v>
      </c>
      <c r="F110" s="35" t="s">
        <v>1715</v>
      </c>
      <c r="G110" s="51"/>
    </row>
    <row r="111" spans="1:7" s="252" customFormat="1" ht="30.75" customHeight="1">
      <c r="A111" s="751"/>
      <c r="B111" s="686"/>
      <c r="C111" s="705"/>
      <c r="D111" s="490" t="s">
        <v>28</v>
      </c>
      <c r="E111" s="254">
        <v>10</v>
      </c>
      <c r="F111" s="35"/>
      <c r="G111" s="51"/>
    </row>
    <row r="112" spans="1:7" s="252" customFormat="1" ht="30.75" customHeight="1">
      <c r="A112" s="751"/>
      <c r="B112" s="686"/>
      <c r="C112" s="703"/>
      <c r="D112" s="453" t="s">
        <v>1096</v>
      </c>
      <c r="E112" s="476" t="s">
        <v>8</v>
      </c>
      <c r="F112" s="477"/>
      <c r="G112" s="55"/>
    </row>
    <row r="113" spans="1:7" s="252" customFormat="1" ht="30.75" customHeight="1" thickBot="1">
      <c r="A113" s="751"/>
      <c r="B113" s="686"/>
      <c r="C113" s="613" t="s">
        <v>1707</v>
      </c>
      <c r="D113" s="441" t="s">
        <v>1708</v>
      </c>
      <c r="E113" s="254">
        <v>52</v>
      </c>
      <c r="F113" s="443"/>
      <c r="G113" s="378"/>
    </row>
    <row r="114" spans="1:7" s="252" customFormat="1" ht="30.75" customHeight="1" thickBot="1">
      <c r="A114" s="752"/>
      <c r="B114" s="687"/>
      <c r="C114" s="47"/>
      <c r="D114" s="27"/>
      <c r="E114" s="22"/>
      <c r="F114" s="22"/>
      <c r="G114" s="58"/>
    </row>
    <row r="115" spans="1:7" s="252" customFormat="1" ht="30.75" customHeight="1">
      <c r="A115" s="750">
        <v>43763</v>
      </c>
      <c r="B115" s="685" t="s">
        <v>18</v>
      </c>
      <c r="C115" s="705" t="s">
        <v>1696</v>
      </c>
      <c r="D115" s="18" t="s">
        <v>1697</v>
      </c>
      <c r="E115" s="382">
        <v>35</v>
      </c>
      <c r="F115" s="42"/>
      <c r="G115" s="55"/>
    </row>
    <row r="116" spans="1:7" s="252" customFormat="1" ht="30.75" customHeight="1">
      <c r="A116" s="751"/>
      <c r="B116" s="686"/>
      <c r="C116" s="703"/>
      <c r="D116" s="25" t="s">
        <v>1698</v>
      </c>
      <c r="E116" s="255">
        <v>131</v>
      </c>
      <c r="F116" s="35"/>
      <c r="G116" s="51"/>
    </row>
    <row r="117" spans="1:7" s="252" customFormat="1" ht="30.75" customHeight="1">
      <c r="A117" s="751"/>
      <c r="B117" s="686"/>
      <c r="C117" s="612" t="s">
        <v>1709</v>
      </c>
      <c r="D117" s="25" t="s">
        <v>1710</v>
      </c>
      <c r="E117" s="255">
        <v>56</v>
      </c>
      <c r="F117" s="35"/>
      <c r="G117" s="51" t="s">
        <v>1739</v>
      </c>
    </row>
    <row r="118" spans="1:7" s="252" customFormat="1" ht="30.75" customHeight="1" thickBot="1">
      <c r="A118" s="751"/>
      <c r="B118" s="686"/>
      <c r="C118" s="610" t="s">
        <v>1691</v>
      </c>
      <c r="D118" s="490" t="s">
        <v>1692</v>
      </c>
      <c r="E118" s="254">
        <v>200</v>
      </c>
      <c r="F118" s="35"/>
      <c r="G118" s="51"/>
    </row>
    <row r="119" spans="1:7" s="252" customFormat="1" ht="30.75" customHeight="1" thickBot="1">
      <c r="A119" s="752"/>
      <c r="B119" s="687"/>
      <c r="C119" s="47" t="s">
        <v>81</v>
      </c>
      <c r="D119" s="27" t="s">
        <v>1685</v>
      </c>
      <c r="E119" s="22" t="s">
        <v>1684</v>
      </c>
      <c r="F119" s="22" t="s">
        <v>84</v>
      </c>
      <c r="G119" s="58"/>
    </row>
    <row r="120" spans="1:7" ht="96.75" customHeight="1" thickBot="1">
      <c r="A120" s="753" t="s">
        <v>0</v>
      </c>
      <c r="B120" s="754"/>
      <c r="C120" s="754"/>
      <c r="D120" s="754"/>
      <c r="E120" s="754"/>
      <c r="F120" s="754"/>
      <c r="G120" s="787"/>
    </row>
    <row r="121" spans="1:7" ht="30.75" customHeight="1">
      <c r="A121" s="750">
        <v>43766</v>
      </c>
      <c r="B121" s="685" t="s">
        <v>2</v>
      </c>
      <c r="C121" s="616" t="s">
        <v>1645</v>
      </c>
      <c r="D121" s="18" t="s">
        <v>1646</v>
      </c>
      <c r="E121" s="382">
        <v>251</v>
      </c>
      <c r="F121" s="42"/>
      <c r="G121" s="55"/>
    </row>
    <row r="122" spans="1:7" ht="30.75" customHeight="1">
      <c r="A122" s="751"/>
      <c r="B122" s="686"/>
      <c r="C122" s="610" t="s">
        <v>1673</v>
      </c>
      <c r="D122" s="490" t="s">
        <v>1674</v>
      </c>
      <c r="E122" s="254" t="s">
        <v>1675</v>
      </c>
      <c r="F122" s="35"/>
      <c r="G122" s="51"/>
    </row>
    <row r="123" spans="1:7" ht="30.75" customHeight="1">
      <c r="A123" s="751"/>
      <c r="B123" s="686"/>
      <c r="C123" s="706" t="s">
        <v>1732</v>
      </c>
      <c r="D123" s="490" t="s">
        <v>1730</v>
      </c>
      <c r="E123" s="254">
        <v>25</v>
      </c>
      <c r="F123" s="35"/>
      <c r="G123" s="51"/>
    </row>
    <row r="124" spans="1:7" ht="30.75" customHeight="1">
      <c r="A124" s="751"/>
      <c r="B124" s="686"/>
      <c r="C124" s="703"/>
      <c r="D124" s="490" t="s">
        <v>1731</v>
      </c>
      <c r="E124" s="254">
        <v>25</v>
      </c>
      <c r="F124" s="35"/>
      <c r="G124" s="51"/>
    </row>
    <row r="125" spans="1:7" ht="30.75" customHeight="1" thickBot="1">
      <c r="A125" s="751"/>
      <c r="B125" s="686"/>
      <c r="C125" s="614" t="s">
        <v>224</v>
      </c>
      <c r="D125" s="441" t="s">
        <v>1718</v>
      </c>
      <c r="E125" s="382">
        <v>100</v>
      </c>
      <c r="F125" s="443"/>
      <c r="G125" s="378"/>
    </row>
    <row r="126" spans="1:7" ht="30.75" customHeight="1" thickBot="1">
      <c r="A126" s="752"/>
      <c r="B126" s="687"/>
      <c r="C126" s="47" t="s">
        <v>560</v>
      </c>
      <c r="D126" s="27" t="s">
        <v>1686</v>
      </c>
      <c r="E126" s="22" t="s">
        <v>566</v>
      </c>
      <c r="F126" s="22" t="s">
        <v>84</v>
      </c>
      <c r="G126" s="58"/>
    </row>
    <row r="127" spans="1:7" ht="30.75" customHeight="1">
      <c r="A127" s="750">
        <v>43767</v>
      </c>
      <c r="B127" s="685" t="s">
        <v>16</v>
      </c>
      <c r="C127" s="705" t="s">
        <v>1722</v>
      </c>
      <c r="D127" s="18" t="s">
        <v>1723</v>
      </c>
      <c r="E127" s="382">
        <v>194</v>
      </c>
      <c r="F127" s="42"/>
      <c r="G127" s="55" t="s">
        <v>1746</v>
      </c>
    </row>
    <row r="128" spans="1:7" ht="30.75" customHeight="1">
      <c r="A128" s="751"/>
      <c r="B128" s="686"/>
      <c r="C128" s="703"/>
      <c r="D128" s="25" t="s">
        <v>1724</v>
      </c>
      <c r="E128" s="255" t="s">
        <v>1725</v>
      </c>
      <c r="F128" s="35"/>
      <c r="G128" s="51"/>
    </row>
    <row r="129" spans="1:7" ht="30.75" customHeight="1">
      <c r="A129" s="751"/>
      <c r="B129" s="686"/>
      <c r="C129" s="615" t="s">
        <v>1733</v>
      </c>
      <c r="D129" s="490" t="s">
        <v>1723</v>
      </c>
      <c r="E129" s="254">
        <v>80</v>
      </c>
      <c r="F129" s="35" t="s">
        <v>1740</v>
      </c>
      <c r="G129" s="51" t="s">
        <v>1746</v>
      </c>
    </row>
    <row r="130" spans="1:7" ht="30.75" customHeight="1">
      <c r="A130" s="751"/>
      <c r="B130" s="686"/>
      <c r="C130" s="617" t="s">
        <v>1741</v>
      </c>
      <c r="D130" s="490" t="s">
        <v>1742</v>
      </c>
      <c r="E130" s="254">
        <v>100</v>
      </c>
      <c r="F130" s="35"/>
      <c r="G130" s="51" t="s">
        <v>1766</v>
      </c>
    </row>
    <row r="131" spans="1:7" ht="30.75" customHeight="1">
      <c r="A131" s="751"/>
      <c r="B131" s="686"/>
      <c r="C131" s="797" t="s">
        <v>1180</v>
      </c>
      <c r="D131" s="490" t="s">
        <v>1135</v>
      </c>
      <c r="E131" s="254" t="s">
        <v>111</v>
      </c>
      <c r="F131" s="35"/>
      <c r="G131" s="51"/>
    </row>
    <row r="132" spans="1:7" ht="30.75" customHeight="1">
      <c r="A132" s="751"/>
      <c r="B132" s="686"/>
      <c r="C132" s="683"/>
      <c r="D132" s="490" t="s">
        <v>1735</v>
      </c>
      <c r="E132" s="254" t="s">
        <v>1736</v>
      </c>
      <c r="F132" s="35"/>
      <c r="G132" s="51"/>
    </row>
    <row r="133" spans="1:7" ht="30.75" customHeight="1">
      <c r="A133" s="751"/>
      <c r="B133" s="686"/>
      <c r="C133" s="683"/>
      <c r="D133" s="490" t="s">
        <v>1737</v>
      </c>
      <c r="E133" s="254" t="s">
        <v>393</v>
      </c>
      <c r="F133" s="35"/>
      <c r="G133" s="51"/>
    </row>
    <row r="134" spans="1:7" ht="30.75" customHeight="1">
      <c r="A134" s="751"/>
      <c r="B134" s="686"/>
      <c r="C134" s="683"/>
      <c r="D134" s="490" t="s">
        <v>1738</v>
      </c>
      <c r="E134" s="254" t="s">
        <v>393</v>
      </c>
      <c r="F134" s="35"/>
      <c r="G134" s="51"/>
    </row>
    <row r="135" spans="1:7" ht="30.75" customHeight="1" thickBot="1">
      <c r="A135" s="751"/>
      <c r="B135" s="686"/>
      <c r="C135" s="684"/>
      <c r="D135" s="441" t="s">
        <v>1734</v>
      </c>
      <c r="E135" s="290">
        <v>80</v>
      </c>
      <c r="F135" s="442"/>
      <c r="G135" s="378"/>
    </row>
    <row r="136" spans="1:7" ht="30.75" customHeight="1" thickBot="1">
      <c r="A136" s="752"/>
      <c r="B136" s="687"/>
      <c r="C136" s="47" t="s">
        <v>1726</v>
      </c>
      <c r="D136" s="27" t="s">
        <v>1729</v>
      </c>
      <c r="E136" s="22" t="s">
        <v>1727</v>
      </c>
      <c r="F136" s="22" t="s">
        <v>1728</v>
      </c>
      <c r="G136" s="58"/>
    </row>
    <row r="137" spans="1:7" ht="30.75" customHeight="1">
      <c r="A137" s="750">
        <v>43768</v>
      </c>
      <c r="B137" s="685" t="s">
        <v>15</v>
      </c>
      <c r="C137" s="618" t="s">
        <v>1711</v>
      </c>
      <c r="D137" s="162" t="s">
        <v>1712</v>
      </c>
      <c r="E137" s="253">
        <v>208</v>
      </c>
      <c r="F137" s="42"/>
      <c r="G137" s="55"/>
    </row>
    <row r="138" spans="1:7" ht="30.75" customHeight="1">
      <c r="A138" s="751"/>
      <c r="B138" s="686"/>
      <c r="C138" s="705" t="s">
        <v>695</v>
      </c>
      <c r="D138" s="18" t="s">
        <v>1096</v>
      </c>
      <c r="E138" s="290" t="s">
        <v>8</v>
      </c>
      <c r="F138" s="35"/>
      <c r="G138" s="51"/>
    </row>
    <row r="139" spans="1:7" ht="30.75" customHeight="1" thickBot="1">
      <c r="A139" s="751"/>
      <c r="B139" s="686"/>
      <c r="C139" s="703"/>
      <c r="D139" s="18" t="s">
        <v>1135</v>
      </c>
      <c r="E139" s="290" t="s">
        <v>91</v>
      </c>
      <c r="F139" s="443"/>
      <c r="G139" s="622"/>
    </row>
    <row r="140" spans="1:7" ht="30.75" customHeight="1" thickBot="1">
      <c r="A140" s="752"/>
      <c r="B140" s="687"/>
      <c r="C140" s="47"/>
      <c r="D140" s="27"/>
      <c r="E140" s="22"/>
      <c r="F140" s="22"/>
      <c r="G140" s="58"/>
    </row>
    <row r="141" spans="1:7" ht="30.75" customHeight="1">
      <c r="A141" s="751">
        <v>43769</v>
      </c>
      <c r="B141" s="686" t="s">
        <v>1752</v>
      </c>
      <c r="C141" s="619" t="s">
        <v>65</v>
      </c>
      <c r="D141" s="18" t="s">
        <v>1749</v>
      </c>
      <c r="E141" s="290">
        <v>100</v>
      </c>
      <c r="F141" s="35" t="s">
        <v>1750</v>
      </c>
      <c r="G141" s="51" t="s">
        <v>1766</v>
      </c>
    </row>
    <row r="142" spans="1:7" ht="30.75" customHeight="1">
      <c r="A142" s="751"/>
      <c r="B142" s="686"/>
      <c r="C142" s="615" t="s">
        <v>9</v>
      </c>
      <c r="D142" s="490" t="s">
        <v>1747</v>
      </c>
      <c r="E142" s="254">
        <v>100</v>
      </c>
      <c r="F142" s="35" t="s">
        <v>1748</v>
      </c>
      <c r="G142" s="51" t="s">
        <v>1766</v>
      </c>
    </row>
    <row r="143" spans="1:7" ht="30.75" customHeight="1" thickBot="1">
      <c r="A143" s="751"/>
      <c r="B143" s="686"/>
      <c r="C143" s="620"/>
      <c r="D143" s="621"/>
      <c r="E143" s="443"/>
      <c r="F143" s="443"/>
      <c r="G143" s="378"/>
    </row>
    <row r="144" spans="1:7" ht="30.75" customHeight="1" thickBot="1">
      <c r="A144" s="752"/>
      <c r="B144" s="687"/>
      <c r="C144" s="47"/>
      <c r="D144" s="27"/>
      <c r="E144" s="22"/>
      <c r="F144" s="22"/>
      <c r="G144" s="58"/>
    </row>
    <row r="145" spans="1:7" ht="30.75" customHeight="1">
      <c r="A145" s="750">
        <v>43770</v>
      </c>
      <c r="B145" s="685" t="s">
        <v>18</v>
      </c>
      <c r="C145" s="705" t="s">
        <v>7</v>
      </c>
      <c r="D145" s="18" t="s">
        <v>1719</v>
      </c>
      <c r="E145" s="253">
        <v>64</v>
      </c>
      <c r="F145" s="42" t="s">
        <v>1751</v>
      </c>
      <c r="G145" s="55" t="s">
        <v>1798</v>
      </c>
    </row>
    <row r="146" spans="1:7" ht="30.75" customHeight="1">
      <c r="A146" s="751"/>
      <c r="B146" s="686"/>
      <c r="C146" s="705"/>
      <c r="D146" s="490" t="s">
        <v>1720</v>
      </c>
      <c r="E146" s="254">
        <v>40</v>
      </c>
      <c r="F146" s="42"/>
      <c r="G146" s="55"/>
    </row>
    <row r="147" spans="1:7" ht="30.75" customHeight="1">
      <c r="A147" s="751"/>
      <c r="B147" s="686"/>
      <c r="C147" s="705"/>
      <c r="D147" s="31" t="s">
        <v>1742</v>
      </c>
      <c r="E147" s="382">
        <v>128</v>
      </c>
      <c r="F147" s="42"/>
      <c r="G147" s="55"/>
    </row>
    <row r="148" spans="1:7" ht="30.75" customHeight="1">
      <c r="A148" s="751"/>
      <c r="B148" s="686"/>
      <c r="C148" s="703"/>
      <c r="D148" s="25" t="s">
        <v>1765</v>
      </c>
      <c r="E148" s="255" t="s">
        <v>1721</v>
      </c>
      <c r="F148" s="35"/>
      <c r="G148" s="51"/>
    </row>
    <row r="149" spans="1:7" ht="30.75" customHeight="1">
      <c r="A149" s="751"/>
      <c r="B149" s="686"/>
      <c r="C149" s="615" t="s">
        <v>1785</v>
      </c>
      <c r="D149" s="490" t="s">
        <v>1786</v>
      </c>
      <c r="E149" s="254" t="s">
        <v>1787</v>
      </c>
      <c r="F149" s="35"/>
      <c r="G149" s="51"/>
    </row>
    <row r="150" spans="1:7" ht="30.75" customHeight="1" thickBot="1">
      <c r="A150" s="751"/>
      <c r="B150" s="686"/>
      <c r="C150" s="625" t="s">
        <v>1788</v>
      </c>
      <c r="D150" s="441" t="s">
        <v>1789</v>
      </c>
      <c r="E150" s="254">
        <v>50</v>
      </c>
      <c r="F150" s="442"/>
      <c r="G150" s="378"/>
    </row>
    <row r="151" spans="1:7" ht="30.75" customHeight="1" thickBot="1">
      <c r="A151" s="752"/>
      <c r="B151" s="687"/>
      <c r="C151" s="47"/>
      <c r="D151" s="27"/>
      <c r="E151" s="22"/>
      <c r="F151" s="22"/>
      <c r="G151" s="58"/>
    </row>
  </sheetData>
  <mergeCells count="88">
    <mergeCell ref="A18:A27"/>
    <mergeCell ref="C138:C139"/>
    <mergeCell ref="A127:A136"/>
    <mergeCell ref="B127:B136"/>
    <mergeCell ref="C127:C128"/>
    <mergeCell ref="A137:A140"/>
    <mergeCell ref="B137:B140"/>
    <mergeCell ref="B18:B27"/>
    <mergeCell ref="C19:C24"/>
    <mergeCell ref="A28:G28"/>
    <mergeCell ref="A29:A30"/>
    <mergeCell ref="B29:B30"/>
    <mergeCell ref="A39:A45"/>
    <mergeCell ref="B39:B45"/>
    <mergeCell ref="C37:G38"/>
    <mergeCell ref="B37:B38"/>
    <mergeCell ref="A145:A151"/>
    <mergeCell ref="B145:B151"/>
    <mergeCell ref="C145:C148"/>
    <mergeCell ref="A141:A144"/>
    <mergeCell ref="B141:B144"/>
    <mergeCell ref="A1:G1"/>
    <mergeCell ref="A6:A9"/>
    <mergeCell ref="B6:B9"/>
    <mergeCell ref="C16:G17"/>
    <mergeCell ref="A10:A15"/>
    <mergeCell ref="B10:B15"/>
    <mergeCell ref="A16:A17"/>
    <mergeCell ref="B16:B17"/>
    <mergeCell ref="C6:C7"/>
    <mergeCell ref="A2:A5"/>
    <mergeCell ref="C10:C12"/>
    <mergeCell ref="B2:B5"/>
    <mergeCell ref="C2:C3"/>
    <mergeCell ref="C13:C14"/>
    <mergeCell ref="A37:A38"/>
    <mergeCell ref="A31:A36"/>
    <mergeCell ref="B31:B36"/>
    <mergeCell ref="C31:C32"/>
    <mergeCell ref="C39:C40"/>
    <mergeCell ref="A46:A54"/>
    <mergeCell ref="B46:B54"/>
    <mergeCell ref="C46:C49"/>
    <mergeCell ref="A55:G55"/>
    <mergeCell ref="A56:A57"/>
    <mergeCell ref="B56:B57"/>
    <mergeCell ref="C50:C51"/>
    <mergeCell ref="C52:C53"/>
    <mergeCell ref="C75:C77"/>
    <mergeCell ref="C94:C97"/>
    <mergeCell ref="C71:C72"/>
    <mergeCell ref="C83:C84"/>
    <mergeCell ref="A75:A80"/>
    <mergeCell ref="B75:B80"/>
    <mergeCell ref="A91:A98"/>
    <mergeCell ref="C81:C82"/>
    <mergeCell ref="A86:G86"/>
    <mergeCell ref="A87:A90"/>
    <mergeCell ref="B87:B90"/>
    <mergeCell ref="C87:C88"/>
    <mergeCell ref="A81:A85"/>
    <mergeCell ref="B81:B85"/>
    <mergeCell ref="B91:B98"/>
    <mergeCell ref="C91:C93"/>
    <mergeCell ref="A58:A68"/>
    <mergeCell ref="B58:B68"/>
    <mergeCell ref="C56:C57"/>
    <mergeCell ref="A69:A74"/>
    <mergeCell ref="B69:B74"/>
    <mergeCell ref="C58:C64"/>
    <mergeCell ref="C69:C70"/>
    <mergeCell ref="C66:C67"/>
    <mergeCell ref="C131:C135"/>
    <mergeCell ref="C101:C103"/>
    <mergeCell ref="A120:G120"/>
    <mergeCell ref="A121:A126"/>
    <mergeCell ref="B121:B126"/>
    <mergeCell ref="C104:C105"/>
    <mergeCell ref="A107:A114"/>
    <mergeCell ref="B107:B114"/>
    <mergeCell ref="A115:A119"/>
    <mergeCell ref="B115:B119"/>
    <mergeCell ref="C115:C116"/>
    <mergeCell ref="A99:A106"/>
    <mergeCell ref="B99:B106"/>
    <mergeCell ref="C107:C109"/>
    <mergeCell ref="C123:C124"/>
    <mergeCell ref="C110:C112"/>
  </mergeCells>
  <phoneticPr fontId="1" type="noConversion"/>
  <printOptions horizontalCentered="1" verticalCentered="1"/>
  <pageMargins left="0.15748031496062992" right="0.15748031496062992" top="0.15748031496062992" bottom="0.15748031496062992" header="0.11811023622047245" footer="0.31496062992125984"/>
  <pageSetup paperSize="9" scale="70" fitToHeight="5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7"/>
  <sheetViews>
    <sheetView view="pageBreakPreview" topLeftCell="A46" zoomScale="71" zoomScaleNormal="87" zoomScaleSheetLayoutView="71" zoomScalePageLayoutView="75" workbookViewId="0">
      <selection activeCell="E113" sqref="E113"/>
    </sheetView>
  </sheetViews>
  <sheetFormatPr defaultRowHeight="36" customHeight="1"/>
  <cols>
    <col min="1" max="1" width="12.5" style="260" customWidth="1"/>
    <col min="2" max="2" width="8.5" style="261" customWidth="1"/>
    <col min="3" max="3" width="17.875" style="317" customWidth="1"/>
    <col min="4" max="4" width="22.5" style="37" customWidth="1"/>
    <col min="5" max="5" width="15.375" style="262" customWidth="1"/>
    <col min="6" max="6" width="25.625" style="262" customWidth="1"/>
    <col min="7" max="7" width="28.125" style="263" customWidth="1"/>
    <col min="8" max="8" width="42.5" style="252" customWidth="1"/>
    <col min="9" max="16384" width="9" style="37"/>
  </cols>
  <sheetData>
    <row r="1" spans="1:7" s="252" customFormat="1" ht="105" customHeight="1" thickBot="1">
      <c r="A1" s="753" t="s">
        <v>0</v>
      </c>
      <c r="B1" s="754"/>
      <c r="C1" s="754"/>
      <c r="D1" s="754"/>
      <c r="E1" s="754"/>
      <c r="F1" s="754"/>
      <c r="G1" s="787"/>
    </row>
    <row r="2" spans="1:7" ht="36" customHeight="1">
      <c r="A2" s="750">
        <v>43773</v>
      </c>
      <c r="B2" s="685" t="s">
        <v>1650</v>
      </c>
      <c r="C2" s="705" t="s">
        <v>1713</v>
      </c>
      <c r="D2" s="18" t="s">
        <v>1714</v>
      </c>
      <c r="E2" s="382">
        <v>238</v>
      </c>
      <c r="F2" s="42"/>
      <c r="G2" s="55"/>
    </row>
    <row r="3" spans="1:7" ht="36" customHeight="1">
      <c r="A3" s="751"/>
      <c r="B3" s="686"/>
      <c r="C3" s="703"/>
      <c r="D3" s="25" t="s">
        <v>1762</v>
      </c>
      <c r="E3" s="255">
        <v>82</v>
      </c>
      <c r="F3" s="35"/>
      <c r="G3" s="51"/>
    </row>
    <row r="4" spans="1:7" ht="36" customHeight="1">
      <c r="A4" s="751"/>
      <c r="B4" s="686"/>
      <c r="C4" s="596" t="s">
        <v>1763</v>
      </c>
      <c r="D4" s="25" t="s">
        <v>1764</v>
      </c>
      <c r="E4" s="255">
        <v>100</v>
      </c>
      <c r="F4" s="35"/>
      <c r="G4" s="51" t="s">
        <v>1777</v>
      </c>
    </row>
    <row r="5" spans="1:7" ht="36" customHeight="1" thickBot="1">
      <c r="A5" s="751"/>
      <c r="B5" s="686"/>
      <c r="C5" s="623" t="s">
        <v>1095</v>
      </c>
      <c r="D5" s="624" t="s">
        <v>1096</v>
      </c>
      <c r="E5" s="273" t="s">
        <v>8</v>
      </c>
      <c r="F5" s="377"/>
      <c r="G5" s="378" t="s">
        <v>1776</v>
      </c>
    </row>
    <row r="6" spans="1:7" ht="36" customHeight="1" thickBot="1">
      <c r="A6" s="752"/>
      <c r="B6" s="687"/>
      <c r="C6" s="47" t="s">
        <v>1778</v>
      </c>
      <c r="D6" s="27" t="s">
        <v>1784</v>
      </c>
      <c r="E6" s="22" t="s">
        <v>1779</v>
      </c>
      <c r="F6" s="22" t="s">
        <v>1783</v>
      </c>
      <c r="G6" s="58"/>
    </row>
    <row r="7" spans="1:7" s="252" customFormat="1" ht="36" customHeight="1">
      <c r="A7" s="751">
        <v>43774</v>
      </c>
      <c r="B7" s="686" t="s">
        <v>1647</v>
      </c>
      <c r="C7" s="702" t="s">
        <v>1754</v>
      </c>
      <c r="D7" s="162" t="s">
        <v>1756</v>
      </c>
      <c r="E7" s="253">
        <v>170</v>
      </c>
      <c r="F7" s="39" t="s">
        <v>1761</v>
      </c>
      <c r="G7" s="53"/>
    </row>
    <row r="8" spans="1:7" s="252" customFormat="1" ht="36" customHeight="1">
      <c r="A8" s="751"/>
      <c r="B8" s="686"/>
      <c r="C8" s="705"/>
      <c r="D8" s="18" t="s">
        <v>1757</v>
      </c>
      <c r="E8" s="290">
        <v>28</v>
      </c>
      <c r="F8" s="42"/>
      <c r="G8" s="55"/>
    </row>
    <row r="9" spans="1:7" s="252" customFormat="1" ht="36" customHeight="1">
      <c r="A9" s="751"/>
      <c r="B9" s="686"/>
      <c r="C9" s="705"/>
      <c r="D9" s="18" t="s">
        <v>1758</v>
      </c>
      <c r="E9" s="290">
        <v>10</v>
      </c>
      <c r="F9" s="42"/>
      <c r="G9" s="55"/>
    </row>
    <row r="10" spans="1:7" s="252" customFormat="1" ht="36" customHeight="1">
      <c r="A10" s="751"/>
      <c r="B10" s="686"/>
      <c r="C10" s="703"/>
      <c r="D10" s="18" t="s">
        <v>1759</v>
      </c>
      <c r="E10" s="290" t="s">
        <v>1760</v>
      </c>
      <c r="F10" s="42"/>
      <c r="G10" s="55"/>
    </row>
    <row r="11" spans="1:7" s="252" customFormat="1" ht="36" customHeight="1">
      <c r="A11" s="751"/>
      <c r="B11" s="686"/>
      <c r="C11" s="383" t="s">
        <v>1042</v>
      </c>
      <c r="D11" s="629" t="s">
        <v>1796</v>
      </c>
      <c r="E11" s="509">
        <v>100</v>
      </c>
      <c r="F11" s="42"/>
      <c r="G11" s="55"/>
    </row>
    <row r="12" spans="1:7" s="252" customFormat="1" ht="36" customHeight="1">
      <c r="A12" s="751"/>
      <c r="B12" s="686"/>
      <c r="C12" s="706" t="s">
        <v>1180</v>
      </c>
      <c r="D12" s="490" t="s">
        <v>1769</v>
      </c>
      <c r="E12" s="254">
        <v>50</v>
      </c>
      <c r="F12" s="42"/>
      <c r="G12" s="55"/>
    </row>
    <row r="13" spans="1:7" s="252" customFormat="1" ht="36" customHeight="1">
      <c r="A13" s="751"/>
      <c r="B13" s="686"/>
      <c r="C13" s="705"/>
      <c r="D13" s="31" t="s">
        <v>42</v>
      </c>
      <c r="E13" s="382">
        <v>150</v>
      </c>
      <c r="F13" s="42"/>
      <c r="G13" s="55"/>
    </row>
    <row r="14" spans="1:7" s="252" customFormat="1" ht="36" customHeight="1">
      <c r="A14" s="751"/>
      <c r="B14" s="686"/>
      <c r="C14" s="705"/>
      <c r="D14" s="490" t="s">
        <v>1770</v>
      </c>
      <c r="E14" s="254">
        <v>100</v>
      </c>
      <c r="F14" s="42"/>
      <c r="G14" s="55"/>
    </row>
    <row r="15" spans="1:7" s="252" customFormat="1" ht="36" customHeight="1">
      <c r="A15" s="751"/>
      <c r="B15" s="686"/>
      <c r="C15" s="705"/>
      <c r="D15" s="490" t="s">
        <v>1771</v>
      </c>
      <c r="E15" s="254" t="s">
        <v>1772</v>
      </c>
      <c r="F15" s="42"/>
      <c r="G15" s="55"/>
    </row>
    <row r="16" spans="1:7" s="252" customFormat="1" ht="36" customHeight="1" thickBot="1">
      <c r="A16" s="751"/>
      <c r="B16" s="686"/>
      <c r="C16" s="705"/>
      <c r="D16" s="490" t="s">
        <v>1773</v>
      </c>
      <c r="E16" s="254" t="s">
        <v>1774</v>
      </c>
      <c r="F16" s="42" t="s">
        <v>1775</v>
      </c>
      <c r="G16" s="55"/>
    </row>
    <row r="17" spans="1:7" s="252" customFormat="1" ht="36" customHeight="1" thickBot="1">
      <c r="A17" s="752"/>
      <c r="B17" s="687"/>
      <c r="C17" s="256"/>
      <c r="D17" s="257"/>
      <c r="E17" s="258"/>
      <c r="F17" s="22"/>
      <c r="G17" s="58"/>
    </row>
    <row r="18" spans="1:7" s="252" customFormat="1" ht="36" customHeight="1">
      <c r="A18" s="751">
        <v>43775</v>
      </c>
      <c r="B18" s="686" t="s">
        <v>1648</v>
      </c>
      <c r="C18" s="702" t="s">
        <v>1755</v>
      </c>
      <c r="D18" s="582" t="s">
        <v>1756</v>
      </c>
      <c r="E18" s="583">
        <v>200</v>
      </c>
      <c r="F18" s="372"/>
      <c r="G18" s="239" t="s">
        <v>1797</v>
      </c>
    </row>
    <row r="19" spans="1:7" s="252" customFormat="1" ht="36" customHeight="1">
      <c r="A19" s="751"/>
      <c r="B19" s="686"/>
      <c r="C19" s="703"/>
      <c r="D19" s="598" t="s">
        <v>1767</v>
      </c>
      <c r="E19" s="457" t="s">
        <v>1768</v>
      </c>
      <c r="F19" s="35" t="s">
        <v>1799</v>
      </c>
      <c r="G19" s="51"/>
    </row>
    <row r="20" spans="1:7" s="252" customFormat="1" ht="36" customHeight="1">
      <c r="A20" s="751"/>
      <c r="B20" s="686"/>
      <c r="C20" s="706" t="s">
        <v>1808</v>
      </c>
      <c r="D20" s="630" t="s">
        <v>1809</v>
      </c>
      <c r="E20" s="509">
        <v>50</v>
      </c>
      <c r="F20" s="42"/>
      <c r="G20" s="55"/>
    </row>
    <row r="21" spans="1:7" s="252" customFormat="1" ht="36" customHeight="1">
      <c r="A21" s="751"/>
      <c r="B21" s="686"/>
      <c r="C21" s="703"/>
      <c r="D21" s="630" t="s">
        <v>1810</v>
      </c>
      <c r="E21" s="509">
        <v>50</v>
      </c>
      <c r="F21" s="42"/>
      <c r="G21" s="55"/>
    </row>
    <row r="22" spans="1:7" s="252" customFormat="1" ht="36" customHeight="1">
      <c r="A22" s="751"/>
      <c r="B22" s="686"/>
      <c r="C22" s="706" t="s">
        <v>1801</v>
      </c>
      <c r="D22" s="597" t="s">
        <v>1802</v>
      </c>
      <c r="E22" s="509" t="s">
        <v>1803</v>
      </c>
      <c r="F22" s="42"/>
      <c r="G22" s="55" t="s">
        <v>1807</v>
      </c>
    </row>
    <row r="23" spans="1:7" s="252" customFormat="1" ht="36" customHeight="1">
      <c r="A23" s="751"/>
      <c r="B23" s="686"/>
      <c r="C23" s="705"/>
      <c r="D23" s="598" t="s">
        <v>1804</v>
      </c>
      <c r="E23" s="457" t="s">
        <v>1805</v>
      </c>
      <c r="F23" s="35"/>
      <c r="G23" s="51"/>
    </row>
    <row r="24" spans="1:7" s="252" customFormat="1" ht="36" customHeight="1" thickBot="1">
      <c r="A24" s="751"/>
      <c r="B24" s="686"/>
      <c r="C24" s="708"/>
      <c r="D24" s="116" t="s">
        <v>1806</v>
      </c>
      <c r="E24" s="574" t="s">
        <v>1805</v>
      </c>
      <c r="F24" s="56"/>
      <c r="G24" s="57"/>
    </row>
    <row r="25" spans="1:7" s="252" customFormat="1" ht="36" customHeight="1" thickBot="1">
      <c r="A25" s="752"/>
      <c r="B25" s="687"/>
      <c r="C25" s="274" t="s">
        <v>1780</v>
      </c>
      <c r="D25" s="257" t="s">
        <v>1782</v>
      </c>
      <c r="E25" s="258" t="s">
        <v>1781</v>
      </c>
      <c r="F25" s="34" t="s">
        <v>84</v>
      </c>
      <c r="G25" s="61"/>
    </row>
    <row r="26" spans="1:7" s="252" customFormat="1" ht="36" customHeight="1">
      <c r="A26" s="751">
        <v>43776</v>
      </c>
      <c r="B26" s="686" t="s">
        <v>1649</v>
      </c>
      <c r="C26" s="702" t="s">
        <v>3</v>
      </c>
      <c r="D26" s="18" t="s">
        <v>5</v>
      </c>
      <c r="E26" s="290">
        <v>235</v>
      </c>
      <c r="F26" s="602"/>
      <c r="G26" s="603"/>
    </row>
    <row r="27" spans="1:7" s="252" customFormat="1" ht="36" customHeight="1">
      <c r="A27" s="751"/>
      <c r="B27" s="686"/>
      <c r="C27" s="703"/>
      <c r="D27" s="18" t="s">
        <v>6</v>
      </c>
      <c r="E27" s="290">
        <v>1</v>
      </c>
      <c r="F27" s="601"/>
      <c r="G27" s="604"/>
    </row>
    <row r="28" spans="1:7" s="252" customFormat="1" ht="36" customHeight="1">
      <c r="A28" s="751"/>
      <c r="B28" s="686"/>
      <c r="C28" s="706" t="s">
        <v>1811</v>
      </c>
      <c r="D28" s="31" t="s">
        <v>1812</v>
      </c>
      <c r="E28" s="574">
        <v>50</v>
      </c>
      <c r="F28" s="633"/>
      <c r="G28" s="634"/>
    </row>
    <row r="29" spans="1:7" s="252" customFormat="1" ht="36" customHeight="1" thickBot="1">
      <c r="A29" s="751"/>
      <c r="B29" s="686"/>
      <c r="C29" s="708"/>
      <c r="D29" s="631" t="s">
        <v>1813</v>
      </c>
      <c r="E29" s="632">
        <v>50</v>
      </c>
      <c r="F29" s="605"/>
      <c r="G29" s="606"/>
    </row>
    <row r="30" spans="1:7" s="252" customFormat="1" ht="36" customHeight="1" thickBot="1">
      <c r="A30" s="752"/>
      <c r="B30" s="687"/>
      <c r="C30" s="626"/>
      <c r="D30" s="627"/>
      <c r="E30" s="627"/>
      <c r="F30" s="627"/>
      <c r="G30" s="628"/>
    </row>
    <row r="31" spans="1:7" s="252" customFormat="1" ht="36" customHeight="1">
      <c r="A31" s="750">
        <v>43777</v>
      </c>
      <c r="B31" s="712" t="s">
        <v>396</v>
      </c>
      <c r="C31" s="822" t="s">
        <v>1753</v>
      </c>
      <c r="D31" s="823"/>
      <c r="E31" s="823"/>
      <c r="F31" s="823"/>
      <c r="G31" s="824"/>
    </row>
    <row r="32" spans="1:7" s="252" customFormat="1" ht="36" customHeight="1">
      <c r="A32" s="751"/>
      <c r="B32" s="798"/>
      <c r="C32" s="825"/>
      <c r="D32" s="826"/>
      <c r="E32" s="826"/>
      <c r="F32" s="826"/>
      <c r="G32" s="827"/>
    </row>
    <row r="33" spans="1:7" s="252" customFormat="1" ht="36" customHeight="1" thickBot="1">
      <c r="A33" s="752"/>
      <c r="B33" s="713"/>
      <c r="C33" s="828"/>
      <c r="D33" s="829"/>
      <c r="E33" s="829"/>
      <c r="F33" s="829"/>
      <c r="G33" s="830"/>
    </row>
    <row r="34" spans="1:7" s="252" customFormat="1" ht="104.25" customHeight="1" thickBot="1">
      <c r="A34" s="753" t="s">
        <v>0</v>
      </c>
      <c r="B34" s="754"/>
      <c r="C34" s="754"/>
      <c r="D34" s="754"/>
      <c r="E34" s="754"/>
      <c r="F34" s="754"/>
      <c r="G34" s="787"/>
    </row>
    <row r="35" spans="1:7" s="252" customFormat="1" ht="36" customHeight="1">
      <c r="A35" s="751">
        <v>43780</v>
      </c>
      <c r="B35" s="686" t="s">
        <v>2</v>
      </c>
      <c r="C35" s="480" t="s">
        <v>1790</v>
      </c>
      <c r="D35" s="481" t="s">
        <v>1791</v>
      </c>
      <c r="E35" s="253">
        <v>101</v>
      </c>
      <c r="F35" s="552"/>
      <c r="G35" s="53"/>
    </row>
    <row r="36" spans="1:7" s="252" customFormat="1" ht="36" customHeight="1">
      <c r="A36" s="751"/>
      <c r="B36" s="686"/>
      <c r="C36" s="797" t="s">
        <v>583</v>
      </c>
      <c r="D36" s="452" t="s">
        <v>1822</v>
      </c>
      <c r="E36" s="254">
        <v>50</v>
      </c>
      <c r="F36" s="479"/>
      <c r="G36" s="51"/>
    </row>
    <row r="37" spans="1:7" s="252" customFormat="1" ht="36" customHeight="1">
      <c r="A37" s="751"/>
      <c r="B37" s="686"/>
      <c r="C37" s="683"/>
      <c r="D37" s="569" t="s">
        <v>1829</v>
      </c>
      <c r="E37" s="382">
        <v>20</v>
      </c>
      <c r="F37" s="570"/>
      <c r="G37" s="57"/>
    </row>
    <row r="38" spans="1:7" s="252" customFormat="1" ht="36" customHeight="1">
      <c r="A38" s="751"/>
      <c r="B38" s="686"/>
      <c r="C38" s="683"/>
      <c r="D38" s="452" t="s">
        <v>1823</v>
      </c>
      <c r="E38" s="254">
        <v>30</v>
      </c>
      <c r="F38" s="479"/>
      <c r="G38" s="51"/>
    </row>
    <row r="39" spans="1:7" s="252" customFormat="1" ht="36" customHeight="1">
      <c r="A39" s="751"/>
      <c r="B39" s="686"/>
      <c r="C39" s="801"/>
      <c r="D39" s="452" t="s">
        <v>1824</v>
      </c>
      <c r="E39" s="254" t="s">
        <v>1825</v>
      </c>
      <c r="F39" s="479"/>
      <c r="G39" s="51"/>
    </row>
    <row r="40" spans="1:7" s="252" customFormat="1" ht="36" customHeight="1" thickBot="1">
      <c r="A40" s="751"/>
      <c r="B40" s="686"/>
      <c r="C40" s="635" t="s">
        <v>1830</v>
      </c>
      <c r="D40" s="441" t="s">
        <v>1824</v>
      </c>
      <c r="E40" s="376" t="s">
        <v>1831</v>
      </c>
      <c r="F40" s="443"/>
      <c r="G40" s="378"/>
    </row>
    <row r="41" spans="1:7" s="252" customFormat="1" ht="36" customHeight="1" thickBot="1">
      <c r="A41" s="752"/>
      <c r="B41" s="687"/>
      <c r="C41" s="151"/>
      <c r="D41" s="20"/>
      <c r="E41" s="13"/>
      <c r="F41" s="13"/>
      <c r="G41" s="62"/>
    </row>
    <row r="42" spans="1:7" s="252" customFormat="1" ht="33.75" customHeight="1">
      <c r="A42" s="750">
        <v>43781</v>
      </c>
      <c r="B42" s="712" t="s">
        <v>1136</v>
      </c>
      <c r="C42" s="682" t="s">
        <v>1792</v>
      </c>
      <c r="D42" s="370" t="s">
        <v>1793</v>
      </c>
      <c r="E42" s="254">
        <v>64</v>
      </c>
      <c r="F42" s="35"/>
      <c r="G42" s="51"/>
    </row>
    <row r="43" spans="1:7" s="252" customFormat="1" ht="33.75" customHeight="1">
      <c r="A43" s="751"/>
      <c r="B43" s="798"/>
      <c r="C43" s="683"/>
      <c r="D43" s="490" t="s">
        <v>1814</v>
      </c>
      <c r="E43" s="254">
        <v>64</v>
      </c>
      <c r="F43" s="35"/>
      <c r="G43" s="54"/>
    </row>
    <row r="44" spans="1:7" s="252" customFormat="1" ht="33.75" customHeight="1">
      <c r="A44" s="751"/>
      <c r="B44" s="798"/>
      <c r="C44" s="683"/>
      <c r="D44" s="31" t="s">
        <v>1794</v>
      </c>
      <c r="E44" s="254">
        <v>40</v>
      </c>
      <c r="F44" s="35"/>
      <c r="G44" s="54"/>
    </row>
    <row r="45" spans="1:7" s="252" customFormat="1" ht="33.75" customHeight="1">
      <c r="A45" s="751"/>
      <c r="B45" s="798"/>
      <c r="C45" s="683"/>
      <c r="D45" s="490" t="s">
        <v>1795</v>
      </c>
      <c r="E45" s="254">
        <v>30</v>
      </c>
      <c r="F45" s="35"/>
      <c r="G45" s="54"/>
    </row>
    <row r="46" spans="1:7" s="252" customFormat="1" ht="33.75" customHeight="1">
      <c r="A46" s="751"/>
      <c r="B46" s="798"/>
      <c r="C46" s="683"/>
      <c r="D46" s="490" t="s">
        <v>1836</v>
      </c>
      <c r="E46" s="254">
        <v>30</v>
      </c>
      <c r="F46" s="35"/>
      <c r="G46" s="54"/>
    </row>
    <row r="47" spans="1:7" s="252" customFormat="1" ht="33.75" customHeight="1">
      <c r="A47" s="751"/>
      <c r="B47" s="798"/>
      <c r="C47" s="801"/>
      <c r="D47" s="490" t="s">
        <v>1815</v>
      </c>
      <c r="E47" s="254">
        <v>64</v>
      </c>
      <c r="F47" s="35"/>
      <c r="G47" s="54"/>
    </row>
    <row r="48" spans="1:7" s="252" customFormat="1" ht="36.75" customHeight="1">
      <c r="A48" s="751"/>
      <c r="B48" s="798"/>
      <c r="C48" s="595" t="s">
        <v>1821</v>
      </c>
      <c r="D48" s="490" t="s">
        <v>1820</v>
      </c>
      <c r="E48" s="254">
        <v>100</v>
      </c>
      <c r="F48" s="465"/>
      <c r="G48" s="54" t="s">
        <v>1832</v>
      </c>
    </row>
    <row r="49" spans="1:7" s="252" customFormat="1" ht="33.75" customHeight="1" thickBot="1">
      <c r="A49" s="751"/>
      <c r="B49" s="798"/>
      <c r="C49" s="594" t="s">
        <v>1833</v>
      </c>
      <c r="D49" s="31" t="s">
        <v>1834</v>
      </c>
      <c r="E49" s="254" t="s">
        <v>1835</v>
      </c>
      <c r="F49" s="35"/>
      <c r="G49" s="51"/>
    </row>
    <row r="50" spans="1:7" s="252" customFormat="1" ht="33.75" customHeight="1" thickBot="1">
      <c r="A50" s="752"/>
      <c r="B50" s="713"/>
      <c r="C50" s="48"/>
      <c r="D50" s="257"/>
      <c r="E50" s="22"/>
      <c r="F50" s="22"/>
      <c r="G50" s="58"/>
    </row>
    <row r="51" spans="1:7" s="252" customFormat="1" ht="36" customHeight="1">
      <c r="A51" s="750">
        <v>43782</v>
      </c>
      <c r="B51" s="685" t="s">
        <v>1185</v>
      </c>
      <c r="C51" s="702" t="s">
        <v>1826</v>
      </c>
      <c r="D51" s="18" t="s">
        <v>1827</v>
      </c>
      <c r="E51" s="290">
        <v>50</v>
      </c>
      <c r="F51" s="42" t="s">
        <v>1465</v>
      </c>
      <c r="G51" s="57"/>
    </row>
    <row r="52" spans="1:7" s="252" customFormat="1" ht="36" customHeight="1">
      <c r="A52" s="751"/>
      <c r="B52" s="686"/>
      <c r="C52" s="705"/>
      <c r="D52" s="490" t="s">
        <v>1840</v>
      </c>
      <c r="E52" s="254">
        <v>10</v>
      </c>
      <c r="F52" s="35"/>
      <c r="G52" s="54"/>
    </row>
    <row r="53" spans="1:7" s="252" customFormat="1" ht="36" customHeight="1">
      <c r="A53" s="751"/>
      <c r="B53" s="686"/>
      <c r="C53" s="703"/>
      <c r="D53" s="31" t="s">
        <v>1824</v>
      </c>
      <c r="E53" s="290" t="s">
        <v>1828</v>
      </c>
      <c r="F53" s="35" t="s">
        <v>1841</v>
      </c>
      <c r="G53" s="54"/>
    </row>
    <row r="54" spans="1:7" s="252" customFormat="1" ht="36" customHeight="1">
      <c r="A54" s="751"/>
      <c r="B54" s="686"/>
      <c r="C54" s="637" t="s">
        <v>1837</v>
      </c>
      <c r="D54" s="490" t="s">
        <v>1838</v>
      </c>
      <c r="E54" s="254" t="s">
        <v>1839</v>
      </c>
      <c r="F54" s="35"/>
      <c r="G54" s="54"/>
    </row>
    <row r="55" spans="1:7" s="252" customFormat="1" ht="36" customHeight="1">
      <c r="A55" s="751"/>
      <c r="B55" s="686"/>
      <c r="C55" s="706" t="s">
        <v>1842</v>
      </c>
      <c r="D55" s="25" t="s">
        <v>1843</v>
      </c>
      <c r="E55" s="255">
        <v>20</v>
      </c>
      <c r="F55" s="41"/>
      <c r="G55" s="54"/>
    </row>
    <row r="56" spans="1:7" s="252" customFormat="1" ht="36" customHeight="1" thickBot="1">
      <c r="A56" s="751"/>
      <c r="B56" s="686"/>
      <c r="C56" s="708"/>
      <c r="D56" s="636" t="s">
        <v>1844</v>
      </c>
      <c r="E56" s="273">
        <v>80</v>
      </c>
      <c r="F56" s="40"/>
      <c r="G56" s="52"/>
    </row>
    <row r="57" spans="1:7" s="252" customFormat="1" ht="36" customHeight="1" thickBot="1">
      <c r="A57" s="752"/>
      <c r="B57" s="687"/>
      <c r="C57" s="626"/>
      <c r="D57" s="627"/>
      <c r="E57" s="627"/>
      <c r="F57" s="627"/>
      <c r="G57" s="628"/>
    </row>
    <row r="58" spans="1:7" s="252" customFormat="1" ht="34.5" customHeight="1">
      <c r="A58" s="750">
        <v>43783</v>
      </c>
      <c r="B58" s="712" t="s">
        <v>17</v>
      </c>
      <c r="C58" s="683" t="s">
        <v>3</v>
      </c>
      <c r="D58" s="453" t="s">
        <v>1743</v>
      </c>
      <c r="E58" s="290">
        <v>102</v>
      </c>
      <c r="F58" s="42"/>
      <c r="G58" s="55"/>
    </row>
    <row r="59" spans="1:7" s="252" customFormat="1" ht="34.5" customHeight="1">
      <c r="A59" s="751"/>
      <c r="B59" s="798"/>
      <c r="C59" s="683"/>
      <c r="D59" s="453" t="s">
        <v>1744</v>
      </c>
      <c r="E59" s="290">
        <v>100</v>
      </c>
      <c r="F59" s="42"/>
      <c r="G59" s="55"/>
    </row>
    <row r="60" spans="1:7" s="252" customFormat="1" ht="34.5" customHeight="1">
      <c r="A60" s="751"/>
      <c r="B60" s="798"/>
      <c r="C60" s="801"/>
      <c r="D60" s="453" t="s">
        <v>1745</v>
      </c>
      <c r="E60" s="290">
        <v>40</v>
      </c>
      <c r="F60" s="42"/>
      <c r="G60" s="55"/>
    </row>
    <row r="61" spans="1:7" s="252" customFormat="1" ht="34.5" customHeight="1" thickBot="1">
      <c r="A61" s="751"/>
      <c r="B61" s="798"/>
      <c r="C61" s="451" t="s">
        <v>1847</v>
      </c>
      <c r="D61" s="452" t="s">
        <v>1848</v>
      </c>
      <c r="E61" s="254">
        <v>50</v>
      </c>
      <c r="F61" s="35"/>
      <c r="G61" s="51"/>
    </row>
    <row r="62" spans="1:7" s="252" customFormat="1" ht="34.5" customHeight="1" thickBot="1">
      <c r="A62" s="752"/>
      <c r="B62" s="713"/>
      <c r="C62" s="47"/>
      <c r="D62" s="257"/>
      <c r="E62" s="22"/>
      <c r="F62" s="22"/>
      <c r="G62" s="58"/>
    </row>
    <row r="63" spans="1:7" s="252" customFormat="1" ht="34.5" customHeight="1">
      <c r="A63" s="750">
        <v>43784</v>
      </c>
      <c r="B63" s="712" t="s">
        <v>18</v>
      </c>
      <c r="C63" s="480" t="s">
        <v>1849</v>
      </c>
      <c r="D63" s="640" t="s">
        <v>1850</v>
      </c>
      <c r="E63" s="253">
        <v>275</v>
      </c>
      <c r="F63" s="552"/>
      <c r="G63" s="641"/>
    </row>
    <row r="64" spans="1:7" s="252" customFormat="1" ht="34.5" customHeight="1">
      <c r="A64" s="751"/>
      <c r="B64" s="798"/>
      <c r="C64" s="705"/>
      <c r="D64" s="18"/>
      <c r="E64" s="290"/>
      <c r="F64" s="42"/>
      <c r="G64" s="55"/>
    </row>
    <row r="65" spans="1:7" s="252" customFormat="1" ht="34.5" customHeight="1" thickBot="1">
      <c r="A65" s="751"/>
      <c r="B65" s="798"/>
      <c r="C65" s="703"/>
      <c r="D65" s="453"/>
      <c r="E65" s="254"/>
      <c r="F65" s="476"/>
      <c r="G65" s="55"/>
    </row>
    <row r="66" spans="1:7" s="252" customFormat="1" ht="34.5" customHeight="1" thickBot="1">
      <c r="A66" s="752"/>
      <c r="B66" s="713"/>
      <c r="C66" s="47" t="s">
        <v>1816</v>
      </c>
      <c r="D66" s="257" t="s">
        <v>1817</v>
      </c>
      <c r="E66" s="22" t="s">
        <v>1818</v>
      </c>
      <c r="F66" s="22" t="s">
        <v>1819</v>
      </c>
      <c r="G66" s="58"/>
    </row>
    <row r="67" spans="1:7" s="252" customFormat="1" ht="105" customHeight="1" thickBot="1">
      <c r="A67" s="753" t="s">
        <v>0</v>
      </c>
      <c r="B67" s="754"/>
      <c r="C67" s="754"/>
      <c r="D67" s="754"/>
      <c r="E67" s="754"/>
      <c r="F67" s="754"/>
      <c r="G67" s="787"/>
    </row>
    <row r="68" spans="1:7" s="252" customFormat="1" ht="33.75" customHeight="1">
      <c r="A68" s="750">
        <v>43787</v>
      </c>
      <c r="B68" s="685" t="s">
        <v>1044</v>
      </c>
      <c r="C68" s="638" t="s">
        <v>1851</v>
      </c>
      <c r="D68" s="481" t="s">
        <v>1852</v>
      </c>
      <c r="E68" s="253" t="s">
        <v>1853</v>
      </c>
      <c r="F68" s="42"/>
      <c r="G68" s="55"/>
    </row>
    <row r="69" spans="1:7" s="252" customFormat="1" ht="33.75" customHeight="1">
      <c r="A69" s="751"/>
      <c r="B69" s="686"/>
      <c r="C69" s="451" t="s">
        <v>1180</v>
      </c>
      <c r="D69" s="453" t="s">
        <v>1862</v>
      </c>
      <c r="E69" s="290" t="s">
        <v>252</v>
      </c>
      <c r="F69" s="35"/>
      <c r="G69" s="51"/>
    </row>
    <row r="70" spans="1:7" s="252" customFormat="1" ht="33.75" customHeight="1" thickBot="1">
      <c r="A70" s="751"/>
      <c r="B70" s="686"/>
      <c r="C70" s="644"/>
      <c r="D70" s="645"/>
      <c r="E70" s="646"/>
      <c r="F70" s="647"/>
      <c r="G70" s="648"/>
    </row>
    <row r="71" spans="1:7" s="252" customFormat="1" ht="33.75" customHeight="1">
      <c r="A71" s="750">
        <v>43788</v>
      </c>
      <c r="B71" s="685" t="s">
        <v>16</v>
      </c>
      <c r="C71" s="702" t="s">
        <v>1854</v>
      </c>
      <c r="D71" s="490" t="s">
        <v>1860</v>
      </c>
      <c r="E71" s="254">
        <v>49</v>
      </c>
      <c r="F71" s="42"/>
      <c r="G71" s="55"/>
    </row>
    <row r="72" spans="1:7" s="252" customFormat="1" ht="33.75" customHeight="1">
      <c r="A72" s="751"/>
      <c r="B72" s="686"/>
      <c r="C72" s="703"/>
      <c r="D72" s="490" t="s">
        <v>6</v>
      </c>
      <c r="E72" s="254">
        <v>146</v>
      </c>
      <c r="F72" s="42"/>
      <c r="G72" s="55"/>
    </row>
    <row r="73" spans="1:7" s="252" customFormat="1" ht="33.75" customHeight="1">
      <c r="A73" s="751"/>
      <c r="B73" s="686"/>
      <c r="C73" s="706" t="s">
        <v>583</v>
      </c>
      <c r="D73" s="18" t="s">
        <v>1813</v>
      </c>
      <c r="E73" s="290">
        <v>50</v>
      </c>
      <c r="F73" s="42"/>
      <c r="G73" s="55" t="s">
        <v>1870</v>
      </c>
    </row>
    <row r="74" spans="1:7" s="252" customFormat="1" ht="33.75" customHeight="1">
      <c r="A74" s="751"/>
      <c r="B74" s="686"/>
      <c r="C74" s="703"/>
      <c r="D74" s="490" t="s">
        <v>1861</v>
      </c>
      <c r="E74" s="254">
        <v>50</v>
      </c>
      <c r="F74" s="35"/>
      <c r="G74" s="51"/>
    </row>
    <row r="75" spans="1:7" s="252" customFormat="1" ht="33.75" customHeight="1" thickBot="1">
      <c r="A75" s="751"/>
      <c r="B75" s="686"/>
      <c r="C75" s="642" t="s">
        <v>9</v>
      </c>
      <c r="D75" s="18" t="s">
        <v>29</v>
      </c>
      <c r="E75" s="290">
        <v>100</v>
      </c>
      <c r="F75" s="42" t="s">
        <v>11</v>
      </c>
      <c r="G75" s="55"/>
    </row>
    <row r="76" spans="1:7" s="252" customFormat="1" ht="33.75" customHeight="1" thickBot="1">
      <c r="A76" s="752"/>
      <c r="B76" s="687"/>
      <c r="C76" s="47"/>
      <c r="D76" s="27"/>
      <c r="E76" s="22"/>
      <c r="F76" s="22"/>
      <c r="G76" s="58"/>
    </row>
    <row r="77" spans="1:7" s="252" customFormat="1" ht="33.75" customHeight="1">
      <c r="A77" s="751">
        <v>43789</v>
      </c>
      <c r="B77" s="686" t="s">
        <v>1185</v>
      </c>
      <c r="C77" s="683" t="s">
        <v>3</v>
      </c>
      <c r="D77" s="453" t="s">
        <v>5</v>
      </c>
      <c r="E77" s="290">
        <v>391</v>
      </c>
      <c r="F77" s="42"/>
      <c r="G77" s="55"/>
    </row>
    <row r="78" spans="1:7" s="252" customFormat="1" ht="33.75" customHeight="1">
      <c r="A78" s="751"/>
      <c r="B78" s="686"/>
      <c r="C78" s="683"/>
      <c r="D78" s="453" t="s">
        <v>1538</v>
      </c>
      <c r="E78" s="254">
        <v>100</v>
      </c>
      <c r="F78" s="35"/>
      <c r="G78" s="51"/>
    </row>
    <row r="79" spans="1:7" s="252" customFormat="1" ht="34.5" customHeight="1">
      <c r="A79" s="751"/>
      <c r="B79" s="686"/>
      <c r="C79" s="801"/>
      <c r="D79" s="453" t="s">
        <v>6</v>
      </c>
      <c r="E79" s="254">
        <v>1</v>
      </c>
      <c r="F79" s="35"/>
      <c r="G79" s="51"/>
    </row>
    <row r="80" spans="1:7" s="252" customFormat="1" ht="33.75" customHeight="1">
      <c r="A80" s="751"/>
      <c r="B80" s="686"/>
      <c r="C80" s="649" t="s">
        <v>208</v>
      </c>
      <c r="D80" s="490" t="s">
        <v>1800</v>
      </c>
      <c r="E80" s="254">
        <v>200</v>
      </c>
      <c r="F80" s="42" t="s">
        <v>111</v>
      </c>
      <c r="G80" s="51"/>
    </row>
    <row r="81" spans="1:7" s="252" customFormat="1" ht="34.5" customHeight="1" thickBot="1">
      <c r="A81" s="751"/>
      <c r="B81" s="686"/>
      <c r="C81" s="643" t="s">
        <v>1867</v>
      </c>
      <c r="D81" s="453" t="s">
        <v>1868</v>
      </c>
      <c r="E81" s="290">
        <v>200</v>
      </c>
      <c r="F81" s="42"/>
      <c r="G81" s="55" t="s">
        <v>1869</v>
      </c>
    </row>
    <row r="82" spans="1:7" s="252" customFormat="1" ht="33.75" customHeight="1" thickBot="1">
      <c r="A82" s="752"/>
      <c r="B82" s="687"/>
      <c r="C82" s="47" t="s">
        <v>1855</v>
      </c>
      <c r="D82" s="27" t="s">
        <v>1856</v>
      </c>
      <c r="E82" s="22" t="s">
        <v>1857</v>
      </c>
      <c r="F82" s="22" t="s">
        <v>1858</v>
      </c>
      <c r="G82" s="58"/>
    </row>
    <row r="83" spans="1:7" s="252" customFormat="1" ht="33.75" customHeight="1">
      <c r="A83" s="751">
        <v>43790</v>
      </c>
      <c r="B83" s="686" t="s">
        <v>1887</v>
      </c>
      <c r="C83" s="705" t="s">
        <v>7</v>
      </c>
      <c r="D83" s="18" t="s">
        <v>1575</v>
      </c>
      <c r="E83" s="254">
        <v>64</v>
      </c>
      <c r="F83" s="35"/>
      <c r="G83" s="51" t="s">
        <v>1883</v>
      </c>
    </row>
    <row r="84" spans="1:7" s="252" customFormat="1" ht="33.75" customHeight="1">
      <c r="A84" s="751"/>
      <c r="B84" s="686"/>
      <c r="C84" s="705"/>
      <c r="D84" s="18" t="s">
        <v>1863</v>
      </c>
      <c r="E84" s="382">
        <v>50</v>
      </c>
      <c r="F84" s="35"/>
      <c r="G84" s="51"/>
    </row>
    <row r="85" spans="1:7" s="252" customFormat="1" ht="33.75" customHeight="1">
      <c r="A85" s="751"/>
      <c r="B85" s="686"/>
      <c r="C85" s="705"/>
      <c r="D85" s="490" t="s">
        <v>27</v>
      </c>
      <c r="E85" s="254">
        <v>64</v>
      </c>
      <c r="F85" s="35"/>
      <c r="G85" s="51"/>
    </row>
    <row r="86" spans="1:7" s="252" customFormat="1" ht="33.75" customHeight="1">
      <c r="A86" s="751"/>
      <c r="B86" s="686"/>
      <c r="C86" s="705"/>
      <c r="D86" s="490" t="s">
        <v>1864</v>
      </c>
      <c r="E86" s="254">
        <v>40</v>
      </c>
      <c r="F86" s="35"/>
      <c r="G86" s="51"/>
    </row>
    <row r="87" spans="1:7" s="252" customFormat="1" ht="33.75" customHeight="1">
      <c r="A87" s="751"/>
      <c r="B87" s="686"/>
      <c r="C87" s="705"/>
      <c r="D87" s="490" t="s">
        <v>1795</v>
      </c>
      <c r="E87" s="254">
        <v>50</v>
      </c>
      <c r="F87" s="35"/>
      <c r="G87" s="51"/>
    </row>
    <row r="88" spans="1:7" s="252" customFormat="1" ht="33.75" customHeight="1">
      <c r="A88" s="751"/>
      <c r="B88" s="686"/>
      <c r="C88" s="703"/>
      <c r="D88" s="490" t="s">
        <v>1862</v>
      </c>
      <c r="E88" s="254" t="s">
        <v>1877</v>
      </c>
      <c r="F88" s="35"/>
      <c r="G88" s="51"/>
    </row>
    <row r="89" spans="1:7" s="252" customFormat="1" ht="33.75" customHeight="1" thickBot="1">
      <c r="A89" s="751"/>
      <c r="B89" s="686"/>
      <c r="C89" s="651" t="s">
        <v>4</v>
      </c>
      <c r="D89" s="18" t="s">
        <v>623</v>
      </c>
      <c r="E89" s="290">
        <v>50</v>
      </c>
      <c r="F89" s="42"/>
      <c r="G89" s="55"/>
    </row>
    <row r="90" spans="1:7" s="252" customFormat="1" ht="33.75" customHeight="1" thickBot="1">
      <c r="A90" s="752"/>
      <c r="B90" s="687"/>
      <c r="C90" s="47"/>
      <c r="D90" s="27"/>
      <c r="E90" s="22"/>
      <c r="F90" s="22"/>
      <c r="G90" s="58"/>
    </row>
    <row r="91" spans="1:7" s="252" customFormat="1" ht="33.75" customHeight="1">
      <c r="A91" s="750">
        <v>43791</v>
      </c>
      <c r="B91" s="685" t="s">
        <v>18</v>
      </c>
      <c r="C91" s="451" t="s">
        <v>34</v>
      </c>
      <c r="D91" s="452" t="s">
        <v>35</v>
      </c>
      <c r="E91" s="290">
        <v>109</v>
      </c>
      <c r="F91" s="35"/>
      <c r="G91" s="51" t="s">
        <v>1920</v>
      </c>
    </row>
    <row r="92" spans="1:7" s="252" customFormat="1" ht="33.75" customHeight="1">
      <c r="A92" s="751"/>
      <c r="B92" s="686"/>
      <c r="C92" s="652" t="s">
        <v>1871</v>
      </c>
      <c r="D92" s="490" t="s">
        <v>1872</v>
      </c>
      <c r="E92" s="254" t="s">
        <v>111</v>
      </c>
      <c r="F92" s="42"/>
      <c r="G92" s="51"/>
    </row>
    <row r="93" spans="1:7" s="252" customFormat="1" ht="33.75" customHeight="1" thickBot="1">
      <c r="A93" s="751"/>
      <c r="B93" s="686"/>
      <c r="C93" s="651" t="s">
        <v>1352</v>
      </c>
      <c r="D93" s="18" t="s">
        <v>1353</v>
      </c>
      <c r="E93" s="290">
        <v>100</v>
      </c>
      <c r="F93" s="35"/>
      <c r="G93" s="51" t="s">
        <v>1776</v>
      </c>
    </row>
    <row r="94" spans="1:7" s="252" customFormat="1" ht="33.75" customHeight="1" thickBot="1">
      <c r="A94" s="752"/>
      <c r="B94" s="687"/>
      <c r="C94" s="47"/>
      <c r="D94" s="27"/>
      <c r="E94" s="22"/>
      <c r="F94" s="22"/>
      <c r="G94" s="58"/>
    </row>
    <row r="95" spans="1:7" s="252" customFormat="1" ht="105" customHeight="1" thickBot="1">
      <c r="A95" s="753" t="s">
        <v>0</v>
      </c>
      <c r="B95" s="754"/>
      <c r="C95" s="754"/>
      <c r="D95" s="754"/>
      <c r="E95" s="754"/>
      <c r="F95" s="754"/>
      <c r="G95" s="787"/>
    </row>
    <row r="96" spans="1:7" s="252" customFormat="1" ht="32.25" customHeight="1">
      <c r="A96" s="750">
        <v>43794</v>
      </c>
      <c r="B96" s="685" t="s">
        <v>2</v>
      </c>
      <c r="C96" s="650" t="s">
        <v>381</v>
      </c>
      <c r="D96" s="18" t="s">
        <v>1873</v>
      </c>
      <c r="E96" s="382" t="s">
        <v>1874</v>
      </c>
      <c r="F96" s="42"/>
      <c r="G96" s="55"/>
    </row>
    <row r="97" spans="1:7" s="252" customFormat="1" ht="32.25" customHeight="1">
      <c r="A97" s="751"/>
      <c r="B97" s="686"/>
      <c r="C97" s="706" t="s">
        <v>204</v>
      </c>
      <c r="D97" s="25" t="s">
        <v>1875</v>
      </c>
      <c r="E97" s="255" t="s">
        <v>393</v>
      </c>
      <c r="F97" s="35"/>
      <c r="G97" s="51"/>
    </row>
    <row r="98" spans="1:7" s="252" customFormat="1" ht="32.25" customHeight="1">
      <c r="A98" s="751"/>
      <c r="B98" s="686"/>
      <c r="C98" s="703"/>
      <c r="D98" s="490" t="s">
        <v>1876</v>
      </c>
      <c r="E98" s="255" t="s">
        <v>1874</v>
      </c>
      <c r="F98" s="41"/>
      <c r="G98" s="54"/>
    </row>
    <row r="99" spans="1:7" s="252" customFormat="1" ht="32.25" customHeight="1">
      <c r="A99" s="751"/>
      <c r="B99" s="686"/>
      <c r="C99" s="706" t="s">
        <v>1878</v>
      </c>
      <c r="D99" s="490" t="s">
        <v>1879</v>
      </c>
      <c r="E99" s="255">
        <v>250</v>
      </c>
      <c r="F99" s="41"/>
      <c r="G99" s="54" t="s">
        <v>1906</v>
      </c>
    </row>
    <row r="100" spans="1:7" s="252" customFormat="1" ht="32.25" customHeight="1">
      <c r="A100" s="751"/>
      <c r="B100" s="686"/>
      <c r="C100" s="705"/>
      <c r="D100" s="490" t="s">
        <v>1880</v>
      </c>
      <c r="E100" s="255">
        <v>70</v>
      </c>
      <c r="F100" s="41"/>
      <c r="G100" s="54"/>
    </row>
    <row r="101" spans="1:7" s="252" customFormat="1" ht="32.25" customHeight="1" thickBot="1">
      <c r="A101" s="751"/>
      <c r="B101" s="686"/>
      <c r="C101" s="703"/>
      <c r="D101" s="490" t="s">
        <v>1881</v>
      </c>
      <c r="E101" s="254" t="s">
        <v>103</v>
      </c>
      <c r="F101" s="35"/>
      <c r="G101" s="51"/>
    </row>
    <row r="102" spans="1:7" s="252" customFormat="1" ht="32.25" customHeight="1" thickBot="1">
      <c r="A102" s="752"/>
      <c r="B102" s="687"/>
      <c r="C102" s="47"/>
      <c r="D102" s="27"/>
      <c r="E102" s="22"/>
      <c r="F102" s="22"/>
      <c r="G102" s="58"/>
    </row>
    <row r="103" spans="1:7" s="252" customFormat="1" ht="32.25" customHeight="1">
      <c r="A103" s="750">
        <v>43795</v>
      </c>
      <c r="B103" s="685" t="s">
        <v>16</v>
      </c>
      <c r="C103" s="702" t="s">
        <v>1845</v>
      </c>
      <c r="D103" s="162" t="s">
        <v>1846</v>
      </c>
      <c r="E103" s="253">
        <v>137</v>
      </c>
      <c r="F103" s="39"/>
      <c r="G103" s="55"/>
    </row>
    <row r="104" spans="1:7" s="252" customFormat="1" ht="32.25" customHeight="1">
      <c r="A104" s="751"/>
      <c r="B104" s="686"/>
      <c r="C104" s="703"/>
      <c r="D104" s="31" t="s">
        <v>1882</v>
      </c>
      <c r="E104" s="382">
        <v>100</v>
      </c>
      <c r="F104" s="56"/>
      <c r="G104" s="57"/>
    </row>
    <row r="105" spans="1:7" s="252" customFormat="1" ht="32.25" customHeight="1" thickBot="1">
      <c r="A105" s="751"/>
      <c r="B105" s="686"/>
      <c r="C105" s="657" t="s">
        <v>112</v>
      </c>
      <c r="D105" s="490" t="s">
        <v>1907</v>
      </c>
      <c r="E105" s="254" t="s">
        <v>111</v>
      </c>
      <c r="F105" s="35"/>
      <c r="G105" s="51"/>
    </row>
    <row r="106" spans="1:7" s="252" customFormat="1" ht="32.25" customHeight="1" thickBot="1">
      <c r="A106" s="752"/>
      <c r="B106" s="687"/>
      <c r="C106" s="47"/>
      <c r="D106" s="27"/>
      <c r="E106" s="22"/>
      <c r="F106" s="22"/>
      <c r="G106" s="58"/>
    </row>
    <row r="107" spans="1:7" s="252" customFormat="1" ht="32.25" customHeight="1">
      <c r="A107" s="750">
        <v>43796</v>
      </c>
      <c r="B107" s="685" t="s">
        <v>15</v>
      </c>
      <c r="C107" s="702" t="s">
        <v>1865</v>
      </c>
      <c r="D107" s="370" t="s">
        <v>1866</v>
      </c>
      <c r="E107" s="371">
        <v>58</v>
      </c>
      <c r="F107" s="372"/>
      <c r="G107" s="55" t="s">
        <v>1910</v>
      </c>
    </row>
    <row r="108" spans="1:7" s="252" customFormat="1" ht="32.25" customHeight="1">
      <c r="A108" s="751"/>
      <c r="B108" s="686"/>
      <c r="C108" s="705"/>
      <c r="D108" s="25" t="s">
        <v>1891</v>
      </c>
      <c r="E108" s="255">
        <v>167</v>
      </c>
      <c r="F108" s="41"/>
      <c r="G108" s="54" t="s">
        <v>1919</v>
      </c>
    </row>
    <row r="109" spans="1:7" s="252" customFormat="1" ht="32.25" customHeight="1">
      <c r="A109" s="751"/>
      <c r="B109" s="686"/>
      <c r="C109" s="660" t="s">
        <v>707</v>
      </c>
      <c r="D109" s="25" t="s">
        <v>1895</v>
      </c>
      <c r="E109" s="255">
        <v>50</v>
      </c>
      <c r="F109" s="41"/>
      <c r="G109" s="54"/>
    </row>
    <row r="110" spans="1:7" s="252" customFormat="1" ht="32.25" customHeight="1" thickBot="1">
      <c r="A110" s="751"/>
      <c r="B110" s="686"/>
      <c r="C110" s="659" t="s">
        <v>224</v>
      </c>
      <c r="D110" s="490" t="s">
        <v>1911</v>
      </c>
      <c r="E110" s="255">
        <v>100</v>
      </c>
      <c r="F110" s="41"/>
      <c r="G110" s="54"/>
    </row>
    <row r="111" spans="1:7" s="252" customFormat="1" ht="32.25" customHeight="1" thickBot="1">
      <c r="A111" s="752"/>
      <c r="B111" s="687"/>
      <c r="C111" s="47" t="s">
        <v>1921</v>
      </c>
      <c r="D111" s="27"/>
      <c r="E111" s="22"/>
      <c r="F111" s="22"/>
      <c r="G111" s="58"/>
    </row>
    <row r="112" spans="1:7" s="252" customFormat="1" ht="32.25" customHeight="1">
      <c r="A112" s="750">
        <v>43797</v>
      </c>
      <c r="B112" s="685" t="s">
        <v>17</v>
      </c>
      <c r="C112" s="705" t="s">
        <v>1845</v>
      </c>
      <c r="D112" s="18" t="s">
        <v>1846</v>
      </c>
      <c r="E112" s="382">
        <v>242</v>
      </c>
      <c r="F112" s="42"/>
      <c r="G112" s="55"/>
    </row>
    <row r="113" spans="1:7" s="252" customFormat="1" ht="32.25" customHeight="1">
      <c r="A113" s="751"/>
      <c r="B113" s="686"/>
      <c r="C113" s="703"/>
      <c r="D113" s="25" t="s">
        <v>1120</v>
      </c>
      <c r="E113" s="255" t="s">
        <v>1859</v>
      </c>
      <c r="F113" s="35"/>
      <c r="G113" s="51"/>
    </row>
    <row r="114" spans="1:7" s="252" customFormat="1" ht="32.25" customHeight="1">
      <c r="A114" s="751"/>
      <c r="B114" s="686"/>
      <c r="C114" s="639" t="s">
        <v>1884</v>
      </c>
      <c r="D114" s="490" t="s">
        <v>1885</v>
      </c>
      <c r="E114" s="254" t="s">
        <v>252</v>
      </c>
      <c r="F114" s="35"/>
      <c r="G114" s="51"/>
    </row>
    <row r="115" spans="1:7" s="252" customFormat="1" ht="32.25" customHeight="1">
      <c r="A115" s="751"/>
      <c r="B115" s="686"/>
      <c r="C115" s="706" t="s">
        <v>7</v>
      </c>
      <c r="D115" s="490" t="s">
        <v>1918</v>
      </c>
      <c r="E115" s="254">
        <v>50</v>
      </c>
      <c r="F115" s="35"/>
      <c r="G115" s="51"/>
    </row>
    <row r="116" spans="1:7" s="252" customFormat="1" ht="32.25" customHeight="1">
      <c r="A116" s="751"/>
      <c r="B116" s="686"/>
      <c r="C116" s="705"/>
      <c r="D116" s="490" t="s">
        <v>1917</v>
      </c>
      <c r="E116" s="254">
        <v>64</v>
      </c>
      <c r="F116" s="35"/>
      <c r="G116" s="51"/>
    </row>
    <row r="117" spans="1:7" s="252" customFormat="1" ht="32.25" customHeight="1">
      <c r="A117" s="751"/>
      <c r="B117" s="686"/>
      <c r="C117" s="705"/>
      <c r="D117" s="490" t="s">
        <v>1896</v>
      </c>
      <c r="E117" s="254">
        <v>80</v>
      </c>
      <c r="F117" s="35"/>
      <c r="G117" s="51"/>
    </row>
    <row r="118" spans="1:7" s="252" customFormat="1" ht="32.25" customHeight="1">
      <c r="A118" s="751"/>
      <c r="B118" s="686"/>
      <c r="C118" s="705"/>
      <c r="D118" s="31" t="s">
        <v>1915</v>
      </c>
      <c r="E118" s="382">
        <v>64</v>
      </c>
      <c r="F118" s="56"/>
      <c r="G118" s="57"/>
    </row>
    <row r="119" spans="1:7" s="252" customFormat="1" ht="32.25" customHeight="1">
      <c r="A119" s="751"/>
      <c r="B119" s="686"/>
      <c r="C119" s="703"/>
      <c r="D119" s="490" t="s">
        <v>1916</v>
      </c>
      <c r="E119" s="254">
        <v>64</v>
      </c>
      <c r="F119" s="35"/>
      <c r="G119" s="51"/>
    </row>
    <row r="120" spans="1:7" s="252" customFormat="1" ht="32.25" customHeight="1" thickBot="1">
      <c r="A120" s="751"/>
      <c r="B120" s="686"/>
      <c r="C120" s="661" t="s">
        <v>1922</v>
      </c>
      <c r="D120" s="441" t="s">
        <v>1923</v>
      </c>
      <c r="E120" s="254">
        <v>100</v>
      </c>
      <c r="F120" s="442"/>
      <c r="G120" s="378"/>
    </row>
    <row r="121" spans="1:7" s="252" customFormat="1" ht="32.25" customHeight="1" thickBot="1">
      <c r="A121" s="752"/>
      <c r="B121" s="687"/>
      <c r="C121" s="47" t="s">
        <v>352</v>
      </c>
      <c r="D121" s="27" t="s">
        <v>1888</v>
      </c>
      <c r="E121" s="22" t="s">
        <v>1889</v>
      </c>
      <c r="F121" s="22" t="s">
        <v>687</v>
      </c>
      <c r="G121" s="58"/>
    </row>
    <row r="122" spans="1:7" s="252" customFormat="1" ht="32.25" customHeight="1">
      <c r="A122" s="750">
        <v>43798</v>
      </c>
      <c r="B122" s="685" t="s">
        <v>18</v>
      </c>
      <c r="C122" s="656" t="s">
        <v>1897</v>
      </c>
      <c r="D122" s="490" t="s">
        <v>1898</v>
      </c>
      <c r="E122" s="254">
        <v>99</v>
      </c>
      <c r="F122" s="42"/>
      <c r="G122" s="55"/>
    </row>
    <row r="123" spans="1:7" s="252" customFormat="1" ht="32.25" customHeight="1">
      <c r="A123" s="751"/>
      <c r="B123" s="686"/>
      <c r="C123" s="706" t="s">
        <v>1929</v>
      </c>
      <c r="D123" s="490" t="s">
        <v>1930</v>
      </c>
      <c r="E123" s="254">
        <v>50</v>
      </c>
      <c r="F123" s="42"/>
      <c r="G123" s="55" t="s">
        <v>1932</v>
      </c>
    </row>
    <row r="124" spans="1:7" s="252" customFormat="1" ht="32.25" customHeight="1">
      <c r="A124" s="751"/>
      <c r="B124" s="686"/>
      <c r="C124" s="703"/>
      <c r="D124" s="490" t="s">
        <v>1931</v>
      </c>
      <c r="E124" s="254">
        <v>100</v>
      </c>
      <c r="F124" s="42"/>
      <c r="G124" s="55"/>
    </row>
    <row r="125" spans="1:7" s="252" customFormat="1" ht="32.25" customHeight="1">
      <c r="A125" s="751"/>
      <c r="B125" s="686"/>
      <c r="C125" s="706" t="s">
        <v>1908</v>
      </c>
      <c r="D125" s="490" t="s">
        <v>1909</v>
      </c>
      <c r="E125" s="254">
        <v>50</v>
      </c>
      <c r="F125" s="35"/>
      <c r="G125" s="51"/>
    </row>
    <row r="126" spans="1:7" s="252" customFormat="1" ht="32.25" customHeight="1" thickBot="1">
      <c r="A126" s="751"/>
      <c r="B126" s="686"/>
      <c r="C126" s="708"/>
      <c r="D126" s="441" t="s">
        <v>1924</v>
      </c>
      <c r="E126" s="442" t="s">
        <v>1925</v>
      </c>
      <c r="F126" s="442"/>
      <c r="G126" s="378"/>
    </row>
    <row r="127" spans="1:7" s="252" customFormat="1" ht="32.25" customHeight="1" thickBot="1">
      <c r="A127" s="752"/>
      <c r="B127" s="687"/>
      <c r="C127" s="47"/>
      <c r="D127" s="27"/>
      <c r="E127" s="22"/>
      <c r="F127" s="22"/>
      <c r="G127" s="58"/>
    </row>
  </sheetData>
  <mergeCells count="71">
    <mergeCell ref="A1:G1"/>
    <mergeCell ref="A2:A6"/>
    <mergeCell ref="B2:B6"/>
    <mergeCell ref="C2:C3"/>
    <mergeCell ref="A7:A17"/>
    <mergeCell ref="B7:B17"/>
    <mergeCell ref="C7:C10"/>
    <mergeCell ref="C12:C16"/>
    <mergeCell ref="A18:A25"/>
    <mergeCell ref="B18:B25"/>
    <mergeCell ref="A26:A30"/>
    <mergeCell ref="B26:B30"/>
    <mergeCell ref="C26:C27"/>
    <mergeCell ref="C18:C19"/>
    <mergeCell ref="C22:C24"/>
    <mergeCell ref="C20:C21"/>
    <mergeCell ref="C28:C29"/>
    <mergeCell ref="A31:A33"/>
    <mergeCell ref="B31:B33"/>
    <mergeCell ref="A34:G34"/>
    <mergeCell ref="A35:A41"/>
    <mergeCell ref="B35:B41"/>
    <mergeCell ref="C31:G33"/>
    <mergeCell ref="C36:C39"/>
    <mergeCell ref="A42:A50"/>
    <mergeCell ref="B42:B50"/>
    <mergeCell ref="C42:C47"/>
    <mergeCell ref="A51:A57"/>
    <mergeCell ref="B51:B57"/>
    <mergeCell ref="C51:C53"/>
    <mergeCell ref="C55:C56"/>
    <mergeCell ref="A58:A62"/>
    <mergeCell ref="B58:B62"/>
    <mergeCell ref="C58:C60"/>
    <mergeCell ref="A63:A66"/>
    <mergeCell ref="B63:B66"/>
    <mergeCell ref="C64:C65"/>
    <mergeCell ref="A67:G67"/>
    <mergeCell ref="A68:A70"/>
    <mergeCell ref="B68:B70"/>
    <mergeCell ref="A71:A76"/>
    <mergeCell ref="B71:B76"/>
    <mergeCell ref="C71:C72"/>
    <mergeCell ref="C73:C74"/>
    <mergeCell ref="A77:A82"/>
    <mergeCell ref="B77:B82"/>
    <mergeCell ref="A83:A90"/>
    <mergeCell ref="B83:B90"/>
    <mergeCell ref="C77:C79"/>
    <mergeCell ref="C83:C88"/>
    <mergeCell ref="A91:A94"/>
    <mergeCell ref="B91:B94"/>
    <mergeCell ref="A95:G95"/>
    <mergeCell ref="A96:A102"/>
    <mergeCell ref="B96:B102"/>
    <mergeCell ref="C97:C98"/>
    <mergeCell ref="C99:C101"/>
    <mergeCell ref="A103:A106"/>
    <mergeCell ref="B103:B106"/>
    <mergeCell ref="A107:A111"/>
    <mergeCell ref="B107:B111"/>
    <mergeCell ref="C107:C108"/>
    <mergeCell ref="C103:C104"/>
    <mergeCell ref="A112:A121"/>
    <mergeCell ref="B112:B121"/>
    <mergeCell ref="C112:C113"/>
    <mergeCell ref="A122:A127"/>
    <mergeCell ref="B122:B127"/>
    <mergeCell ref="C115:C119"/>
    <mergeCell ref="C125:C126"/>
    <mergeCell ref="C123:C124"/>
  </mergeCells>
  <phoneticPr fontId="1" type="noConversion"/>
  <printOptions horizontalCentered="1" verticalCentered="1"/>
  <pageMargins left="0.15748031496062992" right="0.15748031496062992" top="0.15748031496062992" bottom="0.15748031496062992" header="0.11811023622047245" footer="0.31496062992125984"/>
  <pageSetup paperSize="9" scale="70" fitToHeight="5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9"/>
  <sheetViews>
    <sheetView tabSelected="1" view="pageBreakPreview" topLeftCell="A88" zoomScale="71" zoomScaleNormal="87" zoomScaleSheetLayoutView="71" zoomScalePageLayoutView="75" workbookViewId="0">
      <selection activeCell="C127" sqref="C127:G129"/>
    </sheetView>
  </sheetViews>
  <sheetFormatPr defaultRowHeight="36" customHeight="1"/>
  <cols>
    <col min="1" max="1" width="12.5" style="260" customWidth="1"/>
    <col min="2" max="2" width="8.5" style="261" customWidth="1"/>
    <col min="3" max="3" width="18.125" style="317" customWidth="1"/>
    <col min="4" max="4" width="22.5" style="37" customWidth="1"/>
    <col min="5" max="5" width="15.375" style="262" customWidth="1"/>
    <col min="6" max="6" width="25.625" style="262" customWidth="1"/>
    <col min="7" max="7" width="28.125" style="263" customWidth="1"/>
    <col min="8" max="8" width="42.5" style="252" customWidth="1"/>
    <col min="9" max="16384" width="9" style="37"/>
  </cols>
  <sheetData>
    <row r="1" spans="1:7" s="252" customFormat="1" ht="105" customHeight="1" thickBot="1">
      <c r="A1" s="753" t="s">
        <v>0</v>
      </c>
      <c r="B1" s="754"/>
      <c r="C1" s="754"/>
      <c r="D1" s="754"/>
      <c r="E1" s="754"/>
      <c r="F1" s="754"/>
      <c r="G1" s="787"/>
    </row>
    <row r="2" spans="1:7" s="37" customFormat="1" ht="33.75" customHeight="1">
      <c r="A2" s="751">
        <v>43801</v>
      </c>
      <c r="B2" s="686" t="s">
        <v>1962</v>
      </c>
      <c r="C2" s="662" t="s">
        <v>1946</v>
      </c>
      <c r="D2" s="490" t="s">
        <v>1947</v>
      </c>
      <c r="E2" s="254">
        <v>20</v>
      </c>
      <c r="F2" s="35"/>
      <c r="G2" s="51"/>
    </row>
    <row r="3" spans="1:7" s="37" customFormat="1" ht="33.75" customHeight="1">
      <c r="A3" s="751"/>
      <c r="B3" s="686"/>
      <c r="C3" s="663" t="s">
        <v>1949</v>
      </c>
      <c r="D3" s="18" t="s">
        <v>1950</v>
      </c>
      <c r="E3" s="290">
        <v>50</v>
      </c>
      <c r="F3" s="35"/>
      <c r="G3" s="51"/>
    </row>
    <row r="4" spans="1:7" s="37" customFormat="1" ht="33.75" customHeight="1">
      <c r="A4" s="751"/>
      <c r="B4" s="686"/>
      <c r="C4" s="706" t="s">
        <v>1952</v>
      </c>
      <c r="D4" s="490" t="s">
        <v>1953</v>
      </c>
      <c r="E4" s="254" t="s">
        <v>1954</v>
      </c>
      <c r="F4" s="35"/>
      <c r="G4" s="51"/>
    </row>
    <row r="5" spans="1:7" s="37" customFormat="1" ht="33.75" customHeight="1">
      <c r="A5" s="751"/>
      <c r="B5" s="686"/>
      <c r="C5" s="705"/>
      <c r="D5" s="490" t="s">
        <v>1955</v>
      </c>
      <c r="E5" s="254" t="s">
        <v>1956</v>
      </c>
      <c r="F5" s="35"/>
      <c r="G5" s="51"/>
    </row>
    <row r="6" spans="1:7" s="37" customFormat="1" ht="33.75" customHeight="1">
      <c r="A6" s="751"/>
      <c r="B6" s="686"/>
      <c r="C6" s="705"/>
      <c r="D6" s="490" t="s">
        <v>1957</v>
      </c>
      <c r="E6" s="254" t="s">
        <v>1958</v>
      </c>
      <c r="F6" s="35"/>
      <c r="G6" s="51"/>
    </row>
    <row r="7" spans="1:7" s="37" customFormat="1" ht="33.75" customHeight="1">
      <c r="A7" s="751"/>
      <c r="B7" s="686"/>
      <c r="C7" s="705"/>
      <c r="D7" s="31" t="s">
        <v>1960</v>
      </c>
      <c r="E7" s="382">
        <v>12</v>
      </c>
      <c r="F7" s="35"/>
      <c r="G7" s="51"/>
    </row>
    <row r="8" spans="1:7" s="37" customFormat="1" ht="33.75" customHeight="1" thickBot="1">
      <c r="A8" s="751"/>
      <c r="B8" s="686"/>
      <c r="C8" s="708"/>
      <c r="D8" s="653" t="s">
        <v>1959</v>
      </c>
      <c r="E8" s="273">
        <v>20</v>
      </c>
      <c r="F8" s="377"/>
      <c r="G8" s="378"/>
    </row>
    <row r="9" spans="1:7" s="37" customFormat="1" ht="33.75" customHeight="1" thickBot="1">
      <c r="A9" s="752"/>
      <c r="B9" s="687"/>
      <c r="C9" s="47"/>
      <c r="D9" s="27"/>
      <c r="E9" s="22"/>
      <c r="F9" s="22"/>
      <c r="G9" s="58"/>
    </row>
    <row r="10" spans="1:7" s="252" customFormat="1" ht="33.75" customHeight="1">
      <c r="A10" s="751">
        <v>43802</v>
      </c>
      <c r="B10" s="686" t="s">
        <v>1136</v>
      </c>
      <c r="C10" s="702" t="s">
        <v>1899</v>
      </c>
      <c r="D10" s="162" t="s">
        <v>1900</v>
      </c>
      <c r="E10" s="253">
        <v>183</v>
      </c>
      <c r="F10" s="39"/>
      <c r="G10" s="53"/>
    </row>
    <row r="11" spans="1:7" s="252" customFormat="1" ht="33.75" customHeight="1">
      <c r="A11" s="751"/>
      <c r="B11" s="686"/>
      <c r="C11" s="703"/>
      <c r="D11" s="18" t="s">
        <v>1951</v>
      </c>
      <c r="E11" s="290">
        <v>142</v>
      </c>
      <c r="F11" s="42"/>
      <c r="G11" s="55"/>
    </row>
    <row r="12" spans="1:7" s="252" customFormat="1" ht="33.75" customHeight="1" thickBot="1">
      <c r="A12" s="751"/>
      <c r="B12" s="686"/>
      <c r="C12" s="664" t="s">
        <v>204</v>
      </c>
      <c r="D12" s="490" t="s">
        <v>1135</v>
      </c>
      <c r="E12" s="254" t="s">
        <v>103</v>
      </c>
      <c r="F12" s="35"/>
      <c r="G12" s="55"/>
    </row>
    <row r="13" spans="1:7" s="252" customFormat="1" ht="33.75" customHeight="1" thickBot="1">
      <c r="A13" s="752"/>
      <c r="B13" s="687"/>
      <c r="C13" s="256"/>
      <c r="D13" s="257"/>
      <c r="E13" s="258"/>
      <c r="F13" s="22"/>
      <c r="G13" s="58"/>
    </row>
    <row r="14" spans="1:7" s="252" customFormat="1" ht="33.75" customHeight="1">
      <c r="A14" s="751">
        <v>43803</v>
      </c>
      <c r="B14" s="686" t="s">
        <v>1185</v>
      </c>
      <c r="C14" s="702" t="s">
        <v>1912</v>
      </c>
      <c r="D14" s="582" t="s">
        <v>1913</v>
      </c>
      <c r="E14" s="583">
        <v>50</v>
      </c>
      <c r="F14" s="372" t="s">
        <v>1914</v>
      </c>
      <c r="G14" s="239"/>
    </row>
    <row r="15" spans="1:7" s="252" customFormat="1" ht="33.75" customHeight="1">
      <c r="A15" s="751"/>
      <c r="B15" s="686"/>
      <c r="C15" s="705"/>
      <c r="D15" s="667" t="s">
        <v>31</v>
      </c>
      <c r="E15" s="457">
        <v>50</v>
      </c>
      <c r="F15" s="35" t="s">
        <v>14</v>
      </c>
      <c r="G15" s="51"/>
    </row>
    <row r="16" spans="1:7" s="252" customFormat="1" ht="33.75" customHeight="1">
      <c r="A16" s="751"/>
      <c r="B16" s="686"/>
      <c r="C16" s="705"/>
      <c r="D16" s="116" t="s">
        <v>1968</v>
      </c>
      <c r="E16" s="574">
        <v>50</v>
      </c>
      <c r="F16" s="56" t="s">
        <v>1969</v>
      </c>
      <c r="G16" s="57"/>
    </row>
    <row r="17" spans="1:7" s="252" customFormat="1" ht="33.75" customHeight="1">
      <c r="A17" s="751"/>
      <c r="B17" s="686"/>
      <c r="C17" s="703"/>
      <c r="D17" s="654" t="s">
        <v>1970</v>
      </c>
      <c r="E17" s="457" t="s">
        <v>1971</v>
      </c>
      <c r="F17" s="35" t="s">
        <v>1972</v>
      </c>
      <c r="G17" s="51"/>
    </row>
    <row r="18" spans="1:7" s="252" customFormat="1" ht="33.75" customHeight="1">
      <c r="A18" s="751"/>
      <c r="B18" s="686"/>
      <c r="C18" s="706" t="s">
        <v>1933</v>
      </c>
      <c r="D18" s="655" t="s">
        <v>1934</v>
      </c>
      <c r="E18" s="509">
        <v>200</v>
      </c>
      <c r="F18" s="42" t="s">
        <v>1938</v>
      </c>
      <c r="G18" s="55"/>
    </row>
    <row r="19" spans="1:7" s="252" customFormat="1" ht="33.75" customHeight="1">
      <c r="A19" s="751"/>
      <c r="B19" s="686"/>
      <c r="C19" s="705"/>
      <c r="D19" s="655" t="s">
        <v>1935</v>
      </c>
      <c r="E19" s="509">
        <v>20</v>
      </c>
      <c r="F19" s="42"/>
      <c r="G19" s="55"/>
    </row>
    <row r="20" spans="1:7" s="252" customFormat="1" ht="33.75" customHeight="1">
      <c r="A20" s="751"/>
      <c r="B20" s="686"/>
      <c r="C20" s="703"/>
      <c r="D20" s="654" t="s">
        <v>1936</v>
      </c>
      <c r="E20" s="457" t="s">
        <v>1937</v>
      </c>
      <c r="F20" s="35"/>
      <c r="G20" s="51"/>
    </row>
    <row r="21" spans="1:7" s="252" customFormat="1" ht="33.75" customHeight="1">
      <c r="A21" s="751"/>
      <c r="B21" s="686"/>
      <c r="C21" s="669" t="s">
        <v>34</v>
      </c>
      <c r="D21" s="670" t="s">
        <v>1439</v>
      </c>
      <c r="E21" s="457">
        <v>50</v>
      </c>
      <c r="F21" s="35"/>
      <c r="G21" s="51"/>
    </row>
    <row r="22" spans="1:7" s="252" customFormat="1" ht="33.75" customHeight="1" thickBot="1">
      <c r="A22" s="751"/>
      <c r="B22" s="686"/>
      <c r="C22" s="666" t="s">
        <v>1965</v>
      </c>
      <c r="D22" s="116" t="s">
        <v>1966</v>
      </c>
      <c r="E22" s="574" t="s">
        <v>1967</v>
      </c>
      <c r="F22" s="56" t="s">
        <v>1976</v>
      </c>
      <c r="G22" s="57"/>
    </row>
    <row r="23" spans="1:7" s="252" customFormat="1" ht="33.75" customHeight="1" thickBot="1">
      <c r="A23" s="752"/>
      <c r="B23" s="687"/>
      <c r="C23" s="274" t="s">
        <v>1942</v>
      </c>
      <c r="D23" s="257" t="s">
        <v>1944</v>
      </c>
      <c r="E23" s="258" t="s">
        <v>1945</v>
      </c>
      <c r="F23" s="34" t="s">
        <v>1943</v>
      </c>
      <c r="G23" s="61"/>
    </row>
    <row r="24" spans="1:7" s="252" customFormat="1" ht="33.75" customHeight="1">
      <c r="A24" s="751">
        <v>43804</v>
      </c>
      <c r="B24" s="686" t="s">
        <v>776</v>
      </c>
      <c r="C24" s="702" t="s">
        <v>1892</v>
      </c>
      <c r="D24" s="18" t="s">
        <v>1893</v>
      </c>
      <c r="E24" s="290">
        <v>238</v>
      </c>
      <c r="F24" s="602"/>
      <c r="G24" s="603"/>
    </row>
    <row r="25" spans="1:7" s="252" customFormat="1" ht="33.75" customHeight="1">
      <c r="A25" s="751"/>
      <c r="B25" s="686"/>
      <c r="C25" s="703"/>
      <c r="D25" s="18" t="s">
        <v>1890</v>
      </c>
      <c r="E25" s="290">
        <v>1</v>
      </c>
      <c r="F25" s="601"/>
      <c r="G25" s="604"/>
    </row>
    <row r="26" spans="1:7" s="252" customFormat="1" ht="33.75" customHeight="1">
      <c r="A26" s="751"/>
      <c r="B26" s="686"/>
      <c r="C26" s="706" t="s">
        <v>7</v>
      </c>
      <c r="D26" s="490" t="s">
        <v>21</v>
      </c>
      <c r="E26" s="457">
        <v>80</v>
      </c>
      <c r="F26" s="633"/>
      <c r="G26" s="634"/>
    </row>
    <row r="27" spans="1:7" s="252" customFormat="1" ht="33.75" customHeight="1">
      <c r="A27" s="751"/>
      <c r="B27" s="686"/>
      <c r="C27" s="705"/>
      <c r="D27" s="490" t="s">
        <v>26</v>
      </c>
      <c r="E27" s="457">
        <v>40</v>
      </c>
      <c r="F27" s="633"/>
      <c r="G27" s="634"/>
    </row>
    <row r="28" spans="1:7" s="252" customFormat="1" ht="33.75" customHeight="1">
      <c r="A28" s="751"/>
      <c r="B28" s="686"/>
      <c r="C28" s="705"/>
      <c r="D28" s="490" t="s">
        <v>42</v>
      </c>
      <c r="E28" s="457">
        <v>50</v>
      </c>
      <c r="F28" s="633"/>
      <c r="G28" s="634"/>
    </row>
    <row r="29" spans="1:7" s="252" customFormat="1" ht="33.75" customHeight="1">
      <c r="A29" s="751"/>
      <c r="B29" s="686"/>
      <c r="C29" s="705"/>
      <c r="D29" s="18" t="s">
        <v>1961</v>
      </c>
      <c r="E29" s="509">
        <v>21</v>
      </c>
      <c r="F29" s="633"/>
      <c r="G29" s="634"/>
    </row>
    <row r="30" spans="1:7" s="252" customFormat="1" ht="33.75" customHeight="1">
      <c r="A30" s="751"/>
      <c r="B30" s="686"/>
      <c r="C30" s="705"/>
      <c r="D30" s="18" t="s">
        <v>23</v>
      </c>
      <c r="E30" s="509">
        <v>30</v>
      </c>
      <c r="F30" s="633"/>
      <c r="G30" s="634"/>
    </row>
    <row r="31" spans="1:7" s="252" customFormat="1" ht="33.75" customHeight="1">
      <c r="A31" s="751"/>
      <c r="B31" s="686"/>
      <c r="C31" s="703"/>
      <c r="D31" s="490" t="s">
        <v>1940</v>
      </c>
      <c r="E31" s="457" t="s">
        <v>1941</v>
      </c>
      <c r="F31" s="633"/>
      <c r="G31" s="634"/>
    </row>
    <row r="32" spans="1:7" s="252" customFormat="1" ht="33.75" customHeight="1">
      <c r="A32" s="751"/>
      <c r="B32" s="686"/>
      <c r="C32" s="706" t="s">
        <v>1973</v>
      </c>
      <c r="D32" s="668" t="s">
        <v>1114</v>
      </c>
      <c r="E32" s="471" t="s">
        <v>91</v>
      </c>
      <c r="F32" s="41" t="s">
        <v>1975</v>
      </c>
      <c r="G32" s="54" t="s">
        <v>1974</v>
      </c>
    </row>
    <row r="33" spans="1:7" s="252" customFormat="1" ht="33.75" customHeight="1" thickBot="1">
      <c r="A33" s="751"/>
      <c r="B33" s="686"/>
      <c r="C33" s="708"/>
      <c r="D33" s="631" t="s">
        <v>1078</v>
      </c>
      <c r="E33" s="632" t="s">
        <v>1280</v>
      </c>
      <c r="F33" s="605"/>
      <c r="G33" s="606"/>
    </row>
    <row r="34" spans="1:7" s="252" customFormat="1" ht="33.75" customHeight="1" thickBot="1">
      <c r="A34" s="752"/>
      <c r="B34" s="687"/>
      <c r="C34" s="626"/>
      <c r="D34" s="627"/>
      <c r="E34" s="627"/>
      <c r="F34" s="627"/>
      <c r="G34" s="628"/>
    </row>
    <row r="35" spans="1:7" s="252" customFormat="1" ht="33.75" customHeight="1">
      <c r="A35" s="750">
        <v>43805</v>
      </c>
      <c r="B35" s="712" t="s">
        <v>396</v>
      </c>
      <c r="C35" s="702" t="s">
        <v>1926</v>
      </c>
      <c r="D35" s="162" t="s">
        <v>1927</v>
      </c>
      <c r="E35" s="253">
        <v>100</v>
      </c>
      <c r="F35" s="665" t="s">
        <v>1948</v>
      </c>
      <c r="G35" s="634"/>
    </row>
    <row r="36" spans="1:7" s="252" customFormat="1" ht="33.75" customHeight="1">
      <c r="A36" s="751"/>
      <c r="B36" s="798"/>
      <c r="C36" s="705"/>
      <c r="D36" s="31" t="s">
        <v>1963</v>
      </c>
      <c r="E36" s="574">
        <v>50</v>
      </c>
      <c r="F36" s="665"/>
      <c r="G36" s="634"/>
    </row>
    <row r="37" spans="1:7" s="252" customFormat="1" ht="33.75" customHeight="1">
      <c r="A37" s="751"/>
      <c r="B37" s="798"/>
      <c r="C37" s="705"/>
      <c r="D37" s="490" t="s">
        <v>1928</v>
      </c>
      <c r="E37" s="254">
        <v>50</v>
      </c>
      <c r="F37" s="633"/>
      <c r="G37" s="634"/>
    </row>
    <row r="38" spans="1:7" s="252" customFormat="1" ht="33.75" customHeight="1">
      <c r="A38" s="751"/>
      <c r="B38" s="798"/>
      <c r="C38" s="705"/>
      <c r="D38" s="490" t="s">
        <v>28</v>
      </c>
      <c r="E38" s="254">
        <v>50</v>
      </c>
      <c r="F38" s="633"/>
      <c r="G38" s="634"/>
    </row>
    <row r="39" spans="1:7" s="252" customFormat="1" ht="33.75" customHeight="1">
      <c r="A39" s="751"/>
      <c r="B39" s="798"/>
      <c r="C39" s="703"/>
      <c r="D39" s="490" t="s">
        <v>1964</v>
      </c>
      <c r="E39" s="254" t="s">
        <v>70</v>
      </c>
      <c r="F39" s="633"/>
      <c r="G39" s="634"/>
    </row>
    <row r="40" spans="1:7" s="252" customFormat="1" ht="33.75" customHeight="1">
      <c r="A40" s="751"/>
      <c r="B40" s="798"/>
      <c r="C40" s="706" t="s">
        <v>1977</v>
      </c>
      <c r="D40" s="490" t="s">
        <v>1978</v>
      </c>
      <c r="E40" s="457">
        <v>40</v>
      </c>
      <c r="F40" s="633"/>
      <c r="G40" s="634"/>
    </row>
    <row r="41" spans="1:7" s="252" customFormat="1" ht="33.75" customHeight="1">
      <c r="A41" s="751"/>
      <c r="B41" s="798"/>
      <c r="C41" s="703"/>
      <c r="D41" s="490" t="s">
        <v>1979</v>
      </c>
      <c r="E41" s="457">
        <v>20</v>
      </c>
      <c r="F41" s="633"/>
      <c r="G41" s="634"/>
    </row>
    <row r="42" spans="1:7" s="252" customFormat="1" ht="33.75" customHeight="1" thickBot="1">
      <c r="A42" s="751"/>
      <c r="B42" s="798"/>
      <c r="C42" s="673" t="s">
        <v>2001</v>
      </c>
      <c r="D42" s="631" t="s">
        <v>2002</v>
      </c>
      <c r="E42" s="632">
        <v>100</v>
      </c>
      <c r="F42" s="40"/>
      <c r="G42" s="52"/>
    </row>
    <row r="43" spans="1:7" s="252" customFormat="1" ht="33.75" customHeight="1" thickBot="1">
      <c r="A43" s="752"/>
      <c r="B43" s="713"/>
      <c r="C43" s="626"/>
      <c r="D43" s="627"/>
      <c r="E43" s="627"/>
      <c r="F43" s="627"/>
      <c r="G43" s="628"/>
    </row>
    <row r="44" spans="1:7" s="252" customFormat="1" ht="104.25" customHeight="1" thickBot="1">
      <c r="A44" s="753" t="s">
        <v>0</v>
      </c>
      <c r="B44" s="754"/>
      <c r="C44" s="754"/>
      <c r="D44" s="754"/>
      <c r="E44" s="754"/>
      <c r="F44" s="754"/>
      <c r="G44" s="787"/>
    </row>
    <row r="45" spans="1:7" s="252" customFormat="1" ht="33.75" customHeight="1">
      <c r="A45" s="751">
        <v>43808</v>
      </c>
      <c r="B45" s="686" t="s">
        <v>2</v>
      </c>
      <c r="C45" s="682" t="s">
        <v>695</v>
      </c>
      <c r="D45" s="481" t="s">
        <v>1980</v>
      </c>
      <c r="E45" s="253" t="s">
        <v>91</v>
      </c>
      <c r="F45" s="552"/>
      <c r="G45" s="53"/>
    </row>
    <row r="46" spans="1:7" s="252" customFormat="1" ht="33.75" customHeight="1">
      <c r="A46" s="751"/>
      <c r="B46" s="686"/>
      <c r="C46" s="683"/>
      <c r="D46" s="452" t="s">
        <v>1981</v>
      </c>
      <c r="E46" s="254" t="s">
        <v>1982</v>
      </c>
      <c r="F46" s="479"/>
      <c r="G46" s="51"/>
    </row>
    <row r="47" spans="1:7" s="252" customFormat="1" ht="33.75" customHeight="1">
      <c r="A47" s="751"/>
      <c r="B47" s="686"/>
      <c r="C47" s="801"/>
      <c r="D47" s="569" t="s">
        <v>1983</v>
      </c>
      <c r="E47" s="382">
        <v>20</v>
      </c>
      <c r="F47" s="570"/>
      <c r="G47" s="57"/>
    </row>
    <row r="48" spans="1:7" s="252" customFormat="1" ht="33.75" customHeight="1">
      <c r="A48" s="751"/>
      <c r="B48" s="686"/>
      <c r="C48" s="451" t="s">
        <v>1984</v>
      </c>
      <c r="D48" s="452" t="s">
        <v>1985</v>
      </c>
      <c r="E48" s="254" t="s">
        <v>1986</v>
      </c>
      <c r="F48" s="672" t="s">
        <v>1987</v>
      </c>
      <c r="G48" s="51"/>
    </row>
    <row r="49" spans="1:7" s="252" customFormat="1" ht="33.75" customHeight="1" thickBot="1">
      <c r="A49" s="752"/>
      <c r="B49" s="687"/>
      <c r="C49" s="151" t="s">
        <v>1995</v>
      </c>
      <c r="D49" s="20" t="s">
        <v>1996</v>
      </c>
      <c r="E49" s="13" t="s">
        <v>1997</v>
      </c>
      <c r="F49" s="13" t="s">
        <v>1998</v>
      </c>
      <c r="G49" s="62"/>
    </row>
    <row r="50" spans="1:7" s="252" customFormat="1" ht="33.75" customHeight="1">
      <c r="A50" s="750">
        <v>43809</v>
      </c>
      <c r="B50" s="712" t="s">
        <v>1136</v>
      </c>
      <c r="C50" s="682" t="s">
        <v>2008</v>
      </c>
      <c r="D50" s="370" t="s">
        <v>2009</v>
      </c>
      <c r="E50" s="254">
        <v>60</v>
      </c>
      <c r="F50" s="674" t="s">
        <v>2015</v>
      </c>
      <c r="G50" s="51"/>
    </row>
    <row r="51" spans="1:7" s="252" customFormat="1" ht="33.75" customHeight="1">
      <c r="A51" s="751"/>
      <c r="B51" s="798"/>
      <c r="C51" s="801"/>
      <c r="D51" s="490" t="s">
        <v>2010</v>
      </c>
      <c r="E51" s="254" t="s">
        <v>2011</v>
      </c>
      <c r="F51" s="35"/>
      <c r="G51" s="54"/>
    </row>
    <row r="52" spans="1:7" s="252" customFormat="1" ht="33.75" customHeight="1">
      <c r="A52" s="751"/>
      <c r="B52" s="798"/>
      <c r="C52" s="675" t="s">
        <v>34</v>
      </c>
      <c r="D52" s="25" t="s">
        <v>2020</v>
      </c>
      <c r="E52" s="255">
        <v>50</v>
      </c>
      <c r="F52" s="41"/>
      <c r="G52" s="54" t="s">
        <v>592</v>
      </c>
    </row>
    <row r="53" spans="1:7" s="252" customFormat="1" ht="33.75" customHeight="1">
      <c r="A53" s="751"/>
      <c r="B53" s="798"/>
      <c r="C53" s="797" t="s">
        <v>2012</v>
      </c>
      <c r="D53" s="490" t="s">
        <v>2013</v>
      </c>
      <c r="E53" s="254">
        <v>100</v>
      </c>
      <c r="F53" s="35"/>
      <c r="G53" s="54"/>
    </row>
    <row r="54" spans="1:7" s="252" customFormat="1" ht="33.75" customHeight="1" thickBot="1">
      <c r="A54" s="751"/>
      <c r="B54" s="798"/>
      <c r="C54" s="801"/>
      <c r="D54" s="490" t="s">
        <v>2014</v>
      </c>
      <c r="E54" s="254" t="s">
        <v>2011</v>
      </c>
      <c r="F54" s="465"/>
      <c r="G54" s="54"/>
    </row>
    <row r="55" spans="1:7" s="252" customFormat="1" ht="33.75" customHeight="1" thickBot="1">
      <c r="A55" s="752"/>
      <c r="B55" s="713"/>
      <c r="C55" s="48"/>
      <c r="D55" s="257"/>
      <c r="E55" s="22"/>
      <c r="F55" s="22"/>
      <c r="G55" s="58"/>
    </row>
    <row r="56" spans="1:7" s="252" customFormat="1" ht="33.75" customHeight="1">
      <c r="A56" s="750">
        <v>43810</v>
      </c>
      <c r="B56" s="685" t="s">
        <v>1185</v>
      </c>
      <c r="C56" s="702" t="s">
        <v>1899</v>
      </c>
      <c r="D56" s="18" t="s">
        <v>1901</v>
      </c>
      <c r="E56" s="290">
        <v>130</v>
      </c>
      <c r="F56" s="42"/>
      <c r="G56" s="57"/>
    </row>
    <row r="57" spans="1:7" s="252" customFormat="1" ht="33.75" customHeight="1">
      <c r="A57" s="751"/>
      <c r="B57" s="686"/>
      <c r="C57" s="705"/>
      <c r="D57" s="490" t="s">
        <v>1902</v>
      </c>
      <c r="E57" s="254">
        <v>100</v>
      </c>
      <c r="F57" s="35"/>
      <c r="G57" s="54"/>
    </row>
    <row r="58" spans="1:7" s="252" customFormat="1" ht="33.75" customHeight="1">
      <c r="A58" s="751"/>
      <c r="B58" s="686"/>
      <c r="C58" s="705"/>
      <c r="D58" s="31" t="s">
        <v>1903</v>
      </c>
      <c r="E58" s="290">
        <v>1</v>
      </c>
      <c r="F58" s="35"/>
      <c r="G58" s="54"/>
    </row>
    <row r="59" spans="1:7" s="252" customFormat="1" ht="33.75" customHeight="1">
      <c r="A59" s="751"/>
      <c r="B59" s="686"/>
      <c r="C59" s="703"/>
      <c r="D59" s="490" t="s">
        <v>1904</v>
      </c>
      <c r="E59" s="254" t="s">
        <v>1905</v>
      </c>
      <c r="F59" s="35"/>
      <c r="G59" s="54"/>
    </row>
    <row r="60" spans="1:7" s="252" customFormat="1" ht="33.75" customHeight="1">
      <c r="A60" s="751"/>
      <c r="B60" s="686"/>
      <c r="C60" s="706" t="s">
        <v>2016</v>
      </c>
      <c r="D60" s="25" t="s">
        <v>2017</v>
      </c>
      <c r="E60" s="255">
        <v>49</v>
      </c>
      <c r="F60" s="41"/>
      <c r="G60" s="54"/>
    </row>
    <row r="61" spans="1:7" s="252" customFormat="1" ht="33.75" customHeight="1" thickBot="1">
      <c r="A61" s="751"/>
      <c r="B61" s="686"/>
      <c r="C61" s="708"/>
      <c r="D61" s="653" t="s">
        <v>2018</v>
      </c>
      <c r="E61" s="273" t="s">
        <v>2019</v>
      </c>
      <c r="F61" s="40"/>
      <c r="G61" s="52"/>
    </row>
    <row r="62" spans="1:7" s="252" customFormat="1" ht="33.75" customHeight="1" thickBot="1">
      <c r="A62" s="752"/>
      <c r="B62" s="687"/>
      <c r="C62" s="626"/>
      <c r="D62" s="627"/>
      <c r="E62" s="627"/>
      <c r="F62" s="627"/>
      <c r="G62" s="628"/>
    </row>
    <row r="63" spans="1:7" s="252" customFormat="1" ht="33.75" customHeight="1">
      <c r="A63" s="750">
        <v>43811</v>
      </c>
      <c r="B63" s="712" t="s">
        <v>17</v>
      </c>
      <c r="C63" s="682" t="s">
        <v>1892</v>
      </c>
      <c r="D63" s="453" t="s">
        <v>1894</v>
      </c>
      <c r="E63" s="290">
        <v>228</v>
      </c>
      <c r="F63" s="42"/>
      <c r="G63" s="55"/>
    </row>
    <row r="64" spans="1:7" s="252" customFormat="1" ht="33.75" customHeight="1">
      <c r="A64" s="751"/>
      <c r="B64" s="798"/>
      <c r="C64" s="801"/>
      <c r="D64" s="453" t="s">
        <v>1939</v>
      </c>
      <c r="E64" s="290">
        <v>2</v>
      </c>
      <c r="F64" s="42"/>
      <c r="G64" s="55"/>
    </row>
    <row r="65" spans="1:7" s="252" customFormat="1" ht="33.75" customHeight="1">
      <c r="A65" s="751"/>
      <c r="B65" s="798"/>
      <c r="C65" s="671" t="s">
        <v>1984</v>
      </c>
      <c r="D65" s="453" t="s">
        <v>1988</v>
      </c>
      <c r="E65" s="290" t="s">
        <v>1989</v>
      </c>
      <c r="F65" s="42" t="s">
        <v>1990</v>
      </c>
      <c r="G65" s="55" t="s">
        <v>592</v>
      </c>
    </row>
    <row r="66" spans="1:7" s="252" customFormat="1" ht="33.75" customHeight="1">
      <c r="A66" s="751"/>
      <c r="B66" s="798"/>
      <c r="C66" s="706" t="s">
        <v>583</v>
      </c>
      <c r="D66" s="25" t="s">
        <v>623</v>
      </c>
      <c r="E66" s="255">
        <v>50</v>
      </c>
      <c r="F66" s="41"/>
      <c r="G66" s="54"/>
    </row>
    <row r="67" spans="1:7" s="252" customFormat="1" ht="33.75" customHeight="1">
      <c r="A67" s="751"/>
      <c r="B67" s="798"/>
      <c r="C67" s="705"/>
      <c r="D67" s="490" t="s">
        <v>28</v>
      </c>
      <c r="E67" s="254">
        <v>50</v>
      </c>
      <c r="F67" s="35"/>
      <c r="G67" s="51"/>
    </row>
    <row r="68" spans="1:7" s="252" customFormat="1" ht="33.75" customHeight="1">
      <c r="A68" s="751"/>
      <c r="B68" s="798"/>
      <c r="C68" s="703"/>
      <c r="D68" s="453" t="s">
        <v>2024</v>
      </c>
      <c r="E68" s="290">
        <v>50</v>
      </c>
      <c r="F68" s="42"/>
      <c r="G68" s="55"/>
    </row>
    <row r="69" spans="1:7" s="252" customFormat="1" ht="33.75" customHeight="1">
      <c r="A69" s="751"/>
      <c r="B69" s="798"/>
      <c r="C69" s="676" t="s">
        <v>65</v>
      </c>
      <c r="D69" s="453" t="s">
        <v>2022</v>
      </c>
      <c r="E69" s="290">
        <v>100</v>
      </c>
      <c r="F69" s="42"/>
      <c r="G69" s="55" t="s">
        <v>592</v>
      </c>
    </row>
    <row r="70" spans="1:7" s="252" customFormat="1" ht="39.75" customHeight="1" thickBot="1">
      <c r="A70" s="751"/>
      <c r="B70" s="798"/>
      <c r="C70" s="593" t="s">
        <v>2007</v>
      </c>
      <c r="D70" s="452" t="s">
        <v>2006</v>
      </c>
      <c r="E70" s="254">
        <v>100</v>
      </c>
      <c r="F70" s="35"/>
      <c r="G70" s="51" t="s">
        <v>592</v>
      </c>
    </row>
    <row r="71" spans="1:7" s="252" customFormat="1" ht="33.75" customHeight="1" thickBot="1">
      <c r="A71" s="752"/>
      <c r="B71" s="713"/>
      <c r="C71" s="47" t="s">
        <v>1595</v>
      </c>
      <c r="D71" s="257" t="s">
        <v>1999</v>
      </c>
      <c r="E71" s="22" t="s">
        <v>2000</v>
      </c>
      <c r="F71" s="22" t="s">
        <v>687</v>
      </c>
      <c r="G71" s="58"/>
    </row>
    <row r="72" spans="1:7" s="252" customFormat="1" ht="33.75" customHeight="1">
      <c r="A72" s="750">
        <v>43812</v>
      </c>
      <c r="B72" s="712" t="s">
        <v>18</v>
      </c>
      <c r="C72" s="682" t="s">
        <v>3</v>
      </c>
      <c r="D72" s="640" t="s">
        <v>1991</v>
      </c>
      <c r="E72" s="253">
        <v>107</v>
      </c>
      <c r="F72" s="552"/>
      <c r="G72" s="641"/>
    </row>
    <row r="73" spans="1:7" s="252" customFormat="1" ht="33.75" customHeight="1">
      <c r="A73" s="751"/>
      <c r="B73" s="798"/>
      <c r="C73" s="801"/>
      <c r="D73" s="589" t="s">
        <v>1992</v>
      </c>
      <c r="E73" s="290">
        <v>100</v>
      </c>
      <c r="F73" s="477"/>
      <c r="G73" s="590"/>
    </row>
    <row r="74" spans="1:7" s="252" customFormat="1" ht="33.75" customHeight="1">
      <c r="A74" s="751"/>
      <c r="B74" s="798"/>
      <c r="C74" s="797" t="s">
        <v>34</v>
      </c>
      <c r="D74" s="589" t="s">
        <v>2023</v>
      </c>
      <c r="E74" s="290">
        <v>384</v>
      </c>
      <c r="F74" s="477"/>
      <c r="G74" s="590"/>
    </row>
    <row r="75" spans="1:7" s="252" customFormat="1" ht="33.75" customHeight="1" thickBot="1">
      <c r="A75" s="751"/>
      <c r="B75" s="798"/>
      <c r="C75" s="684"/>
      <c r="D75" s="453" t="s">
        <v>2027</v>
      </c>
      <c r="E75" s="254">
        <v>20</v>
      </c>
      <c r="F75" s="476"/>
      <c r="G75" s="55"/>
    </row>
    <row r="76" spans="1:7" s="252" customFormat="1" ht="33.75" customHeight="1" thickBot="1">
      <c r="A76" s="752"/>
      <c r="B76" s="713"/>
      <c r="C76" s="47"/>
      <c r="D76" s="257"/>
      <c r="E76" s="22"/>
      <c r="F76" s="22"/>
      <c r="G76" s="58"/>
    </row>
    <row r="77" spans="1:7" s="252" customFormat="1" ht="105" customHeight="1" thickBot="1">
      <c r="A77" s="753" t="s">
        <v>0</v>
      </c>
      <c r="B77" s="754"/>
      <c r="C77" s="754"/>
      <c r="D77" s="754"/>
      <c r="E77" s="754"/>
      <c r="F77" s="754"/>
      <c r="G77" s="787"/>
    </row>
    <row r="78" spans="1:7" s="252" customFormat="1" ht="33.75" customHeight="1">
      <c r="A78" s="750">
        <v>43815</v>
      </c>
      <c r="B78" s="685" t="s">
        <v>1044</v>
      </c>
      <c r="C78" s="683" t="s">
        <v>7</v>
      </c>
      <c r="D78" s="589" t="s">
        <v>28</v>
      </c>
      <c r="E78" s="290">
        <v>64</v>
      </c>
      <c r="F78" s="477"/>
      <c r="G78" s="590"/>
    </row>
    <row r="79" spans="1:7" s="252" customFormat="1" ht="33.75" customHeight="1">
      <c r="A79" s="751"/>
      <c r="B79" s="686"/>
      <c r="C79" s="683"/>
      <c r="D79" s="589" t="s">
        <v>2021</v>
      </c>
      <c r="E79" s="290">
        <v>50</v>
      </c>
      <c r="F79" s="477"/>
      <c r="G79" s="590"/>
    </row>
    <row r="80" spans="1:7" s="252" customFormat="1" ht="33.75" customHeight="1">
      <c r="A80" s="751"/>
      <c r="B80" s="686"/>
      <c r="C80" s="683"/>
      <c r="D80" s="18" t="s">
        <v>27</v>
      </c>
      <c r="E80" s="290">
        <v>64</v>
      </c>
      <c r="F80" s="42"/>
      <c r="G80" s="55"/>
    </row>
    <row r="81" spans="1:7" s="252" customFormat="1" ht="33.75" customHeight="1">
      <c r="A81" s="751"/>
      <c r="B81" s="686"/>
      <c r="C81" s="683"/>
      <c r="D81" s="18" t="s">
        <v>2039</v>
      </c>
      <c r="E81" s="290">
        <v>50</v>
      </c>
      <c r="F81" s="42"/>
      <c r="G81" s="55"/>
    </row>
    <row r="82" spans="1:7" s="252" customFormat="1" ht="33.75" customHeight="1">
      <c r="A82" s="751"/>
      <c r="B82" s="686"/>
      <c r="C82" s="801"/>
      <c r="D82" s="18" t="s">
        <v>21</v>
      </c>
      <c r="E82" s="290">
        <v>40</v>
      </c>
      <c r="F82" s="42"/>
      <c r="G82" s="55"/>
    </row>
    <row r="83" spans="1:7" s="252" customFormat="1" ht="33.75" customHeight="1">
      <c r="A83" s="751"/>
      <c r="B83" s="686"/>
      <c r="C83" s="451" t="s">
        <v>2025</v>
      </c>
      <c r="D83" s="453" t="s">
        <v>2026</v>
      </c>
      <c r="E83" s="290">
        <v>100</v>
      </c>
      <c r="F83" s="35" t="s">
        <v>2034</v>
      </c>
      <c r="G83" s="51"/>
    </row>
    <row r="84" spans="1:7" s="252" customFormat="1" ht="33.75" customHeight="1" thickBot="1">
      <c r="A84" s="751"/>
      <c r="B84" s="686"/>
      <c r="C84" s="679" t="s">
        <v>533</v>
      </c>
      <c r="D84" s="609" t="s">
        <v>31</v>
      </c>
      <c r="E84" s="273">
        <v>100</v>
      </c>
      <c r="F84" s="40"/>
      <c r="G84" s="52"/>
    </row>
    <row r="85" spans="1:7" s="252" customFormat="1" ht="33.75" customHeight="1" thickBot="1">
      <c r="A85" s="751"/>
      <c r="B85" s="686"/>
      <c r="C85" s="678"/>
      <c r="D85" s="645"/>
      <c r="E85" s="646"/>
      <c r="F85" s="647"/>
      <c r="G85" s="648"/>
    </row>
    <row r="86" spans="1:7" s="252" customFormat="1" ht="33.75" customHeight="1">
      <c r="A86" s="750">
        <v>43816</v>
      </c>
      <c r="B86" s="685" t="s">
        <v>16</v>
      </c>
      <c r="C86" s="677" t="s">
        <v>2036</v>
      </c>
      <c r="D86" s="490" t="s">
        <v>2037</v>
      </c>
      <c r="E86" s="254">
        <v>50</v>
      </c>
      <c r="F86" s="42" t="s">
        <v>2038</v>
      </c>
      <c r="G86" s="55"/>
    </row>
    <row r="87" spans="1:7" s="252" customFormat="1" ht="33.75" customHeight="1">
      <c r="A87" s="751"/>
      <c r="B87" s="686"/>
      <c r="C87" s="706" t="s">
        <v>2044</v>
      </c>
      <c r="D87" s="18" t="s">
        <v>2048</v>
      </c>
      <c r="E87" s="290">
        <v>120</v>
      </c>
      <c r="F87" s="42"/>
      <c r="G87" s="55"/>
    </row>
    <row r="88" spans="1:7" s="252" customFormat="1" ht="33.75" customHeight="1">
      <c r="A88" s="751"/>
      <c r="B88" s="686"/>
      <c r="C88" s="703"/>
      <c r="D88" s="18" t="s">
        <v>2052</v>
      </c>
      <c r="E88" s="290" t="s">
        <v>2053</v>
      </c>
      <c r="F88" s="42"/>
      <c r="G88" s="55"/>
    </row>
    <row r="89" spans="1:7" s="252" customFormat="1" ht="33.75" customHeight="1" thickBot="1">
      <c r="A89" s="751"/>
      <c r="B89" s="686"/>
      <c r="C89" s="680" t="s">
        <v>2049</v>
      </c>
      <c r="D89" s="490" t="s">
        <v>2050</v>
      </c>
      <c r="E89" s="254" t="s">
        <v>2051</v>
      </c>
      <c r="F89" s="35"/>
      <c r="G89" s="51"/>
    </row>
    <row r="90" spans="1:7" s="252" customFormat="1" ht="33.75" customHeight="1" thickBot="1">
      <c r="A90" s="752"/>
      <c r="B90" s="687"/>
      <c r="C90" s="47"/>
      <c r="D90" s="27"/>
      <c r="E90" s="22"/>
      <c r="F90" s="22"/>
      <c r="G90" s="58"/>
    </row>
    <row r="91" spans="1:7" s="252" customFormat="1" ht="33.75" customHeight="1">
      <c r="A91" s="751">
        <v>43817</v>
      </c>
      <c r="B91" s="686" t="s">
        <v>1185</v>
      </c>
      <c r="C91" s="682" t="s">
        <v>2028</v>
      </c>
      <c r="D91" s="453" t="s">
        <v>2029</v>
      </c>
      <c r="E91" s="290">
        <v>125</v>
      </c>
      <c r="F91" s="42"/>
      <c r="G91" s="55"/>
    </row>
    <row r="92" spans="1:7" s="252" customFormat="1" ht="33.75" customHeight="1">
      <c r="A92" s="751"/>
      <c r="B92" s="686"/>
      <c r="C92" s="801"/>
      <c r="D92" s="453" t="s">
        <v>2030</v>
      </c>
      <c r="E92" s="254">
        <v>217</v>
      </c>
      <c r="F92" s="35"/>
      <c r="G92" s="51"/>
    </row>
    <row r="93" spans="1:7" s="252" customFormat="1" ht="33.75" customHeight="1">
      <c r="A93" s="751"/>
      <c r="B93" s="686"/>
      <c r="C93" s="706" t="s">
        <v>1180</v>
      </c>
      <c r="D93" s="18" t="s">
        <v>2058</v>
      </c>
      <c r="E93" s="290">
        <v>150</v>
      </c>
      <c r="F93" s="42"/>
      <c r="G93" s="51"/>
    </row>
    <row r="94" spans="1:7" s="252" customFormat="1" ht="33.75" customHeight="1">
      <c r="A94" s="751"/>
      <c r="B94" s="686"/>
      <c r="C94" s="705"/>
      <c r="D94" s="18" t="s">
        <v>2059</v>
      </c>
      <c r="E94" s="290" t="s">
        <v>2068</v>
      </c>
      <c r="F94" s="42"/>
      <c r="G94" s="55"/>
    </row>
    <row r="95" spans="1:7" s="252" customFormat="1" ht="33.75" customHeight="1">
      <c r="A95" s="751"/>
      <c r="B95" s="686"/>
      <c r="C95" s="705"/>
      <c r="D95" s="18" t="s">
        <v>2060</v>
      </c>
      <c r="E95" s="290" t="s">
        <v>2066</v>
      </c>
      <c r="F95" s="42"/>
      <c r="G95" s="55"/>
    </row>
    <row r="96" spans="1:7" s="252" customFormat="1" ht="33.75" customHeight="1">
      <c r="A96" s="751"/>
      <c r="B96" s="686"/>
      <c r="C96" s="703"/>
      <c r="D96" s="18" t="s">
        <v>2061</v>
      </c>
      <c r="E96" s="290" t="s">
        <v>2062</v>
      </c>
      <c r="F96" s="42"/>
      <c r="G96" s="55"/>
    </row>
    <row r="97" spans="1:7" s="252" customFormat="1" ht="34.5" customHeight="1">
      <c r="A97" s="751"/>
      <c r="B97" s="686"/>
      <c r="C97" s="683" t="s">
        <v>2040</v>
      </c>
      <c r="D97" s="453" t="s">
        <v>2041</v>
      </c>
      <c r="E97" s="254" t="s">
        <v>2042</v>
      </c>
      <c r="F97" s="35"/>
      <c r="G97" s="51"/>
    </row>
    <row r="98" spans="1:7" s="252" customFormat="1" ht="33.75" customHeight="1" thickBot="1">
      <c r="A98" s="751"/>
      <c r="B98" s="686"/>
      <c r="C98" s="801"/>
      <c r="D98" s="490" t="s">
        <v>2043</v>
      </c>
      <c r="E98" s="254" t="s">
        <v>2042</v>
      </c>
      <c r="F98" s="42"/>
      <c r="G98" s="51"/>
    </row>
    <row r="99" spans="1:7" s="252" customFormat="1" ht="33.75" customHeight="1" thickBot="1">
      <c r="A99" s="752"/>
      <c r="B99" s="687"/>
      <c r="C99" s="47"/>
      <c r="D99" s="27"/>
      <c r="E99" s="22"/>
      <c r="F99" s="22"/>
      <c r="G99" s="58"/>
    </row>
    <row r="100" spans="1:7" s="252" customFormat="1" ht="33.75" customHeight="1">
      <c r="A100" s="751">
        <v>43818</v>
      </c>
      <c r="B100" s="686" t="s">
        <v>776</v>
      </c>
      <c r="C100" s="702" t="s">
        <v>1993</v>
      </c>
      <c r="D100" s="162" t="s">
        <v>1994</v>
      </c>
      <c r="E100" s="253">
        <v>377</v>
      </c>
      <c r="F100" s="35"/>
      <c r="G100" s="51"/>
    </row>
    <row r="101" spans="1:7" s="252" customFormat="1" ht="33.75" customHeight="1">
      <c r="A101" s="751"/>
      <c r="B101" s="686"/>
      <c r="C101" s="703"/>
      <c r="D101" s="18" t="s">
        <v>2003</v>
      </c>
      <c r="E101" s="254">
        <v>100</v>
      </c>
      <c r="F101" s="35"/>
      <c r="G101" s="51"/>
    </row>
    <row r="102" spans="1:7" s="252" customFormat="1" ht="34.5" customHeight="1">
      <c r="A102" s="751"/>
      <c r="B102" s="686"/>
      <c r="C102" s="451" t="s">
        <v>7</v>
      </c>
      <c r="D102" s="452" t="s">
        <v>42</v>
      </c>
      <c r="E102" s="290">
        <v>100</v>
      </c>
      <c r="F102" s="35"/>
      <c r="G102" s="51"/>
    </row>
    <row r="103" spans="1:7" s="252" customFormat="1" ht="34.5" customHeight="1">
      <c r="A103" s="751"/>
      <c r="B103" s="686"/>
      <c r="C103" s="797" t="s">
        <v>583</v>
      </c>
      <c r="D103" s="453" t="s">
        <v>2067</v>
      </c>
      <c r="E103" s="290">
        <v>40</v>
      </c>
      <c r="F103" s="42"/>
      <c r="G103" s="51"/>
    </row>
    <row r="104" spans="1:7" s="252" customFormat="1" ht="34.5" customHeight="1" thickBot="1">
      <c r="A104" s="751"/>
      <c r="B104" s="686"/>
      <c r="C104" s="684"/>
      <c r="D104" s="453" t="s">
        <v>2064</v>
      </c>
      <c r="E104" s="290">
        <v>60</v>
      </c>
      <c r="F104" s="42"/>
      <c r="G104" s="51"/>
    </row>
    <row r="105" spans="1:7" s="252" customFormat="1" ht="33.75" customHeight="1" thickBot="1">
      <c r="A105" s="752"/>
      <c r="B105" s="687"/>
      <c r="C105" s="47"/>
      <c r="D105" s="27"/>
      <c r="E105" s="22"/>
      <c r="F105" s="22"/>
      <c r="G105" s="58"/>
    </row>
    <row r="106" spans="1:7" s="252" customFormat="1" ht="34.5" customHeight="1">
      <c r="A106" s="751">
        <v>43819</v>
      </c>
      <c r="B106" s="686" t="s">
        <v>2063</v>
      </c>
      <c r="C106" s="797" t="s">
        <v>34</v>
      </c>
      <c r="D106" s="453" t="s">
        <v>1510</v>
      </c>
      <c r="E106" s="254">
        <v>50</v>
      </c>
      <c r="F106" s="35"/>
      <c r="G106" s="51"/>
    </row>
    <row r="107" spans="1:7" s="252" customFormat="1" ht="33.75" customHeight="1">
      <c r="A107" s="751"/>
      <c r="B107" s="686"/>
      <c r="C107" s="801"/>
      <c r="D107" s="490" t="s">
        <v>1532</v>
      </c>
      <c r="E107" s="254">
        <v>50</v>
      </c>
      <c r="F107" s="42"/>
      <c r="G107" s="51"/>
    </row>
    <row r="108" spans="1:7" s="252" customFormat="1" ht="33.75" customHeight="1" thickBot="1">
      <c r="A108" s="751"/>
      <c r="B108" s="686"/>
      <c r="C108" s="651" t="s">
        <v>1516</v>
      </c>
      <c r="D108" s="18" t="s">
        <v>2065</v>
      </c>
      <c r="E108" s="290">
        <v>30</v>
      </c>
      <c r="F108" s="42"/>
      <c r="G108" s="55"/>
    </row>
    <row r="109" spans="1:7" s="252" customFormat="1" ht="33.75" customHeight="1" thickBot="1">
      <c r="A109" s="752"/>
      <c r="B109" s="687"/>
      <c r="C109" s="47" t="s">
        <v>1595</v>
      </c>
      <c r="D109" s="27" t="s">
        <v>2033</v>
      </c>
      <c r="E109" s="22" t="s">
        <v>2031</v>
      </c>
      <c r="F109" s="22" t="s">
        <v>2032</v>
      </c>
      <c r="G109" s="58"/>
    </row>
    <row r="110" spans="1:7" s="252" customFormat="1" ht="105" customHeight="1" thickBot="1">
      <c r="A110" s="753" t="s">
        <v>0</v>
      </c>
      <c r="B110" s="754"/>
      <c r="C110" s="754"/>
      <c r="D110" s="754"/>
      <c r="E110" s="754"/>
      <c r="F110" s="754"/>
      <c r="G110" s="787"/>
    </row>
    <row r="111" spans="1:7" s="252" customFormat="1" ht="33.75" customHeight="1">
      <c r="A111" s="750">
        <v>43822</v>
      </c>
      <c r="B111" s="685" t="s">
        <v>2</v>
      </c>
      <c r="C111" s="681" t="s">
        <v>4</v>
      </c>
      <c r="D111" s="490" t="s">
        <v>2035</v>
      </c>
      <c r="E111" s="254" t="s">
        <v>91</v>
      </c>
      <c r="F111" s="35"/>
      <c r="G111" s="51"/>
    </row>
    <row r="112" spans="1:7" s="252" customFormat="1" ht="36" customHeight="1">
      <c r="A112" s="751"/>
      <c r="B112" s="686"/>
      <c r="C112" s="706"/>
      <c r="D112" s="25"/>
      <c r="E112" s="255"/>
      <c r="F112" s="35"/>
      <c r="G112" s="51"/>
    </row>
    <row r="113" spans="1:7" s="252" customFormat="1" ht="36" customHeight="1">
      <c r="A113" s="751"/>
      <c r="B113" s="686"/>
      <c r="C113" s="703"/>
      <c r="D113" s="490"/>
      <c r="E113" s="255"/>
      <c r="F113" s="41"/>
      <c r="G113" s="54"/>
    </row>
    <row r="114" spans="1:7" s="252" customFormat="1" ht="36" customHeight="1">
      <c r="A114" s="751"/>
      <c r="B114" s="686"/>
      <c r="C114" s="706"/>
      <c r="D114" s="490"/>
      <c r="E114" s="255"/>
      <c r="F114" s="41"/>
      <c r="G114" s="54"/>
    </row>
    <row r="115" spans="1:7" s="252" customFormat="1" ht="36" customHeight="1">
      <c r="A115" s="751"/>
      <c r="B115" s="686"/>
      <c r="C115" s="705"/>
      <c r="D115" s="490"/>
      <c r="E115" s="255"/>
      <c r="F115" s="41"/>
      <c r="G115" s="54"/>
    </row>
    <row r="116" spans="1:7" s="252" customFormat="1" ht="36" customHeight="1">
      <c r="A116" s="751"/>
      <c r="B116" s="686"/>
      <c r="C116" s="703"/>
      <c r="D116" s="490"/>
      <c r="E116" s="254"/>
      <c r="F116" s="35"/>
      <c r="G116" s="51"/>
    </row>
    <row r="117" spans="1:7" s="252" customFormat="1" ht="36" customHeight="1" thickBot="1">
      <c r="A117" s="751"/>
      <c r="B117" s="686"/>
      <c r="C117" s="151"/>
      <c r="D117" s="20"/>
      <c r="E117" s="13"/>
      <c r="F117" s="13"/>
      <c r="G117" s="378"/>
    </row>
    <row r="118" spans="1:7" s="252" customFormat="1" ht="36" customHeight="1" thickBot="1">
      <c r="A118" s="752"/>
      <c r="B118" s="687"/>
      <c r="C118" s="47"/>
      <c r="D118" s="27"/>
      <c r="E118" s="22"/>
      <c r="F118" s="22"/>
      <c r="G118" s="58"/>
    </row>
    <row r="119" spans="1:7" s="252" customFormat="1" ht="33.75" customHeight="1">
      <c r="A119" s="750">
        <v>43823</v>
      </c>
      <c r="B119" s="685" t="s">
        <v>16</v>
      </c>
      <c r="C119" s="702" t="s">
        <v>129</v>
      </c>
      <c r="D119" s="490" t="s">
        <v>21</v>
      </c>
      <c r="E119" s="254">
        <v>100</v>
      </c>
      <c r="F119" s="42"/>
      <c r="G119" s="55"/>
    </row>
    <row r="120" spans="1:7" s="252" customFormat="1" ht="36" customHeight="1">
      <c r="A120" s="751"/>
      <c r="B120" s="686"/>
      <c r="C120" s="703"/>
      <c r="D120" s="31" t="s">
        <v>2047</v>
      </c>
      <c r="E120" s="382">
        <v>100</v>
      </c>
      <c r="F120" s="56"/>
      <c r="G120" s="57"/>
    </row>
    <row r="121" spans="1:7" s="252" customFormat="1" ht="36" customHeight="1">
      <c r="A121" s="751"/>
      <c r="B121" s="686"/>
      <c r="C121" s="706"/>
      <c r="D121" s="25"/>
      <c r="E121" s="255"/>
      <c r="F121" s="41"/>
      <c r="G121" s="54"/>
    </row>
    <row r="122" spans="1:7" s="252" customFormat="1" ht="36" customHeight="1">
      <c r="A122" s="751"/>
      <c r="B122" s="686"/>
      <c r="C122" s="703"/>
      <c r="D122" s="25"/>
      <c r="E122" s="255"/>
      <c r="F122" s="41"/>
      <c r="G122" s="54"/>
    </row>
    <row r="123" spans="1:7" s="252" customFormat="1" ht="36" customHeight="1">
      <c r="A123" s="751"/>
      <c r="B123" s="686"/>
      <c r="C123" s="379"/>
      <c r="D123" s="25"/>
      <c r="E123" s="255"/>
      <c r="F123" s="41"/>
      <c r="G123" s="54"/>
    </row>
    <row r="124" spans="1:7" s="252" customFormat="1" ht="36" customHeight="1">
      <c r="A124" s="751"/>
      <c r="B124" s="686"/>
      <c r="C124" s="383"/>
      <c r="D124" s="490"/>
      <c r="E124" s="254"/>
      <c r="F124" s="35"/>
      <c r="G124" s="51"/>
    </row>
    <row r="125" spans="1:7" s="252" customFormat="1" ht="36" customHeight="1" thickBot="1">
      <c r="A125" s="751"/>
      <c r="B125" s="686"/>
      <c r="C125" s="151"/>
      <c r="D125" s="20"/>
      <c r="E125" s="13"/>
      <c r="F125" s="13"/>
      <c r="G125" s="378"/>
    </row>
    <row r="126" spans="1:7" s="252" customFormat="1" ht="36" customHeight="1" thickBot="1">
      <c r="A126" s="752"/>
      <c r="B126" s="687"/>
      <c r="C126" s="47"/>
      <c r="D126" s="27"/>
      <c r="E126" s="22"/>
      <c r="F126" s="22"/>
      <c r="G126" s="58"/>
    </row>
    <row r="127" spans="1:7" s="252" customFormat="1" ht="36" customHeight="1">
      <c r="A127" s="750">
        <v>43824</v>
      </c>
      <c r="B127" s="685" t="s">
        <v>15</v>
      </c>
      <c r="C127" s="791" t="s">
        <v>1886</v>
      </c>
      <c r="D127" s="792"/>
      <c r="E127" s="792"/>
      <c r="F127" s="792"/>
      <c r="G127" s="793"/>
    </row>
    <row r="128" spans="1:7" s="252" customFormat="1" ht="36" customHeight="1">
      <c r="A128" s="751"/>
      <c r="B128" s="686"/>
      <c r="C128" s="794"/>
      <c r="D128" s="795"/>
      <c r="E128" s="795"/>
      <c r="F128" s="795"/>
      <c r="G128" s="796"/>
    </row>
    <row r="129" spans="1:7" s="252" customFormat="1" ht="36" customHeight="1" thickBot="1">
      <c r="A129" s="752"/>
      <c r="B129" s="687"/>
      <c r="C129" s="819"/>
      <c r="D129" s="820"/>
      <c r="E129" s="820"/>
      <c r="F129" s="820"/>
      <c r="G129" s="821"/>
    </row>
    <row r="130" spans="1:7" s="252" customFormat="1" ht="36" customHeight="1">
      <c r="A130" s="750">
        <v>43825</v>
      </c>
      <c r="B130" s="685" t="s">
        <v>17</v>
      </c>
      <c r="C130" s="705" t="s">
        <v>2004</v>
      </c>
      <c r="D130" s="18" t="s">
        <v>2005</v>
      </c>
      <c r="E130" s="382">
        <v>123</v>
      </c>
      <c r="F130" s="42"/>
      <c r="G130" s="55"/>
    </row>
    <row r="131" spans="1:7" s="252" customFormat="1" ht="36" customHeight="1">
      <c r="A131" s="751"/>
      <c r="B131" s="686"/>
      <c r="C131" s="703"/>
      <c r="D131" s="25"/>
      <c r="E131" s="255"/>
      <c r="F131" s="35"/>
      <c r="G131" s="51"/>
    </row>
    <row r="132" spans="1:7" s="252" customFormat="1" ht="36" customHeight="1">
      <c r="A132" s="751"/>
      <c r="B132" s="686"/>
      <c r="C132" s="652" t="s">
        <v>2045</v>
      </c>
      <c r="D132" s="490" t="s">
        <v>2046</v>
      </c>
      <c r="E132" s="254">
        <v>50</v>
      </c>
      <c r="F132" s="35"/>
      <c r="G132" s="51"/>
    </row>
    <row r="133" spans="1:7" s="252" customFormat="1" ht="36" customHeight="1" thickBot="1">
      <c r="A133" s="751"/>
      <c r="B133" s="686"/>
      <c r="C133" s="151"/>
      <c r="D133" s="20"/>
      <c r="E133" s="13"/>
      <c r="F133" s="13"/>
      <c r="G133" s="378"/>
    </row>
    <row r="134" spans="1:7" s="252" customFormat="1" ht="36" customHeight="1" thickBot="1">
      <c r="A134" s="752"/>
      <c r="B134" s="687"/>
      <c r="C134" s="47"/>
      <c r="D134" s="27"/>
      <c r="E134" s="22"/>
      <c r="F134" s="22"/>
      <c r="G134" s="58"/>
    </row>
    <row r="135" spans="1:7" s="252" customFormat="1" ht="36" customHeight="1">
      <c r="A135" s="750">
        <v>43826</v>
      </c>
      <c r="B135" s="685" t="s">
        <v>18</v>
      </c>
      <c r="C135" s="705" t="s">
        <v>2056</v>
      </c>
      <c r="D135" s="18" t="s">
        <v>2057</v>
      </c>
      <c r="E135" s="382">
        <v>165</v>
      </c>
      <c r="F135" s="42"/>
      <c r="G135" s="55"/>
    </row>
    <row r="136" spans="1:7" s="252" customFormat="1" ht="36" customHeight="1">
      <c r="A136" s="751"/>
      <c r="B136" s="686"/>
      <c r="C136" s="703"/>
      <c r="D136" s="25"/>
      <c r="E136" s="255"/>
      <c r="F136" s="35"/>
      <c r="G136" s="51"/>
    </row>
    <row r="137" spans="1:7" s="252" customFormat="1" ht="36" customHeight="1">
      <c r="A137" s="751"/>
      <c r="B137" s="686"/>
      <c r="C137" s="652"/>
      <c r="D137" s="490"/>
      <c r="E137" s="254"/>
      <c r="F137" s="35"/>
      <c r="G137" s="51"/>
    </row>
    <row r="138" spans="1:7" s="252" customFormat="1" ht="36" customHeight="1" thickBot="1">
      <c r="A138" s="751"/>
      <c r="B138" s="686"/>
      <c r="C138" s="151"/>
      <c r="D138" s="20"/>
      <c r="E138" s="13"/>
      <c r="F138" s="13"/>
      <c r="G138" s="378"/>
    </row>
    <row r="139" spans="1:7" s="252" customFormat="1" ht="36" customHeight="1" thickBot="1">
      <c r="A139" s="752"/>
      <c r="B139" s="687"/>
      <c r="C139" s="47"/>
      <c r="D139" s="27"/>
      <c r="E139" s="22"/>
      <c r="F139" s="22"/>
      <c r="G139" s="58"/>
    </row>
  </sheetData>
  <mergeCells count="77">
    <mergeCell ref="A130:A134"/>
    <mergeCell ref="B130:B134"/>
    <mergeCell ref="C130:C131"/>
    <mergeCell ref="A135:A139"/>
    <mergeCell ref="B135:B139"/>
    <mergeCell ref="C135:C136"/>
    <mergeCell ref="A119:A126"/>
    <mergeCell ref="B119:B126"/>
    <mergeCell ref="C119:C120"/>
    <mergeCell ref="C121:C122"/>
    <mergeCell ref="A127:A129"/>
    <mergeCell ref="B127:B129"/>
    <mergeCell ref="C127:G129"/>
    <mergeCell ref="A106:A109"/>
    <mergeCell ref="B106:B109"/>
    <mergeCell ref="A110:G110"/>
    <mergeCell ref="A111:A118"/>
    <mergeCell ref="B111:B118"/>
    <mergeCell ref="C112:C113"/>
    <mergeCell ref="C114:C116"/>
    <mergeCell ref="C106:C107"/>
    <mergeCell ref="A91:A99"/>
    <mergeCell ref="B91:B99"/>
    <mergeCell ref="A100:A105"/>
    <mergeCell ref="B100:B105"/>
    <mergeCell ref="C100:C101"/>
    <mergeCell ref="C91:C92"/>
    <mergeCell ref="C97:C98"/>
    <mergeCell ref="C93:C96"/>
    <mergeCell ref="C103:C104"/>
    <mergeCell ref="A77:G77"/>
    <mergeCell ref="A78:A85"/>
    <mergeCell ref="B78:B85"/>
    <mergeCell ref="A86:A90"/>
    <mergeCell ref="B86:B90"/>
    <mergeCell ref="C78:C82"/>
    <mergeCell ref="C87:C88"/>
    <mergeCell ref="A63:A71"/>
    <mergeCell ref="B63:B71"/>
    <mergeCell ref="A72:A76"/>
    <mergeCell ref="B72:B76"/>
    <mergeCell ref="C63:C64"/>
    <mergeCell ref="C72:C73"/>
    <mergeCell ref="C66:C68"/>
    <mergeCell ref="C74:C75"/>
    <mergeCell ref="A50:A55"/>
    <mergeCell ref="B50:B55"/>
    <mergeCell ref="A56:A62"/>
    <mergeCell ref="B56:B62"/>
    <mergeCell ref="C60:C61"/>
    <mergeCell ref="C56:C59"/>
    <mergeCell ref="C50:C51"/>
    <mergeCell ref="C53:C54"/>
    <mergeCell ref="A44:G44"/>
    <mergeCell ref="A45:A49"/>
    <mergeCell ref="B45:B49"/>
    <mergeCell ref="A24:A34"/>
    <mergeCell ref="B24:B34"/>
    <mergeCell ref="C24:C25"/>
    <mergeCell ref="C35:C39"/>
    <mergeCell ref="A35:A43"/>
    <mergeCell ref="B35:B43"/>
    <mergeCell ref="C26:C31"/>
    <mergeCell ref="C32:C33"/>
    <mergeCell ref="C40:C41"/>
    <mergeCell ref="C45:C47"/>
    <mergeCell ref="A14:A23"/>
    <mergeCell ref="B14:B23"/>
    <mergeCell ref="C14:C17"/>
    <mergeCell ref="C18:C20"/>
    <mergeCell ref="A1:G1"/>
    <mergeCell ref="A2:A9"/>
    <mergeCell ref="B2:B9"/>
    <mergeCell ref="A10:A13"/>
    <mergeCell ref="B10:B13"/>
    <mergeCell ref="C10:C11"/>
    <mergeCell ref="C4:C8"/>
  </mergeCells>
  <phoneticPr fontId="1" type="noConversion"/>
  <printOptions horizontalCentered="1" verticalCentered="1"/>
  <pageMargins left="0.15748031496062992" right="0.15748031496062992" top="0.15748031496062992" bottom="0.15748031496062992" header="0.11811023622047245" footer="0.31496062992125984"/>
  <pageSetup paperSize="9" scale="70" fitToHeight="5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zoomScaleNormal="100" workbookViewId="0">
      <selection activeCell="D8" sqref="D8"/>
    </sheetView>
  </sheetViews>
  <sheetFormatPr defaultRowHeight="16.5"/>
  <cols>
    <col min="1" max="1" width="9.875" style="65" customWidth="1"/>
    <col min="2" max="5" width="11.875" style="66" customWidth="1"/>
    <col min="6" max="6" width="11.875" style="64" customWidth="1"/>
    <col min="7" max="7" width="14.25" style="64" customWidth="1"/>
    <col min="8" max="8" width="13.625" style="64" customWidth="1"/>
    <col min="9" max="9" width="17.375" customWidth="1"/>
    <col min="10" max="10" width="15.5" customWidth="1"/>
  </cols>
  <sheetData>
    <row r="1" spans="1:9" ht="45" customHeight="1" thickBot="1">
      <c r="A1" s="831" t="s">
        <v>38</v>
      </c>
      <c r="B1" s="832"/>
      <c r="C1" s="832"/>
      <c r="D1" s="832"/>
      <c r="E1" s="832"/>
      <c r="F1" s="832"/>
      <c r="G1" s="833" t="s">
        <v>806</v>
      </c>
      <c r="H1" s="833"/>
      <c r="I1" s="834"/>
    </row>
    <row r="2" spans="1:9" s="36" customFormat="1" ht="33" customHeight="1" thickBot="1">
      <c r="A2" s="68" t="s">
        <v>30</v>
      </c>
      <c r="B2" s="69" t="s">
        <v>5</v>
      </c>
      <c r="C2" s="69" t="s">
        <v>6</v>
      </c>
      <c r="D2" s="69" t="s">
        <v>1538</v>
      </c>
      <c r="E2" s="69" t="s">
        <v>1890</v>
      </c>
      <c r="F2" s="464" t="s">
        <v>1550</v>
      </c>
      <c r="G2" s="354" t="s">
        <v>807</v>
      </c>
      <c r="H2" s="69" t="s">
        <v>5</v>
      </c>
      <c r="I2" s="70" t="s">
        <v>37</v>
      </c>
    </row>
    <row r="3" spans="1:9" s="83" customFormat="1" ht="33" customHeight="1">
      <c r="A3" s="67">
        <v>43818</v>
      </c>
      <c r="B3" s="63">
        <f>20+8+306+43</f>
        <v>377</v>
      </c>
      <c r="C3" s="63"/>
      <c r="D3" s="401">
        <v>100</v>
      </c>
      <c r="E3" s="401"/>
      <c r="F3" s="573"/>
      <c r="G3" s="425"/>
      <c r="H3" s="288"/>
      <c r="I3" s="289"/>
    </row>
    <row r="4" spans="1:9" s="83" customFormat="1" ht="33" customHeight="1">
      <c r="A4" s="67">
        <v>43825</v>
      </c>
      <c r="B4" s="63">
        <f>35+1+28+7+2+47+3</f>
        <v>123</v>
      </c>
      <c r="C4" s="63"/>
      <c r="D4" s="401"/>
      <c r="E4" s="401"/>
      <c r="F4" s="573"/>
      <c r="G4" s="425" t="s">
        <v>2055</v>
      </c>
      <c r="H4" s="288"/>
      <c r="I4" s="289"/>
    </row>
    <row r="5" spans="1:9" s="83" customFormat="1" ht="33" customHeight="1">
      <c r="A5" s="67">
        <v>43826</v>
      </c>
      <c r="B5" s="63">
        <v>165</v>
      </c>
      <c r="C5" s="63"/>
      <c r="D5" s="401"/>
      <c r="E5" s="401"/>
      <c r="F5" s="573"/>
      <c r="G5" s="425" t="s">
        <v>2054</v>
      </c>
      <c r="H5" s="288"/>
      <c r="I5" s="289"/>
    </row>
    <row r="6" spans="1:9" s="83" customFormat="1" ht="33" customHeight="1">
      <c r="A6" s="67">
        <v>43467</v>
      </c>
      <c r="B6" s="63">
        <f>22+45+299</f>
        <v>366</v>
      </c>
      <c r="C6" s="63"/>
      <c r="D6" s="401">
        <v>100</v>
      </c>
      <c r="E6" s="401">
        <v>1</v>
      </c>
      <c r="F6" s="573"/>
      <c r="G6" s="425"/>
      <c r="H6" s="288"/>
      <c r="I6" s="289"/>
    </row>
    <row r="7" spans="1:9" s="83" customFormat="1" ht="33" customHeight="1">
      <c r="A7" s="67">
        <v>43473</v>
      </c>
      <c r="B7" s="63">
        <v>13</v>
      </c>
      <c r="C7" s="63"/>
      <c r="D7" s="401"/>
      <c r="E7" s="401"/>
      <c r="F7" s="573"/>
      <c r="G7" s="425"/>
      <c r="H7" s="288"/>
      <c r="I7" s="289"/>
    </row>
    <row r="8" spans="1:9" s="83" customFormat="1" ht="33" customHeight="1">
      <c r="A8" s="67">
        <v>43480</v>
      </c>
      <c r="B8" s="63">
        <v>95</v>
      </c>
      <c r="C8" s="63"/>
      <c r="D8" s="401"/>
      <c r="E8" s="401"/>
      <c r="F8" s="573"/>
      <c r="G8" s="425"/>
      <c r="H8" s="288"/>
      <c r="I8" s="289"/>
    </row>
    <row r="9" spans="1:9" s="83" customFormat="1" ht="33" customHeight="1">
      <c r="A9" s="67"/>
      <c r="B9" s="63"/>
      <c r="C9" s="63"/>
      <c r="D9" s="401"/>
      <c r="E9" s="401"/>
      <c r="F9" s="573"/>
      <c r="G9" s="425"/>
      <c r="H9" s="288"/>
      <c r="I9" s="289"/>
    </row>
    <row r="10" spans="1:9" s="83" customFormat="1" ht="33" customHeight="1">
      <c r="A10" s="67"/>
      <c r="B10" s="63"/>
      <c r="C10" s="63"/>
      <c r="D10" s="401"/>
      <c r="E10" s="401"/>
      <c r="F10" s="573"/>
      <c r="G10" s="425"/>
      <c r="H10" s="288"/>
      <c r="I10" s="289"/>
    </row>
    <row r="11" spans="1:9" s="83" customFormat="1" ht="33" customHeight="1" thickBot="1">
      <c r="A11" s="523"/>
      <c r="B11" s="344"/>
      <c r="C11" s="344"/>
      <c r="D11" s="572"/>
      <c r="E11" s="344"/>
      <c r="F11" s="658"/>
      <c r="G11" s="355"/>
      <c r="H11" s="344"/>
      <c r="I11" s="74"/>
    </row>
    <row r="12" spans="1:9" s="83" customFormat="1" ht="33" customHeight="1" thickTop="1" thickBot="1">
      <c r="A12" s="71" t="s">
        <v>39</v>
      </c>
      <c r="B12" s="72">
        <f>SUM(B3:B11)</f>
        <v>1139</v>
      </c>
      <c r="C12" s="72">
        <f>SUM(C3:C11)</f>
        <v>0</v>
      </c>
      <c r="D12" s="72">
        <f>SUM(D3:D11)</f>
        <v>200</v>
      </c>
      <c r="E12" s="72">
        <f>SUM(E3:E11)</f>
        <v>1</v>
      </c>
      <c r="F12" s="73">
        <f>SUM(F3:F11)</f>
        <v>0</v>
      </c>
      <c r="G12" s="356" t="s">
        <v>39</v>
      </c>
      <c r="H12" s="73">
        <f>SUM(H3:H11)</f>
        <v>0</v>
      </c>
      <c r="I12" s="73">
        <f>SUM(I3:I11)</f>
        <v>0</v>
      </c>
    </row>
    <row r="13" spans="1:9" ht="29.25" customHeight="1" thickBot="1">
      <c r="A13" s="71"/>
      <c r="B13" s="72"/>
      <c r="C13" s="463"/>
      <c r="D13" s="463"/>
      <c r="E13" s="463"/>
      <c r="F13" s="73"/>
      <c r="G13" s="456" t="s">
        <v>40</v>
      </c>
      <c r="H13" s="81">
        <f>SUM(B12-H12)</f>
        <v>1139</v>
      </c>
      <c r="I13" s="82" t="e">
        <f>SUM(#REF!-I12)</f>
        <v>#REF!</v>
      </c>
    </row>
    <row r="14" spans="1:9" ht="29.25" customHeight="1">
      <c r="F14" s="76"/>
    </row>
    <row r="15" spans="1:9" ht="29.25" customHeight="1">
      <c r="B15" s="66" t="s">
        <v>884</v>
      </c>
      <c r="H15" s="75"/>
      <c r="I15" s="75"/>
    </row>
    <row r="16" spans="1:9" ht="23.25" customHeight="1">
      <c r="B16" s="66" t="s">
        <v>885</v>
      </c>
      <c r="G16" s="64" t="s">
        <v>972</v>
      </c>
    </row>
    <row r="17" spans="2:7">
      <c r="B17" s="66" t="s">
        <v>886</v>
      </c>
      <c r="G17" s="64" t="s">
        <v>973</v>
      </c>
    </row>
  </sheetData>
  <mergeCells count="2">
    <mergeCell ref="A1:F1"/>
    <mergeCell ref="G1:I1"/>
  </mergeCells>
  <phoneticPr fontId="1" type="noConversion"/>
  <pageMargins left="0.7" right="0.7" top="0.75" bottom="0.75" header="0.3" footer="0.3"/>
  <pageSetup paperSize="9" scale="85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zoomScaleNormal="100" workbookViewId="0">
      <selection activeCell="D9" sqref="D9"/>
    </sheetView>
  </sheetViews>
  <sheetFormatPr defaultRowHeight="23.25" customHeight="1"/>
  <cols>
    <col min="1" max="1" width="8.875" style="91" customWidth="1"/>
    <col min="2" max="2" width="16.625" style="104" customWidth="1"/>
    <col min="3" max="3" width="18.625" style="92" customWidth="1"/>
    <col min="4" max="4" width="17.125" style="94" customWidth="1"/>
    <col min="5" max="5" width="14.375" style="94" customWidth="1"/>
    <col min="6" max="6" width="16.5" style="179" customWidth="1"/>
    <col min="7" max="16384" width="9" style="89"/>
  </cols>
  <sheetData>
    <row r="1" spans="1:6" ht="35.25" customHeight="1">
      <c r="A1" s="835" t="s">
        <v>76</v>
      </c>
      <c r="B1" s="835"/>
      <c r="C1" s="835"/>
      <c r="D1" s="835"/>
      <c r="E1" s="835"/>
    </row>
    <row r="2" spans="1:6" s="37" customFormat="1" ht="23.25" customHeight="1">
      <c r="A2" s="95" t="s">
        <v>46</v>
      </c>
      <c r="B2" s="103" t="s">
        <v>45</v>
      </c>
      <c r="C2" s="38" t="s">
        <v>44</v>
      </c>
      <c r="D2" s="38" t="s">
        <v>1</v>
      </c>
      <c r="E2" s="38" t="s">
        <v>53</v>
      </c>
      <c r="F2" s="180" t="s">
        <v>72</v>
      </c>
    </row>
    <row r="3" spans="1:6" s="111" customFormat="1" ht="23.25" customHeight="1">
      <c r="A3" s="108"/>
      <c r="B3" s="109"/>
      <c r="C3" s="25"/>
      <c r="D3" s="23"/>
      <c r="E3" s="108"/>
      <c r="F3" s="181"/>
    </row>
    <row r="4" spans="1:6" s="111" customFormat="1" ht="23.25" customHeight="1">
      <c r="A4" s="108"/>
      <c r="B4" s="109"/>
      <c r="C4" s="25"/>
      <c r="D4" s="23"/>
      <c r="E4" s="108"/>
      <c r="F4" s="181"/>
    </row>
    <row r="5" spans="1:6" s="111" customFormat="1" ht="23.25" customHeight="1">
      <c r="A5" s="108"/>
      <c r="B5" s="109"/>
      <c r="C5" s="25"/>
      <c r="D5" s="23"/>
      <c r="E5" s="108"/>
      <c r="F5" s="181"/>
    </row>
    <row r="6" spans="1:6" s="111" customFormat="1" ht="23.25" customHeight="1">
      <c r="A6" s="108"/>
      <c r="B6" s="109"/>
      <c r="C6" s="25"/>
      <c r="D6" s="23"/>
      <c r="E6" s="108"/>
      <c r="F6" s="181"/>
    </row>
    <row r="7" spans="1:6" s="111" customFormat="1" ht="23.25" customHeight="1">
      <c r="A7" s="108"/>
      <c r="B7" s="109"/>
      <c r="C7" s="25"/>
      <c r="D7" s="23"/>
      <c r="E7" s="108"/>
      <c r="F7" s="181"/>
    </row>
    <row r="8" spans="1:6" s="111" customFormat="1" ht="23.25" customHeight="1">
      <c r="A8" s="108"/>
      <c r="B8" s="109"/>
      <c r="C8" s="25"/>
      <c r="D8" s="23"/>
      <c r="E8" s="108"/>
      <c r="F8" s="181"/>
    </row>
    <row r="9" spans="1:6" s="111" customFormat="1" ht="23.25" customHeight="1">
      <c r="A9" s="108"/>
      <c r="B9" s="109"/>
      <c r="C9" s="25"/>
      <c r="D9" s="23"/>
      <c r="E9" s="108"/>
      <c r="F9" s="181"/>
    </row>
    <row r="10" spans="1:6" s="111" customFormat="1" ht="23.25" customHeight="1">
      <c r="A10" s="108"/>
      <c r="B10" s="109"/>
      <c r="C10" s="25"/>
      <c r="D10" s="23"/>
      <c r="E10" s="108"/>
      <c r="F10" s="181"/>
    </row>
    <row r="11" spans="1:6" s="111" customFormat="1" ht="23.25" customHeight="1">
      <c r="A11" s="108"/>
      <c r="B11" s="109"/>
      <c r="C11" s="25"/>
      <c r="D11" s="23"/>
      <c r="E11" s="108"/>
      <c r="F11" s="181"/>
    </row>
    <row r="12" spans="1:6" s="111" customFormat="1" ht="23.25" customHeight="1">
      <c r="A12" s="108"/>
      <c r="B12" s="109"/>
      <c r="C12" s="25"/>
      <c r="D12" s="23"/>
      <c r="E12" s="108"/>
      <c r="F12" s="181"/>
    </row>
    <row r="13" spans="1:6" s="111" customFormat="1" ht="23.25" customHeight="1">
      <c r="A13" s="108"/>
      <c r="B13" s="109"/>
      <c r="C13" s="25"/>
      <c r="D13" s="23"/>
      <c r="E13" s="108"/>
      <c r="F13" s="181"/>
    </row>
    <row r="14" spans="1:6" s="111" customFormat="1" ht="23.25" customHeight="1">
      <c r="A14" s="108"/>
      <c r="B14" s="109"/>
      <c r="C14" s="25"/>
      <c r="D14" s="23"/>
      <c r="E14" s="108"/>
      <c r="F14" s="181"/>
    </row>
    <row r="15" spans="1:6" s="111" customFormat="1" ht="23.25" customHeight="1">
      <c r="A15" s="108"/>
      <c r="B15" s="109"/>
      <c r="C15" s="25"/>
      <c r="D15" s="23"/>
      <c r="E15" s="108"/>
      <c r="F15" s="181"/>
    </row>
    <row r="16" spans="1:6" s="111" customFormat="1" ht="23.25" customHeight="1">
      <c r="A16" s="108"/>
      <c r="B16" s="109"/>
      <c r="C16" s="25"/>
      <c r="D16" s="23"/>
      <c r="E16" s="108"/>
      <c r="F16" s="181"/>
    </row>
    <row r="17" spans="1:6" s="111" customFormat="1" ht="23.25" customHeight="1">
      <c r="A17" s="108"/>
      <c r="B17" s="109"/>
      <c r="C17" s="25"/>
      <c r="D17" s="23"/>
      <c r="E17" s="108"/>
      <c r="F17" s="181"/>
    </row>
    <row r="18" spans="1:6" s="111" customFormat="1" ht="23.25" customHeight="1">
      <c r="A18" s="108"/>
      <c r="B18" s="109"/>
      <c r="C18" s="25"/>
      <c r="D18" s="12"/>
      <c r="E18" s="108"/>
      <c r="F18" s="181"/>
    </row>
    <row r="19" spans="1:6" s="111" customFormat="1" ht="23.25" customHeight="1">
      <c r="A19" s="108"/>
      <c r="B19" s="109"/>
      <c r="C19" s="25"/>
      <c r="D19" s="12"/>
      <c r="E19" s="108"/>
      <c r="F19" s="181"/>
    </row>
    <row r="20" spans="1:6" s="111" customFormat="1" ht="23.25" customHeight="1">
      <c r="A20" s="108"/>
      <c r="B20" s="109"/>
      <c r="C20" s="25"/>
      <c r="D20" s="12"/>
      <c r="E20" s="108"/>
      <c r="F20" s="181"/>
    </row>
    <row r="21" spans="1:6" s="111" customFormat="1" ht="23.25" customHeight="1">
      <c r="A21" s="108"/>
      <c r="B21" s="109"/>
      <c r="C21" s="25"/>
      <c r="D21" s="12"/>
      <c r="E21" s="108"/>
      <c r="F21" s="181"/>
    </row>
    <row r="22" spans="1:6" s="111" customFormat="1" ht="23.25" customHeight="1">
      <c r="A22" s="108"/>
      <c r="B22" s="109"/>
      <c r="C22" s="25"/>
      <c r="D22" s="12"/>
      <c r="E22" s="108"/>
      <c r="F22" s="181"/>
    </row>
    <row r="23" spans="1:6" s="111" customFormat="1" ht="23.25" customHeight="1">
      <c r="A23" s="108"/>
      <c r="B23" s="109"/>
      <c r="C23" s="25"/>
      <c r="D23" s="12"/>
      <c r="E23" s="108"/>
      <c r="F23" s="181"/>
    </row>
    <row r="24" spans="1:6" s="111" customFormat="1" ht="23.25" customHeight="1">
      <c r="A24" s="108"/>
      <c r="B24" s="109"/>
      <c r="C24" s="90"/>
      <c r="D24" s="110"/>
      <c r="E24" s="108"/>
      <c r="F24" s="181"/>
    </row>
    <row r="25" spans="1:6" s="111" customFormat="1" ht="23.25" customHeight="1">
      <c r="A25" s="95"/>
      <c r="B25" s="103"/>
      <c r="C25" s="90"/>
      <c r="D25" s="96"/>
      <c r="E25" s="108"/>
      <c r="F25" s="182"/>
    </row>
    <row r="26" spans="1:6" s="111" customFormat="1" ht="23.25" customHeight="1">
      <c r="A26" s="91"/>
      <c r="B26" s="104"/>
      <c r="C26" s="92"/>
      <c r="D26" s="93"/>
      <c r="E26" s="94"/>
      <c r="F26" s="179"/>
    </row>
    <row r="27" spans="1:6" s="111" customFormat="1" ht="23.25" customHeight="1">
      <c r="A27" s="91"/>
      <c r="B27" s="104"/>
      <c r="C27" s="92"/>
      <c r="D27" s="94"/>
      <c r="E27" s="94"/>
      <c r="F27" s="179"/>
    </row>
    <row r="28" spans="1:6" s="111" customFormat="1" ht="23.25" customHeight="1">
      <c r="A28" s="91"/>
      <c r="B28" s="104"/>
      <c r="C28" s="92"/>
      <c r="D28" s="94"/>
      <c r="E28" s="94"/>
      <c r="F28" s="179"/>
    </row>
    <row r="29" spans="1:6" s="111" customFormat="1" ht="23.25" customHeight="1">
      <c r="A29" s="91"/>
      <c r="B29" s="104"/>
      <c r="C29" s="92"/>
      <c r="D29" s="94"/>
      <c r="E29" s="94"/>
      <c r="F29" s="179"/>
    </row>
  </sheetData>
  <autoFilter ref="A2:F2"/>
  <mergeCells count="1">
    <mergeCell ref="A1:E1"/>
  </mergeCells>
  <phoneticPr fontId="1" type="noConversion"/>
  <pageMargins left="0.7" right="0.7" top="0.75" bottom="0.75" header="0.3" footer="0.3"/>
  <pageSetup paperSize="9" scale="85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7"/>
  <sheetViews>
    <sheetView zoomScaleNormal="100" workbookViewId="0">
      <selection activeCell="O4" sqref="O4"/>
    </sheetView>
  </sheetViews>
  <sheetFormatPr defaultRowHeight="16.5"/>
  <cols>
    <col min="1" max="1" width="8.125" style="65" customWidth="1"/>
    <col min="2" max="2" width="11.375" style="65" customWidth="1"/>
    <col min="3" max="3" width="11.625" style="66" customWidth="1"/>
    <col min="4" max="4" width="10.5" style="224" customWidth="1"/>
    <col min="5" max="5" width="9.875" style="223" bestFit="1" customWidth="1"/>
    <col min="6" max="6" width="2.5" style="223" customWidth="1"/>
    <col min="7" max="7" width="8.5" style="223" customWidth="1"/>
    <col min="8" max="8" width="9.625" customWidth="1"/>
    <col min="9" max="9" width="9.5" customWidth="1"/>
    <col min="12" max="12" width="3.125" customWidth="1"/>
    <col min="13" max="13" width="13.75" customWidth="1"/>
    <col min="14" max="14" width="10.5" customWidth="1"/>
    <col min="17" max="17" width="11.875" bestFit="1" customWidth="1"/>
  </cols>
  <sheetData>
    <row r="1" spans="1:18" ht="26.25" customHeight="1">
      <c r="A1" s="394" t="s">
        <v>983</v>
      </c>
      <c r="B1" s="395"/>
      <c r="C1" s="77"/>
      <c r="D1" s="222"/>
      <c r="E1" s="409" t="s">
        <v>990</v>
      </c>
      <c r="G1" s="223" t="s">
        <v>991</v>
      </c>
      <c r="H1" t="s">
        <v>984</v>
      </c>
      <c r="J1" s="410" t="s">
        <v>989</v>
      </c>
      <c r="M1" s="223" t="s">
        <v>994</v>
      </c>
      <c r="N1" t="s">
        <v>995</v>
      </c>
      <c r="P1" s="410" t="s">
        <v>989</v>
      </c>
    </row>
    <row r="2" spans="1:18" s="36" customFormat="1" ht="26.25" customHeight="1">
      <c r="A2" s="396" t="s">
        <v>44</v>
      </c>
      <c r="B2" s="391" t="s">
        <v>858</v>
      </c>
      <c r="C2" s="391" t="s">
        <v>62</v>
      </c>
      <c r="D2" s="392" t="s">
        <v>859</v>
      </c>
      <c r="E2" s="392" t="s">
        <v>648</v>
      </c>
      <c r="F2" s="407"/>
      <c r="G2" s="392" t="s">
        <v>987</v>
      </c>
      <c r="H2" s="391" t="s">
        <v>985</v>
      </c>
      <c r="I2" s="391" t="s">
        <v>986</v>
      </c>
      <c r="J2" s="391" t="s">
        <v>988</v>
      </c>
      <c r="K2" s="391" t="s">
        <v>993</v>
      </c>
      <c r="M2" s="392" t="s">
        <v>987</v>
      </c>
      <c r="N2" s="391" t="s">
        <v>985</v>
      </c>
      <c r="O2" s="391" t="s">
        <v>986</v>
      </c>
      <c r="P2" s="391" t="s">
        <v>988</v>
      </c>
      <c r="Q2" s="391" t="s">
        <v>996</v>
      </c>
    </row>
    <row r="3" spans="1:18" s="36" customFormat="1" ht="26.25" customHeight="1">
      <c r="A3" s="397" t="s">
        <v>36</v>
      </c>
      <c r="B3" s="63">
        <v>195</v>
      </c>
      <c r="C3" s="63"/>
      <c r="D3" s="393">
        <v>42</v>
      </c>
      <c r="E3" s="392">
        <f>SUM(B3-D3)</f>
        <v>153</v>
      </c>
      <c r="F3" s="407"/>
      <c r="G3" s="396">
        <v>43611</v>
      </c>
      <c r="H3" s="408">
        <f>11760+11760+15120+15120+15120</f>
        <v>68880</v>
      </c>
      <c r="I3" s="408">
        <f>12516+23604+24177+13827</f>
        <v>74124</v>
      </c>
      <c r="J3" s="408">
        <f>H3-I3</f>
        <v>-5244</v>
      </c>
      <c r="K3" s="411">
        <f>J3/21</f>
        <v>-249.71428571428572</v>
      </c>
      <c r="M3" s="396">
        <v>43546</v>
      </c>
      <c r="N3" s="408">
        <v>10868</v>
      </c>
      <c r="O3" s="408">
        <v>10868</v>
      </c>
      <c r="P3" s="408">
        <f>N3-O3</f>
        <v>0</v>
      </c>
      <c r="Q3" s="412">
        <f>P3/20</f>
        <v>0</v>
      </c>
    </row>
    <row r="4" spans="1:18" s="36" customFormat="1" ht="26.25" customHeight="1">
      <c r="A4" s="398" t="s">
        <v>48</v>
      </c>
      <c r="B4" s="63">
        <v>99</v>
      </c>
      <c r="C4" s="63"/>
      <c r="D4" s="392"/>
      <c r="E4" s="392">
        <f t="shared" ref="E4:E6" si="0">SUM(B4-D4)</f>
        <v>99</v>
      </c>
      <c r="F4" s="407"/>
      <c r="G4" s="396">
        <v>43613</v>
      </c>
      <c r="H4" s="408"/>
      <c r="I4" s="408"/>
      <c r="J4" s="408"/>
      <c r="K4" s="411">
        <f t="shared" ref="K4:K6" si="1">J4/21</f>
        <v>0</v>
      </c>
      <c r="M4" s="396">
        <v>43585</v>
      </c>
      <c r="N4" s="408">
        <v>21888</v>
      </c>
      <c r="O4" s="408">
        <v>7712</v>
      </c>
      <c r="P4" s="408">
        <f>P3+N4-O4</f>
        <v>14176</v>
      </c>
      <c r="Q4" s="411">
        <f t="shared" ref="Q4:Q6" si="2">P4/21</f>
        <v>675.04761904761904</v>
      </c>
      <c r="R4" s="417" t="s">
        <v>1005</v>
      </c>
    </row>
    <row r="5" spans="1:18" s="36" customFormat="1" ht="26.25" customHeight="1">
      <c r="A5" s="398" t="s">
        <v>50</v>
      </c>
      <c r="B5" s="63">
        <v>91</v>
      </c>
      <c r="C5" s="63"/>
      <c r="D5" s="392"/>
      <c r="E5" s="392">
        <f t="shared" si="0"/>
        <v>91</v>
      </c>
      <c r="F5" s="407"/>
      <c r="G5" s="396"/>
      <c r="H5" s="408"/>
      <c r="I5" s="408"/>
      <c r="J5" s="408"/>
      <c r="K5" s="411">
        <f t="shared" si="1"/>
        <v>0</v>
      </c>
      <c r="M5" s="396"/>
      <c r="N5" s="408"/>
      <c r="O5" s="408"/>
      <c r="P5" s="408">
        <f t="shared" ref="P5:P6" si="3">P4+N5-O5</f>
        <v>14176</v>
      </c>
      <c r="Q5" s="411">
        <f t="shared" si="2"/>
        <v>675.04761904761904</v>
      </c>
    </row>
    <row r="6" spans="1:18" s="36" customFormat="1" ht="26.25" customHeight="1" thickBot="1">
      <c r="A6" s="403" t="s">
        <v>49</v>
      </c>
      <c r="B6" s="344">
        <v>258</v>
      </c>
      <c r="C6" s="344"/>
      <c r="D6" s="404">
        <v>9</v>
      </c>
      <c r="E6" s="404">
        <f t="shared" si="0"/>
        <v>249</v>
      </c>
      <c r="F6" s="407"/>
      <c r="G6" s="396"/>
      <c r="H6" s="408"/>
      <c r="I6" s="408"/>
      <c r="J6" s="408"/>
      <c r="K6" s="411">
        <f t="shared" si="1"/>
        <v>0</v>
      </c>
      <c r="M6" s="396"/>
      <c r="N6" s="408"/>
      <c r="O6" s="408"/>
      <c r="P6" s="408">
        <f t="shared" si="3"/>
        <v>14176</v>
      </c>
      <c r="Q6" s="411">
        <f t="shared" si="2"/>
        <v>675.04761904761904</v>
      </c>
    </row>
    <row r="7" spans="1:18" ht="26.25" customHeight="1" thickTop="1">
      <c r="A7" s="400" t="s">
        <v>39</v>
      </c>
      <c r="B7" s="401">
        <f>SUM(B3:B6)</f>
        <v>643</v>
      </c>
      <c r="C7" s="401"/>
      <c r="D7" s="402"/>
      <c r="E7" s="402"/>
      <c r="F7" s="406"/>
      <c r="G7" s="399"/>
      <c r="H7" s="405"/>
      <c r="I7" s="405"/>
      <c r="J7" s="405"/>
      <c r="K7" s="405"/>
      <c r="M7" s="399"/>
      <c r="N7" s="405"/>
      <c r="O7" s="405"/>
      <c r="P7" s="405"/>
      <c r="Q7" s="405"/>
    </row>
    <row r="8" spans="1:18" ht="29.25" customHeight="1">
      <c r="A8" s="65" t="s">
        <v>951</v>
      </c>
      <c r="B8" s="65" t="s">
        <v>950</v>
      </c>
      <c r="G8" s="223" t="s">
        <v>1009</v>
      </c>
    </row>
    <row r="9" spans="1:18" ht="47.25" customHeight="1">
      <c r="G9" s="223" t="s">
        <v>992</v>
      </c>
      <c r="H9" t="s">
        <v>984</v>
      </c>
      <c r="J9" s="410" t="s">
        <v>989</v>
      </c>
      <c r="M9" s="418" t="s">
        <v>1013</v>
      </c>
      <c r="N9" t="s">
        <v>1006</v>
      </c>
      <c r="P9" s="410"/>
      <c r="Q9" s="410" t="s">
        <v>1007</v>
      </c>
    </row>
    <row r="10" spans="1:18" ht="27" customHeight="1">
      <c r="G10" s="392" t="s">
        <v>987</v>
      </c>
      <c r="H10" s="391" t="s">
        <v>985</v>
      </c>
      <c r="I10" s="391" t="s">
        <v>986</v>
      </c>
      <c r="J10" s="391" t="s">
        <v>988</v>
      </c>
      <c r="K10" s="391" t="s">
        <v>993</v>
      </c>
      <c r="M10" s="392" t="s">
        <v>987</v>
      </c>
      <c r="N10" s="391" t="s">
        <v>985</v>
      </c>
      <c r="O10" s="391" t="s">
        <v>986</v>
      </c>
      <c r="P10" s="391" t="s">
        <v>988</v>
      </c>
      <c r="Q10" s="391" t="s">
        <v>996</v>
      </c>
    </row>
    <row r="11" spans="1:18" ht="27" customHeight="1">
      <c r="G11" s="396">
        <v>43612</v>
      </c>
      <c r="H11" s="408">
        <f>2400+2400</f>
        <v>4800</v>
      </c>
      <c r="I11" s="408">
        <f>4215+9750</f>
        <v>13965</v>
      </c>
      <c r="J11" s="408">
        <f>H11-I11</f>
        <v>-9165</v>
      </c>
      <c r="K11" s="411">
        <f>J11/15</f>
        <v>-611</v>
      </c>
      <c r="M11" s="396">
        <v>43612</v>
      </c>
      <c r="N11" s="408">
        <v>14</v>
      </c>
      <c r="O11" s="408"/>
      <c r="P11" s="408">
        <f>N11-O11</f>
        <v>14</v>
      </c>
      <c r="Q11" s="412">
        <f>P11*5000</f>
        <v>70000</v>
      </c>
    </row>
    <row r="12" spans="1:18" ht="27" customHeight="1">
      <c r="G12" s="396"/>
      <c r="H12" s="408"/>
      <c r="I12" s="408"/>
      <c r="J12" s="408"/>
      <c r="K12" s="411">
        <f t="shared" ref="K12:K14" si="4">J12/21</f>
        <v>0</v>
      </c>
      <c r="M12" s="396"/>
      <c r="N12" s="408"/>
      <c r="O12" s="408"/>
      <c r="P12" s="408">
        <f>P11+N12-O12</f>
        <v>14</v>
      </c>
      <c r="Q12" s="411">
        <f t="shared" ref="Q12:Q14" si="5">P12/21</f>
        <v>0.66666666666666663</v>
      </c>
    </row>
    <row r="13" spans="1:18" ht="27" customHeight="1">
      <c r="G13" s="396"/>
      <c r="H13" s="408"/>
      <c r="I13" s="408"/>
      <c r="J13" s="408"/>
      <c r="K13" s="411">
        <f t="shared" si="4"/>
        <v>0</v>
      </c>
      <c r="M13" s="396"/>
      <c r="N13" s="408"/>
      <c r="O13" s="408"/>
      <c r="P13" s="408">
        <f t="shared" ref="P13:P14" si="6">P12+N13-O13</f>
        <v>14</v>
      </c>
      <c r="Q13" s="411">
        <f t="shared" si="5"/>
        <v>0.66666666666666663</v>
      </c>
    </row>
    <row r="14" spans="1:18" ht="27" customHeight="1">
      <c r="G14" s="396"/>
      <c r="H14" s="408"/>
      <c r="I14" s="408"/>
      <c r="J14" s="408"/>
      <c r="K14" s="411">
        <f t="shared" si="4"/>
        <v>0</v>
      </c>
      <c r="M14" s="396"/>
      <c r="N14" s="408"/>
      <c r="O14" s="408"/>
      <c r="P14" s="408">
        <f t="shared" si="6"/>
        <v>14</v>
      </c>
      <c r="Q14" s="411">
        <f t="shared" si="5"/>
        <v>0.66666666666666663</v>
      </c>
    </row>
    <row r="15" spans="1:18" ht="27" customHeight="1">
      <c r="G15" s="399"/>
      <c r="H15" s="405"/>
      <c r="I15" s="405"/>
      <c r="J15" s="405"/>
      <c r="K15" s="405"/>
      <c r="M15" s="399"/>
      <c r="N15" s="405"/>
      <c r="O15" s="405"/>
      <c r="P15" s="405"/>
      <c r="Q15" s="405"/>
    </row>
    <row r="17" spans="10:13">
      <c r="J17" s="419">
        <f>SUM(J3+J11)</f>
        <v>-14409</v>
      </c>
      <c r="M17" t="s">
        <v>1008</v>
      </c>
    </row>
  </sheetData>
  <phoneticPr fontId="1" type="noConversion"/>
  <pageMargins left="0.7" right="0.7" top="0.75" bottom="0.75" header="0.3" footer="0.3"/>
  <pageSetup paperSize="9" scale="85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G8" sqref="G8"/>
    </sheetView>
  </sheetViews>
  <sheetFormatPr defaultRowHeight="16.5"/>
  <cols>
    <col min="2" max="2" width="9.875" bestFit="1" customWidth="1"/>
  </cols>
  <sheetData>
    <row r="1" spans="1:3">
      <c r="A1" t="s">
        <v>338</v>
      </c>
    </row>
    <row r="2" spans="1:3">
      <c r="B2" s="225">
        <v>43521</v>
      </c>
      <c r="C2" t="s">
        <v>461</v>
      </c>
    </row>
    <row r="3" spans="1:3">
      <c r="A3" t="s">
        <v>339</v>
      </c>
      <c r="B3" t="s">
        <v>460</v>
      </c>
      <c r="C3">
        <v>60</v>
      </c>
    </row>
    <row r="4" spans="1:3">
      <c r="A4" t="s">
        <v>860</v>
      </c>
      <c r="B4" t="s">
        <v>861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21"/>
  <sheetViews>
    <sheetView workbookViewId="0">
      <selection activeCell="J18" sqref="J18"/>
    </sheetView>
  </sheetViews>
  <sheetFormatPr defaultRowHeight="16.5"/>
  <cols>
    <col min="2" max="2" width="11" customWidth="1"/>
    <col min="3" max="3" width="6.375" customWidth="1"/>
    <col min="4" max="4" width="16.5" style="345" customWidth="1"/>
    <col min="5" max="5" width="7" style="345" customWidth="1"/>
    <col min="6" max="6" width="13.5" style="345" customWidth="1"/>
    <col min="7" max="7" width="14.125" customWidth="1"/>
  </cols>
  <sheetData>
    <row r="1" spans="2:6" ht="24" customHeight="1"/>
    <row r="2" spans="2:6" s="348" customFormat="1" ht="24" customHeight="1">
      <c r="B2" s="346" t="s">
        <v>864</v>
      </c>
      <c r="C2" s="346" t="s">
        <v>873</v>
      </c>
      <c r="D2" s="347" t="s">
        <v>865</v>
      </c>
      <c r="E2" s="347" t="s">
        <v>866</v>
      </c>
      <c r="F2" s="347" t="s">
        <v>867</v>
      </c>
    </row>
    <row r="3" spans="2:6" s="348" customFormat="1" ht="24" customHeight="1">
      <c r="B3" s="346" t="s">
        <v>872</v>
      </c>
      <c r="C3" s="346" t="s">
        <v>874</v>
      </c>
      <c r="D3" s="347">
        <v>160000</v>
      </c>
      <c r="E3" s="347">
        <v>2</v>
      </c>
      <c r="F3" s="347">
        <f>SUM(D3*E3)</f>
        <v>320000</v>
      </c>
    </row>
    <row r="4" spans="2:6" s="348" customFormat="1" ht="24" customHeight="1">
      <c r="B4" s="346" t="s">
        <v>868</v>
      </c>
      <c r="C4" s="346" t="s">
        <v>874</v>
      </c>
      <c r="D4" s="347">
        <v>160000</v>
      </c>
      <c r="E4" s="347">
        <v>2</v>
      </c>
      <c r="F4" s="347">
        <f t="shared" ref="F4:F11" si="0">SUM(D4*E4)</f>
        <v>320000</v>
      </c>
    </row>
    <row r="5" spans="2:6" s="348" customFormat="1" ht="24" customHeight="1">
      <c r="B5" s="346" t="s">
        <v>869</v>
      </c>
      <c r="C5" s="346" t="s">
        <v>875</v>
      </c>
      <c r="D5" s="347">
        <v>150000</v>
      </c>
      <c r="E5" s="347">
        <v>2</v>
      </c>
      <c r="F5" s="347">
        <f t="shared" si="0"/>
        <v>300000</v>
      </c>
    </row>
    <row r="6" spans="2:6" s="348" customFormat="1" ht="24" customHeight="1">
      <c r="B6" s="346" t="s">
        <v>870</v>
      </c>
      <c r="C6" s="346" t="s">
        <v>875</v>
      </c>
      <c r="D6" s="347">
        <v>150000</v>
      </c>
      <c r="E6" s="347">
        <v>2</v>
      </c>
      <c r="F6" s="347">
        <f t="shared" si="0"/>
        <v>300000</v>
      </c>
    </row>
    <row r="7" spans="2:6" s="348" customFormat="1" ht="24" customHeight="1">
      <c r="B7" s="346" t="s">
        <v>871</v>
      </c>
      <c r="C7" s="346" t="s">
        <v>875</v>
      </c>
      <c r="D7" s="347">
        <v>140000</v>
      </c>
      <c r="E7" s="347">
        <v>2</v>
      </c>
      <c r="F7" s="347">
        <f t="shared" si="0"/>
        <v>280000</v>
      </c>
    </row>
    <row r="8" spans="2:6" s="348" customFormat="1" ht="24" customHeight="1">
      <c r="B8" s="346" t="s">
        <v>876</v>
      </c>
      <c r="C8" s="346" t="s">
        <v>875</v>
      </c>
      <c r="D8" s="347">
        <v>110000</v>
      </c>
      <c r="E8" s="347">
        <v>2</v>
      </c>
      <c r="F8" s="347">
        <f t="shared" si="0"/>
        <v>220000</v>
      </c>
    </row>
    <row r="9" spans="2:6" s="348" customFormat="1" ht="24" customHeight="1">
      <c r="B9" s="346" t="s">
        <v>877</v>
      </c>
      <c r="C9" s="346" t="s">
        <v>874</v>
      </c>
      <c r="D9" s="347">
        <v>150000</v>
      </c>
      <c r="E9" s="347">
        <v>2</v>
      </c>
      <c r="F9" s="347">
        <f t="shared" si="0"/>
        <v>300000</v>
      </c>
    </row>
    <row r="10" spans="2:6" s="348" customFormat="1" ht="24" customHeight="1">
      <c r="B10" s="346" t="s">
        <v>878</v>
      </c>
      <c r="C10" s="346" t="s">
        <v>874</v>
      </c>
      <c r="D10" s="347">
        <v>150000</v>
      </c>
      <c r="E10" s="347">
        <v>2</v>
      </c>
      <c r="F10" s="347">
        <f t="shared" si="0"/>
        <v>300000</v>
      </c>
    </row>
    <row r="11" spans="2:6" s="348" customFormat="1" ht="24" customHeight="1" thickBot="1">
      <c r="B11" s="349" t="s">
        <v>879</v>
      </c>
      <c r="C11" s="349" t="s">
        <v>874</v>
      </c>
      <c r="D11" s="350">
        <v>120000</v>
      </c>
      <c r="E11" s="350">
        <v>2</v>
      </c>
      <c r="F11" s="350">
        <f t="shared" si="0"/>
        <v>240000</v>
      </c>
    </row>
    <row r="12" spans="2:6" s="348" customFormat="1" ht="24" customHeight="1" thickTop="1">
      <c r="B12" s="351"/>
      <c r="C12" s="351"/>
      <c r="D12" s="352"/>
      <c r="E12" s="352"/>
      <c r="F12" s="352">
        <f>SUM(F3:F11)</f>
        <v>2580000</v>
      </c>
    </row>
    <row r="21" spans="5:5">
      <c r="E21" s="345" t="s">
        <v>880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18</vt:i4>
      </vt:variant>
      <vt:variant>
        <vt:lpstr>이름이 지정된 범위</vt:lpstr>
      </vt:variant>
      <vt:variant>
        <vt:i4>14</vt:i4>
      </vt:variant>
    </vt:vector>
  </HeadingPairs>
  <TitlesOfParts>
    <vt:vector size="32" baseType="lpstr">
      <vt:lpstr>201812</vt:lpstr>
      <vt:lpstr>201901</vt:lpstr>
      <vt:lpstr>201902</vt:lpstr>
      <vt:lpstr>201903</vt:lpstr>
      <vt:lpstr>201904</vt:lpstr>
      <vt:lpstr>201905</vt:lpstr>
      <vt:lpstr>201906</vt:lpstr>
      <vt:lpstr>201907</vt:lpstr>
      <vt:lpstr>201908</vt:lpstr>
      <vt:lpstr>201909</vt:lpstr>
      <vt:lpstr>201910</vt:lpstr>
      <vt:lpstr>201911</vt:lpstr>
      <vt:lpstr>201912</vt:lpstr>
      <vt:lpstr>삼성</vt:lpstr>
      <vt:lpstr>발주</vt:lpstr>
      <vt:lpstr>외주재고</vt:lpstr>
      <vt:lpstr>화물출고참조</vt:lpstr>
      <vt:lpstr>Sheet1</vt:lpstr>
      <vt:lpstr>'201812'!Print_Area</vt:lpstr>
      <vt:lpstr>'201901'!Print_Area</vt:lpstr>
      <vt:lpstr>'201902'!Print_Area</vt:lpstr>
      <vt:lpstr>'201903'!Print_Area</vt:lpstr>
      <vt:lpstr>'201904'!Print_Area</vt:lpstr>
      <vt:lpstr>'201905'!Print_Area</vt:lpstr>
      <vt:lpstr>'201906'!Print_Area</vt:lpstr>
      <vt:lpstr>'201907'!Print_Area</vt:lpstr>
      <vt:lpstr>'201908'!Print_Area</vt:lpstr>
      <vt:lpstr>'201909'!Print_Area</vt:lpstr>
      <vt:lpstr>'201910'!Print_Area</vt:lpstr>
      <vt:lpstr>'201911'!Print_Area</vt:lpstr>
      <vt:lpstr>'201912'!Print_Area</vt:lpstr>
      <vt:lpstr>발주!Print_Area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yyy</dc:creator>
  <cp:lastModifiedBy>Owner</cp:lastModifiedBy>
  <cp:lastPrinted>2019-12-19T01:07:13Z</cp:lastPrinted>
  <dcterms:created xsi:type="dcterms:W3CDTF">2012-02-10T09:18:27Z</dcterms:created>
  <dcterms:modified xsi:type="dcterms:W3CDTF">2020-01-23T01:28:16Z</dcterms:modified>
</cp:coreProperties>
</file>